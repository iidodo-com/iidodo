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book.xml" ContentType="application/vnd.ms-excel.sheet.macroEnabled.main+xml"/>
  <Override PartName="/xl/drawings/drawingBtn_sheet2.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20730" windowHeight="11040" tabRatio="600" firstSheet="0" activeTab="1" autoFilterDateGrouping="1"/>
  </bookViews>
  <sheets>
    <sheet xmlns:r="http://schemas.openxmlformats.org/officeDocument/2006/relationships" name="使い方" sheetId="1" state="visible" r:id="rId1"/>
    <sheet xmlns:r="http://schemas.openxmlformats.org/officeDocument/2006/relationships" name="入力" sheetId="2" state="visible" r:id="rId2"/>
    <sheet xmlns:r="http://schemas.openxmlformats.org/officeDocument/2006/relationships" name="給与明細" sheetId="3" state="visible" r:id="rId3"/>
    <sheet xmlns:r="http://schemas.openxmlformats.org/officeDocument/2006/relationships" name="請求書(表)" sheetId="4" state="visible" r:id="rId4"/>
    <sheet xmlns:r="http://schemas.openxmlformats.org/officeDocument/2006/relationships" name="請求書(裏)" sheetId="5" state="visible" r:id="rId5"/>
    <sheet xmlns:r="http://schemas.openxmlformats.org/officeDocument/2006/relationships" name="共済組合提出データ" sheetId="6" state="visible" r:id="rId6"/>
  </sheets>
  <definedNames>
    <definedName name="_xlnm.Print_Area" localSheetId="2">'給与明細'!$A$1:$I$54</definedName>
    <definedName name="_xlnm.Print_Area" localSheetId="3">'請求書(表)'!$A$1:$AM$51</definedName>
    <definedName name="_Hlk192790333" localSheetId="4">'原本 (裏)'!$B$23</definedName>
    <definedName name="_xlnm.Print_Area" localSheetId="4">'請求書(裏)'!$A$1:$AJ$37</definedName>
  </definedNames>
  <calcPr calcId="191028" fullCalcOnLoad="1"/>
</workbook>
</file>

<file path=xl/styles.xml><?xml version="1.0" encoding="utf-8"?>
<styleSheet xmlns="http://schemas.openxmlformats.org/spreadsheetml/2006/main">
  <numFmts count="6">
    <numFmt numFmtId="164" formatCode="&quot;¥&quot;#,##0;&quot;¥&quot;\-#,##0"/>
    <numFmt numFmtId="165" formatCode="#,##0&quot;円&quot;"/>
    <numFmt numFmtId="166" formatCode="#,##0;-#,##0"/>
    <numFmt numFmtId="167" formatCode="0&quot;か月&quot;"/>
    <numFmt numFmtId="168" formatCode="0&quot;か月目&quot;"/>
    <numFmt numFmtId="169" formatCode="yyyy/m/d"/>
  </numFmts>
  <fonts count="63">
    <font>
      <name val="游ゴシック"/>
      <charset val="128"/>
      <family val="3"/>
      <color rgb="FF000000"/>
      <sz val="11"/>
      <scheme val="minor"/>
    </font>
    <font>
      <name val="游ゴシック"/>
      <charset val="128"/>
      <family val="2"/>
      <color theme="1"/>
      <sz val="11"/>
      <scheme val="minor"/>
    </font>
    <font>
      <name val="游ゴシック"/>
      <charset val="128"/>
      <family val="2"/>
      <color theme="1"/>
      <sz val="11"/>
      <scheme val="minor"/>
    </font>
    <font>
      <name val="游ゴシック Light"/>
      <charset val="128"/>
      <family val="2"/>
      <color theme="3"/>
      <sz val="18"/>
      <scheme val="major"/>
    </font>
    <font>
      <name val="游ゴシック"/>
      <charset val="128"/>
      <family val="2"/>
      <b val="1"/>
      <color theme="3"/>
      <sz val="15"/>
      <scheme val="minor"/>
    </font>
    <font>
      <name val="游ゴシック"/>
      <charset val="128"/>
      <family val="2"/>
      <b val="1"/>
      <color theme="3"/>
      <sz val="13"/>
      <scheme val="minor"/>
    </font>
    <font>
      <name val="游ゴシック"/>
      <charset val="128"/>
      <family val="2"/>
      <b val="1"/>
      <color theme="3"/>
      <sz val="11"/>
      <scheme val="minor"/>
    </font>
    <font>
      <name val="游ゴシック"/>
      <charset val="128"/>
      <family val="2"/>
      <color rgb="FF006100"/>
      <sz val="11"/>
      <scheme val="minor"/>
    </font>
    <font>
      <name val="游ゴシック"/>
      <charset val="128"/>
      <family val="2"/>
      <color rgb="FF9C0006"/>
      <sz val="11"/>
      <scheme val="minor"/>
    </font>
    <font>
      <name val="游ゴシック"/>
      <charset val="128"/>
      <family val="2"/>
      <color rgb="FF9C5700"/>
      <sz val="11"/>
      <scheme val="minor"/>
    </font>
    <font>
      <name val="游ゴシック"/>
      <charset val="128"/>
      <family val="2"/>
      <color rgb="FF3F3F76"/>
      <sz val="11"/>
      <scheme val="minor"/>
    </font>
    <font>
      <name val="游ゴシック"/>
      <charset val="128"/>
      <family val="2"/>
      <b val="1"/>
      <color rgb="FF3F3F3F"/>
      <sz val="11"/>
      <scheme val="minor"/>
    </font>
    <font>
      <name val="游ゴシック"/>
      <charset val="128"/>
      <family val="2"/>
      <b val="1"/>
      <color rgb="FFFA7D00"/>
      <sz val="11"/>
      <scheme val="minor"/>
    </font>
    <font>
      <name val="游ゴシック"/>
      <charset val="128"/>
      <family val="2"/>
      <color rgb="FFFA7D00"/>
      <sz val="11"/>
      <scheme val="minor"/>
    </font>
    <font>
      <name val="游ゴシック"/>
      <charset val="128"/>
      <family val="2"/>
      <b val="1"/>
      <color theme="0"/>
      <sz val="11"/>
      <scheme val="minor"/>
    </font>
    <font>
      <name val="游ゴシック"/>
      <charset val="128"/>
      <family val="2"/>
      <color rgb="FFFF0000"/>
      <sz val="11"/>
      <scheme val="minor"/>
    </font>
    <font>
      <name val="游ゴシック"/>
      <charset val="128"/>
      <family val="2"/>
      <i val="1"/>
      <color rgb="FF7F7F7F"/>
      <sz val="11"/>
      <scheme val="minor"/>
    </font>
    <font>
      <name val="游ゴシック"/>
      <charset val="128"/>
      <family val="2"/>
      <b val="1"/>
      <color theme="1"/>
      <sz val="11"/>
      <scheme val="minor"/>
    </font>
    <font>
      <name val="游ゴシック"/>
      <charset val="128"/>
      <family val="2"/>
      <color theme="0"/>
      <sz val="11"/>
      <scheme val="minor"/>
    </font>
    <font>
      <name val="游ゴシック"/>
      <charset val="128"/>
      <family val="3"/>
      <sz val="6"/>
    </font>
    <font>
      <name val="ＭＳ 明朝"/>
      <charset val="128"/>
      <family val="1"/>
      <sz val="11"/>
    </font>
    <font>
      <name val="ＭＳ 明朝"/>
      <charset val="128"/>
      <family val="1"/>
      <sz val="18"/>
    </font>
    <font>
      <name val="游ゴシック"/>
      <charset val="128"/>
      <family val="3"/>
      <sz val="6"/>
      <scheme val="minor"/>
    </font>
    <font>
      <name val="游ゴシック"/>
      <charset val="128"/>
      <family val="2"/>
      <sz val="6"/>
      <scheme val="minor"/>
    </font>
    <font>
      <name val="ＭＳ 明朝"/>
      <charset val="128"/>
      <family val="1"/>
      <sz val="9"/>
    </font>
    <font>
      <name val="ＭＳ 明朝"/>
      <charset val="128"/>
      <family val="1"/>
      <sz val="12"/>
    </font>
    <font>
      <name val="ＭＳ 明朝"/>
      <charset val="128"/>
      <family val="1"/>
      <sz val="8"/>
    </font>
    <font>
      <name val="ＭＳ 明朝"/>
      <charset val="128"/>
      <family val="1"/>
      <sz val="13"/>
    </font>
    <font>
      <name val="ＭＳ 明朝"/>
      <charset val="128"/>
      <family val="1"/>
      <sz val="10"/>
    </font>
    <font>
      <name val="ＭＳ 明朝"/>
      <charset val="128"/>
      <family val="1"/>
      <sz val="10.5"/>
    </font>
    <font>
      <name val="ＭＳ 明朝"/>
      <charset val="128"/>
      <family val="1"/>
      <sz val="14"/>
    </font>
    <font>
      <name val="ＭＳ 明朝"/>
      <charset val="128"/>
      <family val="1"/>
      <sz val="7"/>
    </font>
    <font>
      <name val="ＭＳ 明朝"/>
      <charset val="128"/>
      <family val="1"/>
      <sz val="6"/>
    </font>
    <font>
      <name val="ＭＳ ゴシック"/>
      <charset val="128"/>
      <family val="3"/>
      <b val="1"/>
      <sz val="10"/>
    </font>
    <font>
      <name val="ＭＳ ゴシック"/>
      <charset val="128"/>
      <family val="3"/>
      <b val="1"/>
      <sz val="14"/>
    </font>
    <font>
      <name val="ＭＳ ゴシック"/>
      <charset val="128"/>
      <family val="3"/>
      <b val="1"/>
      <sz val="12"/>
    </font>
    <font>
      <name val="ＭＳ ゴシック"/>
      <charset val="128"/>
      <family val="3"/>
      <b val="1"/>
      <sz val="11"/>
    </font>
    <font>
      <name val="MS UI Gothic"/>
      <charset val="128"/>
      <family val="3"/>
      <b val="1"/>
      <sz val="12"/>
    </font>
    <font>
      <name val="Century"/>
      <family val="1"/>
      <sz val="5"/>
    </font>
    <font>
      <name val="游ゴシック"/>
      <charset val="128"/>
      <family val="3"/>
      <sz val="11"/>
      <scheme val="minor"/>
    </font>
    <font>
      <name val="Meiryo UI"/>
      <b val="1"/>
      <sz val="16"/>
    </font>
    <font>
      <name val="Meiryo UI"/>
      <sz val="10"/>
    </font>
    <font>
      <name val="Meiryo UI"/>
      <b val="1"/>
      <color rgb="00FFFFFF"/>
      <sz val="10"/>
    </font>
    <font>
      <name val="Meiryo UI"/>
      <b val="1"/>
      <color rgb="00FFFFFF"/>
      <sz val="11"/>
    </font>
    <font>
      <name val="Meiryo UI"/>
      <sz val="11"/>
    </font>
    <font>
      <name val="Meiryo UI"/>
      <color rgb="007F7F7F"/>
      <sz val="9"/>
    </font>
    <font>
      <name val="Meiryo UI"/>
      <b val="1"/>
      <sz val="12"/>
    </font>
    <font>
      <name val="Meiryo UI"/>
      <b val="1"/>
      <sz val="15"/>
    </font>
    <font>
      <name val="Meiryo UI"/>
      <color rgb="00595959"/>
      <sz val="9"/>
    </font>
    <font>
      <name val="ＭＳ 明朝"/>
      <color rgb="00000000"/>
      <sz val="9"/>
    </font>
    <font>
      <name val="ＭＳ 明朝"/>
      <color rgb="00000000"/>
      <sz val="10"/>
    </font>
    <font>
      <name val="ＭＳ 明朝"/>
      <color rgb="00000000"/>
      <sz val="16"/>
    </font>
    <font>
      <name val="ＭＳ 明朝"/>
      <color rgb="00000000"/>
      <sz val="8"/>
    </font>
    <font>
      <name val="ＭＳ 明朝"/>
      <color rgb="00000000"/>
      <sz val="11"/>
    </font>
    <font>
      <name val="ＭＳ 明朝"/>
      <color rgb="007F7F7F"/>
      <sz val="8"/>
    </font>
    <font>
      <name val="ＭＳ 明朝"/>
      <color rgb="00C00000"/>
      <sz val="9"/>
    </font>
    <font>
      <name val="ＭＳ 明朝"/>
      <b val="1"/>
      <color rgb="00000000"/>
      <sz val="10"/>
    </font>
    <font>
      <name val="ＭＳ 明朝"/>
      <b val="1"/>
      <color rgb="00000000"/>
      <sz val="11"/>
    </font>
    <font>
      <name val="ＭＳ 明朝"/>
      <b val="1"/>
      <color rgb="00000000"/>
      <sz val="12"/>
    </font>
    <font>
      <name val="ＭＳ 明朝"/>
      <color rgb="00404040"/>
      <sz val="9"/>
    </font>
    <font>
      <name val="Meiryo UI"/>
      <b val="1"/>
      <color rgb="00FF0000"/>
      <sz val="12"/>
    </font>
    <font>
      <name val="Meiryo UI"/>
      <b val="1"/>
      <color rgb="00FFFFFF"/>
    </font>
    <font>
      <name val="Meiryo UI"/>
      <color rgb="00C00000"/>
      <sz val="10"/>
    </font>
  </fonts>
  <fills count="38">
    <fill>
      <patternFill/>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
      <patternFill patternType="solid">
        <fgColor rgb="001F4E78"/>
      </patternFill>
    </fill>
    <fill>
      <patternFill patternType="solid">
        <fgColor rgb="00E7E6E6"/>
      </patternFill>
    </fill>
    <fill>
      <patternFill patternType="solid">
        <fgColor rgb="00FFF9C4"/>
      </patternFill>
    </fill>
    <fill>
      <patternFill patternType="solid">
        <fgColor rgb="00F2F2F2"/>
      </patternFill>
    </fill>
    <fill>
      <patternFill patternType="solid">
        <fgColor rgb="00DDEBF7"/>
      </patternFill>
    </fill>
  </fills>
  <borders count="4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top style="hair">
        <color indexed="64"/>
      </top>
      <bottom/>
      <diagonal/>
    </border>
    <border>
      <left/>
      <right style="hair">
        <color indexed="64"/>
      </right>
      <top style="hair">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rgb="00999999"/>
      </left>
      <right style="thin">
        <color rgb="00999999"/>
      </right>
      <top style="thin">
        <color rgb="00999999"/>
      </top>
      <bottom style="thin">
        <color rgb="00999999"/>
      </bottom>
    </border>
    <border>
      <left style="thin">
        <color rgb="00000000"/>
      </left>
      <right style="thin">
        <color rgb="00000000"/>
      </right>
      <top style="thin">
        <color rgb="00000000"/>
      </top>
      <bottom style="thin">
        <color rgb="00000000"/>
      </bottom>
    </border>
    <border>
      <left/>
      <right/>
      <top style="thin">
        <color rgb="00999999"/>
      </top>
      <bottom/>
      <diagonal/>
    </border>
    <border>
      <left/>
      <right style="thin">
        <color rgb="00999999"/>
      </right>
      <top style="thin">
        <color rgb="00999999"/>
      </top>
      <bottom/>
      <diagonal/>
    </border>
    <border>
      <left/>
      <right/>
      <top style="thin">
        <color rgb="00999999"/>
      </top>
      <bottom style="thin">
        <color rgb="00999999"/>
      </bottom>
      <diagonal/>
    </border>
    <border>
      <left/>
      <right style="thin">
        <color rgb="00999999"/>
      </right>
      <top style="thin">
        <color rgb="00999999"/>
      </top>
      <bottom style="thin">
        <color rgb="00999999"/>
      </bottom>
      <diagonal/>
    </border>
    <border>
      <left/>
      <right/>
      <top style="thin">
        <color rgb="00000000"/>
      </top>
      <bottom/>
      <diagonal/>
    </border>
    <border>
      <left/>
      <right style="thin">
        <color rgb="00000000"/>
      </right>
      <top style="thin">
        <color rgb="00000000"/>
      </top>
      <bottom/>
      <diagonal/>
    </border>
    <border>
      <left/>
      <right style="thin">
        <color rgb="00000000"/>
      </right>
      <top style="thin">
        <color rgb="00000000"/>
      </top>
      <bottom style="thin">
        <color rgb="00000000"/>
      </bottom>
      <diagonal/>
    </border>
    <border>
      <left/>
      <right/>
      <top style="thin">
        <color rgb="00000000"/>
      </top>
      <bottom style="thin">
        <color rgb="00000000"/>
      </bottom>
      <diagonal/>
    </border>
    <border>
      <left style="thin">
        <color rgb="00000000"/>
      </left>
      <right/>
      <top/>
      <bottom/>
      <diagonal/>
    </border>
    <border>
      <left style="thin">
        <color rgb="00000000"/>
      </left>
      <right style="thin">
        <color rgb="00000000"/>
      </right>
      <top/>
      <bottom/>
      <diagonal/>
    </border>
    <border>
      <left style="thin">
        <color rgb="00000000"/>
      </left>
      <right style="thin">
        <color rgb="00000000"/>
      </right>
      <top/>
      <bottom style="thin">
        <color rgb="00000000"/>
      </bottom>
      <diagonal/>
    </border>
  </borders>
  <cellStyleXfs count="43">
    <xf numFmtId="0" fontId="0" fillId="0" borderId="0" applyAlignment="1">
      <alignment vertical="center"/>
    </xf>
    <xf numFmtId="0" fontId="3" fillId="0" borderId="0" applyAlignment="1">
      <alignment vertical="center"/>
    </xf>
    <xf numFmtId="0" fontId="4" fillId="0" borderId="1" applyAlignment="1">
      <alignment vertical="center"/>
    </xf>
    <xf numFmtId="0" fontId="5" fillId="0" borderId="2" applyAlignment="1">
      <alignment vertical="center"/>
    </xf>
    <xf numFmtId="0" fontId="6" fillId="0" borderId="3" applyAlignment="1">
      <alignment vertical="center"/>
    </xf>
    <xf numFmtId="0" fontId="6" fillId="0" borderId="0" applyAlignment="1">
      <alignment vertical="center"/>
    </xf>
    <xf numFmtId="0" fontId="7" fillId="2" borderId="0" applyAlignment="1">
      <alignment vertical="center"/>
    </xf>
    <xf numFmtId="0" fontId="8" fillId="3" borderId="0" applyAlignment="1">
      <alignment vertical="center"/>
    </xf>
    <xf numFmtId="0" fontId="9" fillId="4" borderId="0" applyAlignment="1">
      <alignment vertical="center"/>
    </xf>
    <xf numFmtId="0" fontId="10" fillId="5" borderId="4" applyAlignment="1">
      <alignment vertical="center"/>
    </xf>
    <xf numFmtId="0" fontId="11" fillId="6" borderId="5" applyAlignment="1">
      <alignment vertical="center"/>
    </xf>
    <xf numFmtId="0" fontId="12" fillId="6" borderId="4" applyAlignment="1">
      <alignment vertical="center"/>
    </xf>
    <xf numFmtId="0" fontId="13" fillId="0" borderId="6" applyAlignment="1">
      <alignment vertical="center"/>
    </xf>
    <xf numFmtId="0" fontId="14" fillId="7" borderId="7" applyAlignment="1">
      <alignment vertical="center"/>
    </xf>
    <xf numFmtId="0" fontId="15" fillId="0" borderId="0" applyAlignment="1">
      <alignment vertical="center"/>
    </xf>
    <xf numFmtId="0" fontId="2" fillId="8" borderId="8" applyAlignment="1">
      <alignment vertical="center"/>
    </xf>
    <xf numFmtId="0" fontId="16" fillId="0" borderId="0" applyAlignment="1">
      <alignment vertical="center"/>
    </xf>
    <xf numFmtId="0" fontId="17" fillId="0" borderId="9" applyAlignment="1">
      <alignment vertical="center"/>
    </xf>
    <xf numFmtId="0" fontId="18" fillId="9" borderId="0" applyAlignment="1">
      <alignment vertical="center"/>
    </xf>
    <xf numFmtId="0" fontId="2" fillId="10" borderId="0" applyAlignment="1">
      <alignment vertical="center"/>
    </xf>
    <xf numFmtId="0" fontId="2" fillId="11" borderId="0" applyAlignment="1">
      <alignment vertical="center"/>
    </xf>
    <xf numFmtId="0" fontId="2" fillId="12" borderId="0" applyAlignment="1">
      <alignment vertical="center"/>
    </xf>
    <xf numFmtId="0" fontId="18" fillId="13" borderId="0" applyAlignment="1">
      <alignment vertical="center"/>
    </xf>
    <xf numFmtId="0" fontId="2" fillId="14" borderId="0" applyAlignment="1">
      <alignment vertical="center"/>
    </xf>
    <xf numFmtId="0" fontId="2" fillId="15" borderId="0" applyAlignment="1">
      <alignment vertical="center"/>
    </xf>
    <xf numFmtId="0" fontId="2" fillId="16" borderId="0" applyAlignment="1">
      <alignment vertical="center"/>
    </xf>
    <xf numFmtId="0" fontId="18" fillId="17" borderId="0" applyAlignment="1">
      <alignment vertical="center"/>
    </xf>
    <xf numFmtId="0" fontId="2" fillId="18" borderId="0" applyAlignment="1">
      <alignment vertical="center"/>
    </xf>
    <xf numFmtId="0" fontId="2" fillId="19" borderId="0" applyAlignment="1">
      <alignment vertical="center"/>
    </xf>
    <xf numFmtId="0" fontId="2" fillId="20" borderId="0" applyAlignment="1">
      <alignment vertical="center"/>
    </xf>
    <xf numFmtId="0" fontId="18" fillId="21" borderId="0" applyAlignment="1">
      <alignment vertical="center"/>
    </xf>
    <xf numFmtId="0" fontId="2" fillId="22" borderId="0" applyAlignment="1">
      <alignment vertical="center"/>
    </xf>
    <xf numFmtId="0" fontId="2" fillId="23" borderId="0" applyAlignment="1">
      <alignment vertical="center"/>
    </xf>
    <xf numFmtId="0" fontId="2" fillId="24" borderId="0" applyAlignment="1">
      <alignment vertical="center"/>
    </xf>
    <xf numFmtId="0" fontId="18" fillId="25" borderId="0" applyAlignment="1">
      <alignment vertical="center"/>
    </xf>
    <xf numFmtId="0" fontId="2" fillId="26" borderId="0" applyAlignment="1">
      <alignment vertical="center"/>
    </xf>
    <xf numFmtId="0" fontId="2" fillId="27" borderId="0" applyAlignment="1">
      <alignment vertical="center"/>
    </xf>
    <xf numFmtId="0" fontId="2" fillId="28" borderId="0" applyAlignment="1">
      <alignment vertical="center"/>
    </xf>
    <xf numFmtId="0" fontId="18" fillId="29" borderId="0" applyAlignment="1">
      <alignment vertical="center"/>
    </xf>
    <xf numFmtId="0" fontId="2" fillId="30" borderId="0" applyAlignment="1">
      <alignment vertical="center"/>
    </xf>
    <xf numFmtId="0" fontId="2" fillId="31" borderId="0" applyAlignment="1">
      <alignment vertical="center"/>
    </xf>
    <xf numFmtId="0" fontId="2" fillId="32" borderId="0" applyAlignment="1">
      <alignment vertical="center"/>
    </xf>
    <xf numFmtId="0" fontId="2" fillId="0" borderId="0" applyAlignment="1">
      <alignment vertical="center"/>
    </xf>
  </cellStyleXfs>
  <cellXfs count="334">
    <xf numFmtId="0" fontId="0" fillId="0" borderId="0" applyAlignment="1" pivotButton="0" quotePrefix="0" xfId="0">
      <alignment vertical="center"/>
    </xf>
    <xf numFmtId="0" fontId="20" fillId="0" borderId="0" applyAlignment="1" pivotButton="0" quotePrefix="0" xfId="42">
      <alignment vertical="center"/>
    </xf>
    <xf numFmtId="0" fontId="24" fillId="0" borderId="11" applyAlignment="1" pivotButton="0" quotePrefix="0" xfId="42">
      <alignment vertical="center"/>
    </xf>
    <xf numFmtId="0" fontId="20" fillId="0" borderId="11" applyAlignment="1" pivotButton="0" quotePrefix="0" xfId="42">
      <alignment vertical="center"/>
    </xf>
    <xf numFmtId="0" fontId="20" fillId="0" borderId="12" applyAlignment="1" pivotButton="0" quotePrefix="0" xfId="42">
      <alignment vertical="center"/>
    </xf>
    <xf numFmtId="0" fontId="24" fillId="0" borderId="13" applyAlignment="1" pivotButton="0" quotePrefix="0" xfId="42">
      <alignment vertical="center"/>
    </xf>
    <xf numFmtId="0" fontId="20" fillId="0" borderId="13" applyAlignment="1" pivotButton="0" quotePrefix="0" xfId="42">
      <alignment vertical="center"/>
    </xf>
    <xf numFmtId="0" fontId="20" fillId="0" borderId="14" applyAlignment="1" pivotButton="0" quotePrefix="0" xfId="42">
      <alignment vertical="center"/>
    </xf>
    <xf numFmtId="0" fontId="20" fillId="0" borderId="15" applyAlignment="1" pivotButton="0" quotePrefix="0" xfId="42">
      <alignment vertical="center"/>
    </xf>
    <xf numFmtId="0" fontId="20" fillId="0" borderId="16" applyAlignment="1" pivotButton="0" quotePrefix="0" xfId="42">
      <alignment vertical="center"/>
    </xf>
    <xf numFmtId="0" fontId="20" fillId="0" borderId="15" applyAlignment="1" pivotButton="0" quotePrefix="0" xfId="42">
      <alignment vertical="center" wrapText="1"/>
    </xf>
    <xf numFmtId="0" fontId="20" fillId="0" borderId="18" applyAlignment="1" pivotButton="0" quotePrefix="0" xfId="42">
      <alignment vertical="center"/>
    </xf>
    <xf numFmtId="0" fontId="20" fillId="0" borderId="17" applyAlignment="1" pivotButton="0" quotePrefix="0" xfId="42">
      <alignment vertical="center"/>
    </xf>
    <xf numFmtId="0" fontId="20" fillId="0" borderId="20" applyAlignment="1" pivotButton="0" quotePrefix="0" xfId="42">
      <alignment vertical="center"/>
    </xf>
    <xf numFmtId="0" fontId="20" fillId="0" borderId="21" applyAlignment="1" pivotButton="0" quotePrefix="0" xfId="42">
      <alignment vertical="center"/>
    </xf>
    <xf numFmtId="0" fontId="20" fillId="0" borderId="22" applyAlignment="1" pivotButton="0" quotePrefix="0" xfId="42">
      <alignment vertical="center"/>
    </xf>
    <xf numFmtId="0" fontId="20" fillId="0" borderId="24" applyAlignment="1" pivotButton="0" quotePrefix="0" xfId="42">
      <alignment vertical="center"/>
    </xf>
    <xf numFmtId="0" fontId="20" fillId="0" borderId="25" applyAlignment="1" pivotButton="0" quotePrefix="0" xfId="42">
      <alignment vertical="center"/>
    </xf>
    <xf numFmtId="0" fontId="20" fillId="0" borderId="26" applyAlignment="1" pivotButton="0" quotePrefix="0" xfId="42">
      <alignment vertical="center"/>
    </xf>
    <xf numFmtId="0" fontId="20" fillId="0" borderId="27" applyAlignment="1" pivotButton="0" quotePrefix="0" xfId="42">
      <alignment vertical="center"/>
    </xf>
    <xf numFmtId="0" fontId="20" fillId="0" borderId="28" applyAlignment="1" pivotButton="0" quotePrefix="0" xfId="42">
      <alignment vertical="center"/>
    </xf>
    <xf numFmtId="0" fontId="28" fillId="0" borderId="0" applyAlignment="1" pivotButton="0" quotePrefix="0" xfId="42">
      <alignment vertical="center"/>
    </xf>
    <xf numFmtId="0" fontId="28" fillId="0" borderId="0" applyAlignment="1" pivotButton="0" quotePrefix="0" xfId="42">
      <alignment horizontal="justify" vertical="center" wrapText="1"/>
    </xf>
    <xf numFmtId="0" fontId="24" fillId="0" borderId="0" applyAlignment="1" pivotButton="0" quotePrefix="0" xfId="42">
      <alignment vertical="center"/>
    </xf>
    <xf numFmtId="0" fontId="28" fillId="0" borderId="0" applyAlignment="1" pivotButton="0" quotePrefix="0" xfId="42">
      <alignment vertical="center" wrapText="1"/>
    </xf>
    <xf numFmtId="0" fontId="28" fillId="0" borderId="19" applyAlignment="1" pivotButton="0" quotePrefix="0" xfId="42">
      <alignment vertical="center" wrapText="1"/>
    </xf>
    <xf numFmtId="0" fontId="28" fillId="0" borderId="24" applyAlignment="1" pivotButton="0" quotePrefix="0" xfId="42">
      <alignment vertical="center"/>
    </xf>
    <xf numFmtId="0" fontId="28" fillId="0" borderId="24" applyAlignment="1" pivotButton="0" quotePrefix="0" xfId="42">
      <alignment horizontal="justify" vertical="center" wrapText="1"/>
    </xf>
    <xf numFmtId="0" fontId="28" fillId="0" borderId="18" applyAlignment="1" pivotButton="0" quotePrefix="0" xfId="42">
      <alignment vertical="center"/>
    </xf>
    <xf numFmtId="0" fontId="26" fillId="0" borderId="0" applyAlignment="1" pivotButton="0" quotePrefix="0" xfId="42">
      <alignment vertical="center"/>
    </xf>
    <xf numFmtId="0" fontId="28" fillId="0" borderId="19" applyAlignment="1" pivotButton="0" quotePrefix="0" xfId="42">
      <alignment vertical="center"/>
    </xf>
    <xf numFmtId="0" fontId="28" fillId="0" borderId="18" applyAlignment="1" pivotButton="0" quotePrefix="0" xfId="42">
      <alignment vertical="center" wrapText="1"/>
    </xf>
    <xf numFmtId="0" fontId="28" fillId="0" borderId="23" applyAlignment="1" pivotButton="0" quotePrefix="0" xfId="42">
      <alignment horizontal="justify" vertical="center" wrapText="1"/>
    </xf>
    <xf numFmtId="0" fontId="28" fillId="0" borderId="24" applyAlignment="1" pivotButton="0" quotePrefix="0" xfId="42">
      <alignment vertical="center" wrapText="1"/>
    </xf>
    <xf numFmtId="0" fontId="28" fillId="0" borderId="25" applyAlignment="1" pivotButton="0" quotePrefix="0" xfId="42">
      <alignment vertical="center"/>
    </xf>
    <xf numFmtId="0" fontId="28" fillId="0" borderId="15" applyAlignment="1" pivotButton="0" quotePrefix="0" xfId="42">
      <alignment horizontal="justify" vertical="center" wrapText="1"/>
    </xf>
    <xf numFmtId="0" fontId="28" fillId="0" borderId="16" applyAlignment="1" pivotButton="0" quotePrefix="0" xfId="42">
      <alignment horizontal="justify" vertical="center" wrapText="1"/>
    </xf>
    <xf numFmtId="0" fontId="28" fillId="0" borderId="17" applyAlignment="1" pivotButton="0" quotePrefix="0" xfId="42">
      <alignment horizontal="justify" vertical="center" wrapText="1"/>
    </xf>
    <xf numFmtId="0" fontId="28" fillId="0" borderId="23" applyAlignment="1" pivotButton="0" quotePrefix="0" xfId="42">
      <alignment vertical="center" wrapText="1"/>
    </xf>
    <xf numFmtId="0" fontId="26" fillId="0" borderId="0" applyAlignment="1" pivotButton="0" quotePrefix="0" xfId="42">
      <alignment vertical="center" wrapText="1"/>
    </xf>
    <xf numFmtId="0" fontId="27" fillId="0" borderId="0" applyAlignment="1" pivotButton="0" quotePrefix="0" xfId="42">
      <alignment vertical="center" wrapText="1"/>
    </xf>
    <xf numFmtId="0" fontId="29" fillId="0" borderId="0" applyAlignment="1" pivotButton="0" quotePrefix="0" xfId="42">
      <alignment vertical="center" wrapText="1"/>
    </xf>
    <xf numFmtId="0" fontId="24" fillId="0" borderId="0" applyAlignment="1" pivotButton="0" quotePrefix="0" xfId="42">
      <alignment vertical="center" wrapText="1"/>
    </xf>
    <xf numFmtId="0" fontId="20" fillId="0" borderId="0" applyAlignment="1" pivotButton="0" quotePrefix="0" xfId="42">
      <alignment horizontal="left" vertical="center"/>
    </xf>
    <xf numFmtId="0" fontId="21" fillId="0" borderId="0" applyAlignment="1" pivotButton="0" quotePrefix="0" xfId="42">
      <alignment vertical="center"/>
    </xf>
    <xf numFmtId="0" fontId="29" fillId="0" borderId="0" applyAlignment="1" pivotButton="0" quotePrefix="0" xfId="42">
      <alignment horizontal="left" vertical="center" wrapText="1"/>
    </xf>
    <xf numFmtId="0" fontId="28" fillId="0" borderId="0" applyAlignment="1" pivotButton="0" quotePrefix="0" xfId="42">
      <alignment horizontal="left" vertical="center"/>
    </xf>
    <xf numFmtId="0" fontId="20" fillId="0" borderId="0" applyAlignment="1" pivotButton="0" quotePrefix="0" xfId="42">
      <alignment vertical="center" wrapText="1"/>
    </xf>
    <xf numFmtId="0" fontId="20" fillId="0" borderId="19" applyAlignment="1" pivotButton="0" quotePrefix="0" xfId="42">
      <alignment vertical="center" wrapText="1"/>
    </xf>
    <xf numFmtId="0" fontId="20" fillId="0" borderId="24" applyAlignment="1" pivotButton="0" quotePrefix="0" xfId="42">
      <alignment vertical="center" wrapText="1"/>
    </xf>
    <xf numFmtId="0" fontId="20" fillId="0" borderId="25" applyAlignment="1" pivotButton="0" quotePrefix="0" xfId="42">
      <alignment vertical="center" wrapText="1"/>
    </xf>
    <xf numFmtId="0" fontId="20" fillId="0" borderId="16" applyAlignment="1" pivotButton="0" quotePrefix="0" xfId="42">
      <alignment vertical="center" wrapText="1"/>
    </xf>
    <xf numFmtId="0" fontId="20" fillId="0" borderId="17" applyAlignment="1" pivotButton="0" quotePrefix="0" xfId="42">
      <alignment vertical="center" wrapText="1"/>
    </xf>
    <xf numFmtId="0" fontId="20" fillId="0" borderId="31" applyAlignment="1" pivotButton="0" quotePrefix="0" xfId="42">
      <alignment vertical="center"/>
    </xf>
    <xf numFmtId="3" fontId="20" fillId="0" borderId="33" applyAlignment="1" pivotButton="0" quotePrefix="0" xfId="42">
      <alignment vertical="center"/>
    </xf>
    <xf numFmtId="0" fontId="20" fillId="0" borderId="32" applyAlignment="1" pivotButton="0" quotePrefix="0" xfId="42">
      <alignment vertical="center"/>
    </xf>
    <xf numFmtId="0" fontId="28" fillId="0" borderId="0" applyAlignment="1" pivotButton="0" quotePrefix="0" xfId="0">
      <alignment vertical="center"/>
    </xf>
    <xf numFmtId="0" fontId="26" fillId="0" borderId="16" applyAlignment="1" pivotButton="0" quotePrefix="0" xfId="0">
      <alignment vertical="center"/>
    </xf>
    <xf numFmtId="0" fontId="26" fillId="0" borderId="0" applyAlignment="1" pivotButton="0" quotePrefix="0" xfId="42">
      <alignment horizontal="center" vertical="center"/>
    </xf>
    <xf numFmtId="0" fontId="26" fillId="0" borderId="19" applyAlignment="1" pivotButton="0" quotePrefix="0" xfId="42">
      <alignment horizontal="center" vertical="center"/>
    </xf>
    <xf numFmtId="0" fontId="20" fillId="0" borderId="0" applyAlignment="1" pivotButton="0" quotePrefix="0" xfId="42">
      <alignment vertical="center" shrinkToFit="1"/>
    </xf>
    <xf numFmtId="0" fontId="26" fillId="0" borderId="0" applyAlignment="1" pivotButton="0" quotePrefix="0" xfId="42">
      <alignment horizontal="left" vertical="center"/>
    </xf>
    <xf numFmtId="0" fontId="31" fillId="0" borderId="19" applyAlignment="1" pivotButton="0" quotePrefix="0" xfId="42">
      <alignment vertical="center" wrapText="1" shrinkToFit="1"/>
    </xf>
    <xf numFmtId="0" fontId="26" fillId="0" borderId="25" applyAlignment="1" pivotButton="0" quotePrefix="0" xfId="42">
      <alignment vertical="center" shrinkToFit="1"/>
    </xf>
    <xf numFmtId="0" fontId="26" fillId="0" borderId="31" applyAlignment="1" pivotButton="0" quotePrefix="0" xfId="42">
      <alignment horizontal="left" vertical="center"/>
    </xf>
    <xf numFmtId="0" fontId="26" fillId="0" borderId="31" applyAlignment="1" pivotButton="0" quotePrefix="0" xfId="42">
      <alignment vertical="center"/>
    </xf>
    <xf numFmtId="0" fontId="26" fillId="0" borderId="32" applyAlignment="1" pivotButton="0" quotePrefix="0" xfId="42">
      <alignment vertical="center"/>
    </xf>
    <xf numFmtId="0" fontId="26" fillId="0" borderId="32" applyAlignment="1" pivotButton="0" quotePrefix="0" xfId="42">
      <alignment horizontal="left" vertical="center"/>
    </xf>
    <xf numFmtId="0" fontId="26" fillId="0" borderId="19" applyAlignment="1" pivotButton="0" quotePrefix="0" xfId="42">
      <alignment vertical="center" shrinkToFit="1"/>
    </xf>
    <xf numFmtId="0" fontId="33" fillId="0" borderId="0" applyAlignment="1" pivotButton="0" quotePrefix="0" xfId="42">
      <alignment vertical="center" shrinkToFit="1"/>
    </xf>
    <xf numFmtId="0" fontId="28" fillId="0" borderId="0" applyAlignment="1" pivotButton="0" quotePrefix="0" xfId="42">
      <alignment horizontal="left" vertical="center" wrapText="1"/>
    </xf>
    <xf numFmtId="0" fontId="34" fillId="0" borderId="0" applyAlignment="1" pivotButton="0" quotePrefix="0" xfId="42">
      <alignment vertical="center"/>
    </xf>
    <xf numFmtId="0" fontId="38" fillId="0" borderId="0" applyAlignment="1" pivotButton="0" quotePrefix="0" xfId="0">
      <alignment vertical="center" wrapText="1"/>
    </xf>
    <xf numFmtId="0" fontId="39" fillId="0" borderId="0" applyAlignment="1" pivotButton="0" quotePrefix="0" xfId="0">
      <alignment vertical="center"/>
    </xf>
    <xf numFmtId="0" fontId="39" fillId="0" borderId="19" applyAlignment="1" pivotButton="0" quotePrefix="0" xfId="0">
      <alignment vertical="center"/>
    </xf>
    <xf numFmtId="0" fontId="20" fillId="0" borderId="0" applyAlignment="1" pivotButton="0" quotePrefix="0" xfId="0">
      <alignment vertical="center"/>
    </xf>
    <xf numFmtId="0" fontId="20" fillId="0" borderId="19" applyAlignment="1" pivotButton="0" quotePrefix="0" xfId="0">
      <alignment vertical="center"/>
    </xf>
    <xf numFmtId="0" fontId="29" fillId="0" borderId="0" applyAlignment="1" pivotButton="0" quotePrefix="0" xfId="0">
      <alignment vertical="center" wrapText="1"/>
    </xf>
    <xf numFmtId="0" fontId="29" fillId="0" borderId="0" applyAlignment="1" pivotButton="0" quotePrefix="0" xfId="0">
      <alignment horizontal="left" vertical="center" wrapText="1"/>
    </xf>
    <xf numFmtId="0" fontId="39" fillId="0" borderId="0" applyAlignment="1" pivotButton="0" quotePrefix="0" xfId="0">
      <alignment vertical="center" wrapText="1"/>
    </xf>
    <xf numFmtId="0" fontId="39" fillId="0" borderId="0" applyAlignment="1" pivotButton="0" quotePrefix="0" xfId="0">
      <alignment horizontal="left" vertical="center" wrapText="1"/>
    </xf>
    <xf numFmtId="0" fontId="26" fillId="0" borderId="24" applyAlignment="1" pivotButton="0" quotePrefix="0" xfId="42">
      <alignment horizontal="left" vertical="center" shrinkToFit="1"/>
    </xf>
    <xf numFmtId="0" fontId="26" fillId="0" borderId="15" applyAlignment="1" pivotButton="0" quotePrefix="0" xfId="42">
      <alignment horizontal="center" vertical="center"/>
    </xf>
    <xf numFmtId="0" fontId="26" fillId="0" borderId="16" applyAlignment="1" pivotButton="0" quotePrefix="0" xfId="42">
      <alignment horizontal="left" vertical="center"/>
    </xf>
    <xf numFmtId="0" fontId="26" fillId="0" borderId="16" applyAlignment="1" pivotButton="0" quotePrefix="0" xfId="42">
      <alignment horizontal="center" vertical="center"/>
    </xf>
    <xf numFmtId="0" fontId="26" fillId="0" borderId="16" applyAlignment="1" pivotButton="0" quotePrefix="0" xfId="42">
      <alignment vertical="center" wrapText="1"/>
    </xf>
    <xf numFmtId="0" fontId="26" fillId="0" borderId="17" applyAlignment="1" pivotButton="0" quotePrefix="0" xfId="42">
      <alignment horizontal="center" vertical="center"/>
    </xf>
    <xf numFmtId="0" fontId="26" fillId="0" borderId="18" applyAlignment="1" pivotButton="0" quotePrefix="0" xfId="42">
      <alignment horizontal="center" vertical="center"/>
    </xf>
    <xf numFmtId="0" fontId="26" fillId="0" borderId="0" applyAlignment="1" pivotButton="0" quotePrefix="0" xfId="42">
      <alignment horizontal="left" vertical="center"/>
    </xf>
    <xf numFmtId="0" fontId="26" fillId="0" borderId="0" applyAlignment="1" pivotButton="0" quotePrefix="0" xfId="42">
      <alignment horizontal="center" vertical="center"/>
    </xf>
    <xf numFmtId="0" fontId="26" fillId="0" borderId="0" applyAlignment="1" pivotButton="0" quotePrefix="0" xfId="42">
      <alignment vertical="center" wrapText="1"/>
    </xf>
    <xf numFmtId="0" fontId="31" fillId="0" borderId="0" applyAlignment="1" pivotButton="0" quotePrefix="0" xfId="42">
      <alignment horizontal="left" vertical="center" wrapText="1" shrinkToFit="1"/>
    </xf>
    <xf numFmtId="0" fontId="26" fillId="0" borderId="0" applyAlignment="1" pivotButton="0" quotePrefix="0" xfId="42">
      <alignment horizontal="left" vertical="center" shrinkToFit="1"/>
    </xf>
    <xf numFmtId="0" fontId="26" fillId="0" borderId="23" applyAlignment="1" pivotButton="0" quotePrefix="0" xfId="42">
      <alignment horizontal="center" vertical="center"/>
    </xf>
    <xf numFmtId="0" fontId="29" fillId="0" borderId="0" applyAlignment="1" pivotButton="0" quotePrefix="0" xfId="0">
      <alignment vertical="center" wrapText="1"/>
    </xf>
    <xf numFmtId="0" fontId="20" fillId="0" borderId="23" applyAlignment="1" pivotButton="0" quotePrefix="0" xfId="42">
      <alignment vertical="center"/>
    </xf>
    <xf numFmtId="0" fontId="31" fillId="0" borderId="0" applyAlignment="1" pivotButton="0" quotePrefix="0" xfId="42">
      <alignment horizontal="left" vertical="center"/>
    </xf>
    <xf numFmtId="0" fontId="26" fillId="0" borderId="15" applyAlignment="1" pivotButton="0" quotePrefix="0" xfId="0">
      <alignment horizontal="center" vertical="center" wrapText="1"/>
    </xf>
    <xf numFmtId="0" fontId="26" fillId="0" borderId="16" applyAlignment="1" pivotButton="0" quotePrefix="0" xfId="0">
      <alignment horizontal="center" vertical="center" wrapText="1"/>
    </xf>
    <xf numFmtId="0" fontId="26" fillId="0" borderId="17" applyAlignment="1" pivotButton="0" quotePrefix="0" xfId="0">
      <alignment horizontal="center" vertical="center" wrapText="1"/>
    </xf>
    <xf numFmtId="0" fontId="26" fillId="0" borderId="18" applyAlignment="1" pivotButton="0" quotePrefix="0" xfId="0">
      <alignment horizontal="center" vertical="center" wrapText="1"/>
    </xf>
    <xf numFmtId="0" fontId="26" fillId="0" borderId="0" applyAlignment="1" pivotButton="0" quotePrefix="0" xfId="0">
      <alignment horizontal="center" vertical="center" wrapText="1"/>
    </xf>
    <xf numFmtId="0" fontId="26" fillId="0" borderId="19" applyAlignment="1" pivotButton="0" quotePrefix="0" xfId="0">
      <alignment horizontal="center" vertical="center" wrapText="1"/>
    </xf>
    <xf numFmtId="0" fontId="26" fillId="0" borderId="23" applyAlignment="1" pivotButton="0" quotePrefix="0" xfId="0">
      <alignment horizontal="center" vertical="center" wrapText="1"/>
    </xf>
    <xf numFmtId="0" fontId="26" fillId="0" borderId="24" applyAlignment="1" pivotButton="0" quotePrefix="0" xfId="0">
      <alignment horizontal="center" vertical="center" wrapText="1"/>
    </xf>
    <xf numFmtId="0" fontId="26" fillId="0" borderId="25" applyAlignment="1" pivotButton="0" quotePrefix="0" xfId="0">
      <alignment horizontal="center" vertical="center" wrapText="1"/>
    </xf>
    <xf numFmtId="0" fontId="31" fillId="0" borderId="0" applyAlignment="1" pivotButton="0" quotePrefix="0" xfId="42">
      <alignment horizontal="left" vertical="center" wrapText="1" shrinkToFit="1"/>
    </xf>
    <xf numFmtId="0" fontId="26" fillId="0" borderId="0" applyAlignment="1" pivotButton="0" quotePrefix="0" xfId="42">
      <alignment horizontal="left" vertical="center" shrinkToFit="1"/>
    </xf>
    <xf numFmtId="0" fontId="31" fillId="0" borderId="0" applyAlignment="1" pivotButton="0" quotePrefix="0" xfId="42">
      <alignment horizontal="left" vertical="center" wrapText="1" shrinkToFit="1"/>
    </xf>
    <xf numFmtId="0" fontId="26" fillId="0" borderId="24" applyAlignment="1" pivotButton="0" quotePrefix="0" xfId="42">
      <alignment horizontal="left" vertical="center" shrinkToFit="1"/>
    </xf>
    <xf numFmtId="0" fontId="0" fillId="0" borderId="24" applyAlignment="1" pivotButton="0" quotePrefix="0" xfId="0">
      <alignment horizontal="left" vertical="center" shrinkToFit="1"/>
    </xf>
    <xf numFmtId="0" fontId="35" fillId="0" borderId="31" applyAlignment="1" pivotButton="0" quotePrefix="0" xfId="0">
      <alignment horizontal="center" vertical="center" wrapText="1"/>
    </xf>
    <xf numFmtId="0" fontId="28" fillId="0" borderId="0" applyAlignment="1" pivotButton="0" quotePrefix="0" xfId="0">
      <alignment horizontal="center" vertical="center"/>
    </xf>
    <xf numFmtId="0" fontId="33" fillId="0" borderId="0" applyAlignment="1" pivotButton="0" quotePrefix="0" xfId="0">
      <alignment horizontal="center" vertical="center"/>
    </xf>
    <xf numFmtId="0" fontId="29" fillId="0" borderId="33" applyAlignment="1" pivotButton="0" quotePrefix="0" xfId="42">
      <alignment horizontal="center" vertical="center" wrapText="1"/>
    </xf>
    <xf numFmtId="0" fontId="29" fillId="0" borderId="31" applyAlignment="1" pivotButton="0" quotePrefix="0" xfId="42">
      <alignment horizontal="center" vertical="center" wrapText="1"/>
    </xf>
    <xf numFmtId="0" fontId="29" fillId="0" borderId="32" applyAlignment="1" pivotButton="0" quotePrefix="0" xfId="42">
      <alignment horizontal="center" vertical="center" wrapText="1"/>
    </xf>
    <xf numFmtId="0" fontId="36" fillId="0" borderId="33" applyAlignment="1" pivotButton="0" quotePrefix="0" xfId="42">
      <alignment horizontal="center" vertical="center"/>
    </xf>
    <xf numFmtId="0" fontId="36" fillId="0" borderId="31" applyAlignment="1" pivotButton="0" quotePrefix="0" xfId="42">
      <alignment horizontal="center" vertical="center"/>
    </xf>
    <xf numFmtId="0" fontId="36" fillId="0" borderId="32" applyAlignment="1" pivotButton="0" quotePrefix="0" xfId="42">
      <alignment horizontal="center" vertical="center"/>
    </xf>
    <xf numFmtId="0" fontId="29" fillId="0" borderId="15" applyAlignment="1" pivotButton="0" quotePrefix="0" xfId="42">
      <alignment horizontal="center" vertical="center" wrapText="1"/>
    </xf>
    <xf numFmtId="0" fontId="29" fillId="0" borderId="16" applyAlignment="1" pivotButton="0" quotePrefix="0" xfId="42">
      <alignment horizontal="center" vertical="center" wrapText="1"/>
    </xf>
    <xf numFmtId="0" fontId="29" fillId="0" borderId="17" applyAlignment="1" pivotButton="0" quotePrefix="0" xfId="42">
      <alignment horizontal="center" vertical="center" wrapText="1"/>
    </xf>
    <xf numFmtId="0" fontId="20" fillId="0" borderId="15" applyAlignment="1" pivotButton="0" quotePrefix="0" xfId="42">
      <alignment horizontal="left" vertical="center" wrapText="1"/>
    </xf>
    <xf numFmtId="0" fontId="20" fillId="0" borderId="16" applyAlignment="1" pivotButton="0" quotePrefix="0" xfId="42">
      <alignment horizontal="left" vertical="center" wrapText="1"/>
    </xf>
    <xf numFmtId="0" fontId="20" fillId="0" borderId="17" applyAlignment="1" pivotButton="0" quotePrefix="0" xfId="42">
      <alignment horizontal="left" vertical="center" wrapText="1"/>
    </xf>
    <xf numFmtId="0" fontId="20" fillId="0" borderId="0" applyAlignment="1" pivotButton="0" quotePrefix="0" xfId="0">
      <alignment horizontal="left" vertical="center"/>
    </xf>
    <xf numFmtId="0" fontId="20" fillId="0" borderId="19" applyAlignment="1" pivotButton="0" quotePrefix="0" xfId="0">
      <alignment horizontal="left" vertical="center"/>
    </xf>
    <xf numFmtId="164" fontId="24" fillId="0" borderId="23" applyAlignment="1" pivotButton="0" quotePrefix="0" xfId="0">
      <alignment horizontal="left" vertical="center" shrinkToFit="1"/>
    </xf>
    <xf numFmtId="164" fontId="24" fillId="0" borderId="24" applyAlignment="1" pivotButton="0" quotePrefix="0" xfId="0">
      <alignment horizontal="left" vertical="center" shrinkToFit="1"/>
    </xf>
    <xf numFmtId="164" fontId="24" fillId="0" borderId="25" applyAlignment="1" pivotButton="0" quotePrefix="0" xfId="0">
      <alignment horizontal="left" vertical="center" shrinkToFit="1"/>
    </xf>
    <xf numFmtId="0" fontId="33" fillId="0" borderId="0" applyAlignment="1" pivotButton="0" quotePrefix="0" xfId="42">
      <alignment horizontal="center" vertical="center" shrinkToFit="1"/>
    </xf>
    <xf numFmtId="0" fontId="33" fillId="0" borderId="19" applyAlignment="1" pivotButton="0" quotePrefix="0" xfId="42">
      <alignment horizontal="center" vertical="center" shrinkToFit="1"/>
    </xf>
    <xf numFmtId="0" fontId="33" fillId="0" borderId="0" applyAlignment="1" pivotButton="0" quotePrefix="0" xfId="42">
      <alignment horizontal="right" vertical="center" shrinkToFit="1"/>
    </xf>
    <xf numFmtId="0" fontId="28" fillId="0" borderId="15" applyAlignment="1" pivotButton="0" quotePrefix="0" xfId="42">
      <alignment horizontal="center" vertical="center"/>
    </xf>
    <xf numFmtId="0" fontId="28" fillId="0" borderId="16" applyAlignment="1" pivotButton="0" quotePrefix="0" xfId="42">
      <alignment horizontal="center" vertical="center"/>
    </xf>
    <xf numFmtId="0" fontId="28" fillId="0" borderId="17" applyAlignment="1" pivotButton="0" quotePrefix="0" xfId="42">
      <alignment horizontal="center" vertical="center"/>
    </xf>
    <xf numFmtId="0" fontId="28" fillId="0" borderId="33" applyAlignment="1" pivotButton="0" quotePrefix="0" xfId="0">
      <alignment horizontal="center" vertical="center" wrapText="1"/>
    </xf>
    <xf numFmtId="0" fontId="28" fillId="0" borderId="31" applyAlignment="1" pivotButton="0" quotePrefix="0" xfId="0">
      <alignment horizontal="center" vertical="center" wrapText="1"/>
    </xf>
    <xf numFmtId="0" fontId="20" fillId="0" borderId="31" applyAlignment="1" pivotButton="0" quotePrefix="0" xfId="0">
      <alignment horizontal="center" vertical="center" wrapText="1"/>
    </xf>
    <xf numFmtId="0" fontId="20" fillId="0" borderId="31" applyAlignment="1" pivotButton="0" quotePrefix="0" xfId="42">
      <alignment horizontal="center" vertical="center"/>
    </xf>
    <xf numFmtId="0" fontId="20" fillId="0" borderId="32" applyAlignment="1" pivotButton="0" quotePrefix="0" xfId="42">
      <alignment horizontal="center" vertical="center"/>
    </xf>
    <xf numFmtId="0" fontId="29" fillId="0" borderId="23" applyAlignment="1" pivotButton="0" quotePrefix="0" xfId="42">
      <alignment horizontal="center" vertical="center" wrapText="1"/>
    </xf>
    <xf numFmtId="0" fontId="29" fillId="0" borderId="24" applyAlignment="1" pivotButton="0" quotePrefix="0" xfId="42">
      <alignment horizontal="center" vertical="center" wrapText="1"/>
    </xf>
    <xf numFmtId="0" fontId="29" fillId="0" borderId="25" applyAlignment="1" pivotButton="0" quotePrefix="0" xfId="42">
      <alignment horizontal="center" vertical="center" wrapText="1"/>
    </xf>
    <xf numFmtId="0" fontId="20" fillId="0" borderId="15" applyAlignment="1" pivotButton="0" quotePrefix="0" xfId="42">
      <alignment horizontal="center" vertical="center"/>
    </xf>
    <xf numFmtId="0" fontId="20" fillId="0" borderId="16" applyAlignment="1" pivotButton="0" quotePrefix="0" xfId="42">
      <alignment horizontal="center" vertical="center"/>
    </xf>
    <xf numFmtId="0" fontId="20" fillId="0" borderId="23" applyAlignment="1" pivotButton="0" quotePrefix="0" xfId="42">
      <alignment horizontal="center" vertical="center"/>
    </xf>
    <xf numFmtId="0" fontId="20" fillId="0" borderId="24" applyAlignment="1" pivotButton="0" quotePrefix="0" xfId="42">
      <alignment horizontal="center" vertical="center"/>
    </xf>
    <xf numFmtId="0" fontId="20" fillId="0" borderId="16" applyAlignment="1" pivotButton="0" quotePrefix="0" xfId="42">
      <alignment horizontal="left" vertical="center"/>
    </xf>
    <xf numFmtId="0" fontId="20" fillId="0" borderId="24" applyAlignment="1" pivotButton="0" quotePrefix="0" xfId="42">
      <alignment horizontal="left" vertical="center"/>
    </xf>
    <xf numFmtId="0" fontId="35" fillId="0" borderId="16" applyAlignment="1" pivotButton="0" quotePrefix="0" xfId="42">
      <alignment horizontal="center" vertical="center"/>
    </xf>
    <xf numFmtId="0" fontId="35" fillId="0" borderId="24" applyAlignment="1" pivotButton="0" quotePrefix="0" xfId="42">
      <alignment horizontal="center" vertical="center"/>
    </xf>
    <xf numFmtId="0" fontId="29" fillId="0" borderId="29" applyAlignment="1" pivotButton="0" quotePrefix="0" xfId="42">
      <alignment horizontal="center" vertical="center" wrapText="1"/>
    </xf>
    <xf numFmtId="0" fontId="29" fillId="0" borderId="30" applyAlignment="1" pivotButton="0" quotePrefix="0" xfId="42">
      <alignment horizontal="center" vertical="center" wrapText="1"/>
    </xf>
    <xf numFmtId="0" fontId="28" fillId="0" borderId="29" applyAlignment="1" pivotButton="0" quotePrefix="0" xfId="42">
      <alignment horizontal="center" vertical="center" wrapText="1"/>
    </xf>
    <xf numFmtId="0" fontId="28" fillId="0" borderId="30" applyAlignment="1" pivotButton="0" quotePrefix="0" xfId="42">
      <alignment horizontal="center" vertical="center" wrapText="1"/>
    </xf>
    <xf numFmtId="0" fontId="36" fillId="0" borderId="18" applyAlignment="1" pivotButton="0" quotePrefix="0" xfId="0">
      <alignment vertical="center" wrapText="1"/>
    </xf>
    <xf numFmtId="0" fontId="36" fillId="0" borderId="0" applyAlignment="1" pivotButton="0" quotePrefix="0" xfId="0">
      <alignment vertical="center" wrapText="1"/>
    </xf>
    <xf numFmtId="0" fontId="36" fillId="0" borderId="19" applyAlignment="1" pivotButton="0" quotePrefix="0" xfId="0">
      <alignment vertical="center" wrapText="1"/>
    </xf>
    <xf numFmtId="0" fontId="36" fillId="0" borderId="23" applyAlignment="1" pivotButton="0" quotePrefix="0" xfId="0">
      <alignment vertical="center" wrapText="1"/>
    </xf>
    <xf numFmtId="0" fontId="36" fillId="0" borderId="24" applyAlignment="1" pivotButton="0" quotePrefix="0" xfId="0">
      <alignment vertical="center" wrapText="1"/>
    </xf>
    <xf numFmtId="0" fontId="36" fillId="0" borderId="25" applyAlignment="1" pivotButton="0" quotePrefix="0" xfId="0">
      <alignment vertical="center" wrapText="1"/>
    </xf>
    <xf numFmtId="0" fontId="36" fillId="0" borderId="16" applyAlignment="1" pivotButton="0" quotePrefix="0" xfId="0">
      <alignment vertical="center" wrapText="1"/>
    </xf>
    <xf numFmtId="0" fontId="36" fillId="0" borderId="17" applyAlignment="1" pivotButton="0" quotePrefix="0" xfId="0">
      <alignment vertical="center" wrapText="1"/>
    </xf>
    <xf numFmtId="0" fontId="34" fillId="0" borderId="0" applyAlignment="1" pivotButton="0" quotePrefix="0" xfId="42">
      <alignment horizontal="center"/>
    </xf>
    <xf numFmtId="0" fontId="21" fillId="0" borderId="0" applyAlignment="1" pivotButton="0" quotePrefix="0" xfId="42">
      <alignment horizontal="center" vertical="center" wrapText="1"/>
    </xf>
    <xf numFmtId="0" fontId="21" fillId="0" borderId="24" applyAlignment="1" pivotButton="0" quotePrefix="0" xfId="42">
      <alignment horizontal="center" vertical="center" wrapText="1"/>
    </xf>
    <xf numFmtId="0" fontId="24" fillId="0" borderId="10" applyAlignment="1" pivotButton="0" quotePrefix="0" xfId="42">
      <alignment horizontal="center" vertical="center"/>
    </xf>
    <xf numFmtId="0" fontId="25" fillId="0" borderId="15" applyAlignment="1" pivotButton="0" quotePrefix="0" xfId="42">
      <alignment horizontal="center" vertical="center" shrinkToFit="1"/>
    </xf>
    <xf numFmtId="0" fontId="25" fillId="0" borderId="16" applyAlignment="1" pivotButton="0" quotePrefix="0" xfId="42">
      <alignment horizontal="center" vertical="center" shrinkToFit="1"/>
    </xf>
    <xf numFmtId="0" fontId="25" fillId="0" borderId="18" applyAlignment="1" pivotButton="0" quotePrefix="0" xfId="42">
      <alignment horizontal="center" vertical="center" shrinkToFit="1"/>
    </xf>
    <xf numFmtId="0" fontId="25" fillId="0" borderId="0" applyAlignment="1" pivotButton="0" quotePrefix="0" xfId="42">
      <alignment horizontal="center" vertical="center" shrinkToFit="1"/>
    </xf>
    <xf numFmtId="0" fontId="25" fillId="0" borderId="23" applyAlignment="1" pivotButton="0" quotePrefix="0" xfId="42">
      <alignment horizontal="center" vertical="center" shrinkToFit="1"/>
    </xf>
    <xf numFmtId="0" fontId="25" fillId="0" borderId="24" applyAlignment="1" pivotButton="0" quotePrefix="0" xfId="42">
      <alignment horizontal="center" vertical="center" shrinkToFit="1"/>
    </xf>
    <xf numFmtId="0" fontId="25" fillId="0" borderId="17" applyAlignment="1" pivotButton="0" quotePrefix="0" xfId="42">
      <alignment horizontal="center" vertical="center" shrinkToFit="1"/>
    </xf>
    <xf numFmtId="0" fontId="25" fillId="0" borderId="19" applyAlignment="1" pivotButton="0" quotePrefix="0" xfId="42">
      <alignment horizontal="center" vertical="center" shrinkToFit="1"/>
    </xf>
    <xf numFmtId="0" fontId="25" fillId="0" borderId="25" applyAlignment="1" pivotButton="0" quotePrefix="0" xfId="42">
      <alignment horizontal="center" vertical="center" shrinkToFit="1"/>
    </xf>
    <xf numFmtId="0" fontId="24" fillId="0" borderId="11" applyAlignment="1" pivotButton="0" quotePrefix="0" xfId="42">
      <alignment horizontal="center" vertical="center"/>
    </xf>
    <xf numFmtId="0" fontId="24" fillId="0" borderId="12" applyAlignment="1" pivotButton="0" quotePrefix="0" xfId="42">
      <alignment horizontal="center" vertical="center"/>
    </xf>
    <xf numFmtId="0" fontId="34" fillId="0" borderId="16" applyAlignment="1" pivotButton="0" quotePrefix="0" xfId="42">
      <alignment horizontal="center" vertical="center" shrinkToFit="1"/>
    </xf>
    <xf numFmtId="0" fontId="34" fillId="0" borderId="0" applyAlignment="1" pivotButton="0" quotePrefix="0" xfId="42">
      <alignment horizontal="center" vertical="center" shrinkToFit="1"/>
    </xf>
    <xf numFmtId="0" fontId="34" fillId="0" borderId="24" applyAlignment="1" pivotButton="0" quotePrefix="0" xfId="42">
      <alignment horizontal="center" vertical="center" shrinkToFit="1"/>
    </xf>
    <xf numFmtId="0" fontId="26" fillId="0" borderId="18" applyAlignment="1" pivotButton="0" quotePrefix="0" xfId="42">
      <alignment horizontal="center" vertical="center" wrapText="1"/>
    </xf>
    <xf numFmtId="0" fontId="26" fillId="0" borderId="0" applyAlignment="1" pivotButton="0" quotePrefix="0" xfId="42">
      <alignment horizontal="center" vertical="center" wrapText="1"/>
    </xf>
    <xf numFmtId="0" fontId="27" fillId="0" borderId="18" applyAlignment="1" pivotButton="0" quotePrefix="0" xfId="42">
      <alignment horizontal="center" vertical="center" wrapText="1"/>
    </xf>
    <xf numFmtId="0" fontId="27" fillId="0" borderId="0" applyAlignment="1" pivotButton="0" quotePrefix="0" xfId="42">
      <alignment horizontal="center" vertical="center" wrapText="1"/>
    </xf>
    <xf numFmtId="0" fontId="20" fillId="0" borderId="0" applyAlignment="1" pivotButton="0" quotePrefix="0" xfId="42">
      <alignment horizontal="center" vertical="center"/>
    </xf>
    <xf numFmtId="0" fontId="34" fillId="0" borderId="0" applyAlignment="1" pivotButton="0" quotePrefix="0" xfId="42">
      <alignment horizontal="center" vertical="center"/>
    </xf>
    <xf numFmtId="0" fontId="34" fillId="0" borderId="19" applyAlignment="1" pivotButton="0" quotePrefix="0" xfId="42">
      <alignment horizontal="center" vertical="center"/>
    </xf>
    <xf numFmtId="0" fontId="34" fillId="0" borderId="24" applyAlignment="1" pivotButton="0" quotePrefix="0" xfId="42">
      <alignment horizontal="center" vertical="center"/>
    </xf>
    <xf numFmtId="0" fontId="34" fillId="0" borderId="25" applyAlignment="1" pivotButton="0" quotePrefix="0" xfId="42">
      <alignment horizontal="center" vertical="center"/>
    </xf>
    <xf numFmtId="0" fontId="25" fillId="0" borderId="16" applyAlignment="1" pivotButton="0" quotePrefix="0" xfId="42">
      <alignment horizontal="center" vertical="center" wrapText="1"/>
    </xf>
    <xf numFmtId="0" fontId="25" fillId="0" borderId="17" applyAlignment="1" pivotButton="0" quotePrefix="0" xfId="42">
      <alignment horizontal="center" vertical="center" wrapText="1"/>
    </xf>
    <xf numFmtId="0" fontId="25" fillId="0" borderId="0" applyAlignment="1" pivotButton="0" quotePrefix="0" xfId="42">
      <alignment horizontal="center" vertical="center" wrapText="1"/>
    </xf>
    <xf numFmtId="0" fontId="25" fillId="0" borderId="19" applyAlignment="1" pivotButton="0" quotePrefix="0" xfId="42">
      <alignment horizontal="center" vertical="center" wrapText="1"/>
    </xf>
    <xf numFmtId="0" fontId="20" fillId="0" borderId="25" applyAlignment="1" pivotButton="0" quotePrefix="0" xfId="42">
      <alignment horizontal="center" vertical="center"/>
    </xf>
    <xf numFmtId="0" fontId="34" fillId="0" borderId="18" applyAlignment="1" pivotButton="0" quotePrefix="0" xfId="42">
      <alignment horizontal="center" vertical="center"/>
    </xf>
    <xf numFmtId="0" fontId="34" fillId="0" borderId="23" applyAlignment="1" pivotButton="0" quotePrefix="0" xfId="42">
      <alignment horizontal="center" vertical="center"/>
    </xf>
    <xf numFmtId="3" fontId="36" fillId="0" borderId="0" applyAlignment="1" pivotButton="0" quotePrefix="0" xfId="0">
      <alignment horizontal="center" vertical="center"/>
    </xf>
    <xf numFmtId="0" fontId="36" fillId="0" borderId="0" applyAlignment="1" pivotButton="0" quotePrefix="0" xfId="0">
      <alignment horizontal="center" vertical="center"/>
    </xf>
    <xf numFmtId="0" fontId="28" fillId="0" borderId="31" applyAlignment="1" pivotButton="0" quotePrefix="0" xfId="42">
      <alignment horizontal="left" vertical="center"/>
    </xf>
    <xf numFmtId="0" fontId="28" fillId="0" borderId="32" applyAlignment="1" pivotButton="0" quotePrefix="0" xfId="42">
      <alignment horizontal="left" vertical="center"/>
    </xf>
    <xf numFmtId="3" fontId="37" fillId="0" borderId="31" applyAlignment="1" pivotButton="0" quotePrefix="0" xfId="42">
      <alignment horizontal="center" vertical="center"/>
    </xf>
    <xf numFmtId="0" fontId="37" fillId="0" borderId="31" applyAlignment="1" pivotButton="0" quotePrefix="0" xfId="42">
      <alignment horizontal="center" vertical="center"/>
    </xf>
    <xf numFmtId="0" fontId="28" fillId="0" borderId="31" applyAlignment="1" pivotButton="0" quotePrefix="0" xfId="42">
      <alignment horizontal="center" vertical="center"/>
    </xf>
    <xf numFmtId="3" fontId="33" fillId="0" borderId="0" applyAlignment="1" pivotButton="0" quotePrefix="0" xfId="0">
      <alignment horizontal="center" vertical="center" shrinkToFit="1"/>
    </xf>
    <xf numFmtId="3" fontId="34" fillId="0" borderId="0" applyAlignment="1" pivotButton="0" quotePrefix="0" xfId="0">
      <alignment horizontal="center" vertical="center" shrinkToFit="1"/>
    </xf>
    <xf numFmtId="3" fontId="34" fillId="0" borderId="24" applyAlignment="1" pivotButton="0" quotePrefix="0" xfId="0">
      <alignment horizontal="center" vertical="center" shrinkToFit="1"/>
    </xf>
    <xf numFmtId="0" fontId="28" fillId="0" borderId="0" applyAlignment="1" pivotButton="0" quotePrefix="0" xfId="42">
      <alignment horizontal="left" vertical="center" wrapText="1"/>
    </xf>
    <xf numFmtId="0" fontId="29" fillId="0" borderId="15" applyAlignment="1" pivotButton="0" quotePrefix="0" xfId="0">
      <alignment horizontal="center" vertical="center" wrapText="1"/>
    </xf>
    <xf numFmtId="0" fontId="29" fillId="0" borderId="16" applyAlignment="1" pivotButton="0" quotePrefix="0" xfId="0">
      <alignment horizontal="center" vertical="center" wrapText="1"/>
    </xf>
    <xf numFmtId="0" fontId="29" fillId="0" borderId="17" applyAlignment="1" pivotButton="0" quotePrefix="0" xfId="0">
      <alignment horizontal="center" vertical="center" wrapText="1"/>
    </xf>
    <xf numFmtId="0" fontId="29" fillId="0" borderId="18" applyAlignment="1" pivotButton="0" quotePrefix="0" xfId="0">
      <alignment horizontal="center" vertical="center" wrapText="1"/>
    </xf>
    <xf numFmtId="0" fontId="29" fillId="0" borderId="0" applyAlignment="1" pivotButton="0" quotePrefix="0" xfId="0">
      <alignment horizontal="center" vertical="center" wrapText="1"/>
    </xf>
    <xf numFmtId="0" fontId="29" fillId="0" borderId="19" applyAlignment="1" pivotButton="0" quotePrefix="0" xfId="0">
      <alignment horizontal="center" vertical="center" wrapText="1"/>
    </xf>
    <xf numFmtId="0" fontId="29" fillId="0" borderId="23" applyAlignment="1" pivotButton="0" quotePrefix="0" xfId="0">
      <alignment horizontal="center" vertical="center" wrapText="1"/>
    </xf>
    <xf numFmtId="0" fontId="29" fillId="0" borderId="24" applyAlignment="1" pivotButton="0" quotePrefix="0" xfId="0">
      <alignment horizontal="center" vertical="center" wrapText="1"/>
    </xf>
    <xf numFmtId="0" fontId="29" fillId="0" borderId="25" applyAlignment="1" pivotButton="0" quotePrefix="0" xfId="0">
      <alignment horizontal="center" vertical="center" wrapText="1"/>
    </xf>
    <xf numFmtId="0" fontId="29" fillId="0" borderId="0" applyAlignment="1" pivotButton="0" quotePrefix="0" xfId="42">
      <alignment vertical="center" wrapText="1"/>
    </xf>
    <xf numFmtId="0" fontId="29" fillId="0" borderId="0" applyAlignment="1" pivotButton="0" quotePrefix="0" xfId="0">
      <alignment vertical="center" wrapText="1"/>
    </xf>
    <xf numFmtId="0" fontId="29" fillId="0" borderId="0" applyAlignment="1" pivotButton="0" quotePrefix="0" xfId="0">
      <alignment horizontal="left" vertical="center" wrapText="1"/>
    </xf>
    <xf numFmtId="0" fontId="24" fillId="0" borderId="0" applyAlignment="1" pivotButton="0" quotePrefix="0" xfId="0">
      <alignment horizontal="left" vertical="center" wrapText="1"/>
    </xf>
    <xf numFmtId="0" fontId="29" fillId="0" borderId="0" applyAlignment="1" pivotButton="0" quotePrefix="0" xfId="42">
      <alignment horizontal="center" vertical="center" wrapText="1"/>
    </xf>
    <xf numFmtId="0" fontId="29" fillId="0" borderId="0" applyAlignment="1" pivotButton="0" quotePrefix="0" xfId="42">
      <alignment horizontal="left" vertical="center" wrapText="1"/>
    </xf>
    <xf numFmtId="0" fontId="0" fillId="0" borderId="0" pivotButton="0" quotePrefix="0" xfId="0"/>
    <xf numFmtId="0" fontId="40" fillId="0" borderId="0" applyAlignment="1" pivotButton="0" quotePrefix="0" xfId="0">
      <alignment wrapText="1"/>
    </xf>
    <xf numFmtId="0" fontId="41" fillId="0" borderId="0" applyAlignment="1" pivotButton="0" quotePrefix="0" xfId="0">
      <alignment wrapText="1"/>
    </xf>
    <xf numFmtId="0" fontId="46" fillId="0" borderId="0" applyAlignment="1" pivotButton="0" quotePrefix="0" xfId="0">
      <alignment wrapText="1"/>
    </xf>
    <xf numFmtId="0" fontId="44" fillId="0" borderId="0" applyAlignment="1" pivotButton="0" quotePrefix="0" xfId="0">
      <alignment wrapText="1"/>
    </xf>
    <xf numFmtId="0" fontId="40" fillId="0" borderId="0" pivotButton="0" quotePrefix="0" xfId="0"/>
    <xf numFmtId="0" fontId="46" fillId="0" borderId="0" applyAlignment="1" pivotButton="0" quotePrefix="0" xfId="0">
      <alignment vertical="center" wrapText="1"/>
    </xf>
    <xf numFmtId="0" fontId="41" fillId="0" borderId="0" applyAlignment="1" pivotButton="0" quotePrefix="0" xfId="0">
      <alignment vertical="top" wrapText="1"/>
    </xf>
    <xf numFmtId="0" fontId="42" fillId="33" borderId="0" pivotButton="0" quotePrefix="0" xfId="0"/>
    <xf numFmtId="0" fontId="43" fillId="33" borderId="0" pivotButton="0" quotePrefix="0" xfId="0"/>
    <xf numFmtId="0" fontId="41" fillId="0" borderId="0" applyAlignment="1" pivotButton="0" quotePrefix="0" xfId="0">
      <alignment vertical="center" wrapText="1"/>
    </xf>
    <xf numFmtId="1" fontId="44" fillId="35" borderId="35" applyAlignment="1" applyProtection="1" pivotButton="0" quotePrefix="0" xfId="0">
      <alignment horizontal="left" vertical="center"/>
      <protection locked="0" hidden="0"/>
    </xf>
    <xf numFmtId="0" fontId="0" fillId="35" borderId="35" applyProtection="1" pivotButton="0" quotePrefix="0" xfId="0">
      <protection locked="0" hidden="0"/>
    </xf>
    <xf numFmtId="0" fontId="45" fillId="0" borderId="0" applyAlignment="1" pivotButton="0" quotePrefix="0" xfId="0">
      <alignment vertical="center" wrapText="1"/>
    </xf>
    <xf numFmtId="0" fontId="41" fillId="0" borderId="0" applyAlignment="1" pivotButton="0" quotePrefix="0" xfId="0">
      <alignment horizontal="center" vertical="center"/>
    </xf>
    <xf numFmtId="0" fontId="44" fillId="35" borderId="35" applyAlignment="1" applyProtection="1" pivotButton="0" quotePrefix="0" xfId="0">
      <alignment horizontal="center" vertical="center"/>
      <protection locked="0" hidden="0"/>
    </xf>
    <xf numFmtId="49" fontId="44" fillId="35" borderId="35" applyAlignment="1" applyProtection="1" pivotButton="0" quotePrefix="0" xfId="0">
      <alignment horizontal="left" vertical="center"/>
      <protection locked="0" hidden="0"/>
    </xf>
    <xf numFmtId="0" fontId="44" fillId="35" borderId="35" applyAlignment="1" applyProtection="1" pivotButton="0" quotePrefix="0" xfId="0">
      <alignment horizontal="left" vertical="center"/>
      <protection locked="0" hidden="0"/>
    </xf>
    <xf numFmtId="0" fontId="0" fillId="34" borderId="0" applyAlignment="1" pivotButton="0" quotePrefix="0" xfId="0">
      <alignment horizontal="center"/>
    </xf>
    <xf numFmtId="3" fontId="44" fillId="34" borderId="0" applyAlignment="1" pivotButton="0" quotePrefix="0" xfId="0">
      <alignment horizontal="right" vertical="center"/>
    </xf>
    <xf numFmtId="0" fontId="44" fillId="34" borderId="0" applyAlignment="1" pivotButton="0" quotePrefix="0" xfId="0">
      <alignment horizontal="left" vertical="center"/>
    </xf>
    <xf numFmtId="0" fontId="44" fillId="34" borderId="0" applyAlignment="1" pivotButton="0" quotePrefix="0" xfId="0">
      <alignment horizontal="center" vertical="center"/>
    </xf>
    <xf numFmtId="165" fontId="44" fillId="34" borderId="0" applyAlignment="1" pivotButton="0" quotePrefix="0" xfId="0">
      <alignment horizontal="right" vertical="center"/>
    </xf>
    <xf numFmtId="3" fontId="44" fillId="35" borderId="35" applyAlignment="1" applyProtection="1" pivotButton="0" quotePrefix="0" xfId="0">
      <alignment horizontal="left" vertical="center"/>
      <protection locked="0" hidden="0"/>
    </xf>
    <xf numFmtId="0" fontId="44" fillId="34" borderId="0" applyAlignment="1" pivotButton="0" quotePrefix="0" xfId="0">
      <alignment horizontal="right"/>
    </xf>
    <xf numFmtId="165" fontId="44" fillId="34" borderId="0" applyAlignment="1" pivotButton="0" quotePrefix="0" xfId="0">
      <alignment horizontal="right"/>
    </xf>
    <xf numFmtId="0" fontId="47" fillId="0" borderId="0" pivotButton="0" quotePrefix="0" xfId="0"/>
    <xf numFmtId="0" fontId="48" fillId="0" borderId="0" applyAlignment="1" pivotButton="0" quotePrefix="0" xfId="0">
      <alignment vertical="top" wrapText="1"/>
    </xf>
    <xf numFmtId="0" fontId="49" fillId="36" borderId="36" applyAlignment="1" pivotButton="0" quotePrefix="0" xfId="0">
      <alignment horizontal="center" vertical="center"/>
    </xf>
    <xf numFmtId="0" fontId="50" fillId="0" borderId="36" applyAlignment="1" pivotButton="0" quotePrefix="0" xfId="0">
      <alignment horizontal="left" vertical="center"/>
    </xf>
    <xf numFmtId="0" fontId="0" fillId="0" borderId="36" pivotButton="0" quotePrefix="0" xfId="0"/>
    <xf numFmtId="0" fontId="51" fillId="0" borderId="0" applyAlignment="1" pivotButton="0" quotePrefix="0" xfId="0">
      <alignment horizontal="center" vertical="center"/>
    </xf>
    <xf numFmtId="0" fontId="52" fillId="36" borderId="36" applyAlignment="1" pivotButton="0" quotePrefix="0" xfId="0">
      <alignment horizontal="center" vertical="center" wrapText="1"/>
    </xf>
    <xf numFmtId="0" fontId="52" fillId="36" borderId="36" applyAlignment="1" pivotButton="0" quotePrefix="0" xfId="0">
      <alignment horizontal="left" vertical="top"/>
    </xf>
    <xf numFmtId="166" fontId="53" fillId="0" borderId="36" applyAlignment="1" pivotButton="0" quotePrefix="0" xfId="0">
      <alignment horizontal="right" vertical="bottom"/>
    </xf>
    <xf numFmtId="166" fontId="53" fillId="35" borderId="36" applyAlignment="1" pivotButton="0" quotePrefix="0" xfId="0">
      <alignment horizontal="right" vertical="bottom"/>
    </xf>
    <xf numFmtId="0" fontId="49" fillId="36" borderId="36" applyAlignment="1" pivotButton="0" quotePrefix="0" xfId="0">
      <alignment horizontal="center" vertical="center" wrapText="1"/>
    </xf>
    <xf numFmtId="0" fontId="52" fillId="35" borderId="36" applyAlignment="1" pivotButton="0" quotePrefix="0" xfId="0">
      <alignment horizontal="left" vertical="top"/>
    </xf>
    <xf numFmtId="0" fontId="52" fillId="0" borderId="0" applyAlignment="1" pivotButton="0" quotePrefix="0" xfId="0">
      <alignment horizontal="center" vertical="center"/>
    </xf>
    <xf numFmtId="0" fontId="54" fillId="0" borderId="0" applyAlignment="1" pivotButton="0" quotePrefix="0" xfId="0">
      <alignment horizontal="left" vertical="center"/>
    </xf>
    <xf numFmtId="0" fontId="49" fillId="35" borderId="36" applyAlignment="1" pivotButton="0" quotePrefix="0" xfId="0">
      <alignment horizontal="center" vertical="center"/>
    </xf>
    <xf numFmtId="0" fontId="43" fillId="33" borderId="36" applyAlignment="1" pivotButton="0" quotePrefix="0" xfId="0">
      <alignment horizontal="left" vertical="center"/>
    </xf>
    <xf numFmtId="0" fontId="49" fillId="36" borderId="36" applyAlignment="1" pivotButton="0" quotePrefix="0" xfId="0">
      <alignment horizontal="left" vertical="center"/>
    </xf>
    <xf numFmtId="0" fontId="50" fillId="35" borderId="36" applyAlignment="1" pivotButton="0" quotePrefix="0" xfId="0">
      <alignment horizontal="left" vertical="center"/>
    </xf>
    <xf numFmtId="0" fontId="49" fillId="0" borderId="36" applyAlignment="1" pivotButton="0" quotePrefix="0" xfId="0">
      <alignment horizontal="center" vertical="center"/>
    </xf>
    <xf numFmtId="0" fontId="53" fillId="35" borderId="36" applyAlignment="1" pivotButton="0" quotePrefix="0" xfId="0">
      <alignment horizontal="center" vertical="center"/>
    </xf>
    <xf numFmtId="0" fontId="49" fillId="0" borderId="0" applyAlignment="1" pivotButton="0" quotePrefix="0" xfId="0">
      <alignment horizontal="left" vertical="center"/>
    </xf>
    <xf numFmtId="3" fontId="53" fillId="35" borderId="36" applyAlignment="1" pivotButton="0" quotePrefix="0" xfId="0">
      <alignment horizontal="right" vertical="center"/>
    </xf>
    <xf numFmtId="167" fontId="53" fillId="0" borderId="36" applyAlignment="1" pivotButton="0" quotePrefix="0" xfId="0">
      <alignment horizontal="center" vertical="center"/>
    </xf>
    <xf numFmtId="168" fontId="53" fillId="0" borderId="36" applyAlignment="1" pivotButton="0" quotePrefix="0" xfId="0">
      <alignment horizontal="center" vertical="center"/>
    </xf>
    <xf numFmtId="3" fontId="53" fillId="0" borderId="36" applyAlignment="1" pivotButton="0" quotePrefix="0" xfId="0">
      <alignment horizontal="right" vertical="center"/>
    </xf>
    <xf numFmtId="0" fontId="55" fillId="0" borderId="0" applyAlignment="1" pivotButton="0" quotePrefix="0" xfId="0">
      <alignment horizontal="left" vertical="center"/>
    </xf>
    <xf numFmtId="0" fontId="56" fillId="0" borderId="36" applyAlignment="1" pivotButton="0" quotePrefix="0" xfId="0">
      <alignment horizontal="left" vertical="center"/>
    </xf>
    <xf numFmtId="166" fontId="53" fillId="0" borderId="36" applyAlignment="1" pivotButton="0" quotePrefix="0" xfId="0">
      <alignment horizontal="right" vertical="center"/>
    </xf>
    <xf numFmtId="166" fontId="57" fillId="0" borderId="36" applyAlignment="1" pivotButton="0" quotePrefix="0" xfId="0">
      <alignment horizontal="right" vertical="center"/>
    </xf>
    <xf numFmtId="0" fontId="57" fillId="37" borderId="36" applyAlignment="1" pivotButton="0" quotePrefix="0" xfId="0">
      <alignment horizontal="left" vertical="center"/>
    </xf>
    <xf numFmtId="3" fontId="58" fillId="37" borderId="36" applyAlignment="1" pivotButton="0" quotePrefix="0" xfId="0">
      <alignment horizontal="right" vertical="center"/>
    </xf>
    <xf numFmtId="0" fontId="59" fillId="0" borderId="0" applyAlignment="1" pivotButton="0" quotePrefix="0" xfId="0">
      <alignment horizontal="left" vertical="top" wrapText="1"/>
    </xf>
    <xf numFmtId="0" fontId="0" fillId="0" borderId="10" pivotButton="0" quotePrefix="0" xfId="0"/>
    <xf numFmtId="0" fontId="25" fillId="0" borderId="33" applyAlignment="1" pivotButton="0" quotePrefix="0" xfId="42">
      <alignment horizontal="center" vertical="center" shrinkToFit="1"/>
    </xf>
    <xf numFmtId="0" fontId="0" fillId="0" borderId="16" pivotButton="0" quotePrefix="0" xfId="0"/>
    <xf numFmtId="0" fontId="34" fillId="0" borderId="31" applyAlignment="1" pivotButton="0" quotePrefix="0" xfId="42">
      <alignment horizontal="center" vertical="center" shrinkToFit="1"/>
    </xf>
    <xf numFmtId="0" fontId="25" fillId="0" borderId="31" applyAlignment="1" pivotButton="0" quotePrefix="0" xfId="42">
      <alignment horizontal="center" vertical="center" shrinkToFit="1"/>
    </xf>
    <xf numFmtId="0" fontId="25" fillId="0" borderId="32" applyAlignment="1" pivotButton="0" quotePrefix="0" xfId="42">
      <alignment horizontal="center" vertical="center" shrinkToFit="1"/>
    </xf>
    <xf numFmtId="0" fontId="0" fillId="0" borderId="17" pivotButton="0" quotePrefix="0" xfId="0"/>
    <xf numFmtId="0" fontId="0" fillId="0" borderId="11" pivotButton="0" quotePrefix="0" xfId="0"/>
    <xf numFmtId="0" fontId="0" fillId="0" borderId="12" pivotButton="0" quotePrefix="0" xfId="0"/>
    <xf numFmtId="0" fontId="0" fillId="0" borderId="18" pivotButton="0" quotePrefix="0" xfId="0"/>
    <xf numFmtId="0" fontId="0" fillId="0" borderId="19" pivotButton="0" quotePrefix="0" xfId="0"/>
    <xf numFmtId="0" fontId="0" fillId="0" borderId="24" pivotButton="0" quotePrefix="0" xfId="0"/>
    <xf numFmtId="0" fontId="0" fillId="0" borderId="23" pivotButton="0" quotePrefix="0" xfId="0"/>
    <xf numFmtId="0" fontId="0" fillId="0" borderId="25" pivotButton="0" quotePrefix="0" xfId="0"/>
    <xf numFmtId="0" fontId="34" fillId="0" borderId="23" applyAlignment="1" pivotButton="0" quotePrefix="0" xfId="42">
      <alignment horizontal="center" vertical="center" shrinkToFit="1"/>
    </xf>
    <xf numFmtId="0" fontId="34" fillId="0" borderId="25" applyAlignment="1" pivotButton="0" quotePrefix="0" xfId="42">
      <alignment horizontal="center" vertical="center" shrinkToFit="1"/>
    </xf>
    <xf numFmtId="0" fontId="20" fillId="0" borderId="0" applyAlignment="1" pivotButton="0" quotePrefix="0" xfId="42">
      <alignment horizontal="center" vertical="center" shrinkToFit="1"/>
    </xf>
    <xf numFmtId="0" fontId="20" fillId="0" borderId="33" applyAlignment="1" pivotButton="0" quotePrefix="0" xfId="42">
      <alignment horizontal="center" vertical="center" shrinkToFit="1"/>
    </xf>
    <xf numFmtId="0" fontId="35" fillId="0" borderId="31" applyAlignment="1" pivotButton="0" quotePrefix="0" xfId="42">
      <alignment horizontal="center" vertical="center" shrinkToFit="1"/>
    </xf>
    <xf numFmtId="0" fontId="20" fillId="0" borderId="31" applyAlignment="1" pivotButton="0" quotePrefix="0" xfId="42">
      <alignment horizontal="left" vertical="center"/>
    </xf>
    <xf numFmtId="0" fontId="28" fillId="0" borderId="34" applyAlignment="1" pivotButton="0" quotePrefix="0" xfId="42">
      <alignment horizontal="center" vertical="center"/>
    </xf>
    <xf numFmtId="0" fontId="20" fillId="0" borderId="29" applyAlignment="1" pivotButton="0" quotePrefix="0" xfId="42">
      <alignment horizontal="center" vertical="center"/>
    </xf>
    <xf numFmtId="0" fontId="36" fillId="0" borderId="29" applyAlignment="1" pivotButton="0" quotePrefix="0" xfId="0">
      <alignment vertical="center" wrapText="1" shrinkToFit="1"/>
    </xf>
    <xf numFmtId="0" fontId="36" fillId="0" borderId="32" applyAlignment="1" pivotButton="0" quotePrefix="0" xfId="0">
      <alignment vertical="center" wrapText="1" shrinkToFit="1"/>
    </xf>
    <xf numFmtId="0" fontId="0" fillId="0" borderId="31" pivotButton="0" quotePrefix="0" xfId="0"/>
    <xf numFmtId="0" fontId="0" fillId="0" borderId="32" pivotButton="0" quotePrefix="0" xfId="0"/>
    <xf numFmtId="0" fontId="35" fillId="0" borderId="31" applyAlignment="1" pivotButton="0" quotePrefix="0" xfId="0">
      <alignment horizontal="center" vertical="center" wrapText="1" shrinkToFit="1"/>
    </xf>
    <xf numFmtId="0" fontId="36" fillId="0" borderId="30" applyAlignment="1" pivotButton="0" quotePrefix="0" xfId="42">
      <alignment horizontal="center" vertical="center" shrinkToFit="1"/>
    </xf>
    <xf numFmtId="0" fontId="29" fillId="0" borderId="34" applyAlignment="1" pivotButton="0" quotePrefix="0" xfId="42">
      <alignment horizontal="center" vertical="center" wrapText="1"/>
    </xf>
    <xf numFmtId="0" fontId="20" fillId="0" borderId="34" applyAlignment="1" pivotButton="0" quotePrefix="0" xfId="42">
      <alignment horizontal="left" vertical="center" wrapText="1"/>
    </xf>
    <xf numFmtId="3" fontId="37" fillId="0" borderId="31" applyAlignment="1" pivotButton="0" quotePrefix="0" xfId="42">
      <alignment horizontal="center" vertical="center" shrinkToFit="1"/>
    </xf>
    <xf numFmtId="0" fontId="29" fillId="0" borderId="30" applyAlignment="1" pivotButton="0" quotePrefix="0" xfId="0">
      <alignment horizontal="center" vertical="center" wrapText="1"/>
    </xf>
    <xf numFmtId="0" fontId="20" fillId="0" borderId="19" applyAlignment="1" pivotButton="0" quotePrefix="0" xfId="0">
      <alignment horizontal="left" vertical="center" shrinkToFit="1"/>
    </xf>
    <xf numFmtId="3" fontId="36" fillId="0" borderId="0" applyAlignment="1" pivotButton="0" quotePrefix="0" xfId="0">
      <alignment horizontal="center" vertical="center" shrinkToFit="1"/>
    </xf>
    <xf numFmtId="164" fontId="24" fillId="0" borderId="29" applyAlignment="1" pivotButton="0" quotePrefix="0" xfId="0">
      <alignment horizontal="left" vertical="center" shrinkToFit="1"/>
    </xf>
    <xf numFmtId="0" fontId="33" fillId="0" borderId="0" applyAlignment="1" pivotButton="0" quotePrefix="0" xfId="0">
      <alignment horizontal="center" vertical="center" shrinkToFit="1"/>
    </xf>
    <xf numFmtId="0" fontId="26" fillId="0" borderId="30" applyAlignment="1" pivotButton="0" quotePrefix="0" xfId="0">
      <alignment horizontal="center" vertical="center" wrapText="1"/>
    </xf>
    <xf numFmtId="0" fontId="26" fillId="0" borderId="0" applyAlignment="1" pivotButton="0" quotePrefix="0" xfId="42">
      <alignment horizontal="center" vertical="center" shrinkToFit="1"/>
    </xf>
    <xf numFmtId="0" fontId="26" fillId="0" borderId="15" applyAlignment="1" pivotButton="0" quotePrefix="0" xfId="42">
      <alignment horizontal="center" vertical="center" shrinkToFit="1"/>
    </xf>
    <xf numFmtId="0" fontId="26" fillId="0" borderId="18" applyAlignment="1" pivotButton="0" quotePrefix="0" xfId="42">
      <alignment horizontal="center" vertical="center" shrinkToFit="1"/>
    </xf>
    <xf numFmtId="0" fontId="26" fillId="0" borderId="23" applyAlignment="1" pivotButton="0" quotePrefix="0" xfId="42">
      <alignment horizontal="center" vertical="center" shrinkToFit="1"/>
    </xf>
    <xf numFmtId="0" fontId="60" fillId="0" borderId="0" applyAlignment="1" pivotButton="0" quotePrefix="0" xfId="0">
      <alignment horizontal="center"/>
    </xf>
    <xf numFmtId="0" fontId="61" fillId="33" borderId="0" pivotButton="0" quotePrefix="0" xfId="0"/>
    <xf numFmtId="169" fontId="0" fillId="0" borderId="0" pivotButton="0" quotePrefix="0" xfId="0"/>
    <xf numFmtId="0" fontId="62" fillId="0" borderId="0" pivotButton="0" quotePrefix="0" xfId="0"/>
    <xf numFmtId="0" fontId="0" fillId="0" borderId="39" applyProtection="1" pivotButton="0" quotePrefix="0" xfId="0">
      <protection locked="0" hidden="0"/>
    </xf>
    <xf numFmtId="0" fontId="0" fillId="0" borderId="40" applyProtection="1" pivotButton="0" quotePrefix="0" xfId="0">
      <protection locked="0" hidden="0"/>
    </xf>
    <xf numFmtId="0" fontId="0" fillId="0" borderId="44" pivotButton="0" quotePrefix="0" xfId="0"/>
    <xf numFmtId="0" fontId="0" fillId="0" borderId="43" pivotButton="0" quotePrefix="0" xfId="0"/>
    <xf numFmtId="0" fontId="0" fillId="0" borderId="47" pivotButton="0" quotePrefix="0" xfId="0"/>
    <xf numFmtId="0" fontId="0" fillId="0" borderId="46" pivotButton="0" quotePrefix="0" xfId="0"/>
  </cellXfs>
  <cellStyles count="43">
    <cellStyle name="標準" xfId="0" builtinId="0"/>
    <cellStyle name="タイトル" xfId="1" builtinId="15"/>
    <cellStyle name="見出し 1" xfId="2" builtinId="16"/>
    <cellStyle name="見出し 2" xfId="3" builtinId="17"/>
    <cellStyle name="見出し 3" xfId="4" builtinId="18"/>
    <cellStyle name="見出し 4" xfId="5" builtinId="19"/>
    <cellStyle name="良い" xfId="6" builtinId="26"/>
    <cellStyle name="悪い" xfId="7" builtinId="27"/>
    <cellStyle name="どちらでもない" xfId="8" builtinId="28"/>
    <cellStyle name="入力" xfId="9" builtinId="20"/>
    <cellStyle name="出力" xfId="10" builtinId="21"/>
    <cellStyle name="計算" xfId="11" builtinId="22"/>
    <cellStyle name="リンク セル" xfId="12" builtinId="24"/>
    <cellStyle name="チェック セル" xfId="13" builtinId="23"/>
    <cellStyle name="警告文" xfId="14" builtinId="11"/>
    <cellStyle name="メモ" xfId="15" builtinId="10"/>
    <cellStyle name="説明文" xfId="16" builtinId="53"/>
    <cellStyle name="集計" xfId="17" builtinId="25"/>
    <cellStyle name="アクセント 1" xfId="18" builtinId="29"/>
    <cellStyle name="20% - アクセント 1" xfId="19" builtinId="30"/>
    <cellStyle name="40% - アクセント 1" xfId="20" builtinId="31"/>
    <cellStyle name="60% - アクセント 1" xfId="21" builtinId="32"/>
    <cellStyle name="アクセント 2" xfId="22" builtinId="33"/>
    <cellStyle name="20% - アクセント 2" xfId="23" builtinId="34"/>
    <cellStyle name="40% - アクセント 2" xfId="24" builtinId="35"/>
    <cellStyle name="60% - アクセント 2" xfId="25" builtinId="36"/>
    <cellStyle name="アクセント 3" xfId="26" builtinId="37"/>
    <cellStyle name="20% - アクセント 3" xfId="27" builtinId="38"/>
    <cellStyle name="40% - アクセント 3" xfId="28" builtinId="39"/>
    <cellStyle name="60% - アクセント 3" xfId="29" builtinId="40"/>
    <cellStyle name="アクセント 4" xfId="30" builtinId="41"/>
    <cellStyle name="20% - アクセント 4" xfId="31" builtinId="42"/>
    <cellStyle name="40% - アクセント 4" xfId="32" builtinId="43"/>
    <cellStyle name="60% - アクセント 4" xfId="33" builtinId="44"/>
    <cellStyle name="アクセント 5" xfId="34" builtinId="45"/>
    <cellStyle name="20% - アクセント 5" xfId="35" builtinId="46"/>
    <cellStyle name="40% - アクセント 5" xfId="36" builtinId="47"/>
    <cellStyle name="60% - アクセント 5" xfId="37" builtinId="48"/>
    <cellStyle name="アクセント 6" xfId="38" builtinId="49"/>
    <cellStyle name="20% - アクセント 6" xfId="39" builtinId="50"/>
    <cellStyle name="40% - アクセント 6" xfId="40" builtinId="51"/>
    <cellStyle name="60% - アクセント 6" xfId="41" builtinId="52"/>
    <cellStyle name="標準 2" xfId="42"/>
  </cellStyles>
  <dxfs count="8">
    <dxf>
      <fill>
        <patternFill patternType="solid">
          <fgColor rgb="00FFC7CE"/>
          <bgColor rgb="00FFC7CE"/>
        </patternFill>
      </fill>
    </dxf>
    <dxf>
      <font>
        <b val="1"/>
        <color rgb="00C00000"/>
      </font>
    </dxf>
    <dxf>
      <font>
        <b val="1"/>
        <color rgb="00B45F06"/>
      </font>
    </dxf>
    <dxf>
      <font>
        <color rgb="002E7D32"/>
      </font>
    </dxf>
    <dxf>
      <font>
        <color rgb="00A6A6A6"/>
      </font>
      <fill>
        <patternFill patternType="solid">
          <fgColor rgb="00D9D9D9"/>
          <bgColor rgb="00D9D9D9"/>
        </patternFill>
      </fill>
    </dxf>
    <dxf>
      <font>
        <b val="1"/>
        <color rgb="009C0006"/>
      </font>
      <fill>
        <patternFill patternType="solid">
          <fgColor rgb="00FFC7CE"/>
          <bgColor rgb="00FFC7CE"/>
        </patternFill>
      </fill>
    </dxf>
    <dxf>
      <font>
        <b val="1"/>
        <color rgb="007F6000"/>
      </font>
      <fill>
        <patternFill patternType="solid">
          <fgColor rgb="00FFEB9C"/>
          <bgColor rgb="00FFEB9C"/>
        </patternFill>
      </fill>
    </dxf>
    <dxf>
      <font>
        <b val="1"/>
        <color rgb="00006100"/>
      </font>
      <fill>
        <patternFill patternType="solid">
          <fgColor rgb="00C6EFCE"/>
          <bgColor rgb="00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Id="rIdVba1" Type="http://schemas.microsoft.com/office/2006/relationships/vbaProject" Target="vbaProject.bin"/></Relationships>
</file>

<file path=xl/drawings/drawingBtn_sheet2.xml><?xml version="1.0" encoding="utf-8"?>
<xdr:wsDr xmlns:xdr="http://schemas.openxmlformats.org/drawingml/2006/spreadsheetDrawing" xmlns:a="http://schemas.openxmlformats.org/drawingml/2006/main">
  <xdr:twoCellAnchor editAs="absolute">
    <xdr:from>
      <xdr:col>10</xdr:col>
      <xdr:colOff>60000</xdr:colOff>
      <xdr:row>0</xdr:row>
      <xdr:rowOff>40000</xdr:rowOff>
    </xdr:from>
    <xdr:to>
      <xdr:col>10</xdr:col>
      <xdr:colOff>1350000</xdr:colOff>
      <xdr:row>0</xdr:row>
      <xdr:rowOff>360000</xdr:rowOff>
    </xdr:to>
    <xdr:sp macro="[0]!請求書を印刷" textlink="">
      <xdr:nvSpPr>
        <xdr:cNvPr id="2" name="Button2"/>
        <xdr:cNvSpPr/>
      </xdr:nvSpPr>
      <xdr:spPr>
        <a:prstGeom prst="roundRect">
          <a:avLst/>
        </a:prstGeom>
        <a:solidFill>
          <a:srgbClr val="1F4E78"/>
        </a:solidFill>
        <a:ln w="12700">
          <a:solidFill>
            <a:srgbClr val="FFFFFF"/>
          </a:solidFill>
        </a:ln>
      </xdr:spPr>
      <xdr:txBody>
        <a:bodyPr vertOverflow="clip" horzOverflow="clip" rtlCol="0" anchor="ctr"/>
        <a:lstStyle/>
        <a:p>
          <a:pPr algn="ctr"/>
          <a:r>
            <a:rPr lang="ja-JP" sz="1100" b="1">
              <a:solidFill>
                <a:srgbClr val="FFFFFF"/>
              </a:solidFill>
            </a:rPr>
            <a:t>請求書を印刷</a:t>
          </a:r>
        </a:p>
      </xdr:txBody>
    </xdr:sp>
    <xdr:clientData/>
  </xdr:twoCellAnchor>
  <xdr:twoCellAnchor editAs="absolute">
    <xdr:from>
      <xdr:col>10</xdr:col>
      <xdr:colOff>1450000</xdr:colOff>
      <xdr:row>0</xdr:row>
      <xdr:rowOff>40000</xdr:rowOff>
    </xdr:from>
    <xdr:to>
      <xdr:col>10</xdr:col>
      <xdr:colOff>2750000</xdr:colOff>
      <xdr:row>0</xdr:row>
      <xdr:rowOff>360000</xdr:rowOff>
    </xdr:to>
    <xdr:sp macro="[0]!翌月分用にクリア" textlink="">
      <xdr:nvSpPr>
        <xdr:cNvPr id="3" name="Button3"/>
        <xdr:cNvSpPr/>
      </xdr:nvSpPr>
      <xdr:spPr>
        <a:prstGeom prst="roundRect">
          <a:avLst/>
        </a:prstGeom>
        <a:solidFill>
          <a:srgbClr val="7F7F7F"/>
        </a:solidFill>
        <a:ln w="12700">
          <a:solidFill>
            <a:srgbClr val="FFFFFF"/>
          </a:solidFill>
        </a:ln>
      </xdr:spPr>
      <xdr:txBody>
        <a:bodyPr vertOverflow="clip" horzOverflow="clip" rtlCol="0" anchor="ctr"/>
        <a:lstStyle/>
        <a:p>
          <a:pPr algn="ctr"/>
          <a:r>
            <a:rPr lang="ja-JP" sz="1100" b="1">
              <a:solidFill>
                <a:srgbClr val="FFFFFF"/>
              </a:solidFill>
            </a:rPr>
            <a:t>翌月分用にクリア</a:t>
          </a:r>
        </a:p>
      </xdr:txBody>
    </xdr:sp>
    <xdr:clientData/>
  </xdr:twoCellAnchor>
  <xdr:twoCellAnchor editAs="absolute">
    <xdr:from>
      <xdr:col>10</xdr:col>
      <xdr:colOff>2850000</xdr:colOff>
      <xdr:row>0</xdr:row>
      <xdr:rowOff>40000</xdr:rowOff>
    </xdr:from>
    <xdr:to>
      <xdr:col>10</xdr:col>
      <xdr:colOff>4000000</xdr:colOff>
      <xdr:row>0</xdr:row>
      <xdr:rowOff>360000</xdr:rowOff>
    </xdr:to>
    <xdr:sp macro="[0]!請求日を今日にする" textlink="">
      <xdr:nvSpPr>
        <xdr:cNvPr id="4" name="Button4"/>
        <xdr:cNvSpPr/>
      </xdr:nvSpPr>
      <xdr:spPr>
        <a:prstGeom prst="roundRect">
          <a:avLst/>
        </a:prstGeom>
        <a:solidFill>
          <a:srgbClr val="7F7F7F"/>
        </a:solidFill>
        <a:ln w="12700">
          <a:solidFill>
            <a:srgbClr val="FFFFFF"/>
          </a:solidFill>
        </a:ln>
      </xdr:spPr>
      <xdr:txBody>
        <a:bodyPr vertOverflow="clip" horzOverflow="clip" rtlCol="0" anchor="ctr"/>
        <a:lstStyle/>
        <a:p>
          <a:pPr algn="ctr"/>
          <a:r>
            <a:rPr lang="ja-JP" sz="1100" b="1">
              <a:solidFill>
                <a:srgbClr val="FFFFFF"/>
              </a:solidFill>
            </a:rPr>
            <a:t>請求日を今日に</a:t>
          </a:r>
        </a:p>
      </xdr:txBody>
    </xdr:sp>
    <xdr:clientData/>
  </xdr:twoCellAnchor>
  <xdr:twoCellAnchor editAs="absolute">
    <xdr:from>
      <xdr:col>11</xdr:col>
      <xdr:colOff>60000</xdr:colOff>
      <xdr:row>0</xdr:row>
      <xdr:rowOff>40000</xdr:rowOff>
    </xdr:from>
    <xdr:to>
      <xdr:col>11</xdr:col>
      <xdr:colOff>3000000</xdr:colOff>
      <xdr:row>0</xdr:row>
      <xdr:rowOff>360000</xdr:rowOff>
    </xdr:to>
    <xdr:sp macro="[0]!共済組合へメール送信" textlink="">
      <xdr:nvSpPr>
        <xdr:cNvPr id="5" name="Button5"/>
        <xdr:cNvSpPr/>
      </xdr:nvSpPr>
      <xdr:spPr>
        <a:prstGeom prst="roundRect">
          <a:avLst/>
        </a:prstGeom>
        <a:solidFill>
          <a:srgbClr val="C55A11"/>
        </a:solidFill>
        <a:ln w="12700">
          <a:solidFill>
            <a:srgbClr val="FFFFFF"/>
          </a:solidFill>
        </a:ln>
      </xdr:spPr>
      <xdr:txBody>
        <a:bodyPr vertOverflow="clip" horzOverflow="clip" rtlCol="0" anchor="ctr"/>
        <a:lstStyle/>
        <a:p>
          <a:pPr algn="ctr"/>
          <a:r>
            <a:rPr lang="ja-JP" sz="1100" b="1">
              <a:solidFill>
                <a:srgbClr val="FFFFFF"/>
              </a:solidFill>
            </a:rPr>
            <a:t>共済組合へメール送信</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Relationships xmlns="http://schemas.openxmlformats.org/package/2006/relationships"><Relationship Id="rIdBtn1" Type="http://schemas.openxmlformats.org/officeDocument/2006/relationships/drawing" Target="/xl/drawings/drawingBtn_sheet2.xml"/></Relationships>
</file>

<file path=xl/worksheets/sheet1.xml><?xml version="1.0" encoding="utf-8"?>
<worksheet xmlns="http://schemas.openxmlformats.org/spreadsheetml/2006/main">
  <sheetPr>
    <outlinePr summaryBelow="1" summaryRight="1"/>
    <pageSetUpPr/>
  </sheetPr>
  <dimension ref="B2:B29"/>
  <sheetViews>
    <sheetView showGridLines="0" workbookViewId="0">
      <selection activeCell="A1" sqref="A1"/>
    </sheetView>
  </sheetViews>
  <sheetFormatPr baseColWidth="8" defaultRowHeight="15"/>
  <cols>
    <col width="3" customWidth="1" style="225" min="1" max="1"/>
    <col width="110" customWidth="1" style="225" min="2" max="2"/>
  </cols>
  <sheetData>
    <row r="2">
      <c r="B2" s="226" t="inlineStr">
        <is>
          <t>育児時短勤務手当金請求書（電子申請書）　使い方</t>
        </is>
      </c>
    </row>
    <row r="3">
      <c r="B3" s="227" t="inlineStr"/>
    </row>
    <row r="4">
      <c r="B4" s="228" t="inlineStr">
        <is>
          <t>■ 職員・庶務担当の方</t>
        </is>
      </c>
    </row>
    <row r="5">
      <c r="B5" s="229" t="inlineStr">
        <is>
          <t>0. ファイルを開いたとき「マクロを有効にする」を押してください（押さないとボタンが動きません）。</t>
        </is>
      </c>
    </row>
    <row r="6">
      <c r="B6" s="229" t="inlineStr">
        <is>
          <t>1. 「入力」シートの黄色いセルに入力します（Excelだけで動作・インストール不要）。</t>
        </is>
      </c>
    </row>
    <row r="7">
      <c r="B7" s="229" t="inlineStr">
        <is>
          <t>2. 入力すると、右側の「チェック」欄が自動で ✓（OK）／✕（エラー）／△（要確認）になります。✕ は必ず直してください。</t>
        </is>
      </c>
    </row>
    <row r="8">
      <c r="B8" s="229" t="inlineStr">
        <is>
          <t xml:space="preserve">　 報酬額は「給与明細」シートに支給明細書の金額を転記すると自動計算されます（期末勤勉手当・給与改定差額を除外／通勤手当は明細の額を控除して月割を加算）。</t>
        </is>
      </c>
    </row>
    <row r="9">
      <c r="B9" s="229" t="inlineStr">
        <is>
          <t>3. 日付は「令和」の年・月・日を数字で入力します（例：令和8年4月 → 年に8、月に4）。請求期間は自動で計算されます。請求日は［請求日を今日に］ボタンで入ります。</t>
        </is>
      </c>
    </row>
    <row r="10">
      <c r="B10" s="229" t="inlineStr">
        <is>
          <t>4. 最上段が緑色（✓）になったら提出します。提出方法は次の2通りです。</t>
        </is>
      </c>
    </row>
    <row r="11">
      <c r="B11" s="229" t="inlineStr">
        <is>
          <t xml:space="preserve">　(A) 紙で提出：［請求書を印刷］→ 所属機関の長の確認欄に記入・押印 → 添付書類の写しを添えて庶務担当経由で提出</t>
        </is>
      </c>
    </row>
    <row r="12">
      <c r="B12" s="229" t="inlineStr">
        <is>
          <t xml:space="preserve">　(B) メールで提出：［共済組合へメール送信］→ Outlookの下書きが開きます（宛先 fukuri@city.hiroshima.lg.jp／請求書データ(Excel)と請求書PDFが添付済み）</t>
        </is>
      </c>
    </row>
    <row r="13">
      <c r="B13" s="229" t="inlineStr">
        <is>
          <t xml:space="preserve">　　→ 承認書・出勤簿・支給明細書などの写し（スキャン等）を追加し、内容を確認して［送信］。</t>
        </is>
      </c>
    </row>
    <row r="14">
      <c r="B14" s="229" t="inlineStr">
        <is>
          <t xml:space="preserve">　　※Outlookが使えない場合は、保存先フォルダが開くので、2ファイルをメールに添付して送ってください。</t>
        </is>
      </c>
    </row>
    <row r="15">
      <c r="B15" s="227" t="inlineStr"/>
    </row>
    <row r="16">
      <c r="B16" s="228" t="inlineStr">
        <is>
          <t>■ ボタン一覧（「入力」シート上部）</t>
        </is>
      </c>
    </row>
    <row r="17">
      <c r="B17" s="229" t="inlineStr">
        <is>
          <t>［請求書を印刷］入力エラーがなければ「請求書(表)」「請求書(裏)」を続けて印刷。エラーがあるときは印刷せず、直す項目を表示します。</t>
        </is>
      </c>
    </row>
    <row r="18">
      <c r="B18" s="229" t="inlineStr">
        <is>
          <t>［翌月分用にクリア］対象月・報酬額・通勤手当（月額）・請求日・添付書類のチェックだけを消します（氏名・所属・子の情報などは残ります）。毎月、このファイルを使い回せます。</t>
        </is>
      </c>
    </row>
    <row r="19">
      <c r="B19" s="229" t="inlineStr">
        <is>
          <t>［請求日を今日に］請求日に今日の日付を入れます。</t>
        </is>
      </c>
    </row>
    <row r="20">
      <c r="B20" s="229" t="inlineStr">
        <is>
          <t>［共済組合へメール送信］上記(B)のとおり。エラーが残っている間は送信できません。送信は自動ではなく、必ず内容を確認してから［送信］を押す仕組みです。</t>
        </is>
      </c>
    </row>
    <row r="21">
      <c r="B21" s="229" t="inlineStr">
        <is>
          <t>※［ファイル→印刷］で請求書シートを印刷した場合も、エラーが残っていれば印刷を止めます。</t>
        </is>
      </c>
    </row>
    <row r="22">
      <c r="B22" s="229" t="inlineStr">
        <is>
          <t>※標準報酬月額（等級・月額）は「入力」シートの⑧に入力します。☆の個人番号・決定額と、所属機関の長の氏名等は入力不要です。</t>
        </is>
      </c>
    </row>
    <row r="23">
      <c r="B23" s="227" t="inlineStr"/>
    </row>
    <row r="24">
      <c r="B24" s="228" t="inlineStr">
        <is>
          <t>■ 共済組合の方</t>
        </is>
      </c>
    </row>
    <row r="25">
      <c r="B25" s="229" t="inlineStr">
        <is>
          <t>・メールで届いた申請書(Excel)を1つのフォルダに保存し、管理台帳の［フォルダ内の申請書を一括取込］を押すと請求記録に取り込めます。</t>
        </is>
      </c>
    </row>
    <row r="26">
      <c r="B26" s="229" t="inlineStr">
        <is>
          <t>・請求期間の始期は『勤務開始日が月の途中ならその日から』で自動計算しています（運用が異なる場合は計算式の変更が必要です）。</t>
        </is>
      </c>
    </row>
    <row r="27">
      <c r="B27" s="227" t="inlineStr"/>
    </row>
    <row r="28">
      <c r="B28" s="228" t="inlineStr">
        <is>
          <t>■ 動作環境</t>
        </is>
      </c>
    </row>
    <row r="29">
      <c r="B29" s="229" t="inlineStr">
        <is>
          <t>Excel 2013以降（Windows）。「入力」シートは保護（パスワードなし）されており、黄色いセル以外は書き換えできません。請求書シートは保護していません（自動転記されるので直接は書き換えないでください）。メール送信はOutlookが必要です。</t>
        </is>
      </c>
    </row>
  </sheetData>
  <pageMargins left="0.75" right="0.75" top="1" bottom="1" header="0.5" footer="0.5"/>
</worksheet>
</file>

<file path=xl/worksheets/sheet2.xml><?xml version="1.0" encoding="utf-8"?>
<worksheet xmlns="http://schemas.openxmlformats.org/spreadsheetml/2006/main">
  <sheetPr>
    <outlinePr summaryBelow="1" summaryRight="1"/>
    <pageSetUpPr fitToPage="1"/>
  </sheetPr>
  <dimension ref="B1:O57"/>
  <sheetViews>
    <sheetView showGridLines="0" zoomScale="100" workbookViewId="0">
      <pane ySplit="4" topLeftCell="A5" activePane="bottomLeft" state="frozen"/>
      <selection pane="bottomLeft" activeCell="A1" sqref="A1"/>
    </sheetView>
  </sheetViews>
  <sheetFormatPr baseColWidth="8" defaultRowHeight="15"/>
  <cols>
    <col width="1.5" customWidth="1" style="225" min="1" max="1"/>
    <col width="34" customWidth="1" style="225" min="2" max="2"/>
    <col width="8" customWidth="1" style="225" min="3" max="3"/>
    <col width="7" customWidth="1" style="225" min="4" max="4"/>
    <col width="3.5" customWidth="1" style="225" min="5" max="5"/>
    <col width="7" customWidth="1" style="225" min="6" max="6"/>
    <col width="3.5" customWidth="1" style="225" min="7" max="7"/>
    <col width="7" customWidth="1" style="225" min="8" max="8"/>
    <col width="4" customWidth="1" style="225" min="9" max="9"/>
    <col width="2" customWidth="1" style="225" min="10" max="10"/>
    <col width="62" customWidth="1" style="225" min="11" max="11"/>
    <col width="46" customWidth="1" style="225" min="12" max="12"/>
    <col hidden="1" width="13" customWidth="1" style="225" min="14" max="14"/>
    <col hidden="1" width="13" customWidth="1" style="225" min="15" max="15"/>
  </cols>
  <sheetData>
    <row r="1" ht="32" customHeight="1" s="225">
      <c r="B1" s="230" t="inlineStr">
        <is>
          <t>育児時短勤務手当金請求書　入力シート</t>
        </is>
      </c>
    </row>
    <row r="2" ht="30" customHeight="1" s="225">
      <c r="B2" s="231">
        <f>IF(COUNTIF(K6:K57,"✕*")&gt;0,"✕ 入力エラーが "&amp;COUNTIF(K6:K57,"✕*")&amp;" 件あります。赤い項目を直してください。",IF(COUNTIF(K6:K57,"△*")&gt;0,"△ エラーはありません。注意が "&amp;COUNTIF(K6:K57,"△*")&amp;" 件あります。内容を確認してください。（印刷できます）","✓ すべて正しく入力されています。「請求書(表)」「請求書(裏)」を印刷し、添付書類をそろえて提出してください。"))</f>
        <v/>
      </c>
    </row>
    <row r="3" ht="30" customHeight="1" s="225">
      <c r="B3" s="232" t="inlineStr">
        <is>
          <t>黄色いセルに入力してください。右の「チェック」欄が ✓（緑）になれば正しく入力できています。✕（赤）は必ず直してください。標準報酬月額は「⑧」に入力してください（☆の決定額・個人番号は共済組合が記入するので入力不要です）。</t>
        </is>
      </c>
    </row>
    <row r="4">
      <c r="K4" s="233" t="inlineStr">
        <is>
          <t>チェック（自動）</t>
        </is>
      </c>
      <c r="L4" s="233" t="inlineStr">
        <is>
          <t>記入例・説明</t>
        </is>
      </c>
    </row>
    <row r="5" ht="20" customHeight="1" s="225">
      <c r="B5" s="234" t="inlineStr">
        <is>
          <t>① 請求する月</t>
        </is>
      </c>
    </row>
    <row r="6" ht="24" customHeight="1" s="225">
      <c r="B6" s="235" t="inlineStr">
        <is>
          <t>職員番号（7桁）</t>
        </is>
      </c>
      <c r="C6" s="236" t="n">
        <v>9000001</v>
      </c>
      <c r="D6" s="328" t="n"/>
      <c r="E6" s="328" t="n"/>
      <c r="F6" s="328" t="n"/>
      <c r="G6" s="328" t="n"/>
      <c r="H6" s="328" t="n"/>
      <c r="I6" s="329" t="n"/>
      <c r="K6" s="235">
        <f>IF(C6="","✕ 未入力です",IF(NOT(ISNUMBER(C6)),"✕ 数字で入力してください",IF(LEN(C6)&lt;&gt;7,"△ 職員番号は通常7桁です。確認してください","✓")))</f>
        <v/>
      </c>
      <c r="L6" s="238" t="inlineStr">
        <is>
          <t>共済組合への提出データ用です（請求書には印字されません）</t>
        </is>
      </c>
    </row>
    <row r="7" ht="30" customHeight="1" s="225">
      <c r="B7" s="235" t="inlineStr">
        <is>
          <t>請求対象月（令和　年　月分）</t>
        </is>
      </c>
      <c r="C7" s="239" t="inlineStr">
        <is>
          <t>令和</t>
        </is>
      </c>
      <c r="D7" s="240" t="n">
        <v>8</v>
      </c>
      <c r="E7" s="239" t="inlineStr">
        <is>
          <t>年</t>
        </is>
      </c>
      <c r="F7" s="240" t="n">
        <v>5</v>
      </c>
      <c r="G7" s="239" t="inlineStr">
        <is>
          <t>月分</t>
        </is>
      </c>
      <c r="K7" s="235">
        <f>IF(COUNTA(D7,F7)=0,"✕ 未入力です",IF(N7="","✕ 年と月を入力してください",IF(N7&lt;DATE(2025,4,1),"✕ 令和7年4月分以降が対象です",IF(N7&gt;=DATE(YEAR(TODAY()),MONTH(TODAY()),1),"✕ まだ月が終わっていません。勤務した月の翌月以降に請求してください","✓"))))</f>
        <v/>
      </c>
      <c r="L7" s="238" t="inlineStr">
        <is>
          <t>育児時短勤務をした月。令和7年4月分以降が対象。月が終わってから請求します</t>
        </is>
      </c>
      <c r="N7" s="0">
        <f>IF(AND(ISNUMBER(D7),ISNUMBER(F7)),IFERROR(DATE(D7+2018,F7,1),""),"")</f>
        <v/>
      </c>
      <c r="O7" s="0">
        <f>IF(N7="","",EOMONTH(N7,0))</f>
        <v/>
      </c>
    </row>
    <row r="8" ht="20" customHeight="1" s="225">
      <c r="B8" s="234" t="inlineStr">
        <is>
          <t>② 組合員</t>
        </is>
      </c>
    </row>
    <row r="9" ht="24" customHeight="1" s="225">
      <c r="B9" s="235" t="inlineStr">
        <is>
          <t>組合員等記号番号</t>
        </is>
      </c>
      <c r="C9" s="241" t="inlineStr">
        <is>
          <t>999</t>
        </is>
      </c>
      <c r="D9" s="329" t="n"/>
      <c r="E9" s="239" t="inlineStr">
        <is>
          <t>―</t>
        </is>
      </c>
      <c r="F9" s="241" t="inlineStr">
        <is>
          <t>000001</t>
        </is>
      </c>
      <c r="G9" s="328" t="n"/>
      <c r="H9" s="328" t="n"/>
      <c r="I9" s="329" t="n"/>
      <c r="K9" s="235">
        <f>IF(AND(C9="",F9=""),"✕ 未入力です",IF(C9="","✕ 記号が未入力です",IF(F9="","✕ 番号が未入力です","✓")))</f>
        <v/>
      </c>
      <c r="L9" s="238" t="inlineStr">
        <is>
          <t>組合員証・資格情報通知書の記号と番号（半角）</t>
        </is>
      </c>
    </row>
    <row r="10" ht="24" customHeight="1" s="225">
      <c r="B10" s="235" t="inlineStr">
        <is>
          <t>フリガナ</t>
        </is>
      </c>
      <c r="C10" s="241" t="inlineStr">
        <is>
          <t>シケン　ハナコ</t>
        </is>
      </c>
      <c r="D10" s="328" t="n"/>
      <c r="E10" s="328" t="n"/>
      <c r="F10" s="328" t="n"/>
      <c r="G10" s="328" t="n"/>
      <c r="H10" s="328" t="n"/>
      <c r="I10" s="329" t="n"/>
      <c r="K10" s="235">
        <f>IF(C10="","✕ 未入力です",IF(SUMPRODUCT((_xlfn.UNICODE(MID(C10&amp;REPT(" ",60),ROW($1:$60),1))&lt;&gt;32)*(_xlfn.UNICODE(MID(C10&amp;REPT(" ",60),ROW($1:$60),1))&lt;&gt;12288)*(((_xlfn.UNICODE(MID(C10&amp;REPT(" ",60),ROW($1:$60),1))&lt;12449)+(_xlfn.UNICODE(MID(C10&amp;REPT(" ",60),ROW($1:$60),1))&gt;12540))&gt;0))&gt;0,"✕ 全角カタカナで入力してください（半角カナ・ひらがな・漢字は不可）",IF(AND(ISERROR(FIND(" ",C10)),ISERROR(FIND("　",C10))),"△ 姓と名の間に空白を入れてください","✓")))</f>
        <v/>
      </c>
      <c r="L10" s="238" t="inlineStr">
        <is>
          <t>全角カタカナ　例：ヒロシマ　ハナコ（姓と名の間は空白）</t>
        </is>
      </c>
    </row>
    <row r="11" ht="24" customHeight="1" s="225">
      <c r="B11" s="235" t="inlineStr">
        <is>
          <t>組合員氏名</t>
        </is>
      </c>
      <c r="C11" s="241" t="inlineStr">
        <is>
          <t>試験　花子</t>
        </is>
      </c>
      <c r="D11" s="328" t="n"/>
      <c r="E11" s="328" t="n"/>
      <c r="F11" s="328" t="n"/>
      <c r="G11" s="328" t="n"/>
      <c r="H11" s="328" t="n"/>
      <c r="I11" s="329" t="n"/>
      <c r="K11" s="235">
        <f>IF(C11="","✕ 未入力です","✓")</f>
        <v/>
      </c>
      <c r="L11" s="238" t="inlineStr">
        <is>
          <t>例：広島　花子</t>
        </is>
      </c>
    </row>
    <row r="12" ht="24" customHeight="1" s="225">
      <c r="B12" s="235" t="inlineStr">
        <is>
          <t>性別</t>
        </is>
      </c>
      <c r="C12" s="242" t="inlineStr">
        <is>
          <t>女</t>
        </is>
      </c>
      <c r="D12" s="329" t="n"/>
      <c r="K12" s="235">
        <f>IF(C12="","✕ 未入力です（選択してください）","✓")</f>
        <v/>
      </c>
    </row>
    <row r="13" ht="24" customHeight="1" s="225">
      <c r="B13" s="235" t="inlineStr">
        <is>
          <t>生年月日</t>
        </is>
      </c>
      <c r="C13" s="240" t="inlineStr">
        <is>
          <t>平成</t>
        </is>
      </c>
      <c r="D13" s="240" t="n">
        <v>2</v>
      </c>
      <c r="E13" s="239" t="inlineStr">
        <is>
          <t>年</t>
        </is>
      </c>
      <c r="F13" s="240" t="n">
        <v>3</v>
      </c>
      <c r="G13" s="239" t="inlineStr">
        <is>
          <t>月</t>
        </is>
      </c>
      <c r="H13" s="240" t="n">
        <v>15</v>
      </c>
      <c r="I13" s="239" t="inlineStr">
        <is>
          <t>日</t>
        </is>
      </c>
      <c r="K13" s="235">
        <f>IF(AND(C13="",COUNTA(D13,F13,H13)=0),"✕ 未入力です",IF(C13="","✕ 昭和・平成を選んでください",IF(COUNT(D13,F13,H13)&lt;3,"✕ 年・月・日をすべて入力してください",IF(AND(C13="昭和",D13&gt;64),"✕ 昭和は64年までです",IF(AND(C13="平成",D13&gt;31),"✕ 平成は31年までです",IF(N13="","✕ 存在しない日付です",IF(AND(N7&lt;&gt;"",OR(N7-N13&lt;18*365,N7-N13&gt;70*365)),"△ 年齢が18〜70歳の範囲外です。生年月日を確認してください","✓")))))))</f>
        <v/>
      </c>
      <c r="L13" s="238" t="inlineStr">
        <is>
          <t>昭和・平成を選び、年月日を数字で入力</t>
        </is>
      </c>
      <c r="N13" s="0">
        <f>IF(COUNT(D13,F13,H13)&lt;3,"",IFERROR(IF(AND(D13&gt;=1,F13&gt;=1,F13&lt;=12,H13&gt;=1,DAY(DATE(D13+IF(C13="昭和",1925,1988),F13,H13))=H13),DATE(D13+IF(C13="昭和",1925,1988),F13,H13),""),""))</f>
        <v/>
      </c>
    </row>
    <row r="14" ht="20" customHeight="1" s="225">
      <c r="B14" s="234" t="inlineStr">
        <is>
          <t>③ 所属機関</t>
        </is>
      </c>
    </row>
    <row r="15" ht="24" customHeight="1" s="225">
      <c r="B15" s="235" t="inlineStr">
        <is>
          <t>名称</t>
        </is>
      </c>
      <c r="C15" s="241" t="inlineStr">
        <is>
          <t>テスト課</t>
        </is>
      </c>
      <c r="D15" s="328" t="n"/>
      <c r="E15" s="328" t="n"/>
      <c r="F15" s="328" t="n"/>
      <c r="G15" s="328" t="n"/>
      <c r="H15" s="328" t="n"/>
      <c r="I15" s="329" t="n"/>
      <c r="K15" s="235">
        <f>IF(C15="","✕ 未入力です","✓")</f>
        <v/>
      </c>
      <c r="L15" s="238" t="inlineStr">
        <is>
          <t>例：環境局環境保全課／○○保育園</t>
        </is>
      </c>
    </row>
    <row r="16" ht="24" customHeight="1" s="225">
      <c r="B16" s="235" t="inlineStr">
        <is>
          <t>所在地</t>
        </is>
      </c>
      <c r="C16" s="241" t="inlineStr">
        <is>
          <t>広島市中区国泰寺町1-6-34</t>
        </is>
      </c>
      <c r="D16" s="328" t="n"/>
      <c r="E16" s="328" t="n"/>
      <c r="F16" s="328" t="n"/>
      <c r="G16" s="328" t="n"/>
      <c r="H16" s="328" t="n"/>
      <c r="I16" s="329" t="n"/>
      <c r="K16" s="235">
        <f>IF(C16="","✕ 未入力です","✓")</f>
        <v/>
      </c>
      <c r="L16" s="238" t="inlineStr">
        <is>
          <t>例：広島市中区国泰寺町1-6-34</t>
        </is>
      </c>
    </row>
    <row r="17" ht="20" customHeight="1" s="225">
      <c r="B17" s="234" t="inlineStr">
        <is>
          <t>④ 育児時短勤務（部分休業）の内容</t>
        </is>
      </c>
    </row>
    <row r="18" ht="24" customHeight="1" s="225">
      <c r="B18" s="235" t="inlineStr">
        <is>
          <t>勤務区分</t>
        </is>
      </c>
      <c r="C18" s="242" t="inlineStr">
        <is>
          <t>育児短時間勤務</t>
        </is>
      </c>
      <c r="D18" s="328" t="n"/>
      <c r="E18" s="328" t="n"/>
      <c r="F18" s="328" t="n"/>
      <c r="G18" s="328" t="n"/>
      <c r="H18" s="328" t="n"/>
      <c r="I18" s="329" t="n"/>
      <c r="K18" s="235">
        <f>IF(C18="","✕ 未入力です（選択してください）","✓")</f>
        <v/>
      </c>
      <c r="L18" s="238" t="inlineStr">
        <is>
          <t>承認書の区分（育児短時間勤務／部分休業）</t>
        </is>
      </c>
    </row>
    <row r="19" ht="24" customHeight="1" s="225">
      <c r="B19" s="235" t="inlineStr">
        <is>
          <t>初回の請求ですか</t>
        </is>
      </c>
      <c r="C19" s="242" t="inlineStr">
        <is>
          <t>2回目以降</t>
        </is>
      </c>
      <c r="D19" s="328" t="n"/>
      <c r="E19" s="328" t="n"/>
      <c r="F19" s="328" t="n"/>
      <c r="G19" s="328" t="n"/>
      <c r="H19" s="328" t="n"/>
      <c r="I19" s="329" t="n"/>
      <c r="K19" s="235">
        <f>IF(C19="","✕ 未入力です（選択してください）","✓")</f>
        <v/>
      </c>
      <c r="L19" s="238" t="inlineStr">
        <is>
          <t>初回請求のときは母子手帳等の写しが必要です</t>
        </is>
      </c>
    </row>
    <row r="20" ht="30" customHeight="1" s="225">
      <c r="B20" s="235" t="inlineStr">
        <is>
          <t>育児短時間勤務又は部分休業期間（開始）</t>
        </is>
      </c>
      <c r="C20" s="239" t="inlineStr">
        <is>
          <t>令和</t>
        </is>
      </c>
      <c r="D20" s="240" t="n">
        <v>8</v>
      </c>
      <c r="E20" s="239" t="inlineStr">
        <is>
          <t>年</t>
        </is>
      </c>
      <c r="F20" s="240" t="n">
        <v>4</v>
      </c>
      <c r="G20" s="239" t="inlineStr">
        <is>
          <t>月</t>
        </is>
      </c>
      <c r="H20" s="240" t="n">
        <v>1</v>
      </c>
      <c r="I20" s="239" t="inlineStr">
        <is>
          <t>日</t>
        </is>
      </c>
      <c r="K20" s="235">
        <f>IF(COUNTA(D20,F20,H20)=0,"✕ 未入力です",IF(N20="","✕ 年月日が正しくありません（存在しない日付など）","✓"))</f>
        <v/>
      </c>
      <c r="L20" s="238" t="inlineStr">
        <is>
          <t>承認書に記載された期間の開始日</t>
        </is>
      </c>
      <c r="N20" s="0">
        <f>IF(COUNT(D20,F20,H20)&lt;3,"",IFERROR(IF(AND(D20&gt;=1,F20&gt;=1,F20&lt;=12,H20&gt;=1,DAY(DATE(D20+2018,F20,H20))=H20),DATE(D20+2018,F20,H20),""),""))</f>
        <v/>
      </c>
    </row>
    <row r="21" ht="30" customHeight="1" s="225">
      <c r="B21" s="235" t="inlineStr">
        <is>
          <t>育児短時間勤務又は部分休業期間（終了）</t>
        </is>
      </c>
      <c r="C21" s="239" t="inlineStr">
        <is>
          <t>令和</t>
        </is>
      </c>
      <c r="D21" s="240" t="n">
        <v>9</v>
      </c>
      <c r="E21" s="239" t="inlineStr">
        <is>
          <t>年</t>
        </is>
      </c>
      <c r="F21" s="240" t="n">
        <v>3</v>
      </c>
      <c r="G21" s="239" t="inlineStr">
        <is>
          <t>月</t>
        </is>
      </c>
      <c r="H21" s="240" t="n">
        <v>31</v>
      </c>
      <c r="I21" s="239" t="inlineStr">
        <is>
          <t>日</t>
        </is>
      </c>
      <c r="K21" s="235">
        <f>IF(COUNTA(D21,F21,H21)=0,"✕ 未入力です",IF(N21="","✕ 年月日が正しくありません（存在しない日付など）",IF(AND(N20&lt;&gt;"",N21&lt;N20),"✕ 終了日が開始日より前です","✓")))</f>
        <v/>
      </c>
      <c r="L21" s="238" t="inlineStr">
        <is>
          <t>承認書に記載された期間の終了日</t>
        </is>
      </c>
      <c r="N21" s="0">
        <f>IF(COUNT(D21,F21,H21)&lt;3,"",IFERROR(IF(AND(D21&gt;=1,F21&gt;=1,F21&lt;=12,H21&gt;=1,DAY(DATE(D21+2018,F21,H21))=H21),DATE(D21+2018,F21,H21),""),""))</f>
        <v/>
      </c>
    </row>
    <row r="22" ht="30" customHeight="1" s="225">
      <c r="B22" s="235" t="inlineStr">
        <is>
          <t>支給終了の特別事由の開始日（該当時のみ）</t>
        </is>
      </c>
      <c r="C22" s="239" t="inlineStr">
        <is>
          <t>令和</t>
        </is>
      </c>
      <c r="D22" s="240" t="n"/>
      <c r="E22" s="239" t="inlineStr">
        <is>
          <t>年</t>
        </is>
      </c>
      <c r="F22" s="240" t="n"/>
      <c r="G22" s="239" t="inlineStr">
        <is>
          <t>月</t>
        </is>
      </c>
      <c r="H22" s="240" t="n"/>
      <c r="I22" s="239" t="inlineStr">
        <is>
          <t>日</t>
        </is>
      </c>
      <c r="K22" s="235">
        <f>IF(COUNTA(D22,F22,H22)=0,"",IF(N22="","✕ 年月日が正しくありません","✓"))</f>
        <v/>
      </c>
      <c r="L22" s="238" t="inlineStr">
        <is>
          <t>産前産後休業・介護休業・育児休業を新たに始める場合のみ。その前日が請求期間の終了日になります</t>
        </is>
      </c>
      <c r="N22" s="0">
        <f>IF(COUNT(D22,F22,H22)&lt;3,"",IFERROR(IF(AND(D22&gt;=1,F22&gt;=1,F22&lt;=12,H22&gt;=1,DAY(DATE(D22+2018,F22,H22))=H22),DATE(D22+2018,F22,H22),""),""))</f>
        <v/>
      </c>
    </row>
    <row r="23" ht="24" customHeight="1" s="225">
      <c r="B23" s="235" t="inlineStr">
        <is>
          <t>育児時短勤務手当金請求期間（開始）【自動】</t>
        </is>
      </c>
      <c r="C23" s="239" t="inlineStr">
        <is>
          <t>令和</t>
        </is>
      </c>
      <c r="D23" s="243">
        <f>IF(N23="","",YEAR(N23)-2018)</f>
        <v/>
      </c>
      <c r="E23" s="239" t="inlineStr">
        <is>
          <t>年</t>
        </is>
      </c>
      <c r="F23" s="243">
        <f>IF(N23="","",MONTH(N23))</f>
        <v/>
      </c>
      <c r="G23" s="239" t="inlineStr">
        <is>
          <t>月</t>
        </is>
      </c>
      <c r="H23" s="243">
        <f>IF(N23="","",DAY(N23))</f>
        <v/>
      </c>
      <c r="I23" s="239" t="inlineStr">
        <is>
          <t>日</t>
        </is>
      </c>
      <c r="K23" s="235">
        <f>IF(N23="","",IF(AND(N24&lt;&gt;"",N24&lt;N23),IF(OR(O7&lt;N20,N7&gt;N21),"✕ 請求対象月が、勤務期間（開始日〜終了日）の外です。対象月か勤務期間を確認してください","✕ 請求期間がありません。子が2歳に達している、または特別事由の開始日を確認してください"),"✓"))</f>
        <v/>
      </c>
      <c r="L23" s="238" t="inlineStr">
        <is>
          <t>対象月・勤務期間・子の2歳到達日から自動計算（入力不要）</t>
        </is>
      </c>
      <c r="N23" s="0">
        <f>IF(OR(N7="",N20="",N21=""),"",MAX(N7,N20))</f>
        <v/>
      </c>
    </row>
    <row r="24" ht="24" customHeight="1" s="225">
      <c r="B24" s="235" t="inlineStr">
        <is>
          <t>育児時短勤務手当金請求期間（終了）【自動】</t>
        </is>
      </c>
      <c r="C24" s="239" t="inlineStr">
        <is>
          <t>令和</t>
        </is>
      </c>
      <c r="D24" s="243">
        <f>IF(N24="","",YEAR(N24)-2018)</f>
        <v/>
      </c>
      <c r="E24" s="239" t="inlineStr">
        <is>
          <t>年</t>
        </is>
      </c>
      <c r="F24" s="243">
        <f>IF(N24="","",MONTH(N24))</f>
        <v/>
      </c>
      <c r="G24" s="239" t="inlineStr">
        <is>
          <t>月</t>
        </is>
      </c>
      <c r="H24" s="243">
        <f>IF(N24="","",DAY(N24))</f>
        <v/>
      </c>
      <c r="I24" s="239" t="inlineStr">
        <is>
          <t>日</t>
        </is>
      </c>
      <c r="K24" s="235">
        <f>IF(N24="","",IF(N24&lt;N23,"✕ 上の「請求期間（開始）」のエラーを直してください","✓"))</f>
        <v/>
      </c>
      <c r="L24" s="238" t="inlineStr">
        <is>
          <t>子が2歳になる月は「2歳の誕生日の前々日」まで</t>
        </is>
      </c>
      <c r="N24" s="0">
        <f>IF(OR(N7="",N20="",N21="",N26=""),"",MIN(O7,N21,O26,IF(N22="",O7,N22-1)))</f>
        <v/>
      </c>
    </row>
    <row r="25" ht="24" customHeight="1" s="225">
      <c r="B25" s="235" t="inlineStr">
        <is>
          <t>育児時短勤務に係る子の名前</t>
        </is>
      </c>
      <c r="C25" s="241" t="inlineStr">
        <is>
          <t>試験　一郎</t>
        </is>
      </c>
      <c r="D25" s="328" t="n"/>
      <c r="E25" s="328" t="n"/>
      <c r="F25" s="328" t="n"/>
      <c r="G25" s="328" t="n"/>
      <c r="H25" s="328" t="n"/>
      <c r="I25" s="329" t="n"/>
      <c r="K25" s="235">
        <f>IF(C25="","✕ 未入力です","✓")</f>
        <v/>
      </c>
      <c r="L25" s="238" t="inlineStr">
        <is>
          <t>例：広島　太郎</t>
        </is>
      </c>
    </row>
    <row r="26" ht="24" customHeight="1" s="225">
      <c r="B26" s="235" t="inlineStr">
        <is>
          <t>子の生年月日</t>
        </is>
      </c>
      <c r="C26" s="239" t="inlineStr">
        <is>
          <t>令和</t>
        </is>
      </c>
      <c r="D26" s="240" t="n">
        <v>7</v>
      </c>
      <c r="E26" s="239" t="inlineStr">
        <is>
          <t>年</t>
        </is>
      </c>
      <c r="F26" s="240" t="n">
        <v>10</v>
      </c>
      <c r="G26" s="239" t="inlineStr">
        <is>
          <t>月</t>
        </is>
      </c>
      <c r="H26" s="240" t="n">
        <v>1</v>
      </c>
      <c r="I26" s="239" t="inlineStr">
        <is>
          <t>日</t>
        </is>
      </c>
      <c r="K26" s="235">
        <f>IF(COUNTA(D26,F26,H26)=0,"✕ 未入力です",IF(N26="","✕ 年月日が正しくありません（存在しない日付など）",IF(AND(N20&lt;&gt;"",N26&gt;N20),"✕ 子の生年月日が勤務開始日より後になっています",IF(AND(N7&lt;&gt;"",O26&lt;N7),"✕ 対象月には子が2歳に達しています（2歳の誕生日の前々日までが対象）","✓"))))</f>
        <v/>
      </c>
      <c r="L26" s="238" t="inlineStr">
        <is>
          <t>令和の年月日（母子手帳等で確認）</t>
        </is>
      </c>
      <c r="N26" s="0">
        <f>IF(COUNT(D26,F26,H26)&lt;3,"",IFERROR(IF(AND(D26&gt;=1,F26&gt;=1,F26&lt;=12,H26&gt;=1,DAY(DATE(D26+2018,F26,H26))=H26),DATE(D26+2018,F26,H26),""),""))</f>
        <v/>
      </c>
      <c r="O26" s="0">
        <f>IF(N26="","",DATE(YEAR(N26)+2,MONTH(N26),DAY(N26)-2))</f>
        <v/>
      </c>
    </row>
    <row r="27" ht="20" customHeight="1" s="225">
      <c r="B27" s="234" t="inlineStr">
        <is>
          <t>⑤ 報酬・通勤手当</t>
        </is>
      </c>
    </row>
    <row r="28" ht="30" customHeight="1" s="225">
      <c r="B28" s="235" t="inlineStr">
        <is>
          <t>支給対象月に支払われた報酬の額（円）【自動：給与明細シート】</t>
        </is>
      </c>
      <c r="C28" s="244">
        <f>給与明細!C50</f>
        <v/>
      </c>
      <c r="I28" s="239" t="inlineStr">
        <is>
          <t>円</t>
        </is>
      </c>
      <c r="K28" s="235">
        <f>IF(C28="","✕ 未入力です。「給与明細」シートに入力してください",IF(NOT(ISNUMBER(C28)),"✕ 数字で入力してください",IF(C28=0,"△ 0円です。給与明細シートを確認してください",IF(C28&gt;1000000,"△ 金額が大きすぎます。桁を確認してください","✓"))))</f>
        <v/>
      </c>
      <c r="L28" s="238" t="inlineStr">
        <is>
          <t>「給与明細」シートに支給明細書の金額を転記すると自動計算されます（期末・勤勉手当・給与改定差額は除外、通勤手当は月割に置換）</t>
        </is>
      </c>
    </row>
    <row r="29" ht="24" customHeight="1" s="225">
      <c r="B29" s="235" t="inlineStr">
        <is>
          <t>通勤手当の有無</t>
        </is>
      </c>
      <c r="C29" s="242" t="inlineStr">
        <is>
          <t>有</t>
        </is>
      </c>
      <c r="D29" s="329" t="n"/>
      <c r="K29" s="235">
        <f>IF(C29="","✕ 未入力です（選択してください）","✓")</f>
        <v/>
      </c>
      <c r="L29" s="238" t="inlineStr">
        <is>
          <t>通勤手当の詳細（複数月分の支給など）は「給与明細」シートに入力します</t>
        </is>
      </c>
    </row>
    <row r="30" ht="30" customHeight="1" s="225">
      <c r="B30" s="235" t="inlineStr">
        <is>
          <t>1月当たりの通勤手当の額（円）【自動：給与明細シート】</t>
        </is>
      </c>
      <c r="C30" s="244">
        <f>IF(C29&lt;&gt;"有","",IF(給与明細!H37="","",給与明細!H37))</f>
        <v/>
      </c>
      <c r="I30" s="239" t="inlineStr">
        <is>
          <t>円</t>
        </is>
      </c>
      <c r="K30" s="235">
        <f>IF(C29="","",IF(C29="無",IF(N(給与明細!F15)&gt;0,"△ 明細に通勤手当がありますが「無」になっています","✓"),IF(給与明細!A38&lt;&gt;"",給与明細!A38,IF(N(C30)=0,"✕ 通勤手当が「有」ですが額が0円です。給与明細シートを確認してください",IF(AND(ISNUMBER(C28),N(C30)&gt;C28),"✕ 通勤手当が報酬の額より大きくなっています",IF(N(C30)&gt;150000,"△ 通勤手当が月15万円を超えています。確認してください","✓"))))))</f>
        <v/>
      </c>
      <c r="L30" s="238" t="inlineStr">
        <is>
          <t>給与明細シートの通勤手当から自動計算（複数月分の一括支給は月割、端数は最終月に加算）</t>
        </is>
      </c>
    </row>
    <row r="31" ht="30" customHeight="1" s="225">
      <c r="B31" s="235" t="inlineStr">
        <is>
          <t>通勤手当の支給方法【自動：給与明細シート】</t>
        </is>
      </c>
      <c r="C31" s="245">
        <f>IF(C29&lt;&gt;"有","",IF(給与明細!C32="数か月分一括支給","数か月分一括支給","毎月支給"))</f>
        <v/>
      </c>
      <c r="K31" s="235" t="n"/>
    </row>
    <row r="32" ht="30" customHeight="1" s="225">
      <c r="B32" s="235" t="inlineStr">
        <is>
          <t>【一括】支給された通勤手当の総額（円）【自動】</t>
        </is>
      </c>
      <c r="C32" s="244">
        <f>IF(AND(C31="数か月分一括支給",ISNUMBER(給与明細!C34)),給与明細!C34,"")</f>
        <v/>
      </c>
      <c r="I32" s="239" t="inlineStr">
        <is>
          <t>円</t>
        </is>
      </c>
      <c r="K32" s="235" t="n"/>
      <c r="L32" s="238" t="inlineStr">
        <is>
          <t>給与明細シートの「通勤手当（複数月分）」欄に入力します（一括支給のときだけ表示）</t>
        </is>
      </c>
    </row>
    <row r="33" ht="24" customHeight="1" s="225">
      <c r="B33" s="235" t="inlineStr">
        <is>
          <t>【一括】支給月数（か月分）【自動】</t>
        </is>
      </c>
      <c r="C33" s="246">
        <f>IF(AND(C31="数か月分一括支給",ISNUMBER(給与明細!K37)),給与明細!K37,"")</f>
        <v/>
      </c>
      <c r="E33" s="239" t="inlineStr">
        <is>
          <t>か月</t>
        </is>
      </c>
      <c r="K33" s="235" t="n"/>
    </row>
    <row r="34" ht="24" customHeight="1" s="225">
      <c r="B34" s="235" t="inlineStr">
        <is>
          <t>【一括】請求月は何か月目か【自動】</t>
        </is>
      </c>
      <c r="C34" s="246">
        <f>IF(AND(C31="数か月分一括支給",ISNUMBER(給与明細!K38)),給与明細!K38,"")</f>
        <v/>
      </c>
      <c r="E34" s="239" t="inlineStr">
        <is>
          <t>か月目</t>
        </is>
      </c>
      <c r="K34" s="235" t="n"/>
    </row>
    <row r="35" ht="24" customHeight="1" s="225">
      <c r="B35" s="235" t="inlineStr">
        <is>
          <t>【一括】1月当たりの通勤手当の額（自動）</t>
        </is>
      </c>
      <c r="C35" s="247">
        <f>IF(N35="","",N35)</f>
        <v/>
      </c>
      <c r="K35" s="235" t="n"/>
      <c r="N35" s="0">
        <f>IF(AND(C31="数か月分一括支給",ISNUMBER(給与明細!K39)),給与明細!K39,"")</f>
        <v/>
      </c>
    </row>
    <row r="36" ht="20" customHeight="1" s="225">
      <c r="B36" s="234" t="inlineStr">
        <is>
          <t>⑥ 請求日・請求者</t>
        </is>
      </c>
    </row>
    <row r="37" ht="30" customHeight="1" s="225">
      <c r="B37" s="235" t="inlineStr">
        <is>
          <t>請求日</t>
        </is>
      </c>
      <c r="C37" s="239" t="inlineStr">
        <is>
          <t>令和</t>
        </is>
      </c>
      <c r="D37" s="240" t="n">
        <v>8</v>
      </c>
      <c r="E37" s="239" t="inlineStr">
        <is>
          <t>年</t>
        </is>
      </c>
      <c r="F37" s="240" t="n">
        <v>6</v>
      </c>
      <c r="G37" s="239" t="inlineStr">
        <is>
          <t>月</t>
        </is>
      </c>
      <c r="H37" s="240" t="n">
        <v>8</v>
      </c>
      <c r="I37" s="239" t="inlineStr">
        <is>
          <t>日</t>
        </is>
      </c>
      <c r="K37" s="235">
        <f>IF(COUNTA(D37,F37,H37)=0,"✕ 未入力です",IF(N37="","✕ 年月日が正しくありません（存在しない日付など）",IF(AND(O7&lt;&gt;"",N37&lt;=O7),"✕ 請求日が対象月の末日以前です",IF(N37&gt;TODAY()+1,"△ 請求日が未来の日付です","✓"))))</f>
        <v/>
      </c>
      <c r="L37" s="238" t="inlineStr">
        <is>
          <t>提出する日（対象月の末日より後）</t>
        </is>
      </c>
      <c r="N37" s="0">
        <f>IF(COUNT(D37,F37,H37)&lt;3,"",IFERROR(IF(AND(D37&gt;=1,F37&gt;=1,F37&lt;=12,H37&gt;=1,DAY(DATE(D37+2018,F37,H37))=H37),DATE(D37+2018,F37,H37),""),""))</f>
        <v/>
      </c>
    </row>
    <row r="38" ht="24" customHeight="1" s="225">
      <c r="B38" s="235" t="inlineStr">
        <is>
          <t>請求者　氏名</t>
        </is>
      </c>
      <c r="C38" s="241" t="inlineStr">
        <is>
          <t>試験　花子</t>
        </is>
      </c>
      <c r="D38" s="328" t="n"/>
      <c r="E38" s="328" t="n"/>
      <c r="F38" s="328" t="n"/>
      <c r="G38" s="328" t="n"/>
      <c r="H38" s="328" t="n"/>
      <c r="I38" s="329" t="n"/>
      <c r="K38" s="235">
        <f>IF(C38="","✕ 未入力です",IF(SUBSTITUTE(SUBSTITUTE(C38," ","")," ","")&lt;&gt;SUBSTITUTE(SUBSTITUTE(C11," ","")," ",""),"△ 組合員氏名と異なります","✓"))</f>
        <v/>
      </c>
      <c r="L38" s="238" t="inlineStr">
        <is>
          <t>組合員本人の氏名</t>
        </is>
      </c>
    </row>
    <row r="39" ht="24" customHeight="1" s="225">
      <c r="B39" s="235" t="inlineStr">
        <is>
          <t>請求者　℡（連絡先）</t>
        </is>
      </c>
      <c r="C39" s="241" t="inlineStr">
        <is>
          <t>090-0000-0000</t>
        </is>
      </c>
      <c r="D39" s="328" t="n"/>
      <c r="E39" s="328" t="n"/>
      <c r="F39" s="328" t="n"/>
      <c r="G39" s="328" t="n"/>
      <c r="H39" s="328" t="n"/>
      <c r="I39" s="329" t="n"/>
      <c r="K39" s="235">
        <f>IF(C39="","✕ 未入力です",IF(SUMPRODUCT((ROW($1:$15)&lt;=LEN(SUBSTITUTE(C39,"-","")))*(((MID(SUBSTITUTE(C39,"-",""),ROW($1:$15),1)&lt;"0")+(MID(SUBSTITUTE(C39,"-",""),ROW($1:$15),1)&gt;"9"))&gt;0))&gt;0,"✕ 半角の数字とハイフンで入力してください",IF(LEN(SUBSTITUTE(C39,"-",""))&lt;4,"✕ 桁数が足りません","✓")))</f>
        <v/>
      </c>
      <c r="L39" s="238" t="inlineStr">
        <is>
          <t>半角数字とハイフン　例：090-1234-5678</t>
        </is>
      </c>
    </row>
    <row r="40" ht="24" customHeight="1" s="225">
      <c r="B40" s="235" t="inlineStr">
        <is>
          <t>庶務担当　氏名</t>
        </is>
      </c>
      <c r="C40" s="241" t="inlineStr">
        <is>
          <t>庶務　太郎</t>
        </is>
      </c>
      <c r="D40" s="328" t="n"/>
      <c r="E40" s="328" t="n"/>
      <c r="F40" s="328" t="n"/>
      <c r="G40" s="328" t="n"/>
      <c r="H40" s="328" t="n"/>
      <c r="I40" s="329" t="n"/>
      <c r="K40" s="235">
        <f>IF(C40="","✕ 未入力です","✓")</f>
        <v/>
      </c>
      <c r="L40" s="238" t="inlineStr">
        <is>
          <t>所属の庶務担当者</t>
        </is>
      </c>
    </row>
    <row r="41" ht="24" customHeight="1" s="225">
      <c r="B41" s="235" t="inlineStr">
        <is>
          <t>庶務担当　℡</t>
        </is>
      </c>
      <c r="C41" s="241" t="inlineStr">
        <is>
          <t>81-0000</t>
        </is>
      </c>
      <c r="D41" s="328" t="n"/>
      <c r="E41" s="328" t="n"/>
      <c r="F41" s="328" t="n"/>
      <c r="G41" s="328" t="n"/>
      <c r="H41" s="328" t="n"/>
      <c r="I41" s="329" t="n"/>
      <c r="K41" s="235">
        <f>IF(C41="","✕ 未入力です",IF(SUMPRODUCT((ROW($1:$15)&lt;=LEN(SUBSTITUTE(C41,"-","")))*(((MID(SUBSTITUTE(C41,"-",""),ROW($1:$15),1)&lt;"0")+(MID(SUBSTITUTE(C41,"-",""),ROW($1:$15),1)&gt;"9"))&gt;0))&gt;0,"✕ 半角の数字とハイフンで入力してください","✓"))</f>
        <v/>
      </c>
      <c r="L41" s="238" t="inlineStr">
        <is>
          <t>内線可　例：81-2345</t>
        </is>
      </c>
    </row>
    <row r="42" ht="20" customHeight="1" s="225">
      <c r="B42" s="234" t="inlineStr">
        <is>
          <t>⑦ 添付書類（用意した書類は ✓ を選んでください）</t>
        </is>
      </c>
    </row>
    <row r="43" ht="30" customHeight="1" s="225">
      <c r="B43" s="235" t="inlineStr">
        <is>
          <t>【育児短時間勤務】育児短時間勤務承認書（写）</t>
        </is>
      </c>
      <c r="C43" s="242" t="inlineStr">
        <is>
          <t>✓</t>
        </is>
      </c>
      <c r="D43" s="329" t="n"/>
      <c r="K43" s="235">
        <f>IF(C18="","",IF(AND(C18="育児短時間勤務",TRUE,C43&lt;&gt;"✓"),"✕ 必要な書類です。用意して ✓ を選んでください",IF(AND(C18&lt;&gt;"育児短時間勤務",C43="✓"),"△ 選んだ勤務区分と異なる書類にチェックがあります",IF(AND(C18="育児短時間勤務",TRUE),"✓",""))))</f>
        <v/>
      </c>
    </row>
    <row r="44" ht="24" customHeight="1" s="225">
      <c r="B44" s="235" t="inlineStr">
        <is>
          <t>【育児短時間勤務】出勤簿（写）</t>
        </is>
      </c>
      <c r="C44" s="242" t="inlineStr">
        <is>
          <t>✓</t>
        </is>
      </c>
      <c r="D44" s="329" t="n"/>
      <c r="K44" s="235">
        <f>IF(C18="","",IF(AND(C18="育児短時間勤務",TRUE,C44&lt;&gt;"✓"),"✕ 必要な書類です。用意して ✓ を選んでください",IF(AND(C18&lt;&gt;"育児短時間勤務",C44="✓"),"△ 選んだ勤務区分と異なる書類にチェックがあります",IF(AND(C18="育児短時間勤務",TRUE),"✓",""))))</f>
        <v/>
      </c>
    </row>
    <row r="45" ht="24" customHeight="1" s="225">
      <c r="B45" s="235" t="inlineStr">
        <is>
          <t>【育児短時間勤務】支給明細書（写）</t>
        </is>
      </c>
      <c r="C45" s="242" t="inlineStr">
        <is>
          <t>✓</t>
        </is>
      </c>
      <c r="D45" s="329" t="n"/>
      <c r="K45" s="235">
        <f>IF(C18="","",IF(AND(C18="育児短時間勤務",TRUE,C45&lt;&gt;"✓"),"✕ 必要な書類です。用意して ✓ を選んでください",IF(AND(C18&lt;&gt;"育児短時間勤務",C45="✓"),"△ 選んだ勤務区分と異なる書類にチェックがあります",IF(AND(C18="育児短時間勤務",TRUE),"✓",""))))</f>
        <v/>
      </c>
    </row>
    <row r="46" ht="30" customHeight="1" s="225">
      <c r="B46" s="235" t="inlineStr">
        <is>
          <t>【育児短時間勤務】通勤手当一括支給の額がわかる支給明細書（写）</t>
        </is>
      </c>
      <c r="C46" s="242" t="inlineStr">
        <is>
          <t>✓</t>
        </is>
      </c>
      <c r="D46" s="329" t="n"/>
      <c r="K46" s="235">
        <f>IF(C18="","",IF(AND(C18="育児短時間勤務",C31="数か月分一括支給",C46&lt;&gt;"✓"),"✕ 必要な書類です。用意して ✓ を選んでください",IF(AND(C18&lt;&gt;"育児短時間勤務",C46="✓"),"△ 選んだ勤務区分と異なる書類にチェックがあります",IF(AND(C18="育児短時間勤務",C31="数か月分一括支給"),"✓",""))))</f>
        <v/>
      </c>
    </row>
    <row r="47" ht="24" customHeight="1" s="225">
      <c r="B47" s="235" t="inlineStr">
        <is>
          <t>【育児短時間勤務】母子手帳等（写）（初回のみ）</t>
        </is>
      </c>
      <c r="C47" s="242" t="n"/>
      <c r="D47" s="329" t="n"/>
      <c r="K47" s="235">
        <f>IF(C18="","",IF(AND(C18="育児短時間勤務",C19="初回請求",C47&lt;&gt;"✓"),"✕ 必要な書類です。用意して ✓ を選んでください",IF(AND(C18&lt;&gt;"育児短時間勤務",C47="✓"),"△ 選んだ勤務区分と異なる書類にチェックがあります",IF(AND(C18="育児短時間勤務",C19="初回請求"),"✓",""))))</f>
        <v/>
      </c>
    </row>
    <row r="48" ht="30" customHeight="1" s="225">
      <c r="B48" s="235" t="inlineStr">
        <is>
          <t>【部分休業】部分休業承認請求書兼承認書（写）又は庶務事務システム承認画面</t>
        </is>
      </c>
      <c r="C48" s="242" t="n"/>
      <c r="D48" s="329" t="n"/>
      <c r="K48" s="235">
        <f>IF(C18="","",IF(AND(C18="部分休業",TRUE,C48&lt;&gt;"✓"),"✕ 必要な書類です。用意して ✓ を選んでください",IF(AND(C18&lt;&gt;"部分休業",C48="✓"),"△ 選んだ勤務区分と異なる書類にチェックがあります",IF(AND(C18="部分休業",TRUE),"✓",""))))</f>
        <v/>
      </c>
    </row>
    <row r="49" ht="24" customHeight="1" s="225">
      <c r="B49" s="235" t="inlineStr">
        <is>
          <t>【部分休業】出勤簿（写）</t>
        </is>
      </c>
      <c r="C49" s="242" t="n"/>
      <c r="D49" s="329" t="n"/>
      <c r="K49" s="235">
        <f>IF(C18="","",IF(AND(C18="部分休業",TRUE,C49&lt;&gt;"✓"),"✕ 必要な書類です。用意して ✓ を選んでください",IF(AND(C18&lt;&gt;"部分休業",C49="✓"),"△ 選んだ勤務区分と異なる書類にチェックがあります",IF(AND(C18="部分休業",TRUE),"✓",""))))</f>
        <v/>
      </c>
    </row>
    <row r="50" ht="24" customHeight="1" s="225">
      <c r="B50" s="235" t="inlineStr">
        <is>
          <t>【部分休業】支給明細書（写）</t>
        </is>
      </c>
      <c r="C50" s="242" t="n"/>
      <c r="D50" s="329" t="n"/>
      <c r="K50" s="235">
        <f>IF(C18="","",IF(AND(C18="部分休業",TRUE,C50&lt;&gt;"✓"),"✕ 必要な書類です。用意して ✓ を選んでください",IF(AND(C18&lt;&gt;"部分休業",C50="✓"),"△ 選んだ勤務区分と異なる書類にチェックがあります",IF(AND(C18="部分休業",TRUE),"✓",""))))</f>
        <v/>
      </c>
    </row>
    <row r="51" ht="30" customHeight="1" s="225">
      <c r="B51" s="235" t="inlineStr">
        <is>
          <t>【部分休業】通勤手当一括支給の額がわかる支給明細書（写）</t>
        </is>
      </c>
      <c r="C51" s="242" t="n"/>
      <c r="D51" s="329" t="n"/>
      <c r="K51" s="235">
        <f>IF(C18="","",IF(AND(C18="部分休業",C31="数か月分一括支給",C51&lt;&gt;"✓"),"✕ 必要な書類です。用意して ✓ を選んでください",IF(AND(C18&lt;&gt;"部分休業",C51="✓"),"△ 選んだ勤務区分と異なる書類にチェックがあります",IF(AND(C18="部分休業",C31="数か月分一括支給"),"✓",""))))</f>
        <v/>
      </c>
    </row>
    <row r="52" ht="24" customHeight="1" s="225">
      <c r="B52" s="235" t="inlineStr">
        <is>
          <t>【部分休業】母子手帳等（写）（初回のみ）</t>
        </is>
      </c>
      <c r="C52" s="242" t="n"/>
      <c r="D52" s="329" t="n"/>
      <c r="K52" s="235">
        <f>IF(C18="","",IF(AND(C18="部分休業",C19="初回請求",C52&lt;&gt;"✓"),"✕ 必要な書類です。用意して ✓ を選んでください",IF(AND(C18&lt;&gt;"部分休業",C52="✓"),"△ 選んだ勤務区分と異なる書類にチェックがあります",IF(AND(C18="部分休業",C19="初回請求"),"✓",""))))</f>
        <v/>
      </c>
    </row>
    <row r="53" ht="20" customHeight="1" s="225">
      <c r="B53" s="234" t="inlineStr">
        <is>
          <t>⑧ 標準報酬月額（育児時短勤務開始時）</t>
        </is>
      </c>
    </row>
    <row r="54" ht="24" customHeight="1" s="225">
      <c r="B54" s="235" t="inlineStr">
        <is>
          <t>標準報酬月額の等級（第　級）</t>
        </is>
      </c>
      <c r="C54" s="242" t="n">
        <v>22</v>
      </c>
      <c r="D54" s="329" t="n"/>
      <c r="E54" s="239" t="inlineStr">
        <is>
          <t>級</t>
        </is>
      </c>
      <c r="K54" s="235">
        <f>IF(C54="","✕ 未入力です",IF(NOT(ISNUMBER(C54)),"✕ 数字で入力してください","✓"))</f>
        <v/>
      </c>
      <c r="L54" s="238" t="inlineStr">
        <is>
          <t>育児時短勤務を始めた時点の等級（令和7年4月以前から継続の場合は令和7年4月時点）</t>
        </is>
      </c>
    </row>
    <row r="55" ht="24" customHeight="1" s="225">
      <c r="B55" s="235" t="inlineStr">
        <is>
          <t>標準報酬月額（円）</t>
        </is>
      </c>
      <c r="C55" s="248" t="n">
        <v>300000</v>
      </c>
      <c r="D55" s="328" t="n"/>
      <c r="E55" s="328" t="n"/>
      <c r="F55" s="328" t="n"/>
      <c r="G55" s="328" t="n"/>
      <c r="H55" s="329" t="n"/>
      <c r="I55" s="239" t="inlineStr">
        <is>
          <t>円</t>
        </is>
      </c>
      <c r="K55" s="235">
        <f>IF(C55="","✕ 未入力です",IF(NOT(ISNUMBER(C55)),"✕ 数字で入力してください",IF(MOD(N(C55),1000)&lt;&gt;0,"△ 標準報酬月額は通常1,000円単位です。確認してください",IF(AND(ISNUMBER(C28),ISNUMBER(C55),C28&gt;=C55),"△ 報酬額が標準報酬月額以上のため、手当金は支給されません（参考判定：×）","✓"))))</f>
        <v/>
      </c>
      <c r="L55" s="238" t="inlineStr">
        <is>
          <t>例：300,000。給与明細・共済組合の通知等で確認</t>
        </is>
      </c>
    </row>
    <row r="56" ht="24" customHeight="1" s="225">
      <c r="B56" s="235" t="inlineStr">
        <is>
          <t>【参考】判定（自動）</t>
        </is>
      </c>
      <c r="C56" s="249">
        <f>IF(OR(NOT(ISNUMBER(C28)),NOT(ISNUMBER(C55))),"",IF(C28&gt;=C55,"× 支給なし",IF(C28&gt;=C55*0.9,"△ 逓減","○ 報酬額×10%")))</f>
        <v/>
      </c>
      <c r="K56" s="235" t="n"/>
      <c r="L56" s="238" t="inlineStr">
        <is>
          <t>参考表示です（請求書には印字されません）。標準報酬月額の90%未満→○、90〜100%→△、100%以上→×</t>
        </is>
      </c>
    </row>
    <row r="57" ht="24" customHeight="1" s="225">
      <c r="B57" s="235" t="inlineStr">
        <is>
          <t>【参考】決定額の目安（円）（自動）</t>
        </is>
      </c>
      <c r="C57" s="250">
        <f>IF(N57="","",N57)</f>
        <v/>
      </c>
      <c r="K57" s="235" t="n"/>
      <c r="L57" s="238" t="inlineStr">
        <is>
          <t>参考表示です。最低限度額2,411円以下は0円。支給額は共済組合が確定します</t>
        </is>
      </c>
      <c r="N57" s="0">
        <f>IF(OR(NOT(ISNUMBER(C28)),NOT(ISNUMBER(C55))),"",IF(C28&gt;=C55,0,IF(C28&gt;=C55*0.9,IF(ROUNDDOWN(C28*ROUND((9*C55-9*C28)/(10*C28),4),0)&lt;=2411,0,ROUNDDOWN(C28*ROUND((9*C55-9*C28)/(10*C28),4),0)),IF(ROUNDDOWN(C28*0.1,0)&lt;=2411,0,ROUNDDOWN(C28*0.1,0)))))</f>
        <v/>
      </c>
    </row>
  </sheetData>
  <sheetProtection selectLockedCells="0" selectUnlockedCells="0" sheet="1" objects="0" insertRows="1" insertHyperlinks="1" autoFilter="1" scenarios="0" formatColumns="0" deleteColumns="1" insertColumns="1" pivotTables="1" deleteRows="1" formatCells="1" formatRows="1" sort="1"/>
  <mergeCells count="47">
    <mergeCell ref="C34:D34"/>
    <mergeCell ref="C55:H55"/>
    <mergeCell ref="F9:I9"/>
    <mergeCell ref="C33:D33"/>
    <mergeCell ref="C39:I39"/>
    <mergeCell ref="B3:L3"/>
    <mergeCell ref="C45:D45"/>
    <mergeCell ref="C38:I38"/>
    <mergeCell ref="C56:H56"/>
    <mergeCell ref="B27:L27"/>
    <mergeCell ref="C19:I19"/>
    <mergeCell ref="C29:D29"/>
    <mergeCell ref="C18:I18"/>
    <mergeCell ref="C47:D47"/>
    <mergeCell ref="C54:D54"/>
    <mergeCell ref="B2:L2"/>
    <mergeCell ref="C50:D50"/>
    <mergeCell ref="C44:D44"/>
    <mergeCell ref="C6:I6"/>
    <mergeCell ref="B42:L42"/>
    <mergeCell ref="C9:D9"/>
    <mergeCell ref="C15:I15"/>
    <mergeCell ref="B14:L14"/>
    <mergeCell ref="B17:L17"/>
    <mergeCell ref="B8:L8"/>
    <mergeCell ref="C43:D43"/>
    <mergeCell ref="C12:D12"/>
    <mergeCell ref="C32:H32"/>
    <mergeCell ref="B53:L53"/>
    <mergeCell ref="C46:D46"/>
    <mergeCell ref="C57:H57"/>
    <mergeCell ref="C28:H28"/>
    <mergeCell ref="C51:D51"/>
    <mergeCell ref="C10:I10"/>
    <mergeCell ref="C16:I16"/>
    <mergeCell ref="C52:D52"/>
    <mergeCell ref="C48:D48"/>
    <mergeCell ref="C25:I25"/>
    <mergeCell ref="C30:H30"/>
    <mergeCell ref="C41:I41"/>
    <mergeCell ref="C31:I31"/>
    <mergeCell ref="C40:I40"/>
    <mergeCell ref="B5:L5"/>
    <mergeCell ref="C35:H35"/>
    <mergeCell ref="B36:L36"/>
    <mergeCell ref="C11:I11"/>
    <mergeCell ref="C49:D49"/>
  </mergeCells>
  <conditionalFormatting sqref="C6:I57">
    <cfRule type="expression" priority="1" dxfId="0">
      <formula>LEFT($K6,1)="✕"</formula>
    </cfRule>
  </conditionalFormatting>
  <conditionalFormatting sqref="K6:K57">
    <cfRule type="expression" priority="2" dxfId="1">
      <formula>LEFT($K6,1)="✕"</formula>
    </cfRule>
    <cfRule type="expression" priority="3" dxfId="2">
      <formula>LEFT($K6,1)="△"</formula>
    </cfRule>
    <cfRule type="expression" priority="4" dxfId="3">
      <formula>LEFT($K6,1)="✓"</formula>
    </cfRule>
  </conditionalFormatting>
  <conditionalFormatting sqref="B43:I47">
    <cfRule type="expression" priority="5" dxfId="4">
      <formula>$C$18="部分休業"</formula>
    </cfRule>
  </conditionalFormatting>
  <conditionalFormatting sqref="B48:I52">
    <cfRule type="expression" priority="6" dxfId="4">
      <formula>$C$18="育児短時間勤務"</formula>
    </cfRule>
  </conditionalFormatting>
  <conditionalFormatting sqref="B2:L2">
    <cfRule type="expression" priority="7" dxfId="5">
      <formula>LEFT($B$2,1)="✕"</formula>
    </cfRule>
    <cfRule type="expression" priority="8" dxfId="6">
      <formula>LEFT($B$2,1)="△"</formula>
    </cfRule>
    <cfRule type="expression" priority="9" dxfId="7">
      <formula>LEFT($B$2,1)="✓"</formula>
    </cfRule>
  </conditionalFormatting>
  <dataValidations count="38">
    <dataValidation sqref="C6" showDropDown="0" showInputMessage="0" showErrorMessage="1" allowBlank="0" errorTitle="入力エラー" error="職員番号は数字だけで入力してください。" type="whole" errorStyle="stop" operator="between">
      <formula1>1</formula1>
      <formula2>99999999</formula2>
    </dataValidation>
    <dataValidation sqref="D7" showDropDown="0" showInputMessage="0" showErrorMessage="1" allowBlank="0" errorTitle="入力エラー" error="令和7〜30の数字で入力してください。" type="whole" errorStyle="stop" operator="between">
      <formula1>7</formula1>
      <formula2>30</formula2>
    </dataValidation>
    <dataValidation sqref="F7" showDropDown="0" showInputMessage="0" showErrorMessage="1" allowBlank="0" errorTitle="入力エラー" error="月は1〜12の数字で入力してください。" type="whole" errorStyle="stop" operator="between">
      <formula1>1</formula1>
      <formula2>12</formula2>
    </dataValidation>
    <dataValidation sqref="C12" showDropDown="0" showInputMessage="0" showErrorMessage="1" allowBlank="0" errorTitle="入力エラー" error="「女」か「男」を選んでください。" type="list" errorStyle="stop">
      <formula1>"女,男"</formula1>
    </dataValidation>
    <dataValidation sqref="C13" showDropDown="0" showInputMessage="0" showErrorMessage="1" allowBlank="0" errorTitle="入力エラー" error="「昭和」か「平成」を選んでください。" type="list" errorStyle="stop">
      <formula1>"昭和,平成"</formula1>
    </dataValidation>
    <dataValidation sqref="D13" showDropDown="0" showInputMessage="0" showErrorMessage="1" allowBlank="0" errorTitle="入力エラー" error="年は1〜64の数字で入力してください。" type="whole" errorStyle="stop" operator="between">
      <formula1>1</formula1>
      <formula2>64</formula2>
    </dataValidation>
    <dataValidation sqref="F13" showDropDown="0" showInputMessage="0" showErrorMessage="1" allowBlank="0" errorTitle="入力エラー" error="月は1〜12の数字で入力してください。" type="whole" errorStyle="stop" operator="between">
      <formula1>1</formula1>
      <formula2>12</formula2>
    </dataValidation>
    <dataValidation sqref="H13" showDropDown="0" showInputMessage="0" showErrorMessage="1" allowBlank="0" errorTitle="入力エラー" error="日は1〜31の数字で入力してください。" type="whole" errorStyle="stop" operator="between">
      <formula1>1</formula1>
      <formula2>31</formula2>
    </dataValidation>
    <dataValidation sqref="C18" showDropDown="0" showInputMessage="0" showErrorMessage="1" allowBlank="0" errorTitle="入力エラー" error="一覧から選んでください。" type="list" errorStyle="stop">
      <formula1>"育児短時間勤務,部分休業"</formula1>
    </dataValidation>
    <dataValidation sqref="C19" showDropDown="0" showInputMessage="0" showErrorMessage="1" allowBlank="0" errorTitle="入力エラー" error="一覧から選んでください。" type="list" errorStyle="stop">
      <formula1>"初回請求,2回目以降"</formula1>
    </dataValidation>
    <dataValidation sqref="D20" showDropDown="0" showInputMessage="0" showErrorMessage="1" allowBlank="0" errorTitle="入力エラー" error="年は1〜30の数字で入力してください。" type="whole" errorStyle="stop" operator="between">
      <formula1>1</formula1>
      <formula2>30</formula2>
    </dataValidation>
    <dataValidation sqref="F20" showDropDown="0" showInputMessage="0" showErrorMessage="1" allowBlank="0" errorTitle="入力エラー" error="月は1〜12の数字で入力してください。" type="whole" errorStyle="stop" operator="between">
      <formula1>1</formula1>
      <formula2>12</formula2>
    </dataValidation>
    <dataValidation sqref="H20" showDropDown="0" showInputMessage="0" showErrorMessage="1" allowBlank="0" errorTitle="入力エラー" error="日は1〜31の数字で入力してください。" type="whole" errorStyle="stop" operator="between">
      <formula1>1</formula1>
      <formula2>31</formula2>
    </dataValidation>
    <dataValidation sqref="D21" showDropDown="0" showInputMessage="0" showErrorMessage="1" allowBlank="0" errorTitle="入力エラー" error="年は1〜30の数字で入力してください。" type="whole" errorStyle="stop" operator="between">
      <formula1>1</formula1>
      <formula2>30</formula2>
    </dataValidation>
    <dataValidation sqref="F21" showDropDown="0" showInputMessage="0" showErrorMessage="1" allowBlank="0" errorTitle="入力エラー" error="月は1〜12の数字で入力してください。" type="whole" errorStyle="stop" operator="between">
      <formula1>1</formula1>
      <formula2>12</formula2>
    </dataValidation>
    <dataValidation sqref="H21" showDropDown="0" showInputMessage="0" showErrorMessage="1" allowBlank="0" errorTitle="入力エラー" error="日は1〜31の数字で入力してください。" type="whole" errorStyle="stop" operator="between">
      <formula1>1</formula1>
      <formula2>31</formula2>
    </dataValidation>
    <dataValidation sqref="D22" showDropDown="0" showInputMessage="0" showErrorMessage="1" allowBlank="0" errorTitle="入力エラー" error="年は1〜30の数字で入力してください。" type="whole" errorStyle="stop" operator="between">
      <formula1>1</formula1>
      <formula2>30</formula2>
    </dataValidation>
    <dataValidation sqref="F22" showDropDown="0" showInputMessage="0" showErrorMessage="1" allowBlank="0" errorTitle="入力エラー" error="月は1〜12の数字で入力してください。" type="whole" errorStyle="stop" operator="between">
      <formula1>1</formula1>
      <formula2>12</formula2>
    </dataValidation>
    <dataValidation sqref="H22" showDropDown="0" showInputMessage="0" showErrorMessage="1" allowBlank="0" errorTitle="入力エラー" error="日は1〜31の数字で入力してください。" type="whole" errorStyle="stop" operator="between">
      <formula1>1</formula1>
      <formula2>31</formula2>
    </dataValidation>
    <dataValidation sqref="D26" showDropDown="0" showInputMessage="0" showErrorMessage="1" allowBlank="0" errorTitle="入力エラー" error="年は1〜30の数字で入力してください。" type="whole" errorStyle="stop" operator="between">
      <formula1>1</formula1>
      <formula2>30</formula2>
    </dataValidation>
    <dataValidation sqref="F26" showDropDown="0" showInputMessage="0" showErrorMessage="1" allowBlank="0" errorTitle="入力エラー" error="月は1〜12の数字で入力してください。" type="whole" errorStyle="stop" operator="between">
      <formula1>1</formula1>
      <formula2>12</formula2>
    </dataValidation>
    <dataValidation sqref="H26" showDropDown="0" showInputMessage="0" showErrorMessage="1" allowBlank="0" errorTitle="入力エラー" error="日は1〜31の数字で入力してください。" type="whole" errorStyle="stop" operator="between">
      <formula1>1</formula1>
      <formula2>31</formula2>
    </dataValidation>
    <dataValidation sqref="C29" showDropDown="0" showInputMessage="0" showErrorMessage="1" allowBlank="0" errorTitle="入力エラー" error="「有」か「無」を選んでください。" type="list" errorStyle="stop">
      <formula1>"有,無"</formula1>
    </dataValidation>
    <dataValidation sqref="D37" showDropDown="0" showInputMessage="0" showErrorMessage="1" allowBlank="0" errorTitle="入力エラー" error="年は1〜30の数字で入力してください。" type="whole" errorStyle="stop" operator="between">
      <formula1>1</formula1>
      <formula2>30</formula2>
    </dataValidation>
    <dataValidation sqref="F37" showDropDown="0" showInputMessage="0" showErrorMessage="1" allowBlank="0" errorTitle="入力エラー" error="月は1〜12の数字で入力してください。" type="whole" errorStyle="stop" operator="between">
      <formula1>1</formula1>
      <formula2>12</formula2>
    </dataValidation>
    <dataValidation sqref="H37" showDropDown="0" showInputMessage="0" showErrorMessage="1" allowBlank="0" errorTitle="入力エラー" error="日は1〜31の数字で入力してください。" type="whole" errorStyle="stop" operator="between">
      <formula1>1</formula1>
      <formula2>31</formula2>
    </dataValidation>
    <dataValidation sqref="C43" showDropDown="0" showInputMessage="0" showErrorMessage="1" allowBlank="0" errorTitle="入力エラー" error="✓ を選ぶか、空欄にしてください。" type="list" errorStyle="stop">
      <formula1>"✓"</formula1>
    </dataValidation>
    <dataValidation sqref="C44" showDropDown="0" showInputMessage="0" showErrorMessage="1" allowBlank="0" errorTitle="入力エラー" error="✓ を選ぶか、空欄にしてください。" type="list" errorStyle="stop">
      <formula1>"✓"</formula1>
    </dataValidation>
    <dataValidation sqref="C45" showDropDown="0" showInputMessage="0" showErrorMessage="1" allowBlank="0" errorTitle="入力エラー" error="✓ を選ぶか、空欄にしてください。" type="list" errorStyle="stop">
      <formula1>"✓"</formula1>
    </dataValidation>
    <dataValidation sqref="C46" showDropDown="0" showInputMessage="0" showErrorMessage="1" allowBlank="0" errorTitle="入力エラー" error="✓ を選ぶか、空欄にしてください。" type="list" errorStyle="stop">
      <formula1>"✓"</formula1>
    </dataValidation>
    <dataValidation sqref="C47" showDropDown="0" showInputMessage="0" showErrorMessage="1" allowBlank="0" errorTitle="入力エラー" error="✓ を選ぶか、空欄にしてください。" type="list" errorStyle="stop">
      <formula1>"✓"</formula1>
    </dataValidation>
    <dataValidation sqref="C48" showDropDown="0" showInputMessage="0" showErrorMessage="1" allowBlank="0" errorTitle="入力エラー" error="✓ を選ぶか、空欄にしてください。" type="list" errorStyle="stop">
      <formula1>"✓"</formula1>
    </dataValidation>
    <dataValidation sqref="C49" showDropDown="0" showInputMessage="0" showErrorMessage="1" allowBlank="0" errorTitle="入力エラー" error="✓ を選ぶか、空欄にしてください。" type="list" errorStyle="stop">
      <formula1>"✓"</formula1>
    </dataValidation>
    <dataValidation sqref="C50" showDropDown="0" showInputMessage="0" showErrorMessage="1" allowBlank="0" errorTitle="入力エラー" error="✓ を選ぶか、空欄にしてください。" type="list" errorStyle="stop">
      <formula1>"✓"</formula1>
    </dataValidation>
    <dataValidation sqref="C51" showDropDown="0" showInputMessage="0" showErrorMessage="1" allowBlank="0" errorTitle="入力エラー" error="✓ を選ぶか、空欄にしてください。" type="list" errorStyle="stop">
      <formula1>"✓"</formula1>
    </dataValidation>
    <dataValidation sqref="C52" showDropDown="0" showInputMessage="0" showErrorMessage="1" allowBlank="0" errorTitle="入力エラー" error="✓ を選ぶか、空欄にしてください。" type="list" errorStyle="stop">
      <formula1>"✓"</formula1>
    </dataValidation>
    <dataValidation sqref="C54" showDropDown="0" showInputMessage="0" showErrorMessage="1" allowBlank="0" errorTitle="入力エラー" error="等級は数字（整数）で入力してください。" type="whole" errorStyle="stop" operator="between">
      <formula1>1</formula1>
      <formula2>99</formula2>
    </dataValidation>
    <dataValidation sqref="C55" showDropDown="0" showInputMessage="0" showErrorMessage="1" allowBlank="0" errorTitle="入力エラー" error="円の数字（整数）で入力してください。" type="whole" errorStyle="stop" operator="between">
      <formula1>1</formula1>
      <formula2>99999999</formula2>
    </dataValidation>
  </dataValidations>
  <pageMargins left="0.75" right="0.75" top="1" bottom="1" header="0.5" footer="0.5"/>
  <pageSetup orientation="landscape" fitToHeight="0"/>
  <drawing xmlns:r="http://schemas.openxmlformats.org/officeDocument/2006/relationships" r:id="rIdBtn1"/>
</worksheet>
</file>

<file path=xl/worksheets/sheet3.xml><?xml version="1.0" encoding="utf-8"?>
<worksheet xmlns="http://schemas.openxmlformats.org/spreadsheetml/2006/main">
  <sheetPr>
    <outlinePr summaryBelow="1" summaryRight="1"/>
    <pageSetUpPr fitToPage="1"/>
  </sheetPr>
  <dimension ref="A1:K54"/>
  <sheetViews>
    <sheetView showGridLines="0" workbookViewId="0">
      <selection activeCell="A1" sqref="A1"/>
    </sheetView>
  </sheetViews>
  <sheetFormatPr baseColWidth="8" defaultRowHeight="15"/>
  <cols>
    <col width="12" customWidth="1" style="225" min="1" max="1"/>
    <col width="15" customWidth="1" style="225" min="2" max="2"/>
    <col width="15" customWidth="1" style="225" min="3" max="3"/>
    <col width="15" customWidth="1" style="225" min="4" max="4"/>
    <col width="15" customWidth="1" style="225" min="5" max="5"/>
    <col width="15" customWidth="1" style="225" min="6" max="6"/>
    <col width="15" customWidth="1" style="225" min="7" max="7"/>
    <col width="15" customWidth="1" style="225" min="8" max="8"/>
    <col width="15" customWidth="1" style="225" min="9" max="9"/>
    <col hidden="1" width="13" customWidth="1" style="225" min="11" max="11"/>
  </cols>
  <sheetData>
    <row r="1">
      <c r="A1" s="251" t="inlineStr">
        <is>
          <t>給与明細（支給対象月に支払われた報酬の額の計算）</t>
        </is>
      </c>
    </row>
    <row r="2" ht="28" customHeight="1" s="225">
      <c r="A2" s="252" t="inlineStr">
        <is>
          <t>支給明細書の金額を黄色いセルへ転記してください。下の「報酬額の計算」で、期末手当・勤勉手当・給与改定差額を除き、通勤手当は明細の額を控除して1か月当たりの額（複数月分の場合は月割）を加えた額が、「入力」シートの報酬額に自動で入ります。</t>
        </is>
      </c>
    </row>
    <row r="4">
      <c r="A4" s="253" t="inlineStr">
        <is>
          <t>支給年月</t>
        </is>
      </c>
      <c r="B4" s="254">
        <f>IF(入力!D7="","","令和 "&amp;入力!D7&amp;" 年 "&amp;入力!F7&amp;" 月")</f>
        <v/>
      </c>
      <c r="C4" s="330" t="n"/>
      <c r="D4" s="331" t="n"/>
    </row>
    <row r="5">
      <c r="A5" s="253" t="inlineStr">
        <is>
          <t>所属</t>
        </is>
      </c>
      <c r="B5" s="254">
        <f>IF(入力!C15="","",入力!C15)</f>
        <v/>
      </c>
      <c r="C5" s="330" t="n"/>
      <c r="D5" s="331" t="n"/>
      <c r="F5" s="256" t="inlineStr">
        <is>
          <t>支給明細書</t>
        </is>
      </c>
    </row>
    <row r="6">
      <c r="A6" s="253" t="inlineStr">
        <is>
          <t>氏名</t>
        </is>
      </c>
      <c r="B6" s="254">
        <f>IF(入力!C11="","",TEXT(入力!C6,"0")&amp;"　　"&amp;入力!C11)</f>
        <v/>
      </c>
      <c r="C6" s="330" t="n"/>
      <c r="D6" s="331" t="n"/>
    </row>
    <row r="8" ht="15" customHeight="1" s="225">
      <c r="A8" s="257" t="inlineStr">
        <is>
          <t>差引支給額の内訳</t>
        </is>
      </c>
      <c r="B8" s="258" t="inlineStr">
        <is>
          <t>第一口座振込額</t>
        </is>
      </c>
      <c r="C8" s="258" t="inlineStr">
        <is>
          <t>第二口座振込額</t>
        </is>
      </c>
      <c r="D8" s="258" t="inlineStr">
        <is>
          <t>現金支給額</t>
        </is>
      </c>
      <c r="E8" s="258" t="inlineStr">
        <is>
          <t>第三口座振込額</t>
        </is>
      </c>
      <c r="F8" s="258" t="inlineStr">
        <is>
          <t>差引現金支給額</t>
        </is>
      </c>
    </row>
    <row r="9" ht="24" customHeight="1" s="225">
      <c r="A9" s="332" t="n"/>
      <c r="B9" s="259">
        <f>IF(B12=0,"",D12-N(C9)-N(D9)-N(E9))</f>
        <v/>
      </c>
      <c r="C9" s="260" t="n"/>
      <c r="D9" s="260" t="n"/>
      <c r="E9" s="259">
        <f>IF(SUM(B29:I29)=0,"",SUM(B29:I29))</f>
        <v/>
      </c>
      <c r="F9" s="259" t="n"/>
    </row>
    <row r="11" ht="15" customHeight="1" s="225">
      <c r="B11" s="258" t="inlineStr">
        <is>
          <t>総支給額</t>
        </is>
      </c>
      <c r="C11" s="258" t="inlineStr">
        <is>
          <t>法定控除金合計</t>
        </is>
      </c>
      <c r="D11" s="258" t="inlineStr">
        <is>
          <t>差引支給額</t>
        </is>
      </c>
      <c r="E11" s="258" t="inlineStr">
        <is>
          <t>給与計（非課税）</t>
        </is>
      </c>
      <c r="F11" s="258" t="inlineStr">
        <is>
          <t>給与計（課税）</t>
        </is>
      </c>
      <c r="G11" s="258" t="inlineStr">
        <is>
          <t>社会保険料計</t>
        </is>
      </c>
      <c r="H11" s="258" t="inlineStr">
        <is>
          <t>課税対象額</t>
        </is>
      </c>
    </row>
    <row r="12" ht="24" customHeight="1" s="225">
      <c r="B12" s="259">
        <f>SUM(B15:I15,B17:I17,B19:I19)</f>
        <v/>
      </c>
      <c r="C12" s="259">
        <f>SUM(B23:I23,B25:I25)</f>
        <v/>
      </c>
      <c r="D12" s="259">
        <f>B12-C12</f>
        <v/>
      </c>
      <c r="E12" s="259">
        <f>N(F15)</f>
        <v/>
      </c>
      <c r="F12" s="259">
        <f>B12-E12</f>
        <v/>
      </c>
      <c r="G12" s="259">
        <f>SUM(D23:H23)</f>
        <v/>
      </c>
      <c r="H12" s="259">
        <f>F12-G12</f>
        <v/>
      </c>
    </row>
    <row r="14" ht="15" customHeight="1" s="225">
      <c r="A14" s="261" t="inlineStr">
        <is>
          <t>総支給額の内訳</t>
        </is>
      </c>
      <c r="B14" s="258" t="inlineStr">
        <is>
          <t>給料</t>
        </is>
      </c>
      <c r="C14" s="258" t="inlineStr">
        <is>
          <t>地域手当</t>
        </is>
      </c>
      <c r="D14" s="258" t="inlineStr">
        <is>
          <t>扶養手当</t>
        </is>
      </c>
      <c r="E14" s="258" t="inlineStr">
        <is>
          <t>住居手当</t>
        </is>
      </c>
      <c r="F14" s="258" t="inlineStr">
        <is>
          <t>通勤手当（非）</t>
        </is>
      </c>
      <c r="G14" s="258" t="inlineStr">
        <is>
          <t>単身赴任手当</t>
        </is>
      </c>
      <c r="H14" s="258" t="inlineStr">
        <is>
          <t>管理職手当</t>
        </is>
      </c>
      <c r="I14" s="258" t="inlineStr">
        <is>
          <t>初任給調整手当</t>
        </is>
      </c>
    </row>
    <row r="15" ht="24" customHeight="1" s="225">
      <c r="A15" s="333" t="n"/>
      <c r="B15" s="260" t="n">
        <v>190000</v>
      </c>
      <c r="C15" s="260" t="n">
        <v>15200</v>
      </c>
      <c r="D15" s="260" t="n"/>
      <c r="E15" s="260" t="n">
        <v>12000</v>
      </c>
      <c r="F15" s="260" t="n">
        <v>0</v>
      </c>
      <c r="G15" s="260" t="n"/>
      <c r="H15" s="260" t="n"/>
      <c r="I15" s="260" t="n"/>
    </row>
    <row r="16" ht="15" customHeight="1" s="225">
      <c r="A16" s="333" t="n"/>
      <c r="B16" s="258" t="inlineStr">
        <is>
          <t>特殊勤務手当</t>
        </is>
      </c>
      <c r="C16" s="258" t="inlineStr">
        <is>
          <t>時間外勤務手当</t>
        </is>
      </c>
      <c r="D16" s="258" t="inlineStr">
        <is>
          <t>休日勤務手当</t>
        </is>
      </c>
      <c r="E16" s="258" t="inlineStr">
        <is>
          <t>夜間勤務手当</t>
        </is>
      </c>
      <c r="F16" s="258" t="inlineStr">
        <is>
          <t>宿日直手当</t>
        </is>
      </c>
      <c r="G16" s="258" t="inlineStr">
        <is>
          <t>管理職員特別勤務手当</t>
        </is>
      </c>
      <c r="H16" s="258" t="inlineStr">
        <is>
          <t>へき地手当</t>
        </is>
      </c>
      <c r="I16" s="258" t="inlineStr">
        <is>
          <t>産業教育手当</t>
        </is>
      </c>
    </row>
    <row r="17" ht="24" customHeight="1" s="225">
      <c r="A17" s="333" t="n"/>
      <c r="B17" s="260" t="n"/>
      <c r="C17" s="260" t="n">
        <v>4100</v>
      </c>
      <c r="D17" s="260" t="n"/>
      <c r="E17" s="260" t="n"/>
      <c r="F17" s="260" t="n"/>
      <c r="G17" s="260" t="n"/>
      <c r="H17" s="260" t="n"/>
      <c r="I17" s="260" t="n"/>
    </row>
    <row r="18" ht="15" customHeight="1" s="225">
      <c r="A18" s="333" t="n"/>
      <c r="B18" s="258" t="inlineStr">
        <is>
          <t>定時制通信教育手当</t>
        </is>
      </c>
      <c r="C18" s="258" t="inlineStr">
        <is>
          <t>義務教育等教員特別手当</t>
        </is>
      </c>
      <c r="D18" s="258" t="inlineStr">
        <is>
          <t>期末手当</t>
        </is>
      </c>
      <c r="E18" s="258" t="inlineStr">
        <is>
          <t>勤勉手当</t>
        </is>
      </c>
      <c r="F18" s="258" t="inlineStr">
        <is>
          <t>給与改定差額</t>
        </is>
      </c>
      <c r="G18" s="262" t="inlineStr">
        <is>
          <t>その他（手当名を入力）</t>
        </is>
      </c>
      <c r="H18" s="262" t="inlineStr">
        <is>
          <t>その他（手当名を入力）</t>
        </is>
      </c>
      <c r="I18" s="262" t="inlineStr">
        <is>
          <t>その他（手当名を入力）</t>
        </is>
      </c>
    </row>
    <row r="19" ht="24" customHeight="1" s="225">
      <c r="A19" s="332" t="n"/>
      <c r="B19" s="260" t="n"/>
      <c r="C19" s="260" t="n"/>
      <c r="D19" s="260" t="n"/>
      <c r="E19" s="260" t="n"/>
      <c r="F19" s="260" t="n"/>
      <c r="G19" s="260" t="n"/>
      <c r="H19" s="260" t="n"/>
      <c r="I19" s="260" t="n"/>
    </row>
    <row r="20">
      <c r="A20" s="263" t="inlineStr">
        <is>
          <t>↑その他の扱い</t>
        </is>
      </c>
      <c r="B20" s="264" t="inlineStr">
        <is>
          <t>※期末手当・勤勉手当・給与改定差額は自動で報酬額から除きます。その他の手当は「含める」「含めない」を選びます（空欄＝含める）。</t>
        </is>
      </c>
      <c r="G20" s="265" t="n"/>
      <c r="H20" s="265" t="n"/>
      <c r="I20" s="265" t="n"/>
    </row>
    <row r="22" ht="15" customHeight="1" s="225">
      <c r="A22" s="261" t="inlineStr">
        <is>
          <t>法定控除金の内訳</t>
        </is>
      </c>
      <c r="B22" s="258" t="inlineStr">
        <is>
          <t>所得税</t>
        </is>
      </c>
      <c r="C22" s="258" t="inlineStr">
        <is>
          <t>住民税</t>
        </is>
      </c>
      <c r="D22" s="258" t="inlineStr">
        <is>
          <t>共済短期掛金</t>
        </is>
      </c>
      <c r="E22" s="258" t="inlineStr">
        <is>
          <t>共済子ども支援</t>
        </is>
      </c>
      <c r="F22" s="258" t="inlineStr">
        <is>
          <t>共済厚生年金掛金</t>
        </is>
      </c>
      <c r="G22" s="258" t="inlineStr">
        <is>
          <t>共済退職等年金</t>
        </is>
      </c>
      <c r="H22" s="258" t="inlineStr">
        <is>
          <t>共済介護</t>
        </is>
      </c>
      <c r="I22" s="258" t="inlineStr">
        <is>
          <t>互助会掛金</t>
        </is>
      </c>
    </row>
    <row r="23" ht="24" customHeight="1" s="225">
      <c r="A23" s="333" t="n"/>
      <c r="B23" s="260" t="n">
        <v>3200</v>
      </c>
      <c r="C23" s="260" t="n">
        <v>12000</v>
      </c>
      <c r="D23" s="260" t="n">
        <v>11500</v>
      </c>
      <c r="E23" s="260" t="n">
        <v>250</v>
      </c>
      <c r="F23" s="260" t="n">
        <v>21000</v>
      </c>
      <c r="G23" s="260" t="n">
        <v>1720</v>
      </c>
      <c r="H23" s="260" t="n">
        <v>1820</v>
      </c>
      <c r="I23" s="260" t="n">
        <v>1233</v>
      </c>
    </row>
    <row r="24" ht="15" customHeight="1" s="225">
      <c r="A24" s="333" t="n"/>
      <c r="B24" s="262" t="inlineStr">
        <is>
          <t>（控除名）</t>
        </is>
      </c>
      <c r="C24" s="262" t="inlineStr">
        <is>
          <t>（控除名）</t>
        </is>
      </c>
      <c r="D24" s="262" t="inlineStr">
        <is>
          <t>（控除名）</t>
        </is>
      </c>
      <c r="E24" s="262" t="inlineStr">
        <is>
          <t>（控除名）</t>
        </is>
      </c>
      <c r="F24" s="262" t="inlineStr">
        <is>
          <t>（控除名）</t>
        </is>
      </c>
      <c r="G24" s="262" t="inlineStr">
        <is>
          <t>（控除名）</t>
        </is>
      </c>
      <c r="H24" s="262" t="inlineStr">
        <is>
          <t>（控除名）</t>
        </is>
      </c>
      <c r="I24" s="262" t="inlineStr">
        <is>
          <t>（控除名）</t>
        </is>
      </c>
    </row>
    <row r="25" ht="24" customHeight="1" s="225">
      <c r="A25" s="332" t="n"/>
      <c r="B25" s="260" t="n"/>
      <c r="C25" s="260" t="n"/>
      <c r="D25" s="260" t="n"/>
      <c r="E25" s="260" t="n"/>
      <c r="F25" s="260" t="n"/>
      <c r="G25" s="260" t="n"/>
      <c r="H25" s="260" t="n"/>
      <c r="I25" s="260" t="n"/>
    </row>
    <row r="27" ht="6" customHeight="1" s="225">
      <c r="A27" s="261" t="inlineStr">
        <is>
          <t>第三口座の内訳</t>
        </is>
      </c>
    </row>
    <row r="28" ht="15" customHeight="1" s="225">
      <c r="A28" s="333" t="n"/>
      <c r="B28" s="258" t="inlineStr">
        <is>
          <t>親睦会</t>
        </is>
      </c>
      <c r="C28" s="258" t="inlineStr">
        <is>
          <t>所属控除金手数料</t>
        </is>
      </c>
      <c r="D28" s="262" t="inlineStr">
        <is>
          <t>（項目名）</t>
        </is>
      </c>
      <c r="E28" s="262" t="inlineStr">
        <is>
          <t>（項目名）</t>
        </is>
      </c>
      <c r="F28" s="262" t="inlineStr">
        <is>
          <t>（項目名）</t>
        </is>
      </c>
      <c r="G28" s="262" t="inlineStr">
        <is>
          <t>（項目名）</t>
        </is>
      </c>
      <c r="H28" s="262" t="inlineStr">
        <is>
          <t>（項目名）</t>
        </is>
      </c>
      <c r="I28" s="262" t="inlineStr">
        <is>
          <t>（項目名）</t>
        </is>
      </c>
    </row>
    <row r="29" ht="24" customHeight="1" s="225">
      <c r="A29" s="332" t="n"/>
      <c r="B29" s="260" t="n">
        <v>3200</v>
      </c>
      <c r="C29" s="260" t="n">
        <v>33</v>
      </c>
      <c r="D29" s="260" t="n"/>
      <c r="E29" s="260" t="n"/>
      <c r="F29" s="260" t="n"/>
      <c r="G29" s="260" t="n"/>
      <c r="H29" s="260" t="n"/>
      <c r="I29" s="260" t="n"/>
    </row>
    <row r="31">
      <c r="A31" s="266" t="inlineStr">
        <is>
          <t>通勤手当（複数月分をまとめて支給されている場合のみ入力）</t>
        </is>
      </c>
      <c r="B31" s="330" t="n"/>
      <c r="C31" s="330" t="n"/>
      <c r="D31" s="330" t="n"/>
      <c r="E31" s="330" t="n"/>
      <c r="F31" s="330" t="n"/>
      <c r="G31" s="330" t="n"/>
      <c r="H31" s="330" t="n"/>
      <c r="I31" s="331" t="n"/>
    </row>
    <row r="32" ht="21" customHeight="1" s="225">
      <c r="A32" s="267" t="inlineStr">
        <is>
          <t>通勤手当の支給方法</t>
        </is>
      </c>
      <c r="B32" s="331" t="n"/>
      <c r="C32" s="268" t="inlineStr">
        <is>
          <t>数か月分一括支給</t>
        </is>
      </c>
      <c r="D32" s="330" t="n"/>
      <c r="E32" s="331" t="n"/>
      <c r="F32" s="264" t="inlineStr">
        <is>
          <t>「毎月支給」（空欄も同じ）なら、以下は入力不要です。明細の通勤手当を1か月分とみなします。</t>
        </is>
      </c>
    </row>
    <row r="33" ht="21" customHeight="1" s="225">
      <c r="A33" s="267" t="inlineStr">
        <is>
          <t>いつ支払われたか（明細の月）</t>
        </is>
      </c>
      <c r="B33" s="331" t="n"/>
      <c r="C33" s="269" t="inlineStr">
        <is>
          <t>令和</t>
        </is>
      </c>
      <c r="D33" s="270" t="n">
        <v>8</v>
      </c>
      <c r="E33" s="269" t="inlineStr">
        <is>
          <t>年</t>
        </is>
      </c>
      <c r="F33" s="270" t="n">
        <v>4</v>
      </c>
      <c r="G33" s="271" t="inlineStr">
        <is>
          <t>月に支給された</t>
        </is>
      </c>
      <c r="K33" s="0">
        <f>IF(COUNT(D33,F33)=2,DATE(D33+2018,F33,1),"")</f>
        <v/>
      </c>
    </row>
    <row r="34" ht="21" customHeight="1" s="225">
      <c r="A34" s="267" t="inlineStr">
        <is>
          <t>支給された額（円）</t>
        </is>
      </c>
      <c r="B34" s="331" t="n"/>
      <c r="C34" s="272" t="n">
        <v>18900</v>
      </c>
      <c r="D34" s="330" t="n"/>
      <c r="E34" s="331" t="n"/>
      <c r="F34" s="271" t="inlineStr">
        <is>
          <t>円</t>
        </is>
      </c>
      <c r="G34" s="264" t="inlineStr">
        <is>
          <t>支払われた月の明細に載っている通勤手当（非）の額</t>
        </is>
      </c>
    </row>
    <row r="35" ht="21" customHeight="1" s="225">
      <c r="A35" s="267" t="inlineStr">
        <is>
          <t>何月分から（対象期間の始め）</t>
        </is>
      </c>
      <c r="B35" s="331" t="n"/>
      <c r="C35" s="269" t="inlineStr">
        <is>
          <t>令和</t>
        </is>
      </c>
      <c r="D35" s="270" t="n">
        <v>8</v>
      </c>
      <c r="E35" s="269" t="inlineStr">
        <is>
          <t>年</t>
        </is>
      </c>
      <c r="F35" s="270" t="n">
        <v>4</v>
      </c>
      <c r="G35" s="271" t="inlineStr">
        <is>
          <t>月分から</t>
        </is>
      </c>
      <c r="K35" s="0">
        <f>IF(COUNT(D35,F35)=2,DATE(D35+2018,F35,1),"")</f>
        <v/>
      </c>
    </row>
    <row r="36" ht="21" customHeight="1" s="225">
      <c r="A36" s="267" t="inlineStr">
        <is>
          <t>何月分まで（対象期間の終わり）</t>
        </is>
      </c>
      <c r="B36" s="331" t="n"/>
      <c r="C36" s="269" t="inlineStr">
        <is>
          <t>令和</t>
        </is>
      </c>
      <c r="D36" s="270" t="n">
        <v>8</v>
      </c>
      <c r="E36" s="269" t="inlineStr">
        <is>
          <t>年</t>
        </is>
      </c>
      <c r="F36" s="270" t="n">
        <v>6</v>
      </c>
      <c r="G36" s="271" t="inlineStr">
        <is>
          <t>月分まで</t>
        </is>
      </c>
      <c r="K36" s="0">
        <f>IF(COUNT(D36,F36)=2,DATE(D36+2018,F36,1),"")</f>
        <v/>
      </c>
    </row>
    <row r="37" ht="21" customHeight="1" s="225">
      <c r="A37" s="267" t="inlineStr">
        <is>
          <t>自動計算</t>
        </is>
      </c>
      <c r="B37" s="331" t="n"/>
      <c r="C37" s="253" t="inlineStr">
        <is>
          <t>月数</t>
        </is>
      </c>
      <c r="D37" s="273">
        <f>IF(C32="数か月分一括支給",K37,"")</f>
        <v/>
      </c>
      <c r="E37" s="253" t="inlineStr">
        <is>
          <t>何か月目</t>
        </is>
      </c>
      <c r="F37" s="274">
        <f>IF(C32="数か月分一括支給",K38,"")</f>
        <v/>
      </c>
      <c r="G37" s="253" t="inlineStr">
        <is>
          <t>1か月当たり</t>
        </is>
      </c>
      <c r="H37" s="275">
        <f>IF(入力!C29&lt;&gt;"有",0,IF(C32="数か月分一括支給",IF(K39="","",K39),N(F15)))</f>
        <v/>
      </c>
      <c r="I37" s="271" t="inlineStr">
        <is>
          <t>円</t>
        </is>
      </c>
      <c r="K37" s="0">
        <f>IF(OR(K35="",K36=""),"",IF(K36&lt;K35,"",(YEAR(K36)-YEAR(K35))*12+MONTH(K36)-MONTH(K35)+1))</f>
        <v/>
      </c>
    </row>
    <row r="38">
      <c r="A38" s="276">
        <f>IF(入力!C29&lt;&gt;"有","",IF(C32&lt;&gt;"数か月分一括支給",IF(N(F15)=0,"✕ 通勤手当が「有」ですが、明細に通勤手当の額がありません。複数月分の場合は支給方法を選んでください",""),IF(COUNT(D33,F33,D35,F35,D36,F36)&lt;6,"✕ いつ支払われたか・対象期間（何月分から何月分まで）をすべて入力してください",IF(NOT(ISNUMBER(C34)),"✕ 支給された額を入力してください",IF(K36&lt;K35,"✕ 対象期間の終わりが、始めより前になっています",IF(OR(K38&lt;1,K38&gt;K37),"✕ 請求対象月が、通勤手当の対象期間の外です。対象期間を確認してください",IF(K37&lt;2,"△ 対象期間が1か月分です。「毎月支給」を選んでください",IF(K37&gt;6,"△ 対象期間が6か月を超えています（支給単位期間は最長6か月）",IF(K33&lt;&gt;K35,"△ 支払われた月が、対象期間の最初の月と異なります",IF(AND(K38=1,N(F15)&lt;&gt;C34),"△ 1か月目の明細の通勤手当（"&amp;TEXT(N(F15),"#,##0")&amp;"円）が、支給された額と異なります",IF(AND(K38&gt;1,N(F15)&gt;0),"△ 2か月目以降なのに、明細に通勤手当が載っています","")))))))))))</f>
        <v/>
      </c>
      <c r="K38" s="0">
        <f>IF(OR(K35="",入力!N7=""),"",(YEAR(入力!N7)-YEAR(K35))*12+MONTH(入力!N7)-MONTH(K35)+1)</f>
        <v/>
      </c>
    </row>
    <row r="39">
      <c r="K39" s="0">
        <f>IF(OR(K37="",K38="",NOT(ISNUMBER(C34))),"",IF(OR(K38&lt;1,K38&gt;K37),"",IF(K38=K37,C34-INT(C34/K37)*(K37-1),INT(C34/K37))))</f>
        <v/>
      </c>
    </row>
    <row r="40">
      <c r="A40" s="266" t="inlineStr">
        <is>
          <t>報酬額の計算（請求書の「支給対象月に支払われた報酬の額」）</t>
        </is>
      </c>
      <c r="B40" s="330" t="n"/>
      <c r="C40" s="330" t="n"/>
      <c r="D40" s="330" t="n"/>
      <c r="E40" s="330" t="n"/>
      <c r="F40" s="330" t="n"/>
      <c r="G40" s="330" t="n"/>
      <c r="H40" s="330" t="n"/>
      <c r="I40" s="331" t="n"/>
    </row>
    <row r="41">
      <c r="A41" s="277" t="inlineStr">
        <is>
          <t>① 総支給額（明細）</t>
        </is>
      </c>
      <c r="B41" s="331" t="n"/>
      <c r="C41" s="278">
        <f>B12</f>
        <v/>
      </c>
      <c r="D41" s="264" t="inlineStr"/>
    </row>
    <row r="42">
      <c r="A42" s="254" t="inlineStr">
        <is>
          <t>② − 期末手当</t>
        </is>
      </c>
      <c r="B42" s="331" t="n"/>
      <c r="C42" s="278">
        <f>-N(D19)</f>
        <v/>
      </c>
      <c r="D42" s="264" t="inlineStr">
        <is>
          <t>請求の報酬から除外</t>
        </is>
      </c>
    </row>
    <row r="43">
      <c r="A43" s="254" t="inlineStr">
        <is>
          <t>③ − 勤勉手当</t>
        </is>
      </c>
      <c r="B43" s="331" t="n"/>
      <c r="C43" s="278">
        <f>-N(E19)</f>
        <v/>
      </c>
      <c r="D43" s="264" t="inlineStr">
        <is>
          <t>請求の報酬から除外</t>
        </is>
      </c>
    </row>
    <row r="44">
      <c r="A44" s="254" t="inlineStr">
        <is>
          <t>④ − 給与改定差額</t>
        </is>
      </c>
      <c r="B44" s="331" t="n"/>
      <c r="C44" s="278">
        <f>-N(F19)</f>
        <v/>
      </c>
      <c r="D44" s="264" t="inlineStr">
        <is>
          <t>請求の報酬から除外</t>
        </is>
      </c>
    </row>
    <row r="45">
      <c r="A45" s="254" t="inlineStr">
        <is>
          <t>⑤ − 通勤手当（この明細に載っている額）</t>
        </is>
      </c>
      <c r="B45" s="331" t="n"/>
      <c r="C45" s="278">
        <f>-N(F15)</f>
        <v/>
      </c>
      <c r="D45" s="264" t="inlineStr">
        <is>
          <t>複数月分を一括で支給された月は、その全額をいったん控除</t>
        </is>
      </c>
    </row>
    <row r="46">
      <c r="A46" s="254" t="inlineStr">
        <is>
          <t>⑥ − 「含めない」にしたその他の手当</t>
        </is>
      </c>
      <c r="B46" s="331" t="n"/>
      <c r="C46" s="278">
        <f>-(IF(G20="含めない",N(G19),0)+IF(H20="含めない",N(H19),0)+IF(I20="含めない",N(I19),0))</f>
        <v/>
      </c>
      <c r="D46" s="264" t="inlineStr"/>
    </row>
    <row r="47">
      <c r="A47" s="254" t="inlineStr">
        <is>
          <t>⑦ ＋ 1か月当たりの通勤手当</t>
        </is>
      </c>
      <c r="B47" s="331" t="n"/>
      <c r="C47" s="278">
        <f>N(H37)</f>
        <v/>
      </c>
      <c r="D47" s="264" t="inlineStr">
        <is>
          <t>上の通勤手当欄から自動（一括支給は月割、端数は最終月に加算）</t>
        </is>
      </c>
    </row>
    <row r="48">
      <c r="A48" s="277" t="inlineStr">
        <is>
          <t>⑧ ＝ 報酬額（計算結果）</t>
        </is>
      </c>
      <c r="B48" s="331" t="n"/>
      <c r="C48" s="279">
        <f>SUM(C41:C47)</f>
        <v/>
      </c>
      <c r="D48" s="264" t="inlineStr"/>
    </row>
    <row r="49">
      <c r="A49" s="254" t="inlineStr">
        <is>
          <t>直接入力（明細を使わない場合のみ）</t>
        </is>
      </c>
      <c r="B49" s="331" t="n"/>
      <c r="C49" s="272" t="n"/>
      <c r="D49" s="264" t="inlineStr">
        <is>
          <t>入力すると、上の計算よりこちらが優先されます（月額が明細と別にわかっている場合など）</t>
        </is>
      </c>
    </row>
    <row r="50">
      <c r="A50" s="280" t="inlineStr">
        <is>
          <t>★ 入力シートへ渡す報酬額</t>
        </is>
      </c>
      <c r="B50" s="331" t="n"/>
      <c r="C50" s="281">
        <f>IF(C49&lt;&gt;"",C49,IF(B12=0,"",C48))</f>
        <v/>
      </c>
      <c r="D50" s="276">
        <f>IF(C50="","← 未入力です",IF(C50&lt;0,"✕ 報酬額がマイナスです。入力を確認してください",""))</f>
        <v/>
      </c>
    </row>
    <row r="52">
      <c r="A52" s="282" t="inlineStr">
        <is>
          <t>【例】3か月に1回(4・5・6月分)支給される通勤手当 6,300円。4月に支給されたら「いつ支払われたか＝令和8年4月」「支給された額＝6,300円」「何月分から＝4月分／何月分まで＝6月分」と入力します。すると4月は明細の6,300円を控除して2,100円を加算、5月・6月は明細に通勤手当が載っていなくても2,100円を加算します（端数は最終月）。翌月分を作るときは、この欄はそのままで、請求対象月だけ変えれば自動で「何か月目」が変わります。</t>
        </is>
      </c>
    </row>
    <row r="53"/>
    <row r="54"/>
  </sheetData>
  <mergeCells count="46">
    <mergeCell ref="A48:B48"/>
    <mergeCell ref="D49:I49"/>
    <mergeCell ref="A49:B49"/>
    <mergeCell ref="D41:I41"/>
    <mergeCell ref="A45:B45"/>
    <mergeCell ref="A36:B36"/>
    <mergeCell ref="G34:I34"/>
    <mergeCell ref="D48:I48"/>
    <mergeCell ref="G33:I33"/>
    <mergeCell ref="D47:I47"/>
    <mergeCell ref="D43:I43"/>
    <mergeCell ref="A2:I2"/>
    <mergeCell ref="A41:B41"/>
    <mergeCell ref="F5:G5"/>
    <mergeCell ref="A37:B37"/>
    <mergeCell ref="A46:B46"/>
    <mergeCell ref="G35:I35"/>
    <mergeCell ref="B6:D6"/>
    <mergeCell ref="A38:I38"/>
    <mergeCell ref="C32:E32"/>
    <mergeCell ref="A50:B50"/>
    <mergeCell ref="A34:B34"/>
    <mergeCell ref="B5:D5"/>
    <mergeCell ref="A8:A9"/>
    <mergeCell ref="D42:I42"/>
    <mergeCell ref="A33:B33"/>
    <mergeCell ref="B4:D4"/>
    <mergeCell ref="A42:B42"/>
    <mergeCell ref="A47:B47"/>
    <mergeCell ref="A32:B32"/>
    <mergeCell ref="A40:I40"/>
    <mergeCell ref="A31:I31"/>
    <mergeCell ref="D50:I50"/>
    <mergeCell ref="D44:I44"/>
    <mergeCell ref="A14:A19"/>
    <mergeCell ref="C34:E34"/>
    <mergeCell ref="A22:A25"/>
    <mergeCell ref="A35:B35"/>
    <mergeCell ref="A52:I54"/>
    <mergeCell ref="F32:I32"/>
    <mergeCell ref="G36:I36"/>
    <mergeCell ref="A43:B43"/>
    <mergeCell ref="D46:I46"/>
    <mergeCell ref="D45:I45"/>
    <mergeCell ref="A44:B44"/>
    <mergeCell ref="A27:A29"/>
  </mergeCells>
  <dataValidations count="7">
    <dataValidation sqref="G20:I20" showDropDown="0" showInputMessage="0" showErrorMessage="1" allowBlank="1" errorTitle="入力エラー" error="「含める」か「含めない」を選んでください。" type="list">
      <formula1>"含める,含めない"</formula1>
    </dataValidation>
    <dataValidation sqref="C32" showDropDown="0" showInputMessage="0" showErrorMessage="1" allowBlank="1" errorTitle="入力エラー" error="一覧から選んでください。" type="list">
      <formula1>"毎月支給,数か月分一括支給"</formula1>
    </dataValidation>
    <dataValidation sqref="D33 D35 D36" showDropDown="0" showInputMessage="0" showErrorMessage="1" allowBlank="1" errorTitle="入力エラー" error="令和の年を数字（7〜30）で入力してください。" type="whole" operator="between">
      <formula1>7</formula1>
      <formula2>30</formula2>
    </dataValidation>
    <dataValidation sqref="F33 F35 F36" showDropDown="0" showInputMessage="0" showErrorMessage="1" allowBlank="1" errorTitle="入力エラー" error="月は1〜12の数字で入力してください。" type="whole" operator="between">
      <formula1>1</formula1>
      <formula2>12</formula2>
    </dataValidation>
    <dataValidation sqref="C34" showDropDown="0" showInputMessage="0" showErrorMessage="1" allowBlank="1" errorTitle="入力エラー" error="円の数字（整数）で入力してください。" type="whole" operator="between">
      <formula1>0</formula1>
      <formula2>9999999</formula2>
    </dataValidation>
    <dataValidation sqref="C49" showDropDown="0" showInputMessage="0" showErrorMessage="1" allowBlank="1" errorTitle="入力エラー" error="円の数字（整数）で入力してください。" type="whole" operator="between">
      <formula1>0</formula1>
      <formula2>99999999</formula2>
    </dataValidation>
    <dataValidation sqref="B15:I15 B17:I17 B19:I19 B23:I23 B25:I25 B29:I29 C9:D9" showDropDown="0" showInputMessage="0" showErrorMessage="1" allowBlank="1" errorTitle="入力エラー" error="円の数字（整数）で入力してください。" type="whole" operator="between">
      <formula1>-9999999</formula1>
      <formula2>9999999</formula2>
    </dataValidation>
  </dataValidations>
  <pageMargins left="0.75" right="0.75" top="1" bottom="1" header="0.5" footer="0.5"/>
  <pageSetup orientation="portrait" paperSize="9" fitToHeight="1" fitToWidth="1"/>
</worksheet>
</file>

<file path=xl/worksheets/sheet4.xml><?xml version="1.0" encoding="utf-8"?>
<worksheet xmlns="http://schemas.openxmlformats.org/spreadsheetml/2006/main">
  <sheetPr>
    <outlinePr summaryBelow="1" summaryRight="1"/>
    <pageSetUpPr fitToPage="1"/>
  </sheetPr>
  <dimension ref="A1:AM51"/>
  <sheetViews>
    <sheetView tabSelected="1" view="pageBreakPreview" zoomScale="130" zoomScaleNormal="100" zoomScaleSheetLayoutView="130" workbookViewId="0">
      <selection activeCell="Z44" sqref="Z44"/>
    </sheetView>
  </sheetViews>
  <sheetFormatPr baseColWidth="8" defaultColWidth="2.25" defaultRowHeight="15" customHeight="1"/>
  <cols>
    <col width="2.125" customWidth="1" style="1" min="1" max="39"/>
    <col width="2.25" customWidth="1" style="1" min="40" max="40"/>
    <col width="2.25" customWidth="1" style="1" min="41" max="16384"/>
  </cols>
  <sheetData>
    <row r="1" ht="10.9" customHeight="1" s="225">
      <c r="A1" s="167" t="inlineStr">
        <is>
          <t xml:space="preserve">育児時短勤務手当金請求書
（育児短時間勤務・部分休業） </t>
        </is>
      </c>
      <c r="V1" s="44" t="n"/>
      <c r="W1" s="44" t="n"/>
      <c r="X1" s="44" t="n"/>
      <c r="Y1" s="44" t="n"/>
      <c r="Z1" s="44" t="n"/>
      <c r="AA1" s="44" t="n"/>
      <c r="AB1" s="44" t="n"/>
      <c r="AC1" s="44" t="n"/>
      <c r="AD1" s="44" t="n"/>
      <c r="AE1" s="44" t="n"/>
      <c r="AF1" s="44" t="n"/>
      <c r="AG1" s="44" t="n"/>
      <c r="AH1" s="168" t="n"/>
      <c r="AI1" s="283" t="n"/>
      <c r="AJ1" s="283" t="n"/>
      <c r="AK1" s="283" t="n"/>
      <c r="AL1" s="283" t="n"/>
      <c r="AM1" s="283" t="n"/>
    </row>
    <row r="2" ht="15" customHeight="1" s="225">
      <c r="V2" s="284" t="inlineStr">
        <is>
          <t>令和</t>
        </is>
      </c>
      <c r="W2" s="285" t="n"/>
      <c r="X2" s="286">
        <f>IF(入力!D7="","",入力!D7)</f>
        <v/>
      </c>
      <c r="Y2" s="285" t="n"/>
      <c r="Z2" s="285" t="n"/>
      <c r="AA2" s="287" t="inlineStr">
        <is>
          <t>年</t>
        </is>
      </c>
      <c r="AB2" s="285" t="n"/>
      <c r="AC2" s="286">
        <f>IF(入力!F7="","",入力!F7)</f>
        <v/>
      </c>
      <c r="AD2" s="285" t="n"/>
      <c r="AE2" s="285" t="n"/>
      <c r="AF2" s="288" t="inlineStr">
        <is>
          <t>月分</t>
        </is>
      </c>
      <c r="AG2" s="289" t="n"/>
      <c r="AH2" s="179" t="inlineStr">
        <is>
          <t>共済組合記入欄</t>
        </is>
      </c>
      <c r="AI2" s="290" t="n"/>
      <c r="AJ2" s="290" t="n"/>
      <c r="AK2" s="290" t="n"/>
      <c r="AL2" s="290" t="n"/>
      <c r="AM2" s="291" t="n"/>
    </row>
    <row r="3" ht="15" customHeight="1" s="225">
      <c r="V3" s="292" t="n"/>
      <c r="AG3" s="293" t="n"/>
      <c r="AH3" s="2" t="inlineStr">
        <is>
          <t>基幹</t>
        </is>
      </c>
      <c r="AI3" s="2" t="n"/>
      <c r="AJ3" s="3" t="n"/>
      <c r="AK3" s="3" t="n"/>
      <c r="AL3" s="3" t="n"/>
      <c r="AM3" s="4" t="n"/>
    </row>
    <row r="4" ht="15" customHeight="1" s="225">
      <c r="A4" s="294" t="n"/>
      <c r="B4" s="294" t="n"/>
      <c r="C4" s="294" t="n"/>
      <c r="D4" s="294" t="n"/>
      <c r="E4" s="294" t="n"/>
      <c r="F4" s="294" t="n"/>
      <c r="G4" s="294" t="n"/>
      <c r="H4" s="294" t="n"/>
      <c r="I4" s="294" t="n"/>
      <c r="J4" s="294" t="n"/>
      <c r="K4" s="294" t="n"/>
      <c r="L4" s="294" t="n"/>
      <c r="M4" s="294" t="n"/>
      <c r="N4" s="294" t="n"/>
      <c r="O4" s="294" t="n"/>
      <c r="P4" s="294" t="n"/>
      <c r="Q4" s="294" t="n"/>
      <c r="R4" s="294" t="n"/>
      <c r="S4" s="294" t="n"/>
      <c r="T4" s="294" t="n"/>
      <c r="U4" s="294" t="n"/>
      <c r="V4" s="295" t="n"/>
      <c r="W4" s="294" t="n"/>
      <c r="X4" s="294" t="n"/>
      <c r="Y4" s="294" t="n"/>
      <c r="Z4" s="294" t="n"/>
      <c r="AA4" s="294" t="n"/>
      <c r="AB4" s="294" t="n"/>
      <c r="AC4" s="294" t="n"/>
      <c r="AD4" s="294" t="n"/>
      <c r="AE4" s="294" t="n"/>
      <c r="AF4" s="294" t="n"/>
      <c r="AG4" s="296" t="n"/>
      <c r="AH4" s="5" t="inlineStr">
        <is>
          <t>ﾃﾞｰﾀ</t>
        </is>
      </c>
      <c r="AI4" s="5" t="n"/>
      <c r="AJ4" s="6" t="n"/>
      <c r="AK4" s="6" t="n"/>
      <c r="AL4" s="6" t="n"/>
      <c r="AM4" s="7" t="n"/>
    </row>
    <row r="5" ht="2.25" customHeight="1" s="225">
      <c r="A5" s="8" t="n"/>
      <c r="B5" s="9" t="n"/>
      <c r="C5" s="9" t="n"/>
      <c r="D5" s="9" t="n"/>
      <c r="E5" s="9" t="n"/>
      <c r="F5" s="9" t="n"/>
      <c r="G5" s="9" t="n"/>
      <c r="H5" s="10" t="n"/>
      <c r="I5" s="51" t="n"/>
      <c r="J5" s="51" t="n"/>
      <c r="K5" s="51" t="n"/>
      <c r="L5" s="51" t="n"/>
      <c r="M5" s="51" t="n"/>
      <c r="N5" s="51" t="n"/>
      <c r="O5" s="51" t="n"/>
      <c r="P5" s="9" t="n"/>
      <c r="Q5" s="9" t="n"/>
      <c r="R5" s="9" t="n"/>
      <c r="S5" s="9" t="n"/>
      <c r="T5" s="9" t="n"/>
      <c r="U5" s="51" t="n"/>
      <c r="V5" s="52" t="n"/>
      <c r="W5" s="193" t="inlineStr">
        <is>
          <t>組合員等
記号番号</t>
        </is>
      </c>
      <c r="X5" s="285" t="n"/>
      <c r="Y5" s="285" t="n"/>
      <c r="Z5" s="285" t="n"/>
      <c r="AA5" s="289" t="n"/>
      <c r="AB5" s="8" t="n"/>
      <c r="AC5" s="9" t="n"/>
      <c r="AD5" s="9" t="n"/>
      <c r="AE5" s="9" t="n"/>
      <c r="AF5" s="9" t="n"/>
      <c r="AG5" s="9" t="n"/>
      <c r="AH5" s="9" t="n"/>
      <c r="AI5" s="9" t="n"/>
      <c r="AJ5" s="9" t="n"/>
      <c r="AK5" s="9" t="n"/>
      <c r="AL5" s="9" t="n"/>
      <c r="AM5" s="12" t="n"/>
    </row>
    <row r="6" ht="12" customHeight="1" s="225">
      <c r="A6" s="183" t="inlineStr">
        <is>
          <t>フ リ ガ ナ</t>
        </is>
      </c>
      <c r="H6" s="11" t="n"/>
      <c r="I6" s="206">
        <f>IF(入力!C10="","",入力!C10)</f>
        <v/>
      </c>
      <c r="R6" s="71" t="n"/>
      <c r="S6" s="71" t="n"/>
      <c r="T6" s="71" t="n"/>
      <c r="U6" s="71" t="n"/>
      <c r="V6" s="48" t="n"/>
      <c r="AA6" s="293" t="n"/>
      <c r="AB6" s="297">
        <f>IF(入力!C9="","",入力!C9)</f>
        <v/>
      </c>
      <c r="AE6" s="148" t="inlineStr">
        <is>
          <t>―</t>
        </is>
      </c>
      <c r="AF6" s="298">
        <f>IF(入力!F9="","",入力!F9)</f>
        <v/>
      </c>
      <c r="AM6" s="293" t="n"/>
    </row>
    <row r="7" ht="18.75" customHeight="1" s="225">
      <c r="A7" s="185" t="inlineStr">
        <is>
          <t>組合員氏名</t>
        </is>
      </c>
      <c r="H7" s="11" t="n"/>
      <c r="I7" s="208">
        <f>IF(入力!C11="","",入力!C11)</f>
        <v/>
      </c>
      <c r="R7" s="71" t="n"/>
      <c r="S7" s="71" t="n"/>
      <c r="T7" s="71" t="n"/>
      <c r="U7" s="71" t="n"/>
      <c r="V7" s="48" t="n"/>
      <c r="AA7" s="293" t="n"/>
      <c r="AB7" s="292" t="n"/>
      <c r="AM7" s="293" t="n"/>
    </row>
    <row r="8" ht="18.75" customHeight="1" s="225">
      <c r="A8" s="292" t="n"/>
      <c r="H8" s="11" t="n"/>
      <c r="I8" s="294" t="n"/>
      <c r="J8" s="294" t="n"/>
      <c r="K8" s="294" t="n"/>
      <c r="L8" s="294" t="n"/>
      <c r="M8" s="294" t="n"/>
      <c r="N8" s="294" t="n"/>
      <c r="O8" s="294" t="n"/>
      <c r="P8" s="294" t="n"/>
      <c r="Q8" s="294" t="n"/>
      <c r="R8" s="299">
        <f>IF(入力!C12="女","（女）・ 男",IF(入力!C12="男","女 ・（男）","女 ・ 男"))</f>
        <v/>
      </c>
      <c r="V8" s="48" t="n"/>
      <c r="AA8" s="293" t="n"/>
      <c r="AB8" s="295" t="n"/>
      <c r="AC8" s="294" t="n"/>
      <c r="AD8" s="294" t="n"/>
      <c r="AE8" s="294" t="n"/>
      <c r="AF8" s="294" t="n"/>
      <c r="AG8" s="294" t="n"/>
      <c r="AH8" s="294" t="n"/>
      <c r="AI8" s="294" t="n"/>
      <c r="AJ8" s="294" t="n"/>
      <c r="AK8" s="294" t="n"/>
      <c r="AL8" s="294" t="n"/>
      <c r="AM8" s="296" t="n"/>
    </row>
    <row r="9" ht="18.75" customHeight="1" s="225">
      <c r="A9" s="154" t="inlineStr">
        <is>
          <t>生 年 月 日</t>
        </is>
      </c>
      <c r="B9" s="285" t="n"/>
      <c r="C9" s="285" t="n"/>
      <c r="D9" s="285" t="n"/>
      <c r="E9" s="285" t="n"/>
      <c r="F9" s="285" t="n"/>
      <c r="G9" s="289" t="n"/>
      <c r="H9" s="300">
        <f>IF(入力!C13="昭和","（Ｓ）・ Ｈ",IF(入力!C13="平成","Ｓ ・（Ｈ）","Ｓ ・ Ｈ"))</f>
        <v/>
      </c>
      <c r="I9" s="285" t="n"/>
      <c r="J9" s="285" t="n"/>
      <c r="K9" s="285" t="n"/>
      <c r="L9" s="301">
        <f>IF(入力!D13="","",入力!D13)</f>
        <v/>
      </c>
      <c r="M9" s="285" t="n"/>
      <c r="N9" s="140" t="inlineStr">
        <is>
          <t>年</t>
        </is>
      </c>
      <c r="O9" s="301">
        <f>IF(入力!F13="","",入力!F13)</f>
        <v/>
      </c>
      <c r="P9" s="285" t="n"/>
      <c r="Q9" s="302" t="inlineStr">
        <is>
          <t>月</t>
        </is>
      </c>
      <c r="R9" s="301">
        <f>IF(入力!H13="","",入力!H13)</f>
        <v/>
      </c>
      <c r="S9" s="285" t="n"/>
      <c r="T9" s="302" t="inlineStr">
        <is>
          <t>日</t>
        </is>
      </c>
      <c r="U9" s="9" t="n"/>
      <c r="V9" s="12" t="n"/>
      <c r="W9" s="303" t="inlineStr">
        <is>
          <t>☆個人番号</t>
        </is>
      </c>
      <c r="X9" s="285" t="n"/>
      <c r="Y9" s="285" t="n"/>
      <c r="Z9" s="285" t="n"/>
      <c r="AA9" s="289" t="n"/>
      <c r="AB9" s="13" t="n"/>
      <c r="AC9" s="14" t="n"/>
      <c r="AD9" s="14" t="n"/>
      <c r="AE9" s="14" t="n"/>
      <c r="AF9" s="14" t="n"/>
      <c r="AG9" s="14" t="n"/>
      <c r="AH9" s="14" t="n"/>
      <c r="AI9" s="14" t="n"/>
      <c r="AJ9" s="14" t="n"/>
      <c r="AK9" s="14" t="n"/>
      <c r="AL9" s="14" t="n"/>
      <c r="AM9" s="15" t="n"/>
    </row>
    <row r="10" ht="18.75" customHeight="1" s="225">
      <c r="A10" s="295" t="n"/>
      <c r="B10" s="294" t="n"/>
      <c r="C10" s="294" t="n"/>
      <c r="D10" s="294" t="n"/>
      <c r="E10" s="294" t="n"/>
      <c r="F10" s="294" t="n"/>
      <c r="G10" s="296" t="n"/>
      <c r="H10" s="295" t="n"/>
      <c r="I10" s="294" t="n"/>
      <c r="J10" s="294" t="n"/>
      <c r="K10" s="294" t="n"/>
      <c r="L10" s="294" t="n"/>
      <c r="M10" s="294" t="n"/>
      <c r="N10" s="294" t="n"/>
      <c r="O10" s="294" t="n"/>
      <c r="P10" s="294" t="n"/>
      <c r="Q10" s="294" t="n"/>
      <c r="R10" s="294" t="n"/>
      <c r="S10" s="294" t="n"/>
      <c r="T10" s="294" t="n"/>
      <c r="U10" s="16" t="n"/>
      <c r="V10" s="17" t="n"/>
      <c r="W10" s="304" t="inlineStr">
        <is>
          <t>（ﾏｲﾅﾝﾊﾞｰ）</t>
        </is>
      </c>
      <c r="X10" s="294" t="n"/>
      <c r="Y10" s="294" t="n"/>
      <c r="Z10" s="294" t="n"/>
      <c r="AA10" s="296" t="n"/>
      <c r="AB10" s="18" t="n"/>
      <c r="AC10" s="19" t="n"/>
      <c r="AD10" s="19" t="n"/>
      <c r="AE10" s="19" t="n"/>
      <c r="AF10" s="19" t="n"/>
      <c r="AG10" s="19" t="n"/>
      <c r="AH10" s="19" t="n"/>
      <c r="AI10" s="19" t="n"/>
      <c r="AJ10" s="19" t="n"/>
      <c r="AK10" s="19" t="n"/>
      <c r="AL10" s="19" t="n"/>
      <c r="AM10" s="20" t="n"/>
    </row>
    <row r="11" ht="15.75" customHeight="1" s="225">
      <c r="A11" s="153" t="inlineStr">
        <is>
          <t>所属機関</t>
        </is>
      </c>
      <c r="G11" s="293" t="n"/>
      <c r="H11" s="155" t="inlineStr">
        <is>
          <t>名　称</t>
        </is>
      </c>
      <c r="J11" s="293" t="n"/>
      <c r="K11" s="305">
        <f>IF(入力!C15="","",入力!C15)</f>
        <v/>
      </c>
      <c r="AM11" s="293" t="n"/>
    </row>
    <row r="12" ht="15.75" customHeight="1" s="225">
      <c r="A12" s="292" t="n"/>
      <c r="G12" s="293" t="n"/>
      <c r="H12" s="295" t="n"/>
      <c r="I12" s="294" t="n"/>
      <c r="J12" s="296" t="n"/>
      <c r="K12" s="295" t="n"/>
      <c r="L12" s="294" t="n"/>
      <c r="M12" s="294" t="n"/>
      <c r="N12" s="294" t="n"/>
      <c r="O12" s="294" t="n"/>
      <c r="P12" s="294" t="n"/>
      <c r="Q12" s="294" t="n"/>
      <c r="R12" s="294" t="n"/>
      <c r="S12" s="294" t="n"/>
      <c r="T12" s="294" t="n"/>
      <c r="U12" s="294" t="n"/>
      <c r="V12" s="294" t="n"/>
      <c r="W12" s="294" t="n"/>
      <c r="X12" s="294" t="n"/>
      <c r="Y12" s="294" t="n"/>
      <c r="Z12" s="294" t="n"/>
      <c r="AA12" s="294" t="n"/>
      <c r="AB12" s="294" t="n"/>
      <c r="AC12" s="294" t="n"/>
      <c r="AD12" s="294" t="n"/>
      <c r="AE12" s="294" t="n"/>
      <c r="AF12" s="294" t="n"/>
      <c r="AG12" s="294" t="n"/>
      <c r="AH12" s="294" t="n"/>
      <c r="AI12" s="294" t="n"/>
      <c r="AJ12" s="294" t="n"/>
      <c r="AK12" s="294" t="n"/>
      <c r="AL12" s="294" t="n"/>
      <c r="AM12" s="296" t="n"/>
    </row>
    <row r="13" ht="15.75" customHeight="1" s="225">
      <c r="A13" s="292" t="n"/>
      <c r="G13" s="293" t="n"/>
      <c r="H13" s="156" t="inlineStr">
        <is>
          <t>所在地</t>
        </is>
      </c>
      <c r="I13" s="285" t="n"/>
      <c r="J13" s="289" t="n"/>
      <c r="K13" s="306">
        <f>IF(入力!C16="","",入力!C16)</f>
        <v/>
      </c>
      <c r="L13" s="285" t="n"/>
      <c r="M13" s="285" t="n"/>
      <c r="N13" s="285" t="n"/>
      <c r="O13" s="285" t="n"/>
      <c r="P13" s="285" t="n"/>
      <c r="Q13" s="285" t="n"/>
      <c r="R13" s="285" t="n"/>
      <c r="S13" s="285" t="n"/>
      <c r="T13" s="285" t="n"/>
      <c r="U13" s="285" t="n"/>
      <c r="V13" s="285" t="n"/>
      <c r="W13" s="285" t="n"/>
      <c r="X13" s="285" t="n"/>
      <c r="Y13" s="285" t="n"/>
      <c r="Z13" s="285" t="n"/>
      <c r="AA13" s="285" t="n"/>
      <c r="AB13" s="285" t="n"/>
      <c r="AC13" s="285" t="n"/>
      <c r="AD13" s="285" t="n"/>
      <c r="AE13" s="285" t="n"/>
      <c r="AF13" s="285" t="n"/>
      <c r="AG13" s="285" t="n"/>
      <c r="AH13" s="285" t="n"/>
      <c r="AI13" s="285" t="n"/>
      <c r="AJ13" s="285" t="n"/>
      <c r="AK13" s="285" t="n"/>
      <c r="AL13" s="285" t="n"/>
      <c r="AM13" s="289" t="n"/>
    </row>
    <row r="14" ht="15.75" customHeight="1" s="225">
      <c r="A14" s="295" t="n"/>
      <c r="B14" s="294" t="n"/>
      <c r="C14" s="294" t="n"/>
      <c r="D14" s="294" t="n"/>
      <c r="E14" s="294" t="n"/>
      <c r="F14" s="294" t="n"/>
      <c r="G14" s="296" t="n"/>
      <c r="H14" s="295" t="n"/>
      <c r="I14" s="294" t="n"/>
      <c r="J14" s="296" t="n"/>
      <c r="K14" s="294" t="n"/>
      <c r="L14" s="294" t="n"/>
      <c r="M14" s="294" t="n"/>
      <c r="N14" s="294" t="n"/>
      <c r="O14" s="294" t="n"/>
      <c r="P14" s="294" t="n"/>
      <c r="Q14" s="294" t="n"/>
      <c r="R14" s="294" t="n"/>
      <c r="S14" s="294" t="n"/>
      <c r="T14" s="294" t="n"/>
      <c r="U14" s="294" t="n"/>
      <c r="V14" s="294" t="n"/>
      <c r="W14" s="294" t="n"/>
      <c r="X14" s="294" t="n"/>
      <c r="Y14" s="294" t="n"/>
      <c r="Z14" s="294" t="n"/>
      <c r="AA14" s="294" t="n"/>
      <c r="AB14" s="294" t="n"/>
      <c r="AC14" s="294" t="n"/>
      <c r="AD14" s="294" t="n"/>
      <c r="AE14" s="294" t="n"/>
      <c r="AF14" s="294" t="n"/>
      <c r="AG14" s="294" t="n"/>
      <c r="AH14" s="294" t="n"/>
      <c r="AI14" s="294" t="n"/>
      <c r="AJ14" s="294" t="n"/>
      <c r="AK14" s="294" t="n"/>
      <c r="AL14" s="294" t="n"/>
      <c r="AM14" s="296" t="n"/>
    </row>
    <row r="15" ht="36" customHeight="1" s="225">
      <c r="A15" s="154" t="inlineStr">
        <is>
          <t>育児短時間勤務
又は部分休業期間</t>
        </is>
      </c>
      <c r="B15" s="307" t="n"/>
      <c r="C15" s="307" t="n"/>
      <c r="D15" s="307" t="n"/>
      <c r="E15" s="307" t="n"/>
      <c r="F15" s="307" t="n"/>
      <c r="G15" s="307" t="n"/>
      <c r="H15" s="307" t="n"/>
      <c r="I15" s="307" t="n"/>
      <c r="J15" s="308" t="n"/>
      <c r="K15" s="137" t="inlineStr">
        <is>
          <t>令和</t>
        </is>
      </c>
      <c r="L15" s="307" t="n"/>
      <c r="M15" s="309">
        <f>IF(入力!D20="","",入力!D20)</f>
        <v/>
      </c>
      <c r="N15" s="307" t="n"/>
      <c r="O15" s="139" t="inlineStr">
        <is>
          <t>年</t>
        </is>
      </c>
      <c r="P15" s="307" t="n"/>
      <c r="Q15" s="309">
        <f>IF(入力!F20="","",入力!F20)</f>
        <v/>
      </c>
      <c r="R15" s="307" t="n"/>
      <c r="S15" s="139" t="inlineStr">
        <is>
          <t>月</t>
        </is>
      </c>
      <c r="T15" s="307" t="n"/>
      <c r="U15" s="309">
        <f>IF(入力!H20="","",入力!H20)</f>
        <v/>
      </c>
      <c r="V15" s="307" t="n"/>
      <c r="W15" s="140" t="inlineStr">
        <is>
          <t>日</t>
        </is>
      </c>
      <c r="X15" s="307" t="n"/>
      <c r="Y15" s="53" t="inlineStr">
        <is>
          <t>～</t>
        </is>
      </c>
      <c r="Z15" s="138" t="inlineStr">
        <is>
          <t>令和</t>
        </is>
      </c>
      <c r="AA15" s="307" t="n"/>
      <c r="AB15" s="309">
        <f>IF(入力!D21="","",入力!D21)</f>
        <v/>
      </c>
      <c r="AC15" s="307" t="n"/>
      <c r="AD15" s="139" t="inlineStr">
        <is>
          <t>年</t>
        </is>
      </c>
      <c r="AE15" s="307" t="n"/>
      <c r="AF15" s="309">
        <f>IF(入力!F21="","",入力!F21)</f>
        <v/>
      </c>
      <c r="AG15" s="307" t="n"/>
      <c r="AH15" s="139" t="inlineStr">
        <is>
          <t>月</t>
        </is>
      </c>
      <c r="AI15" s="307" t="n"/>
      <c r="AJ15" s="309">
        <f>IF(入力!H21="","",入力!H21)</f>
        <v/>
      </c>
      <c r="AK15" s="307" t="n"/>
      <c r="AL15" s="141" t="inlineStr">
        <is>
          <t>日</t>
        </is>
      </c>
      <c r="AM15" s="308" t="n"/>
    </row>
    <row r="16" ht="36" customHeight="1" s="225">
      <c r="A16" s="154" t="inlineStr">
        <is>
          <t>育児時短勤務手当金
請求期間</t>
        </is>
      </c>
      <c r="B16" s="307" t="n"/>
      <c r="C16" s="307" t="n"/>
      <c r="D16" s="307" t="n"/>
      <c r="E16" s="307" t="n"/>
      <c r="F16" s="307" t="n"/>
      <c r="G16" s="307" t="n"/>
      <c r="H16" s="307" t="n"/>
      <c r="I16" s="307" t="n"/>
      <c r="J16" s="308" t="n"/>
      <c r="K16" s="137" t="inlineStr">
        <is>
          <t>令和</t>
        </is>
      </c>
      <c r="L16" s="307" t="n"/>
      <c r="M16" s="309">
        <f>IF(入力!D23="","",入力!D23)</f>
        <v/>
      </c>
      <c r="N16" s="307" t="n"/>
      <c r="O16" s="139" t="inlineStr">
        <is>
          <t>年</t>
        </is>
      </c>
      <c r="P16" s="307" t="n"/>
      <c r="Q16" s="309">
        <f>IF(入力!F23="","",入力!F23)</f>
        <v/>
      </c>
      <c r="R16" s="307" t="n"/>
      <c r="S16" s="139" t="inlineStr">
        <is>
          <t>月</t>
        </is>
      </c>
      <c r="T16" s="307" t="n"/>
      <c r="U16" s="309">
        <f>IF(入力!H23="","",入力!H23)</f>
        <v/>
      </c>
      <c r="V16" s="307" t="n"/>
      <c r="W16" s="140" t="inlineStr">
        <is>
          <t>日</t>
        </is>
      </c>
      <c r="X16" s="307" t="n"/>
      <c r="Y16" s="53" t="inlineStr">
        <is>
          <t>～</t>
        </is>
      </c>
      <c r="Z16" s="138" t="inlineStr">
        <is>
          <t>令和</t>
        </is>
      </c>
      <c r="AA16" s="307" t="n"/>
      <c r="AB16" s="309">
        <f>IF(入力!D24="","",入力!D24)</f>
        <v/>
      </c>
      <c r="AC16" s="307" t="n"/>
      <c r="AD16" s="139" t="inlineStr">
        <is>
          <t>年</t>
        </is>
      </c>
      <c r="AE16" s="307" t="n"/>
      <c r="AF16" s="309">
        <f>IF(入力!F24="","",入力!F24)</f>
        <v/>
      </c>
      <c r="AG16" s="307" t="n"/>
      <c r="AH16" s="139" t="inlineStr">
        <is>
          <t>月</t>
        </is>
      </c>
      <c r="AI16" s="307" t="n"/>
      <c r="AJ16" s="309">
        <f>IF(入力!H24="","",入力!H24)</f>
        <v/>
      </c>
      <c r="AK16" s="307" t="n"/>
      <c r="AL16" s="141" t="inlineStr">
        <is>
          <t>日</t>
        </is>
      </c>
      <c r="AM16" s="308" t="n"/>
    </row>
    <row r="17" ht="36" customHeight="1" s="225">
      <c r="A17" s="154" t="inlineStr">
        <is>
          <t>育児時短勤務に係る子の
名前・生年月日</t>
        </is>
      </c>
      <c r="B17" s="307" t="n"/>
      <c r="C17" s="307" t="n"/>
      <c r="D17" s="307" t="n"/>
      <c r="E17" s="307" t="n"/>
      <c r="F17" s="307" t="n"/>
      <c r="G17" s="307" t="n"/>
      <c r="H17" s="307" t="n"/>
      <c r="I17" s="307" t="n"/>
      <c r="J17" s="308" t="n"/>
      <c r="K17" s="310">
        <f>IF(入力!C25="","",入力!C25)</f>
        <v/>
      </c>
      <c r="L17" s="307" t="n"/>
      <c r="M17" s="307" t="n"/>
      <c r="N17" s="307" t="n"/>
      <c r="O17" s="307" t="n"/>
      <c r="P17" s="307" t="n"/>
      <c r="Q17" s="307" t="n"/>
      <c r="R17" s="307" t="n"/>
      <c r="S17" s="307" t="n"/>
      <c r="T17" s="308" t="n"/>
      <c r="U17" s="53" t="n"/>
      <c r="V17" s="205" t="inlineStr">
        <is>
          <t>令和</t>
        </is>
      </c>
      <c r="W17" s="307" t="n"/>
      <c r="X17" s="309">
        <f>IF(入力!D26="","",入力!D26)</f>
        <v/>
      </c>
      <c r="Y17" s="307" t="n"/>
      <c r="Z17" s="307" t="n"/>
      <c r="AA17" s="140" t="inlineStr">
        <is>
          <t>年</t>
        </is>
      </c>
      <c r="AB17" s="307" t="n"/>
      <c r="AC17" s="309">
        <f>IF(入力!F26="","",入力!F26)</f>
        <v/>
      </c>
      <c r="AD17" s="307" t="n"/>
      <c r="AE17" s="307" t="n"/>
      <c r="AF17" s="140" t="inlineStr">
        <is>
          <t>月</t>
        </is>
      </c>
      <c r="AG17" s="307" t="n"/>
      <c r="AH17" s="309">
        <f>IF(入力!H26="","",入力!H26)</f>
        <v/>
      </c>
      <c r="AI17" s="307" t="n"/>
      <c r="AJ17" s="307" t="n"/>
      <c r="AK17" s="140" t="inlineStr">
        <is>
          <t>日</t>
        </is>
      </c>
      <c r="AL17" s="307" t="n"/>
      <c r="AM17" s="55" t="n"/>
    </row>
    <row r="18" ht="36" customHeight="1" s="225">
      <c r="A18" s="311" t="inlineStr">
        <is>
          <t xml:space="preserve">☆育児時短勤務開始時の
標準報酬月額　　　　　　　　</t>
        </is>
      </c>
      <c r="B18" s="285" t="n"/>
      <c r="C18" s="285" t="n"/>
      <c r="D18" s="285" t="n"/>
      <c r="E18" s="285" t="n"/>
      <c r="F18" s="285" t="n"/>
      <c r="G18" s="285" t="n"/>
      <c r="H18" s="285" t="n"/>
      <c r="I18" s="285" t="n"/>
      <c r="J18" s="289" t="n"/>
      <c r="K18" s="312">
        <f>IF(OR(入力!C54="",入力!C55=""),"　第　　　　 級　　　　　　　　円","　第　"&amp;入力!C54&amp;"　級　　　"&amp;TEXT(入力!C55,"#,##0")&amp;"　円")</f>
        <v/>
      </c>
      <c r="L18" s="285" t="n"/>
      <c r="M18" s="285" t="n"/>
      <c r="N18" s="285" t="n"/>
      <c r="O18" s="285" t="n"/>
      <c r="P18" s="285" t="n"/>
      <c r="Q18" s="285" t="n"/>
      <c r="R18" s="285" t="n"/>
      <c r="S18" s="285" t="n"/>
      <c r="T18" s="285" t="n"/>
      <c r="U18" s="285" t="n"/>
      <c r="V18" s="285" t="n"/>
      <c r="W18" s="285" t="n"/>
      <c r="X18" s="285" t="n"/>
      <c r="Y18" s="285" t="n"/>
      <c r="Z18" s="289" t="n"/>
      <c r="AA18" s="312" t="inlineStr">
        <is>
          <t xml:space="preserve">　☆決定額　　　　　　　　円</t>
        </is>
      </c>
      <c r="AB18" s="285" t="n"/>
      <c r="AC18" s="285" t="n"/>
      <c r="AD18" s="285" t="n"/>
      <c r="AE18" s="285" t="n"/>
      <c r="AF18" s="285" t="n"/>
      <c r="AG18" s="285" t="n"/>
      <c r="AH18" s="285" t="n"/>
      <c r="AI18" s="285" t="n"/>
      <c r="AJ18" s="285" t="n"/>
      <c r="AK18" s="285" t="n"/>
      <c r="AL18" s="285" t="n"/>
      <c r="AM18" s="289" t="n"/>
    </row>
    <row r="19" ht="51" customHeight="1" s="225">
      <c r="A19" s="154" t="inlineStr">
        <is>
          <t>支給対象月に支払われた
報酬の額</t>
        </is>
      </c>
      <c r="B19" s="307" t="n"/>
      <c r="C19" s="307" t="n"/>
      <c r="D19" s="307" t="n"/>
      <c r="E19" s="307" t="n"/>
      <c r="F19" s="307" t="n"/>
      <c r="G19" s="307" t="n"/>
      <c r="H19" s="307" t="n"/>
      <c r="I19" s="307" t="n"/>
      <c r="J19" s="308" t="n"/>
      <c r="K19" s="54" t="n"/>
      <c r="L19" s="53" t="n"/>
      <c r="M19" s="53" t="n"/>
      <c r="N19" s="313">
        <f>IF(入力!C28="","",入力!C28)</f>
        <v/>
      </c>
      <c r="O19" s="307" t="n"/>
      <c r="P19" s="307" t="n"/>
      <c r="Q19" s="307" t="n"/>
      <c r="R19" s="307" t="n"/>
      <c r="S19" s="307" t="n"/>
      <c r="T19" s="307" t="n"/>
      <c r="U19" s="307" t="n"/>
      <c r="V19" s="307" t="n"/>
      <c r="W19" s="307" t="n"/>
      <c r="X19" s="307" t="n"/>
      <c r="Y19" s="202" t="inlineStr">
        <is>
          <t>円（１月当たりの通勤手当の額を含む。）</t>
        </is>
      </c>
      <c r="Z19" s="307" t="n"/>
      <c r="AA19" s="307" t="n"/>
      <c r="AB19" s="307" t="n"/>
      <c r="AC19" s="307" t="n"/>
      <c r="AD19" s="307" t="n"/>
      <c r="AE19" s="307" t="n"/>
      <c r="AF19" s="307" t="n"/>
      <c r="AG19" s="307" t="n"/>
      <c r="AH19" s="307" t="n"/>
      <c r="AI19" s="307" t="n"/>
      <c r="AJ19" s="307" t="n"/>
      <c r="AK19" s="307" t="n"/>
      <c r="AL19" s="307" t="n"/>
      <c r="AM19" s="308" t="n"/>
    </row>
    <row r="20" ht="3.75" customFormat="1" customHeight="1" s="73">
      <c r="A20" s="314" t="inlineStr">
        <is>
          <t>通勤手当に対する
特記事項</t>
        </is>
      </c>
      <c r="B20" s="285" t="n"/>
      <c r="C20" s="285" t="n"/>
      <c r="D20" s="285" t="n"/>
      <c r="E20" s="285" t="n"/>
      <c r="F20" s="285" t="n"/>
      <c r="G20" s="285" t="n"/>
      <c r="H20" s="285" t="n"/>
      <c r="I20" s="285" t="n"/>
      <c r="J20" s="289" t="n"/>
      <c r="K20" s="72" t="n"/>
      <c r="L20" s="72" t="n"/>
      <c r="M20" s="72" t="n"/>
      <c r="N20" s="72" t="n"/>
      <c r="O20" s="72" t="n"/>
      <c r="AM20" s="74" t="n"/>
    </row>
    <row r="21" ht="25.5" customFormat="1" customHeight="1" s="73">
      <c r="A21" s="292" t="n"/>
      <c r="J21" s="293" t="n"/>
      <c r="K21" s="315">
        <f>"通勤手当：" &amp; IF(入力!C29="有","（有）・ 無",IF(入力!C29="無","有 ・（無）","有 ・ 無")) &amp; "　（該当するものに〇で囲んでください。）"</f>
        <v/>
      </c>
      <c r="AM21" s="293" t="n"/>
    </row>
    <row r="22" ht="25.5" customFormat="1" customHeight="1" s="73">
      <c r="A22" s="292" t="n"/>
      <c r="J22" s="293" t="n"/>
      <c r="K22" s="75" t="inlineStr">
        <is>
          <t xml:space="preserve">１月当たりの通勤手当の額：　　　</t>
        </is>
      </c>
      <c r="L22" s="75" t="n"/>
      <c r="M22" s="75" t="n"/>
      <c r="N22" s="75" t="n"/>
      <c r="O22" s="75" t="n"/>
      <c r="P22" s="75" t="n"/>
      <c r="Q22" s="75" t="n"/>
      <c r="R22" s="75" t="n"/>
      <c r="S22" s="75" t="n"/>
      <c r="T22" s="75" t="n"/>
      <c r="U22" s="75" t="n"/>
      <c r="V22" s="75" t="n"/>
      <c r="W22" s="75" t="n"/>
      <c r="X22" s="316">
        <f>IF(入力!C30="","",入力!C30)</f>
        <v/>
      </c>
      <c r="AC22" s="75" t="inlineStr">
        <is>
          <t>円</t>
        </is>
      </c>
      <c r="AD22" s="75" t="n"/>
      <c r="AE22" s="75" t="n"/>
      <c r="AF22" s="75" t="n"/>
      <c r="AG22" s="75" t="n"/>
      <c r="AH22" s="75" t="n"/>
      <c r="AI22" s="75" t="n"/>
      <c r="AJ22" s="75" t="n"/>
      <c r="AK22" s="75" t="n"/>
      <c r="AL22" s="75" t="n"/>
      <c r="AM22" s="76" t="n"/>
    </row>
    <row r="23" ht="3" customFormat="1" customHeight="1" s="73">
      <c r="A23" s="295" t="n"/>
      <c r="B23" s="294" t="n"/>
      <c r="C23" s="294" t="n"/>
      <c r="D23" s="294" t="n"/>
      <c r="E23" s="294" t="n"/>
      <c r="F23" s="294" t="n"/>
      <c r="G23" s="294" t="n"/>
      <c r="H23" s="294" t="n"/>
      <c r="I23" s="294" t="n"/>
      <c r="J23" s="296" t="n"/>
      <c r="K23" s="317" t="n"/>
      <c r="L23" s="294" t="n"/>
      <c r="M23" s="294" t="n"/>
      <c r="N23" s="294" t="n"/>
      <c r="O23" s="294" t="n"/>
      <c r="P23" s="294" t="n"/>
      <c r="Q23" s="294" t="n"/>
      <c r="R23" s="294" t="n"/>
      <c r="S23" s="294" t="n"/>
      <c r="T23" s="294" t="n"/>
      <c r="U23" s="294" t="n"/>
      <c r="V23" s="294" t="n"/>
      <c r="W23" s="294" t="n"/>
      <c r="X23" s="294" t="n"/>
      <c r="Y23" s="294" t="n"/>
      <c r="Z23" s="294" t="n"/>
      <c r="AA23" s="294" t="n"/>
      <c r="AB23" s="294" t="n"/>
      <c r="AC23" s="294" t="n"/>
      <c r="AD23" s="294" t="n"/>
      <c r="AE23" s="294" t="n"/>
      <c r="AF23" s="294" t="n"/>
      <c r="AG23" s="294" t="n"/>
      <c r="AH23" s="294" t="n"/>
      <c r="AI23" s="294" t="n"/>
      <c r="AJ23" s="294" t="n"/>
      <c r="AK23" s="294" t="n"/>
      <c r="AL23" s="294" t="n"/>
      <c r="AM23" s="296" t="n"/>
    </row>
    <row r="24" ht="3" customFormat="1" customHeight="1" s="21">
      <c r="A24" s="31" t="n"/>
      <c r="B24" s="24" t="n"/>
      <c r="C24" s="24" t="n"/>
      <c r="D24" s="24" t="n"/>
      <c r="E24" s="24" t="n"/>
      <c r="F24" s="24" t="n"/>
      <c r="G24" s="24" t="n"/>
      <c r="H24" s="24" t="n"/>
      <c r="I24" s="24" t="n"/>
      <c r="J24" s="24" t="n"/>
      <c r="K24" s="24" t="n"/>
      <c r="L24" s="24" t="n"/>
      <c r="M24" s="24" t="n"/>
      <c r="N24" s="24" t="n"/>
      <c r="O24" s="24" t="n"/>
      <c r="P24" s="24" t="n"/>
      <c r="Q24" s="24" t="n"/>
      <c r="R24" s="24" t="n"/>
      <c r="S24" s="24" t="n"/>
      <c r="T24" s="24" t="n"/>
      <c r="U24" s="24" t="n"/>
      <c r="V24" s="24" t="n"/>
      <c r="W24" s="24" t="n"/>
      <c r="X24" s="24" t="n"/>
      <c r="Y24" s="24" t="n"/>
      <c r="Z24" s="24" t="n"/>
      <c r="AA24" s="24" t="n"/>
      <c r="AB24" s="24" t="n"/>
      <c r="AC24" s="24" t="n"/>
      <c r="AD24" s="24" t="n"/>
      <c r="AE24" s="24" t="n"/>
      <c r="AF24" s="24" t="n"/>
      <c r="AG24" s="24" t="n"/>
      <c r="AH24" s="24" t="n"/>
      <c r="AI24" s="24" t="n"/>
      <c r="AJ24" s="24" t="n"/>
      <c r="AK24" s="24" t="n"/>
      <c r="AL24" s="24" t="n"/>
      <c r="AM24" s="25" t="n"/>
    </row>
    <row r="25" ht="18.75" customFormat="1" customHeight="1" s="21">
      <c r="A25" s="28" t="n"/>
      <c r="B25" s="21" t="inlineStr">
        <is>
          <t>上記のとおり、請求します。</t>
        </is>
      </c>
      <c r="C25" s="24" t="n"/>
      <c r="D25" s="24" t="n"/>
      <c r="E25" s="24" t="n"/>
      <c r="F25" s="24" t="n"/>
      <c r="G25" s="24" t="n"/>
      <c r="H25" s="24" t="n"/>
      <c r="I25" s="24" t="n"/>
      <c r="J25" s="24" t="n"/>
      <c r="K25" s="24" t="n"/>
      <c r="L25" s="24" t="n"/>
      <c r="M25" s="24" t="n"/>
      <c r="N25" s="24" t="n"/>
      <c r="O25" s="24" t="n"/>
      <c r="P25" s="24" t="n"/>
      <c r="Q25" s="24" t="n"/>
      <c r="R25" s="24" t="n"/>
      <c r="S25" s="24" t="n"/>
      <c r="T25" s="24" t="n"/>
      <c r="U25" s="24" t="n"/>
      <c r="V25" s="24" t="n"/>
      <c r="W25" s="24" t="n"/>
      <c r="X25" s="24" t="n"/>
      <c r="Y25" s="29" t="inlineStr">
        <is>
          <t>庶務担当　氏名・℡</t>
        </is>
      </c>
      <c r="Z25" s="24" t="n"/>
      <c r="AB25" s="24" t="n"/>
      <c r="AC25" s="24" t="n"/>
      <c r="AE25" s="133">
        <f>IF(入力!C40="","",入力!C40)</f>
        <v/>
      </c>
      <c r="AH25" s="69" t="inlineStr">
        <is>
          <t>・</t>
        </is>
      </c>
      <c r="AI25" s="132">
        <f>IF(入力!C41="","",入力!C41)</f>
        <v/>
      </c>
      <c r="AM25" s="293" t="n"/>
    </row>
    <row r="26" ht="18.75" customFormat="1" customHeight="1" s="21">
      <c r="A26" s="28" t="n"/>
      <c r="B26" s="24" t="n"/>
      <c r="C26" s="21" t="inlineStr">
        <is>
          <t xml:space="preserve">広島市職員共済組合理事長　様　　　　　　</t>
        </is>
      </c>
      <c r="D26" s="24" t="n"/>
      <c r="E26" s="24" t="n"/>
      <c r="F26" s="24" t="n"/>
      <c r="G26" s="24" t="n"/>
      <c r="H26" s="24" t="n"/>
      <c r="I26" s="24" t="n"/>
      <c r="J26" s="24" t="n"/>
      <c r="K26" s="24" t="n"/>
      <c r="L26" s="24" t="n"/>
      <c r="M26" s="24" t="n"/>
      <c r="N26" s="24" t="n"/>
      <c r="O26" s="24" t="n"/>
      <c r="S26" s="24" t="n"/>
      <c r="V26" s="24" t="n"/>
      <c r="W26" s="24" t="n"/>
      <c r="X26" s="24" t="n"/>
      <c r="Y26" s="24" t="n"/>
      <c r="Z26" s="24" t="n"/>
      <c r="AA26" s="24" t="n"/>
      <c r="AB26" s="24" t="n"/>
      <c r="AC26" s="24" t="n"/>
      <c r="AD26" s="24" t="n"/>
      <c r="AE26" s="24" t="n"/>
      <c r="AF26" s="24" t="n"/>
      <c r="AG26" s="24" t="n"/>
      <c r="AH26" s="24" t="n"/>
      <c r="AI26" s="24" t="n"/>
      <c r="AJ26" s="24" t="n"/>
      <c r="AK26" s="24" t="n"/>
      <c r="AL26" s="24" t="n"/>
      <c r="AM26" s="25" t="n"/>
    </row>
    <row r="27" ht="18.75" customFormat="1" customHeight="1" s="21">
      <c r="A27" s="28" t="n"/>
      <c r="B27" s="24" t="n"/>
      <c r="C27" s="209" t="n"/>
      <c r="D27" s="209" t="n"/>
      <c r="E27" s="112" t="inlineStr">
        <is>
          <t>令和</t>
        </is>
      </c>
      <c r="G27" s="318">
        <f>IF(入力!D37="","",入力!D37)</f>
        <v/>
      </c>
      <c r="I27" s="56" t="inlineStr">
        <is>
          <t>年</t>
        </is>
      </c>
      <c r="J27" s="318">
        <f>IF(入力!F37="","",入力!F37)</f>
        <v/>
      </c>
      <c r="L27" s="56" t="inlineStr">
        <is>
          <t>月</t>
        </is>
      </c>
      <c r="M27" s="318">
        <f>IF(入力!H37="","",入力!H37)</f>
        <v/>
      </c>
      <c r="O27" s="56" t="inlineStr">
        <is>
          <t>日</t>
        </is>
      </c>
      <c r="W27" s="181">
        <f>IF(入力!C38="","",入力!C38)</f>
        <v/>
      </c>
      <c r="AM27" s="30" t="n"/>
    </row>
    <row r="28" ht="5.1" customFormat="1" customHeight="1" s="21">
      <c r="A28" s="28" t="n"/>
      <c r="B28" s="24" t="n"/>
      <c r="C28" s="209" t="n"/>
      <c r="D28" s="209" t="n"/>
      <c r="F28" s="24" t="n"/>
      <c r="G28" s="24" t="n"/>
      <c r="H28" s="24" t="n"/>
      <c r="I28" s="24" t="n"/>
      <c r="J28" s="24" t="n"/>
      <c r="K28" s="24" t="n"/>
      <c r="L28" s="24" t="n"/>
      <c r="M28" s="24" t="n"/>
      <c r="N28" s="24" t="n"/>
      <c r="O28" s="209" t="n"/>
      <c r="AM28" s="30" t="n"/>
    </row>
    <row r="29" ht="18.75" customFormat="1" customHeight="1" s="21">
      <c r="A29" s="28" t="n"/>
      <c r="B29" s="24" t="n"/>
      <c r="C29" s="209" t="n"/>
      <c r="D29" s="209" t="n"/>
      <c r="F29" s="24" t="n"/>
      <c r="G29" s="24" t="n"/>
      <c r="H29" s="24" t="n"/>
      <c r="I29" s="24" t="n"/>
      <c r="J29" s="24" t="n"/>
      <c r="K29" s="24" t="n"/>
      <c r="L29" s="24" t="n"/>
      <c r="M29" s="24" t="n"/>
      <c r="N29" s="24" t="n"/>
      <c r="O29" s="209" t="n"/>
      <c r="Q29" s="21" t="inlineStr">
        <is>
          <t>請求者</t>
        </is>
      </c>
      <c r="T29" s="21" t="inlineStr">
        <is>
          <t>氏名</t>
        </is>
      </c>
      <c r="AM29" s="30" t="n"/>
    </row>
    <row r="30" ht="5.1" customFormat="1" customHeight="1" s="21">
      <c r="A30" s="28" t="n"/>
      <c r="B30" s="24" t="n"/>
      <c r="C30" s="24" t="n"/>
      <c r="D30" s="24" t="n"/>
      <c r="AM30" s="30" t="n"/>
    </row>
    <row r="31" ht="18.75" customFormat="1" customHeight="1" s="21">
      <c r="A31" s="31" t="n"/>
      <c r="B31" s="24" t="n"/>
      <c r="C31" s="24" t="n"/>
      <c r="D31" s="24" t="n"/>
      <c r="E31" s="24" t="n"/>
      <c r="F31" s="24" t="n"/>
      <c r="G31" s="24" t="n"/>
      <c r="H31" s="24" t="n"/>
      <c r="I31" s="24" t="n"/>
      <c r="J31" s="24" t="n"/>
      <c r="K31" s="24" t="n"/>
      <c r="L31" s="24" t="n"/>
      <c r="M31" s="24" t="n"/>
      <c r="N31" s="24" t="n"/>
      <c r="T31" s="21" t="inlineStr">
        <is>
          <t>℡（連絡先）</t>
        </is>
      </c>
      <c r="Z31" s="318">
        <f>IF(入力!C39="","",入力!C39)</f>
        <v/>
      </c>
      <c r="AM31" s="30" t="n"/>
    </row>
    <row r="32" ht="2.25" customFormat="1" customHeight="1" s="21">
      <c r="A32" s="32" t="n"/>
      <c r="B32" s="27" t="n"/>
      <c r="C32" s="27" t="n"/>
      <c r="D32" s="27" t="n"/>
      <c r="E32" s="27" t="n"/>
      <c r="F32" s="27" t="n"/>
      <c r="G32" s="27" t="n"/>
      <c r="H32" s="27" t="n"/>
      <c r="I32" s="27" t="n"/>
      <c r="J32" s="27" t="n"/>
      <c r="K32" s="27" t="n"/>
      <c r="L32" s="27" t="n"/>
      <c r="M32" s="27" t="n"/>
      <c r="N32" s="27" t="n"/>
      <c r="O32" s="33" t="n"/>
      <c r="P32" s="33" t="n"/>
      <c r="Q32" s="33" t="n"/>
      <c r="R32" s="33" t="n"/>
      <c r="S32" s="33" t="n"/>
      <c r="T32" s="33" t="n"/>
      <c r="U32" s="33" t="n"/>
      <c r="V32" s="33" t="n"/>
      <c r="W32" s="33" t="n"/>
      <c r="X32" s="33" t="n"/>
      <c r="Y32" s="33" t="n"/>
      <c r="Z32" s="33" t="n"/>
      <c r="AA32" s="33" t="n"/>
      <c r="AB32" s="33" t="n"/>
      <c r="AC32" s="33" t="n"/>
      <c r="AD32" s="33" t="n"/>
      <c r="AE32" s="33" t="n"/>
      <c r="AF32" s="33" t="n"/>
      <c r="AG32" s="33" t="n"/>
      <c r="AH32" s="33" t="n"/>
      <c r="AI32" s="33" t="n"/>
      <c r="AJ32" s="33" t="n"/>
      <c r="AK32" s="26" t="n"/>
      <c r="AL32" s="26" t="n"/>
      <c r="AM32" s="34" t="n"/>
    </row>
    <row r="33" ht="3" customFormat="1" customHeight="1" s="21">
      <c r="A33" s="35" t="n"/>
      <c r="B33" s="36" t="n"/>
      <c r="C33" s="36" t="n"/>
      <c r="D33" s="36" t="n"/>
      <c r="E33" s="36" t="n"/>
      <c r="F33" s="36" t="n"/>
      <c r="G33" s="36" t="n"/>
      <c r="H33" s="36" t="n"/>
      <c r="I33" s="36" t="n"/>
      <c r="J33" s="36" t="n"/>
      <c r="K33" s="36" t="n"/>
      <c r="L33" s="36" t="n"/>
      <c r="M33" s="36" t="n"/>
      <c r="N33" s="36" t="n"/>
      <c r="O33" s="36" t="n"/>
      <c r="P33" s="36" t="n"/>
      <c r="Q33" s="36" t="n"/>
      <c r="R33" s="36" t="n"/>
      <c r="S33" s="36" t="n"/>
      <c r="T33" s="36" t="n"/>
      <c r="U33" s="36" t="n"/>
      <c r="V33" s="36" t="n"/>
      <c r="W33" s="36" t="n"/>
      <c r="X33" s="36" t="n"/>
      <c r="Y33" s="36" t="n"/>
      <c r="Z33" s="36" t="n"/>
      <c r="AA33" s="36" t="n"/>
      <c r="AB33" s="36" t="n"/>
      <c r="AC33" s="36" t="n"/>
      <c r="AD33" s="36" t="n"/>
      <c r="AE33" s="36" t="n"/>
      <c r="AF33" s="36" t="n"/>
      <c r="AG33" s="36" t="n"/>
      <c r="AH33" s="36" t="n"/>
      <c r="AI33" s="36" t="n"/>
      <c r="AJ33" s="36" t="n"/>
      <c r="AK33" s="36" t="n"/>
      <c r="AL33" s="36" t="n"/>
      <c r="AM33" s="37" t="n"/>
    </row>
    <row r="34" ht="16.15" customFormat="1" customHeight="1" s="21">
      <c r="A34" s="28" t="n"/>
      <c r="B34" s="209" t="inlineStr">
        <is>
          <t xml:space="preserve">　上記の記載事項（標準報酬の等級及び月額を除く）は、事実と相違ないことを確認しました。</t>
        </is>
      </c>
      <c r="AM34" s="25" t="n"/>
    </row>
    <row r="35" ht="16.15" customFormat="1" customHeight="1" s="21">
      <c r="A35" s="28" t="n"/>
      <c r="AM35" s="25" t="n"/>
    </row>
    <row r="36" ht="18.75" customFormat="1" customHeight="1" s="21">
      <c r="A36" s="28" t="n"/>
      <c r="B36" s="24" t="n"/>
      <c r="C36" s="24" t="n"/>
      <c r="D36" s="24" t="n"/>
      <c r="E36" s="21" t="inlineStr">
        <is>
          <t xml:space="preserve">令和　　年　　月　　日　　　　           </t>
        </is>
      </c>
      <c r="F36" s="24" t="n"/>
      <c r="G36" s="24" t="n"/>
      <c r="H36" s="24" t="n"/>
      <c r="I36" s="24" t="n"/>
      <c r="J36" s="24" t="n"/>
      <c r="K36" s="24" t="n"/>
      <c r="L36" s="24" t="n"/>
      <c r="M36" s="24" t="n"/>
      <c r="N36" s="24" t="n"/>
      <c r="O36" s="24" t="n"/>
      <c r="P36" s="24" t="n"/>
      <c r="Q36" s="24" t="n"/>
      <c r="R36" s="24" t="n"/>
      <c r="S36" s="24" t="n"/>
      <c r="T36" s="24" t="n"/>
      <c r="U36" s="24" t="n"/>
      <c r="V36" s="24" t="n"/>
      <c r="W36" s="24" t="n"/>
      <c r="X36" s="24" t="n"/>
      <c r="Y36" s="24" t="n"/>
      <c r="Z36" s="24" t="n"/>
      <c r="AA36" s="24" t="n"/>
      <c r="AB36" s="24" t="n"/>
      <c r="AC36" s="24" t="n"/>
      <c r="AD36" s="24" t="n"/>
      <c r="AE36" s="24" t="n"/>
      <c r="AF36" s="24" t="n"/>
      <c r="AG36" s="24" t="n"/>
      <c r="AH36" s="24" t="n"/>
      <c r="AI36" s="24" t="n"/>
      <c r="AJ36" s="24" t="n"/>
      <c r="AK36" s="24" t="n"/>
      <c r="AL36" s="24" t="n"/>
      <c r="AM36" s="25" t="n"/>
    </row>
    <row r="37" ht="18.75" customFormat="1" customHeight="1" s="21">
      <c r="A37" s="28" t="n"/>
      <c r="B37" s="24" t="n"/>
      <c r="C37" s="24" t="n"/>
      <c r="D37" s="24" t="n"/>
      <c r="E37" s="209" t="n"/>
      <c r="F37" s="209" t="n"/>
      <c r="G37" s="209" t="n"/>
      <c r="H37" s="209" t="n"/>
      <c r="I37" s="209" t="n"/>
      <c r="J37" s="209" t="n"/>
      <c r="K37" s="209" t="n"/>
      <c r="L37" s="209" t="n"/>
      <c r="M37" s="209" t="n"/>
      <c r="N37" s="209" t="n"/>
      <c r="O37" s="24" t="n"/>
      <c r="P37" s="24" t="n"/>
      <c r="Q37" s="21" t="inlineStr">
        <is>
          <t>所属機関の長</t>
        </is>
      </c>
      <c r="R37" s="24" t="n"/>
      <c r="S37" s="24" t="n"/>
      <c r="T37" s="24" t="n"/>
      <c r="U37" s="24" t="n"/>
      <c r="V37" s="24" t="n"/>
      <c r="W37" s="21" t="inlineStr">
        <is>
          <t>職名</t>
        </is>
      </c>
      <c r="X37" s="24" t="n"/>
      <c r="Y37" s="24" t="n"/>
      <c r="Z37" s="24" t="n"/>
      <c r="AA37" s="24" t="n"/>
      <c r="AB37" s="24" t="n"/>
      <c r="AC37" s="24" t="n"/>
      <c r="AD37" s="24" t="n"/>
      <c r="AE37" s="24" t="n"/>
      <c r="AF37" s="24" t="n"/>
      <c r="AG37" s="24" t="n"/>
      <c r="AH37" s="24" t="n"/>
      <c r="AI37" s="24" t="n"/>
      <c r="AJ37" s="24" t="n"/>
      <c r="AK37" s="24" t="n"/>
      <c r="AL37" s="24" t="n"/>
      <c r="AM37" s="25" t="n"/>
    </row>
    <row r="38" ht="5.1" customFormat="1" customHeight="1" s="21">
      <c r="A38" s="31" t="inlineStr">
        <is>
          <t xml:space="preserve">　　　　　　　　　　　　</t>
        </is>
      </c>
      <c r="B38" s="24" t="n"/>
      <c r="C38" s="24" t="n"/>
      <c r="D38" s="24" t="n"/>
      <c r="E38" s="24" t="n"/>
      <c r="F38" s="24" t="n"/>
      <c r="G38" s="24" t="n"/>
      <c r="H38" s="24" t="n"/>
      <c r="I38" s="24" t="n"/>
      <c r="J38" s="24" t="n"/>
      <c r="K38" s="24" t="n"/>
      <c r="L38" s="24" t="n"/>
      <c r="M38" s="24" t="n"/>
      <c r="O38" s="24" t="n"/>
      <c r="P38" s="24" t="n"/>
      <c r="Q38" s="24" t="n"/>
      <c r="R38" s="24" t="n"/>
      <c r="S38" s="24" t="n"/>
      <c r="T38" s="24" t="n"/>
      <c r="U38" s="24" t="n"/>
      <c r="V38" s="24" t="n"/>
      <c r="W38" s="24" t="n"/>
      <c r="X38" s="24" t="n"/>
      <c r="Y38" s="24" t="n"/>
      <c r="Z38" s="24" t="n"/>
      <c r="AA38" s="24" t="n"/>
      <c r="AB38" s="24" t="n"/>
      <c r="AC38" s="24" t="n"/>
      <c r="AD38" s="24" t="n"/>
      <c r="AE38" s="24" t="n"/>
      <c r="AF38" s="24" t="n"/>
      <c r="AG38" s="24" t="n"/>
      <c r="AH38" s="24" t="n"/>
      <c r="AI38" s="24" t="n"/>
      <c r="AJ38" s="24" t="n"/>
      <c r="AK38" s="24" t="n"/>
      <c r="AL38" s="24" t="n"/>
      <c r="AM38" s="25" t="n"/>
    </row>
    <row r="39" ht="18.75" customFormat="1" customHeight="1" s="21">
      <c r="A39" s="28" t="n"/>
      <c r="B39" s="24" t="n"/>
      <c r="C39" s="24" t="n"/>
      <c r="D39" s="24" t="n"/>
      <c r="E39" s="24" t="n"/>
      <c r="F39" s="24" t="n"/>
      <c r="G39" s="24" t="n"/>
      <c r="H39" s="24" t="n"/>
      <c r="I39" s="24" t="n"/>
      <c r="J39" s="24" t="n"/>
      <c r="K39" s="24" t="n"/>
      <c r="L39" s="24" t="n"/>
      <c r="M39" s="24" t="n"/>
      <c r="N39" s="24" t="n"/>
      <c r="O39" s="24" t="n"/>
      <c r="P39" s="24" t="n"/>
      <c r="Q39" s="21" t="inlineStr">
        <is>
          <t>（任命権者）</t>
        </is>
      </c>
      <c r="R39" s="24" t="n"/>
      <c r="S39" s="24" t="n"/>
      <c r="T39" s="24" t="n"/>
      <c r="U39" s="24" t="n"/>
      <c r="V39" s="24" t="n"/>
      <c r="W39" s="21" t="inlineStr">
        <is>
          <t>氏名</t>
        </is>
      </c>
      <c r="X39" s="24" t="n"/>
      <c r="Y39" s="24" t="n"/>
      <c r="Z39" s="24" t="n"/>
      <c r="AA39" s="24" t="n"/>
      <c r="AB39" s="24" t="n"/>
      <c r="AC39" s="24" t="n"/>
      <c r="AD39" s="24" t="n"/>
      <c r="AE39" s="24" t="n"/>
      <c r="AF39" s="24" t="n"/>
      <c r="AG39" s="24" t="n"/>
      <c r="AH39" s="24" t="n"/>
      <c r="AI39" s="24" t="n"/>
      <c r="AJ39" s="24" t="n"/>
      <c r="AK39" s="24" t="n"/>
      <c r="AL39" s="24" t="n"/>
      <c r="AM39" s="25" t="n"/>
    </row>
    <row r="40" ht="2.25" customFormat="1" customHeight="1" s="21">
      <c r="A40" s="28" t="n"/>
      <c r="B40" s="24" t="n"/>
      <c r="C40" s="24" t="n"/>
      <c r="D40" s="24" t="n"/>
      <c r="E40" s="24" t="n"/>
      <c r="F40" s="24" t="n"/>
      <c r="G40" s="24" t="n"/>
      <c r="H40" s="24" t="n"/>
      <c r="I40" s="24" t="n"/>
      <c r="J40" s="24" t="n"/>
      <c r="K40" s="24" t="n"/>
      <c r="L40" s="24" t="n"/>
      <c r="M40" s="24" t="n"/>
      <c r="N40" s="24" t="n"/>
      <c r="O40" s="24" t="n"/>
      <c r="P40" s="24" t="n"/>
      <c r="Q40" s="24" t="n"/>
      <c r="R40" s="24" t="n"/>
      <c r="S40" s="24" t="n"/>
      <c r="T40" s="24" t="n"/>
      <c r="U40" s="24" t="n"/>
      <c r="V40" s="24" t="n"/>
      <c r="W40" s="24" t="n"/>
      <c r="X40" s="24" t="n"/>
      <c r="Y40" s="24" t="n"/>
      <c r="Z40" s="24" t="n"/>
      <c r="AA40" s="24" t="n"/>
      <c r="AB40" s="24" t="n"/>
      <c r="AC40" s="24" t="n"/>
      <c r="AD40" s="24" t="n"/>
      <c r="AE40" s="24" t="n"/>
      <c r="AF40" s="24" t="n"/>
      <c r="AG40" s="24" t="n"/>
      <c r="AH40" s="24" t="n"/>
      <c r="AM40" s="25" t="n"/>
    </row>
    <row r="41" ht="3.75" customFormat="1" customHeight="1" s="21">
      <c r="A41" s="38" t="n"/>
      <c r="B41" s="33" t="n"/>
      <c r="C41" s="33" t="n"/>
      <c r="D41" s="33" t="n"/>
      <c r="E41" s="33" t="n"/>
      <c r="F41" s="33" t="n"/>
      <c r="G41" s="33" t="n"/>
      <c r="H41" s="33" t="n"/>
      <c r="I41" s="33" t="n"/>
      <c r="J41" s="33" t="n"/>
      <c r="K41" s="33" t="n"/>
      <c r="L41" s="33" t="n"/>
      <c r="M41" s="33" t="n"/>
      <c r="N41" s="33" t="n"/>
      <c r="O41" s="49" t="n"/>
      <c r="P41" s="49" t="n"/>
      <c r="Q41" s="49" t="n"/>
      <c r="R41" s="49" t="n"/>
      <c r="S41" s="49" t="n"/>
      <c r="T41" s="49" t="n"/>
      <c r="U41" s="49" t="n"/>
      <c r="V41" s="49" t="n"/>
      <c r="W41" s="49" t="n"/>
      <c r="X41" s="49" t="n"/>
      <c r="Y41" s="49" t="n"/>
      <c r="Z41" s="49" t="n"/>
      <c r="AA41" s="49" t="n"/>
      <c r="AB41" s="49" t="n"/>
      <c r="AC41" s="49" t="n"/>
      <c r="AD41" s="49" t="n"/>
      <c r="AE41" s="49" t="n"/>
      <c r="AF41" s="49" t="n"/>
      <c r="AG41" s="49" t="n"/>
      <c r="AH41" s="49" t="n"/>
      <c r="AI41" s="49" t="n"/>
      <c r="AJ41" s="49" t="n"/>
      <c r="AK41" s="49" t="n"/>
      <c r="AL41" s="49" t="n"/>
      <c r="AM41" s="50" t="n"/>
    </row>
    <row r="42" ht="11.25" customFormat="1" customHeight="1" s="29">
      <c r="A42" s="319" t="inlineStr">
        <is>
          <t>添付書類
(添付し請求者がチェック（✓）
してください。）</t>
        </is>
      </c>
      <c r="B42" s="285" t="n"/>
      <c r="C42" s="285" t="n"/>
      <c r="D42" s="285" t="n"/>
      <c r="E42" s="285" t="n"/>
      <c r="F42" s="285" t="n"/>
      <c r="G42" s="285" t="n"/>
      <c r="H42" s="285" t="n"/>
      <c r="I42" s="285" t="n"/>
      <c r="J42" s="289" t="n"/>
      <c r="K42" s="65" t="inlineStr">
        <is>
          <t>育児短時間勤務</t>
        </is>
      </c>
      <c r="L42" s="65" t="n"/>
      <c r="M42" s="65" t="n"/>
      <c r="N42" s="65" t="n"/>
      <c r="O42" s="65" t="n"/>
      <c r="P42" s="65" t="n"/>
      <c r="Q42" s="65" t="n"/>
      <c r="R42" s="65" t="n"/>
      <c r="S42" s="65" t="n"/>
      <c r="T42" s="65" t="n"/>
      <c r="U42" s="65" t="n"/>
      <c r="V42" s="65" t="n"/>
      <c r="W42" s="65" t="n"/>
      <c r="X42" s="66" t="n"/>
      <c r="Y42" s="64" t="inlineStr">
        <is>
          <t>部分休業</t>
        </is>
      </c>
      <c r="Z42" s="64" t="n"/>
      <c r="AA42" s="64" t="n"/>
      <c r="AB42" s="64" t="n"/>
      <c r="AC42" s="64" t="n"/>
      <c r="AD42" s="64" t="n"/>
      <c r="AE42" s="64" t="n"/>
      <c r="AF42" s="64" t="n"/>
      <c r="AG42" s="64" t="n"/>
      <c r="AH42" s="64" t="n"/>
      <c r="AI42" s="64" t="n"/>
      <c r="AJ42" s="64" t="n"/>
      <c r="AK42" s="64" t="n"/>
      <c r="AL42" s="64" t="n"/>
      <c r="AM42" s="67" t="n"/>
    </row>
    <row r="43" ht="11.25" customFormat="1" customHeight="1" s="29">
      <c r="A43" s="292" t="n"/>
      <c r="J43" s="293" t="n"/>
      <c r="K43" s="320">
        <f>IF(入力!C43="✓","☑","□")</f>
        <v/>
      </c>
      <c r="L43" s="88" t="inlineStr">
        <is>
          <t>育児短時間勤務承認書（写）</t>
        </is>
      </c>
      <c r="M43" s="90" t="n"/>
      <c r="N43" s="90" t="n"/>
      <c r="O43" s="90" t="n"/>
      <c r="P43" s="89" t="n"/>
      <c r="Q43" s="88" t="n"/>
      <c r="R43" s="90" t="n"/>
      <c r="S43" s="89" t="n"/>
      <c r="T43" s="88" t="n"/>
      <c r="U43" s="89" t="n"/>
      <c r="V43" s="89" t="n"/>
      <c r="W43" s="89" t="n"/>
      <c r="X43" s="59" t="n"/>
      <c r="Y43" s="321">
        <f>IF(入力!C48="✓","☑","□")</f>
        <v/>
      </c>
      <c r="Z43" s="83" t="inlineStr">
        <is>
          <t>部分休業承認請求書兼承認書（写）</t>
        </is>
      </c>
      <c r="AA43" s="84" t="n"/>
      <c r="AB43" s="83" t="n"/>
      <c r="AC43" s="85" t="n"/>
      <c r="AD43" s="85" t="n"/>
      <c r="AE43" s="85" t="n"/>
      <c r="AF43" s="84" t="n"/>
      <c r="AG43" s="83" t="n"/>
      <c r="AH43" s="85" t="n"/>
      <c r="AI43" s="84" t="n"/>
      <c r="AJ43" s="83" t="n"/>
      <c r="AK43" s="84" t="n"/>
      <c r="AL43" s="84" t="n"/>
      <c r="AM43" s="86" t="n"/>
    </row>
    <row r="44" ht="11.25" customFormat="1" customHeight="1" s="29">
      <c r="A44" s="292" t="n"/>
      <c r="J44" s="293" t="n"/>
      <c r="K44" s="320">
        <f>IF(入力!C44="✓","☑","□")</f>
        <v/>
      </c>
      <c r="L44" s="88" t="inlineStr">
        <is>
          <t>出勤簿（写）</t>
        </is>
      </c>
      <c r="M44" s="90" t="n"/>
      <c r="N44" s="90" t="n"/>
      <c r="O44" s="90" t="n"/>
      <c r="P44" s="89" t="n"/>
      <c r="Q44" s="88" t="n"/>
      <c r="R44" s="90" t="n"/>
      <c r="S44" s="89" t="n"/>
      <c r="T44" s="88" t="n"/>
      <c r="U44" s="89" t="n"/>
      <c r="V44" s="89" t="n"/>
      <c r="W44" s="89" t="n"/>
      <c r="X44" s="59" t="n"/>
      <c r="Y44" s="87" t="n"/>
      <c r="Z44" s="96" t="inlineStr">
        <is>
          <t>または庶務事務システム承認画面（ハードコピー）</t>
        </is>
      </c>
      <c r="AA44" s="89" t="n"/>
      <c r="AB44" s="88" t="n"/>
      <c r="AC44" s="90" t="n"/>
      <c r="AD44" s="90" t="n"/>
      <c r="AE44" s="90" t="n"/>
      <c r="AF44" s="89" t="n"/>
      <c r="AG44" s="88" t="n"/>
      <c r="AH44" s="90" t="n"/>
      <c r="AI44" s="89" t="n"/>
      <c r="AJ44" s="88" t="n"/>
      <c r="AK44" s="89" t="n"/>
      <c r="AL44" s="89" t="n"/>
      <c r="AM44" s="59" t="n"/>
    </row>
    <row r="45" ht="11.25" customFormat="1" customHeight="1" s="29">
      <c r="A45" s="292" t="n"/>
      <c r="J45" s="293" t="n"/>
      <c r="K45" s="320">
        <f>IF(入力!C45="✓","☑","□")</f>
        <v/>
      </c>
      <c r="L45" s="88" t="inlineStr">
        <is>
          <t>支給明細書（写）</t>
        </is>
      </c>
      <c r="M45" s="90" t="n"/>
      <c r="N45" s="90" t="n"/>
      <c r="O45" s="90" t="n"/>
      <c r="P45" s="89" t="n"/>
      <c r="Q45" s="88" t="n"/>
      <c r="R45" s="90" t="n"/>
      <c r="S45" s="89" t="n"/>
      <c r="T45" s="88" t="n"/>
      <c r="U45" s="89" t="n"/>
      <c r="V45" s="89" t="n"/>
      <c r="W45" s="89" t="n"/>
      <c r="X45" s="59" t="n"/>
      <c r="Y45" s="322">
        <f>IF(入力!C49="✓","☑","□")</f>
        <v/>
      </c>
      <c r="Z45" s="88" t="inlineStr">
        <is>
          <t>出勤簿（写）</t>
        </is>
      </c>
      <c r="AA45" s="89" t="n"/>
      <c r="AB45" s="88" t="n"/>
      <c r="AC45" s="90" t="n"/>
      <c r="AD45" s="90" t="n"/>
      <c r="AE45" s="90" t="n"/>
      <c r="AF45" s="89" t="n"/>
      <c r="AG45" s="88" t="n"/>
      <c r="AH45" s="90" t="n"/>
      <c r="AI45" s="89" t="n"/>
      <c r="AJ45" s="88" t="n"/>
      <c r="AK45" s="89" t="n"/>
      <c r="AL45" s="89" t="n"/>
      <c r="AM45" s="59" t="n"/>
    </row>
    <row r="46" ht="11.25" customFormat="1" customHeight="1" s="29">
      <c r="A46" s="292" t="n"/>
      <c r="J46" s="293" t="n"/>
      <c r="K46" s="320">
        <f>IF(入力!C46="✓","☑","□")</f>
        <v/>
      </c>
      <c r="L46" s="108" t="inlineStr">
        <is>
          <t>通勤手当が数か月分一括支給された場合、
その額のわかる支給明細書（写）</t>
        </is>
      </c>
      <c r="X46" s="62" t="n"/>
      <c r="Y46" s="322">
        <f>IF(入力!C50="✓","☑","□")</f>
        <v/>
      </c>
      <c r="Z46" s="88" t="inlineStr">
        <is>
          <t>支給明細書（写）</t>
        </is>
      </c>
      <c r="AA46" s="108" t="n"/>
      <c r="AB46" s="108" t="n"/>
      <c r="AC46" s="108" t="n"/>
      <c r="AD46" s="108" t="n"/>
      <c r="AE46" s="108" t="n"/>
      <c r="AF46" s="108" t="n"/>
      <c r="AG46" s="108" t="n"/>
      <c r="AH46" s="108" t="n"/>
      <c r="AI46" s="108" t="n"/>
      <c r="AJ46" s="108" t="n"/>
      <c r="AK46" s="108" t="n"/>
      <c r="AL46" s="108" t="n"/>
      <c r="AM46" s="62" t="n"/>
    </row>
    <row r="47" ht="11.25" customFormat="1" customHeight="1" s="29">
      <c r="A47" s="292" t="n"/>
      <c r="J47" s="293" t="n"/>
      <c r="K47" s="89" t="n"/>
      <c r="X47" s="62" t="n"/>
      <c r="Y47" s="322">
        <f>IF(入力!C51="✓","☑","□")</f>
        <v/>
      </c>
      <c r="Z47" s="108" t="inlineStr">
        <is>
          <t>通勤手当が数か月分一括支給された場合、
その額のわかる支給明細書（写）</t>
        </is>
      </c>
      <c r="AL47" s="108" t="n"/>
      <c r="AM47" s="62" t="n"/>
    </row>
    <row r="48" ht="11.25" customFormat="1" customHeight="1" s="29">
      <c r="A48" s="292" t="n"/>
      <c r="J48" s="293" t="n"/>
      <c r="K48" s="320">
        <f>IF(入力!C47="✓","☑","□")</f>
        <v/>
      </c>
      <c r="L48" s="107" t="inlineStr">
        <is>
          <t>母子手帳等（写）（※初回請求時のみ）</t>
        </is>
      </c>
      <c r="X48" s="68" t="n"/>
      <c r="Y48" s="87" t="n"/>
      <c r="AL48" s="107" t="n"/>
      <c r="AM48" s="68" t="n"/>
    </row>
    <row r="49" ht="11.25" customFormat="1" customHeight="1" s="29">
      <c r="A49" s="295" t="n"/>
      <c r="B49" s="294" t="n"/>
      <c r="C49" s="294" t="n"/>
      <c r="D49" s="294" t="n"/>
      <c r="E49" s="294" t="n"/>
      <c r="F49" s="294" t="n"/>
      <c r="G49" s="294" t="n"/>
      <c r="H49" s="294" t="n"/>
      <c r="I49" s="294" t="n"/>
      <c r="J49" s="296" t="n"/>
      <c r="K49" s="95" t="n"/>
      <c r="L49" s="16" t="n"/>
      <c r="M49" s="16" t="n"/>
      <c r="N49" s="16" t="n"/>
      <c r="O49" s="16" t="n"/>
      <c r="P49" s="49" t="n"/>
      <c r="Q49" s="49" t="n"/>
      <c r="R49" s="49" t="n"/>
      <c r="S49" s="49" t="n"/>
      <c r="T49" s="49" t="n"/>
      <c r="U49" s="49" t="n"/>
      <c r="V49" s="49" t="n"/>
      <c r="W49" s="49" t="n"/>
      <c r="X49" s="50" t="n"/>
      <c r="Y49" s="323">
        <f>IF(入力!C52="✓","☑","□")</f>
        <v/>
      </c>
      <c r="Z49" s="109" t="inlineStr">
        <is>
          <t>母子手帳等（写）（※初回請求時のみ）</t>
        </is>
      </c>
      <c r="AA49" s="294" t="n"/>
      <c r="AB49" s="294" t="n"/>
      <c r="AC49" s="294" t="n"/>
      <c r="AD49" s="294" t="n"/>
      <c r="AE49" s="294" t="n"/>
      <c r="AF49" s="294" t="n"/>
      <c r="AG49" s="294" t="n"/>
      <c r="AH49" s="294" t="n"/>
      <c r="AI49" s="294" t="n"/>
      <c r="AJ49" s="294" t="n"/>
      <c r="AK49" s="294" t="n"/>
      <c r="AL49" s="109" t="n"/>
      <c r="AM49" s="63" t="n"/>
    </row>
    <row r="50" ht="11.25" customHeight="1" s="225">
      <c r="B50" s="57" t="inlineStr">
        <is>
          <t>☆の項目は記入不要です。</t>
        </is>
      </c>
      <c r="K50" s="60" t="n"/>
      <c r="L50" s="60" t="n"/>
      <c r="M50" s="60" t="n"/>
      <c r="N50" s="60" t="n"/>
      <c r="O50" s="60" t="n"/>
      <c r="P50" s="60" t="n"/>
      <c r="Q50" s="60" t="n"/>
      <c r="R50" s="60" t="n"/>
      <c r="S50" s="60" t="n"/>
      <c r="T50" s="60" t="n"/>
      <c r="U50" s="60" t="n"/>
      <c r="V50" s="60" t="n"/>
      <c r="W50" s="60" t="n"/>
      <c r="X50" s="60" t="n"/>
      <c r="Y50" s="47" t="n"/>
      <c r="Z50" s="47" t="n"/>
      <c r="AA50" s="47" t="n"/>
      <c r="AB50" s="47" t="n"/>
      <c r="AC50" s="47" t="n"/>
      <c r="AD50" s="47" t="n"/>
      <c r="AE50" s="47" t="n"/>
      <c r="AF50" s="47" t="n"/>
      <c r="AG50" s="47" t="n"/>
      <c r="AH50" s="47" t="n"/>
      <c r="AI50" s="47" t="n"/>
      <c r="AJ50" s="47" t="n"/>
      <c r="AK50" s="47" t="n"/>
      <c r="AL50" s="21" t="inlineStr">
        <is>
          <t>R7.11</t>
        </is>
      </c>
      <c r="AM50" s="90" t="n"/>
    </row>
    <row r="51" ht="15" customHeight="1" s="225">
      <c r="A51" s="324">
        <f>IF(COUNTIF(入力!K6:K57,"✕*")&gt;0,"※入力エラーがあります。入力シートを直してから印刷してください（このまま提出しないでください）","")</f>
        <v/>
      </c>
    </row>
  </sheetData>
  <mergeCells count="96">
    <mergeCell ref="V17:W17"/>
    <mergeCell ref="U15:V15"/>
    <mergeCell ref="W15:X15"/>
    <mergeCell ref="K17:T17"/>
    <mergeCell ref="O15:P15"/>
    <mergeCell ref="AE6:AE8"/>
    <mergeCell ref="U16:V16"/>
    <mergeCell ref="M16:N16"/>
    <mergeCell ref="O16:P16"/>
    <mergeCell ref="AH2:AM2"/>
    <mergeCell ref="H11:J12"/>
    <mergeCell ref="AF15:AG15"/>
    <mergeCell ref="AB6:AD8"/>
    <mergeCell ref="W27:AH29"/>
    <mergeCell ref="E27:F27"/>
    <mergeCell ref="L48:W48"/>
    <mergeCell ref="I6:Q6"/>
    <mergeCell ref="AE25:AG25"/>
    <mergeCell ref="AD16:AE16"/>
    <mergeCell ref="H13:J14"/>
    <mergeCell ref="Z15:AA15"/>
    <mergeCell ref="X22:AB22"/>
    <mergeCell ref="AA2:AB4"/>
    <mergeCell ref="K15:L15"/>
    <mergeCell ref="K11:AM12"/>
    <mergeCell ref="AA18:AM18"/>
    <mergeCell ref="Y19:AM19"/>
    <mergeCell ref="T9:T10"/>
    <mergeCell ref="L9:M10"/>
    <mergeCell ref="R8:U8"/>
    <mergeCell ref="K21:AM21"/>
    <mergeCell ref="AF16:AG16"/>
    <mergeCell ref="A15:J15"/>
    <mergeCell ref="J27:K27"/>
    <mergeCell ref="R9:S10"/>
    <mergeCell ref="W16:X16"/>
    <mergeCell ref="Q15:R15"/>
    <mergeCell ref="S15:T15"/>
    <mergeCell ref="A1:U4"/>
    <mergeCell ref="M27:N27"/>
    <mergeCell ref="A16:J16"/>
    <mergeCell ref="AF2:AG4"/>
    <mergeCell ref="X2:Z4"/>
    <mergeCell ref="A18:J18"/>
    <mergeCell ref="AA17:AB17"/>
    <mergeCell ref="K16:L16"/>
    <mergeCell ref="AB15:AC15"/>
    <mergeCell ref="AL15:AM15"/>
    <mergeCell ref="W10:AA10"/>
    <mergeCell ref="A7:G8"/>
    <mergeCell ref="L46:W47"/>
    <mergeCell ref="Z16:AA16"/>
    <mergeCell ref="AB16:AC16"/>
    <mergeCell ref="K18:Z18"/>
    <mergeCell ref="AL16:AM16"/>
    <mergeCell ref="K13:AM14"/>
    <mergeCell ref="AF6:AM8"/>
    <mergeCell ref="M15:N15"/>
    <mergeCell ref="A6:G6"/>
    <mergeCell ref="N9:N10"/>
    <mergeCell ref="N19:X19"/>
    <mergeCell ref="A42:J49"/>
    <mergeCell ref="W9:AA9"/>
    <mergeCell ref="AF17:AG17"/>
    <mergeCell ref="Z49:AK49"/>
    <mergeCell ref="A9:G10"/>
    <mergeCell ref="X17:Z17"/>
    <mergeCell ref="AH17:AJ17"/>
    <mergeCell ref="A51:AM51"/>
    <mergeCell ref="Q16:R16"/>
    <mergeCell ref="S16:T16"/>
    <mergeCell ref="AK17:AL17"/>
    <mergeCell ref="H9:K10"/>
    <mergeCell ref="AH1:AM1"/>
    <mergeCell ref="V2:W4"/>
    <mergeCell ref="A17:J17"/>
    <mergeCell ref="G27:H27"/>
    <mergeCell ref="A11:G14"/>
    <mergeCell ref="A19:J19"/>
    <mergeCell ref="Q9:Q10"/>
    <mergeCell ref="Z31:AL31"/>
    <mergeCell ref="AD15:AE15"/>
    <mergeCell ref="O9:P10"/>
    <mergeCell ref="I7:Q8"/>
    <mergeCell ref="Z47:AK48"/>
    <mergeCell ref="AH15:AI15"/>
    <mergeCell ref="AJ15:AK15"/>
    <mergeCell ref="AI25:AM25"/>
    <mergeCell ref="B34:AL35"/>
    <mergeCell ref="AC17:AE17"/>
    <mergeCell ref="A20:J23"/>
    <mergeCell ref="AC2:AE4"/>
    <mergeCell ref="K23:AM23"/>
    <mergeCell ref="AH16:AI16"/>
    <mergeCell ref="AJ16:AK16"/>
    <mergeCell ref="W5:AA8"/>
  </mergeCells>
  <printOptions horizontalCentered="1"/>
  <pageMargins left="0.7874015748031497" right="0.3937007874015748" top="0.5905511811023623" bottom="0" header="0.5118110236220472" footer="0.5118110236220472"/>
  <pageSetup orientation="portrait" paperSize="9" fitToHeight="1" fitToWidth="1"/>
</worksheet>
</file>

<file path=xl/worksheets/sheet5.xml><?xml version="1.0" encoding="utf-8"?>
<worksheet xmlns="http://schemas.openxmlformats.org/spreadsheetml/2006/main">
  <sheetPr>
    <outlinePr summaryBelow="1" summaryRight="1"/>
    <pageSetUpPr fitToPage="1"/>
  </sheetPr>
  <dimension ref="A1:AK42"/>
  <sheetViews>
    <sheetView view="pageBreakPreview" topLeftCell="A22" zoomScale="130" zoomScaleNormal="100" zoomScaleSheetLayoutView="130" workbookViewId="0">
      <selection activeCell="B13" sqref="B13:AJ13"/>
    </sheetView>
  </sheetViews>
  <sheetFormatPr baseColWidth="8" defaultColWidth="2.625" defaultRowHeight="18" customHeight="1"/>
  <cols>
    <col width="2.375" customWidth="1" style="1" min="1" max="1"/>
    <col width="2.375" customWidth="1" style="43" min="2" max="2"/>
    <col width="2.375" customWidth="1" style="1" min="3" max="35"/>
    <col width="3" customWidth="1" style="1" min="36" max="36"/>
    <col width="1.375" customWidth="1" style="1" min="37" max="37"/>
    <col width="2.625" customWidth="1" style="1" min="38" max="16384"/>
  </cols>
  <sheetData>
    <row r="1" ht="10.9" customHeight="1" s="225">
      <c r="B1" s="47" t="n"/>
      <c r="C1" s="47" t="n"/>
      <c r="D1" s="47" t="n"/>
      <c r="E1" s="47" t="n"/>
      <c r="F1" s="47" t="n"/>
      <c r="G1" s="47" t="n"/>
      <c r="H1" s="47" t="n"/>
      <c r="I1" s="47" t="n"/>
      <c r="J1" s="47" t="n"/>
      <c r="K1" s="47" t="n"/>
      <c r="L1" s="47" t="n"/>
      <c r="M1" s="47" t="n"/>
      <c r="N1" s="47" t="n"/>
      <c r="O1" s="47" t="n"/>
      <c r="P1" s="47" t="n"/>
      <c r="Q1" s="47" t="n"/>
      <c r="R1" s="47" t="n"/>
      <c r="S1" s="47" t="n"/>
      <c r="T1" s="47" t="n"/>
      <c r="U1" s="47" t="n"/>
      <c r="V1" s="47" t="n"/>
      <c r="W1" s="47" t="n"/>
      <c r="X1" s="47" t="n"/>
      <c r="Y1" s="47" t="n"/>
      <c r="Z1" s="47" t="n"/>
      <c r="AA1" s="47" t="n"/>
      <c r="AB1" s="47" t="n"/>
      <c r="AC1" s="47" t="n"/>
      <c r="AD1" s="47" t="n"/>
      <c r="AE1" s="47" t="n"/>
      <c r="AF1" s="47" t="n"/>
      <c r="AG1" s="42" t="n"/>
      <c r="AH1" s="42" t="n"/>
      <c r="AI1" s="42" t="n"/>
      <c r="AJ1" s="42" t="n"/>
      <c r="AK1" s="23" t="n"/>
    </row>
    <row r="2" ht="18" customHeight="1" s="225">
      <c r="B2" s="47" t="n"/>
      <c r="C2" s="223" t="inlineStr">
        <is>
          <t>注　意</t>
        </is>
      </c>
      <c r="F2" s="47" t="n"/>
      <c r="G2" s="47" t="n"/>
      <c r="H2" s="47" t="n"/>
      <c r="I2" s="47" t="n"/>
      <c r="J2" s="47" t="n"/>
      <c r="K2" s="47" t="n"/>
      <c r="L2" s="47" t="n"/>
      <c r="M2" s="47" t="n"/>
      <c r="N2" s="47" t="n"/>
      <c r="O2" s="47" t="n"/>
      <c r="P2" s="47" t="n"/>
      <c r="Q2" s="47" t="n"/>
      <c r="R2" s="47" t="n"/>
      <c r="S2" s="47" t="n"/>
      <c r="T2" s="47" t="n"/>
      <c r="U2" s="47" t="n"/>
      <c r="V2" s="47" t="n"/>
      <c r="W2" s="47" t="n"/>
      <c r="X2" s="47" t="n"/>
      <c r="Y2" s="47" t="n"/>
      <c r="Z2" s="47" t="n"/>
      <c r="AA2" s="47" t="n"/>
      <c r="AB2" s="47" t="n"/>
      <c r="AC2" s="47" t="n"/>
      <c r="AD2" s="47" t="n"/>
      <c r="AE2" s="47" t="n"/>
      <c r="AF2" s="47" t="n"/>
      <c r="AG2" s="42" t="n"/>
      <c r="AH2" s="42" t="n"/>
      <c r="AI2" s="42" t="n"/>
      <c r="AJ2" s="42" t="n"/>
      <c r="AK2" s="23" t="n"/>
    </row>
    <row r="3" ht="18" customHeight="1" s="225">
      <c r="B3" s="224" t="inlineStr">
        <is>
          <t>１　この請求書は、育児時短勤務を行った月経過後に、育児時短勤務を行った月ごと提出してください。</t>
        </is>
      </c>
      <c r="AK3" s="219" t="n"/>
    </row>
    <row r="4" ht="32.25" customHeight="1" s="225">
      <c r="A4" s="40" t="n"/>
      <c r="B4" s="219" t="inlineStr">
        <is>
          <t>２　「育児時短勤務手当金請求期間」欄の終期について、育児時短勤務に係る子が２歳に達することに
　より育児時短勤務手当金の支給が終了する場合には、当該子の２歳の誕生日の前々日を記載してくだ
　さい。新たに産前産後休業、介護休業又は育児休業を開始することにより支給が終了する場合には、
　当該開始した日の前日を記載してください。</t>
        </is>
      </c>
    </row>
    <row r="5" ht="32.25" customHeight="1" s="225">
      <c r="A5" s="40" t="n"/>
    </row>
    <row r="6" ht="18" customHeight="1" s="225">
      <c r="A6" s="219" t="n"/>
      <c r="B6" s="219" t="inlineStr">
        <is>
          <t>３　「支給対象月に支払われた報酬の額」欄は、支給対象月に支払われた報酬（期末勤勉手当及び給与
　改定差額を除く。）の額を記載してください。</t>
        </is>
      </c>
      <c r="AK6" s="219" t="n"/>
    </row>
    <row r="7" ht="18" customHeight="1" s="225">
      <c r="A7" s="219" t="n"/>
      <c r="AK7" s="219" t="n"/>
    </row>
    <row r="8" ht="18" customHeight="1" s="225">
      <c r="A8" s="219" t="n"/>
      <c r="B8" s="219" t="inlineStr">
        <is>
          <t xml:space="preserve">　　また、通勤手当が数か月分一括して支給される場合は、通勤手当額を支給月数で除して得た額を報
　酬額に含めてください（端数は最終月に加算）。</t>
        </is>
      </c>
      <c r="AK8" s="47" t="n"/>
    </row>
    <row r="9" ht="18" customHeight="1" s="225">
      <c r="A9" s="219" t="n"/>
      <c r="AK9" s="47" t="n"/>
    </row>
    <row r="10" ht="18" customHeight="1" s="225">
      <c r="A10" s="220" t="n"/>
      <c r="B10" s="220" t="inlineStr">
        <is>
          <t>４　「通勤手当に対する特記事項」欄には、「支給対象月に支払われた報酬の額」に含めた通勤手当に
　ついて記載してください。</t>
        </is>
      </c>
      <c r="AK10" s="22" t="n"/>
    </row>
    <row r="11" ht="18" customHeight="1" s="225">
      <c r="A11" s="220" t="n"/>
      <c r="AK11" s="22" t="n"/>
    </row>
    <row r="12" ht="18" customHeight="1" s="225">
      <c r="A12" s="220" t="n"/>
      <c r="B12" s="221" t="inlineStr">
        <is>
          <t>５　この請求には、次の書類を添付してください。</t>
        </is>
      </c>
      <c r="AK12" s="22" t="n"/>
    </row>
    <row r="13" ht="18" customHeight="1" s="225">
      <c r="A13" s="220" t="n"/>
      <c r="B13" s="221" t="inlineStr">
        <is>
          <t>（１）育児短時間勤務に関する所属機関の長の証明書の写し（育児短時間勤務をした場合）</t>
        </is>
      </c>
      <c r="AK13" s="22" t="n"/>
    </row>
    <row r="14" ht="18" customHeight="1" s="225">
      <c r="A14" s="220" t="n"/>
      <c r="B14" s="222" t="inlineStr">
        <is>
          <t>（２）部分休業承認請求書兼承認書（写）または庶務事務システム承認画面（ハードコピー）（部分休業をした場合）</t>
        </is>
      </c>
      <c r="AK14" s="22" t="n"/>
    </row>
    <row r="15" ht="18" customHeight="1" s="225">
      <c r="A15" s="220" t="n"/>
      <c r="B15" s="221" t="inlineStr">
        <is>
          <t>（３）支給対象月に育児時短勤務をしたことがわかる出勤簿の写し</t>
        </is>
      </c>
      <c r="AK15" s="22" t="n"/>
    </row>
    <row r="16" ht="18" customHeight="1" s="225">
      <c r="A16" s="220" t="n"/>
      <c r="B16" s="220" t="inlineStr">
        <is>
          <t>（４）支給対象月に支払われた報酬の額がわかる支給明細書の写し
　　（通勤手当が数か月分一括して支給された場合は、当該支給額がわかる支給明細書の写しを含む。）</t>
        </is>
      </c>
      <c r="AK16" s="22" t="n"/>
    </row>
    <row r="17" ht="18" customHeight="1" s="225">
      <c r="A17" s="220" t="n"/>
      <c r="AK17" s="22" t="n"/>
    </row>
    <row r="18" ht="18" customHeight="1" s="225">
      <c r="A18" s="220" t="n"/>
      <c r="B18" s="221" t="inlineStr">
        <is>
          <t>（５）母子健康手帳（出生届出済証明の部分）、住民票記載事項証明書、戸籍謄本等、子との関係と
　　年齢がわかる書類の写し（初回請求時のみ）</t>
        </is>
      </c>
      <c r="AK18" s="22" t="n"/>
    </row>
    <row r="19" ht="18" customHeight="1" s="225">
      <c r="A19" s="221" t="n"/>
      <c r="AK19" s="22" t="n"/>
    </row>
    <row r="20" ht="18" customHeight="1" s="225">
      <c r="A20" s="221" t="n"/>
      <c r="B20" s="221" t="n"/>
      <c r="C20" s="221" t="n"/>
      <c r="D20" s="79" t="n"/>
      <c r="E20" s="79" t="n"/>
      <c r="F20" s="79" t="n"/>
      <c r="G20" s="79" t="n"/>
      <c r="H20" s="24" t="n"/>
      <c r="I20" s="24" t="n"/>
      <c r="J20" s="24" t="n"/>
      <c r="K20" s="22" t="n"/>
      <c r="L20" s="22" t="n"/>
      <c r="M20" s="22" t="n"/>
      <c r="N20" s="22" t="n"/>
      <c r="O20" s="22" t="n"/>
      <c r="P20" s="22" t="n"/>
      <c r="Q20" s="22" t="n"/>
      <c r="R20" s="22" t="n"/>
      <c r="S20" s="22" t="n"/>
      <c r="T20" s="22" t="n"/>
      <c r="U20" s="22" t="n"/>
      <c r="V20" s="22" t="n"/>
      <c r="W20" s="22" t="n"/>
      <c r="X20" s="22" t="n"/>
      <c r="Y20" s="22" t="n"/>
      <c r="Z20" s="22" t="n"/>
      <c r="AA20" s="22" t="n"/>
      <c r="AB20" s="22" t="n"/>
      <c r="AC20" s="22" t="n"/>
      <c r="AD20" s="22" t="n"/>
      <c r="AE20" s="22" t="n"/>
      <c r="AF20" s="22" t="n"/>
      <c r="AG20" s="22" t="n"/>
      <c r="AH20" s="22" t="n"/>
      <c r="AI20" s="22" t="n"/>
      <c r="AJ20" s="22" t="n"/>
      <c r="AK20" s="22" t="n"/>
    </row>
    <row r="21" ht="18" customHeight="1" s="225">
      <c r="A21" s="221" t="n"/>
      <c r="B21" s="221" t="n"/>
      <c r="C21" s="221" t="n"/>
      <c r="D21" s="79" t="n"/>
      <c r="E21" s="79" t="n"/>
      <c r="F21" s="79" t="n"/>
      <c r="G21" s="79" t="n"/>
      <c r="H21" s="24" t="n"/>
      <c r="I21" s="24" t="n"/>
      <c r="J21" s="24" t="n"/>
      <c r="K21" s="22" t="n"/>
      <c r="L21" s="22" t="n"/>
      <c r="M21" s="22" t="n"/>
      <c r="N21" s="22" t="n"/>
      <c r="O21" s="22" t="n"/>
      <c r="P21" s="22" t="n"/>
      <c r="Q21" s="22" t="n"/>
      <c r="R21" s="22" t="n"/>
      <c r="S21" s="22" t="n"/>
      <c r="T21" s="22" t="n"/>
      <c r="U21" s="22" t="n"/>
      <c r="V21" s="22" t="n"/>
      <c r="W21" s="22" t="n"/>
      <c r="X21" s="22" t="n"/>
      <c r="Y21" s="22" t="n"/>
      <c r="Z21" s="22" t="n"/>
      <c r="AA21" s="22" t="n"/>
      <c r="AB21" s="22" t="n"/>
      <c r="AC21" s="22" t="n"/>
      <c r="AD21" s="22" t="n"/>
      <c r="AE21" s="22" t="n"/>
      <c r="AF21" s="22" t="n"/>
      <c r="AG21" s="22" t="n"/>
      <c r="AH21" s="22" t="n"/>
      <c r="AI21" s="22" t="n"/>
      <c r="AJ21" s="22" t="n"/>
      <c r="AK21" s="22" t="n"/>
    </row>
    <row r="22" ht="18" customHeight="1" s="225">
      <c r="A22" s="220" t="n"/>
      <c r="B22" s="221" t="n"/>
      <c r="C22" s="220" t="n"/>
      <c r="D22" s="220" t="n"/>
      <c r="E22" s="220" t="n"/>
      <c r="F22" s="220" t="n"/>
      <c r="G22" s="220" t="n"/>
      <c r="H22" s="24" t="n"/>
      <c r="I22" s="24" t="n"/>
      <c r="J22" s="24" t="n"/>
      <c r="K22" s="22" t="n"/>
      <c r="L22" s="22" t="n"/>
      <c r="M22" s="22" t="n"/>
      <c r="N22" s="22" t="n"/>
      <c r="O22" s="22" t="n"/>
      <c r="P22" s="22" t="n"/>
      <c r="Q22" s="22" t="n"/>
      <c r="R22" s="22" t="n"/>
      <c r="S22" s="22" t="n"/>
      <c r="T22" s="22" t="n"/>
      <c r="U22" s="22" t="n"/>
      <c r="V22" s="22" t="n"/>
      <c r="W22" s="22" t="n"/>
      <c r="X22" s="22" t="n"/>
      <c r="Y22" s="22" t="n"/>
      <c r="Z22" s="22" t="n"/>
      <c r="AA22" s="22" t="n"/>
      <c r="AB22" s="22" t="n"/>
      <c r="AC22" s="22" t="n"/>
      <c r="AD22" s="22" t="n"/>
      <c r="AE22" s="22" t="n"/>
      <c r="AF22" s="22" t="n"/>
      <c r="AG22" s="22" t="n"/>
      <c r="AH22" s="22" t="n"/>
      <c r="AI22" s="22" t="n"/>
      <c r="AJ22" s="22" t="n"/>
      <c r="AK22" s="22" t="n"/>
    </row>
    <row r="23" ht="18" customHeight="1" s="225">
      <c r="A23" s="221" t="n"/>
      <c r="B23" s="221" t="n"/>
      <c r="C23" s="79" t="n"/>
      <c r="D23" s="79" t="n"/>
      <c r="E23" s="79" t="n"/>
      <c r="F23" s="79" t="n"/>
      <c r="G23" s="79" t="n"/>
      <c r="H23" s="24" t="n"/>
      <c r="I23" s="24" t="n"/>
      <c r="J23" s="24" t="n"/>
      <c r="K23" s="24" t="n"/>
      <c r="L23" s="24" t="n"/>
      <c r="M23" s="24" t="n"/>
      <c r="N23" s="24" t="n"/>
      <c r="O23" s="24" t="n"/>
      <c r="P23" s="24" t="n"/>
      <c r="Q23" s="24" t="n"/>
      <c r="R23" s="24" t="n"/>
      <c r="S23" s="24" t="n"/>
      <c r="T23" s="24" t="n"/>
      <c r="U23" s="24" t="n"/>
      <c r="V23" s="24" t="n"/>
      <c r="W23" s="24" t="n"/>
      <c r="X23" s="24" t="n"/>
      <c r="Y23" s="24" t="n"/>
      <c r="Z23" s="24" t="n"/>
      <c r="AA23" s="24" t="n"/>
      <c r="AB23" s="24" t="n"/>
      <c r="AC23" s="24" t="n"/>
      <c r="AD23" s="24" t="n"/>
      <c r="AE23" s="24" t="n"/>
      <c r="AF23" s="24" t="n"/>
      <c r="AG23" s="24" t="n"/>
      <c r="AH23" s="24" t="n"/>
      <c r="AI23" s="24" t="n"/>
      <c r="AJ23" s="24" t="n"/>
      <c r="AK23" s="24" t="n"/>
    </row>
    <row r="24" ht="18" customHeight="1" s="225">
      <c r="A24" s="79" t="n"/>
      <c r="B24" s="80" t="n"/>
      <c r="C24" s="79" t="n"/>
      <c r="D24" s="79" t="n"/>
      <c r="E24" s="79" t="n"/>
      <c r="F24" s="79" t="n"/>
      <c r="G24" s="79" t="n"/>
      <c r="H24" s="24" t="n"/>
      <c r="I24" s="24" t="n"/>
      <c r="J24" s="24" t="n"/>
      <c r="K24" s="24" t="n"/>
      <c r="L24" s="24" t="n"/>
      <c r="M24" s="24" t="n"/>
      <c r="N24" s="24" t="n"/>
      <c r="O24" s="24" t="n"/>
      <c r="P24" s="24" t="n"/>
      <c r="Q24" s="24" t="n"/>
      <c r="R24" s="21" t="n"/>
      <c r="S24" s="21" t="n"/>
      <c r="T24" s="21" t="n"/>
      <c r="U24" s="21" t="n"/>
      <c r="V24" s="21" t="n"/>
      <c r="W24" s="21" t="n"/>
      <c r="X24" s="21" t="n"/>
      <c r="Y24" s="21" t="n"/>
      <c r="Z24" s="21" t="n"/>
      <c r="AA24" s="21" t="n"/>
      <c r="AB24" s="21" t="n"/>
      <c r="AC24" s="21" t="n"/>
      <c r="AD24" s="21" t="n"/>
      <c r="AE24" s="21" t="n"/>
      <c r="AF24" s="21" t="n"/>
      <c r="AG24" s="21" t="n"/>
      <c r="AH24" s="21" t="n"/>
      <c r="AI24" s="21" t="n"/>
      <c r="AJ24" s="22" t="n"/>
      <c r="AK24" s="22" t="n"/>
    </row>
    <row r="25" ht="18" customFormat="1" customHeight="1" s="23">
      <c r="A25" s="219" t="n"/>
      <c r="B25" s="224" t="n"/>
      <c r="C25" s="219" t="n"/>
      <c r="D25" s="219" t="n"/>
      <c r="E25" s="219" t="n"/>
      <c r="F25" s="219" t="n"/>
      <c r="G25" s="219" t="n"/>
      <c r="H25" s="219" t="n"/>
      <c r="I25" s="219" t="n"/>
      <c r="J25" s="47" t="n"/>
      <c r="K25" s="47" t="n"/>
      <c r="L25" s="47" t="n"/>
      <c r="M25" s="47" t="n"/>
      <c r="N25" s="47" t="n"/>
      <c r="O25" s="47" t="n"/>
      <c r="P25" s="47" t="n"/>
      <c r="Q25" s="47" t="n"/>
      <c r="R25" s="1" t="n"/>
      <c r="S25" s="1" t="n"/>
      <c r="T25" s="1" t="n"/>
      <c r="U25" s="1" t="n"/>
      <c r="V25" s="1" t="n"/>
      <c r="W25" s="1" t="n"/>
      <c r="X25" s="1" t="n"/>
      <c r="Y25" s="1" t="n"/>
      <c r="Z25" s="1" t="n"/>
      <c r="AA25" s="1" t="n"/>
      <c r="AB25" s="1" t="n"/>
      <c r="AC25" s="1" t="n"/>
      <c r="AD25" s="1" t="n"/>
      <c r="AE25" s="1" t="n"/>
      <c r="AF25" s="1" t="n"/>
      <c r="AG25" s="1" t="n"/>
      <c r="AH25" s="1" t="n"/>
      <c r="AI25" s="1" t="n"/>
      <c r="AJ25" s="1" t="n"/>
      <c r="AK25" s="1" t="n"/>
    </row>
    <row r="26" ht="18" customFormat="1" customHeight="1" s="21">
      <c r="A26" s="24" t="n"/>
      <c r="B26" s="209" t="n"/>
      <c r="C26" s="24" t="n"/>
      <c r="D26" s="24" t="n"/>
      <c r="E26" s="24" t="n"/>
      <c r="F26" s="24" t="n"/>
      <c r="G26" s="24" t="n"/>
      <c r="H26" s="24" t="n"/>
      <c r="I26" s="24" t="n"/>
      <c r="J26" s="24" t="n"/>
      <c r="K26" s="24" t="n"/>
      <c r="L26" s="24" t="n"/>
      <c r="M26" s="24" t="n"/>
      <c r="N26" s="24" t="n"/>
      <c r="O26" s="24" t="n"/>
      <c r="P26" s="24" t="n"/>
      <c r="Q26" s="24" t="n"/>
      <c r="R26" s="24" t="n"/>
      <c r="S26" s="24" t="n"/>
      <c r="T26" s="24" t="n"/>
      <c r="U26" s="24" t="n"/>
      <c r="V26" s="24" t="n"/>
      <c r="W26" s="24" t="n"/>
      <c r="X26" s="24" t="n"/>
      <c r="Y26" s="24" t="n"/>
      <c r="Z26" s="24" t="n"/>
      <c r="AA26" s="24" t="n"/>
      <c r="AB26" s="24" t="n"/>
      <c r="AC26" s="24" t="n"/>
      <c r="AD26" s="24" t="n"/>
      <c r="AE26" s="24" t="n"/>
      <c r="AF26" s="24" t="n"/>
      <c r="AG26" s="24" t="n"/>
      <c r="AH26" s="24" t="n"/>
      <c r="AI26" s="24" t="n"/>
      <c r="AJ26" s="24" t="n"/>
      <c r="AK26" s="24" t="n"/>
    </row>
    <row r="27" ht="18" customFormat="1" customHeight="1" s="21">
      <c r="B27" s="209" t="n"/>
      <c r="C27" s="24" t="n"/>
      <c r="D27" s="24" t="n"/>
      <c r="E27" s="24" t="n"/>
      <c r="F27" s="24" t="n"/>
      <c r="G27" s="24" t="n"/>
      <c r="H27" s="24" t="n"/>
      <c r="I27" s="24" t="n"/>
      <c r="J27" s="24" t="n"/>
      <c r="K27" s="24" t="n"/>
      <c r="L27" s="24" t="n"/>
      <c r="M27" s="24" t="n"/>
      <c r="N27" s="24" t="n"/>
      <c r="O27" s="24" t="n"/>
      <c r="P27" s="24" t="n"/>
      <c r="Q27" s="24" t="n"/>
      <c r="R27" s="24" t="n"/>
      <c r="S27" s="24" t="n"/>
      <c r="T27" s="24" t="n"/>
      <c r="U27" s="24" t="n"/>
      <c r="V27" s="24" t="n"/>
      <c r="W27" s="24" t="n"/>
      <c r="X27" s="29" t="n"/>
      <c r="Y27" s="24" t="n"/>
      <c r="AA27" s="24" t="n"/>
      <c r="AB27" s="24" t="n"/>
      <c r="AD27" s="24" t="n"/>
      <c r="AE27" s="24" t="n"/>
      <c r="AF27" s="24" t="n"/>
      <c r="AG27" s="24" t="n"/>
      <c r="AH27" s="24" t="n"/>
      <c r="AI27" s="24" t="n"/>
      <c r="AJ27" s="24" t="n"/>
      <c r="AK27" s="24" t="n"/>
    </row>
    <row r="28" ht="18" customFormat="1" customHeight="1" s="21">
      <c r="B28" s="46" t="n"/>
      <c r="C28" s="24" t="n"/>
      <c r="D28" s="24" t="n"/>
      <c r="E28" s="24" t="n"/>
      <c r="F28" s="24" t="n"/>
      <c r="G28" s="24" t="n"/>
      <c r="H28" s="24" t="n"/>
      <c r="I28" s="24" t="n"/>
      <c r="J28" s="24" t="n"/>
      <c r="K28" s="24" t="n"/>
      <c r="L28" s="24" t="n"/>
      <c r="M28" s="24" t="n"/>
      <c r="N28" s="24" t="n"/>
      <c r="R28" s="24" t="n"/>
      <c r="U28" s="24" t="n"/>
      <c r="V28" s="24" t="n"/>
      <c r="W28" s="24" t="n"/>
      <c r="X28" s="24" t="n"/>
      <c r="Y28" s="24" t="n"/>
      <c r="Z28" s="24" t="n"/>
      <c r="AA28" s="24" t="n"/>
      <c r="AB28" s="24" t="n"/>
      <c r="AC28" s="24" t="n"/>
      <c r="AD28" s="24" t="n"/>
      <c r="AE28" s="24" t="n"/>
      <c r="AF28" s="24" t="n"/>
      <c r="AG28" s="24" t="n"/>
      <c r="AH28" s="24" t="n"/>
      <c r="AI28" s="24" t="n"/>
      <c r="AJ28" s="24" t="n"/>
      <c r="AK28" s="24" t="n"/>
    </row>
    <row r="29" ht="18" customFormat="1" customHeight="1" s="21">
      <c r="B29" s="209" t="n"/>
      <c r="C29" s="209" t="n"/>
      <c r="E29" s="24" t="n"/>
      <c r="F29" s="24" t="n"/>
      <c r="G29" s="24" t="n"/>
      <c r="H29" s="24" t="n"/>
      <c r="I29" s="24" t="n"/>
      <c r="J29" s="24" t="n"/>
      <c r="K29" s="24" t="n"/>
      <c r="L29" s="24" t="n"/>
      <c r="M29" s="24" t="n"/>
      <c r="N29" s="209" t="n"/>
    </row>
    <row r="30" ht="18" customFormat="1" customHeight="1" s="21">
      <c r="B30" s="209" t="n"/>
      <c r="C30" s="209" t="n"/>
      <c r="E30" s="24" t="n"/>
      <c r="F30" s="24" t="n"/>
      <c r="G30" s="24" t="n"/>
      <c r="H30" s="24" t="n"/>
      <c r="I30" s="24" t="n"/>
      <c r="J30" s="24" t="n"/>
      <c r="K30" s="24" t="n"/>
      <c r="L30" s="24" t="n"/>
      <c r="M30" s="24" t="n"/>
      <c r="N30" s="209" t="n"/>
    </row>
    <row r="31" ht="18" customFormat="1" customHeight="1" s="21">
      <c r="B31" s="209" t="n"/>
      <c r="C31" s="209" t="n"/>
      <c r="E31" s="24" t="n"/>
      <c r="F31" s="24" t="n"/>
      <c r="G31" s="24" t="n"/>
      <c r="H31" s="24" t="n"/>
      <c r="I31" s="24" t="n"/>
      <c r="J31" s="24" t="n"/>
      <c r="K31" s="24" t="n"/>
      <c r="L31" s="24" t="n"/>
      <c r="M31" s="24" t="n"/>
      <c r="N31" s="209" t="n"/>
    </row>
    <row r="32" ht="18" customFormat="1" customHeight="1" s="21">
      <c r="B32" s="209" t="n"/>
      <c r="C32" s="209" t="n"/>
      <c r="E32" s="24" t="n"/>
      <c r="F32" s="24" t="n"/>
      <c r="G32" s="24" t="n"/>
      <c r="H32" s="24" t="n"/>
      <c r="I32" s="24" t="n"/>
      <c r="J32" s="24" t="n"/>
      <c r="K32" s="24" t="n"/>
      <c r="L32" s="24" t="n"/>
      <c r="M32" s="24" t="n"/>
      <c r="N32" s="209" t="n"/>
    </row>
    <row r="33" ht="18" customFormat="1" customHeight="1" s="21">
      <c r="B33" s="209" t="n"/>
      <c r="C33" s="24" t="n"/>
    </row>
    <row r="34" ht="18" customFormat="1" customHeight="1" s="21">
      <c r="A34" s="24" t="n"/>
      <c r="B34" s="209" t="n"/>
      <c r="C34" s="24" t="n"/>
      <c r="D34" s="24" t="n"/>
      <c r="E34" s="24" t="n"/>
      <c r="F34" s="24" t="n"/>
      <c r="G34" s="24" t="n"/>
      <c r="H34" s="24" t="n"/>
      <c r="I34" s="24" t="n"/>
      <c r="J34" s="24" t="n"/>
      <c r="K34" s="24" t="n"/>
      <c r="L34" s="24" t="n"/>
      <c r="M34" s="24" t="n"/>
    </row>
    <row r="35" ht="16.15" customFormat="1" customHeight="1" s="21">
      <c r="A35" s="22" t="n"/>
      <c r="B35" s="209" t="n"/>
      <c r="C35" s="22" t="n"/>
      <c r="D35" s="22" t="n"/>
      <c r="E35" s="22" t="n"/>
      <c r="F35" s="22" t="n"/>
      <c r="G35" s="22" t="n"/>
      <c r="H35" s="22" t="n"/>
      <c r="I35" s="22" t="n"/>
      <c r="J35" s="22" t="n"/>
      <c r="K35" s="22" t="n"/>
      <c r="L35" s="22" t="n"/>
      <c r="M35" s="22" t="n"/>
      <c r="N35" s="24" t="n"/>
      <c r="O35" s="24" t="n"/>
      <c r="P35" s="24" t="n"/>
      <c r="Q35" s="24" t="n"/>
      <c r="R35" s="24" t="n"/>
      <c r="S35" s="24" t="n"/>
      <c r="T35" s="24" t="n"/>
      <c r="U35" s="24" t="n"/>
      <c r="V35" s="24" t="n"/>
      <c r="W35" s="24" t="n"/>
      <c r="X35" s="24" t="n"/>
      <c r="Y35" s="24" t="n"/>
      <c r="Z35" s="24" t="n"/>
      <c r="AA35" s="24" t="n"/>
      <c r="AB35" s="24" t="n"/>
      <c r="AC35" s="24" t="n"/>
      <c r="AD35" s="24" t="n"/>
      <c r="AE35" s="24" t="n"/>
      <c r="AF35" s="24" t="n"/>
      <c r="AG35" s="24" t="n"/>
      <c r="AH35" s="24" t="n"/>
      <c r="AI35" s="24" t="n"/>
    </row>
    <row r="36" ht="16.15" customFormat="1" customHeight="1" s="21">
      <c r="A36" s="22" t="n"/>
      <c r="B36" s="209" t="n"/>
      <c r="C36" s="22" t="n"/>
      <c r="D36" s="22" t="n"/>
      <c r="E36" s="22" t="n"/>
      <c r="F36" s="22" t="n"/>
      <c r="G36" s="22" t="n"/>
      <c r="H36" s="22" t="n"/>
      <c r="I36" s="22" t="n"/>
      <c r="J36" s="22" t="n"/>
      <c r="K36" s="22" t="n"/>
      <c r="L36" s="22" t="n"/>
      <c r="M36" s="22" t="n"/>
      <c r="N36" s="22" t="n"/>
      <c r="O36" s="22" t="n"/>
      <c r="P36" s="22" t="n"/>
      <c r="Q36" s="22" t="n"/>
      <c r="R36" s="22" t="n"/>
      <c r="S36" s="22" t="n"/>
      <c r="T36" s="22" t="n"/>
      <c r="U36" s="22" t="n"/>
      <c r="V36" s="22" t="n"/>
      <c r="W36" s="22" t="n"/>
      <c r="X36" s="22" t="n"/>
      <c r="Y36" s="22" t="n"/>
      <c r="Z36" s="22" t="n"/>
      <c r="AA36" s="22" t="n"/>
      <c r="AB36" s="22" t="n"/>
      <c r="AC36" s="22" t="n"/>
      <c r="AD36" s="22" t="n"/>
      <c r="AE36" s="22" t="n"/>
      <c r="AF36" s="22" t="n"/>
      <c r="AG36" s="22" t="n"/>
      <c r="AH36" s="22" t="n"/>
      <c r="AI36" s="22" t="n"/>
      <c r="AJ36" s="22" t="n"/>
      <c r="AK36" s="22" t="n"/>
    </row>
    <row r="37" ht="18" customFormat="1" customHeight="1" s="21">
      <c r="B37" s="209" t="n"/>
      <c r="C37" s="24" t="n"/>
      <c r="D37" s="24" t="n"/>
      <c r="E37" s="24" t="n"/>
      <c r="F37" s="24" t="n"/>
      <c r="G37" s="24" t="n"/>
      <c r="H37" s="24" t="n"/>
      <c r="I37" s="24" t="n"/>
      <c r="J37" s="24" t="n"/>
      <c r="K37" s="24" t="n"/>
      <c r="L37" s="24" t="n"/>
      <c r="M37" s="24" t="n"/>
      <c r="N37" s="24" t="n"/>
      <c r="O37" s="24" t="n"/>
      <c r="P37" s="24" t="n"/>
      <c r="Q37" s="24" t="n"/>
      <c r="R37" s="24" t="n"/>
      <c r="S37" s="24" t="n"/>
      <c r="T37" s="24" t="n"/>
      <c r="U37" s="24" t="n"/>
      <c r="V37" s="24" t="n"/>
      <c r="W37" s="24" t="n"/>
      <c r="X37" s="24" t="n"/>
      <c r="Y37" s="24" t="n"/>
      <c r="Z37" s="24" t="n"/>
      <c r="AA37" s="24" t="n"/>
      <c r="AB37" s="24" t="n"/>
      <c r="AC37" s="24" t="n"/>
      <c r="AD37" s="24" t="n"/>
      <c r="AE37" s="24" t="n"/>
      <c r="AF37" s="24" t="n"/>
      <c r="AG37" s="24" t="n"/>
      <c r="AH37" s="24" t="n"/>
      <c r="AI37" s="24" t="n"/>
      <c r="AJ37" s="24" t="n"/>
      <c r="AK37" s="24" t="n"/>
    </row>
    <row r="38" ht="18" customHeight="1" s="225">
      <c r="O38" s="47" t="n"/>
      <c r="P38" s="47" t="n"/>
      <c r="Q38" s="47" t="n"/>
      <c r="R38" s="47" t="n"/>
      <c r="S38" s="47" t="n"/>
      <c r="T38" s="47" t="n"/>
      <c r="U38" s="47" t="n"/>
      <c r="V38" s="47" t="n"/>
      <c r="W38" s="47" t="n"/>
      <c r="X38" s="47" t="n"/>
      <c r="Y38" s="47" t="n"/>
      <c r="Z38" s="47" t="n"/>
      <c r="AA38" s="47" t="n"/>
      <c r="AB38" s="47" t="n"/>
      <c r="AC38" s="47" t="n"/>
      <c r="AD38" s="47" t="n"/>
      <c r="AE38" s="47" t="n"/>
      <c r="AF38" s="47" t="n"/>
      <c r="AG38" s="47" t="n"/>
      <c r="AH38" s="47" t="n"/>
      <c r="AI38" s="47" t="n"/>
      <c r="AJ38" s="47" t="n"/>
      <c r="AK38" s="47" t="n"/>
    </row>
    <row r="39" ht="18" customHeight="1" s="225">
      <c r="A39" s="40" t="n"/>
      <c r="B39" s="219" t="n"/>
    </row>
    <row r="40" ht="18" customHeight="1" s="225">
      <c r="A40" s="40" t="n"/>
    </row>
    <row r="41" ht="18" customHeight="1" s="225">
      <c r="A41" s="47" t="n"/>
      <c r="B41" s="219" t="n"/>
    </row>
    <row r="42" ht="16.5" customHeight="1" s="225">
      <c r="A42" s="47" t="n"/>
    </row>
  </sheetData>
  <mergeCells count="14">
    <mergeCell ref="C2:E2"/>
    <mergeCell ref="B3:AJ3"/>
    <mergeCell ref="B41:AJ42"/>
    <mergeCell ref="B10:AJ11"/>
    <mergeCell ref="B6:AJ7"/>
    <mergeCell ref="B14:AJ14"/>
    <mergeCell ref="B39:AJ40"/>
    <mergeCell ref="B18:AJ19"/>
    <mergeCell ref="B4:AJ5"/>
    <mergeCell ref="B13:AJ13"/>
    <mergeCell ref="B12:AJ12"/>
    <mergeCell ref="B8:AJ9"/>
    <mergeCell ref="B15:AJ15"/>
    <mergeCell ref="B16:AJ17"/>
  </mergeCells>
  <pageMargins left="0.3937007874015748" right="0.3937007874015748" top="0.5905511811023623" bottom="0.1968503937007874" header="0.5118110236220472" footer="0.5118110236220472"/>
  <pageSetup orientation="portrait" paperSize="9" fitToHeight="1" fitToWidth="1"/>
</worksheet>
</file>

<file path=xl/worksheets/sheet6.xml><?xml version="1.0" encoding="utf-8"?>
<worksheet xmlns="http://schemas.openxmlformats.org/spreadsheetml/2006/main">
  <sheetPr>
    <outlinePr summaryBelow="1" summaryRight="1"/>
    <pageSetUpPr/>
  </sheetPr>
  <dimension ref="A1:V4"/>
  <sheetViews>
    <sheetView workbookViewId="0">
      <selection activeCell="A1" sqref="A1"/>
    </sheetView>
  </sheetViews>
  <sheetFormatPr baseColWidth="8" defaultRowHeight="15"/>
  <cols>
    <col width="14" customWidth="1" style="225" min="1" max="1"/>
    <col width="14" customWidth="1" style="225" min="2" max="2"/>
    <col width="14" customWidth="1" style="225" min="3" max="3"/>
    <col width="14" customWidth="1" style="225" min="4" max="4"/>
    <col width="14" customWidth="1" style="225" min="5" max="5"/>
    <col width="14" customWidth="1" style="225" min="6" max="6"/>
    <col width="14" customWidth="1" style="225" min="7" max="7"/>
    <col width="14" customWidth="1" style="225" min="8" max="8"/>
    <col width="14" customWidth="1" style="225" min="9" max="9"/>
    <col width="14" customWidth="1" style="225" min="10" max="10"/>
    <col width="14" customWidth="1" style="225" min="11" max="11"/>
    <col width="14" customWidth="1" style="225" min="12" max="12"/>
    <col width="14" customWidth="1" style="225" min="13" max="13"/>
    <col width="14" customWidth="1" style="225" min="14" max="14"/>
    <col width="14" customWidth="1" style="225" min="15" max="15"/>
    <col width="14" customWidth="1" style="225" min="16" max="16"/>
    <col width="14" customWidth="1" style="225" min="17" max="17"/>
    <col width="14" customWidth="1" style="225" min="18" max="18"/>
    <col width="14" customWidth="1" style="225" min="19" max="19"/>
    <col width="14" customWidth="1" style="225" min="21" max="21"/>
    <col width="14" customWidth="1" style="225" min="22" max="22"/>
  </cols>
  <sheetData>
    <row r="1">
      <c r="A1" s="325" t="inlineStr">
        <is>
          <t>職員番号</t>
        </is>
      </c>
      <c r="B1" s="325" t="inlineStr">
        <is>
          <t>対象年(令和)</t>
        </is>
      </c>
      <c r="C1" s="325" t="inlineStr">
        <is>
          <t>対象月</t>
        </is>
      </c>
      <c r="D1" s="325" t="inlineStr">
        <is>
          <t>報酬額</t>
        </is>
      </c>
      <c r="E1" s="325" t="inlineStr">
        <is>
          <t>通勤手当有無</t>
        </is>
      </c>
      <c r="F1" s="325" t="inlineStr">
        <is>
          <t>通勤手当月額</t>
        </is>
      </c>
      <c r="G1" s="325" t="inlineStr">
        <is>
          <t>氏名</t>
        </is>
      </c>
      <c r="H1" s="325" t="inlineStr">
        <is>
          <t>組合員記号</t>
        </is>
      </c>
      <c r="I1" s="325" t="inlineStr">
        <is>
          <t>組合員番号</t>
        </is>
      </c>
      <c r="J1" s="325" t="inlineStr">
        <is>
          <t>勤務区分</t>
        </is>
      </c>
      <c r="K1" s="325" t="inlineStr">
        <is>
          <t>時短開始日</t>
        </is>
      </c>
      <c r="L1" s="325" t="inlineStr">
        <is>
          <t>時短終了日</t>
        </is>
      </c>
      <c r="M1" s="325" t="inlineStr">
        <is>
          <t>請求期間開始</t>
        </is>
      </c>
      <c r="N1" s="325" t="inlineStr">
        <is>
          <t>請求期間終了</t>
        </is>
      </c>
      <c r="O1" s="325" t="inlineStr">
        <is>
          <t>子の氏名</t>
        </is>
      </c>
      <c r="P1" s="325" t="inlineStr">
        <is>
          <t>子の生年月日</t>
        </is>
      </c>
      <c r="Q1" s="325" t="inlineStr">
        <is>
          <t>所属名称</t>
        </is>
      </c>
      <c r="R1" s="325" t="inlineStr">
        <is>
          <t>請求日</t>
        </is>
      </c>
      <c r="S1" s="325" t="inlineStr">
        <is>
          <t>初回請求</t>
        </is>
      </c>
      <c r="T1" s="325" t="inlineStr">
        <is>
          <t>入力エラー件数</t>
        </is>
      </c>
      <c r="U1" s="325" t="inlineStr">
        <is>
          <t>標準報酬等級</t>
        </is>
      </c>
      <c r="V1" s="325" t="inlineStr">
        <is>
          <t>標準報酬月額</t>
        </is>
      </c>
    </row>
    <row r="2">
      <c r="A2" s="0">
        <f>IF(入力!C6="","",入力!C6)</f>
        <v/>
      </c>
      <c r="B2" s="0">
        <f>IF(入力!D7="","",入力!D7)</f>
        <v/>
      </c>
      <c r="C2" s="0">
        <f>IF(入力!F7="","",入力!F7)</f>
        <v/>
      </c>
      <c r="D2" s="0">
        <f>IF(入力!C28="","",入力!C28)</f>
        <v/>
      </c>
      <c r="E2" s="0">
        <f>IF(入力!C29="","",入力!C29)</f>
        <v/>
      </c>
      <c r="F2" s="0">
        <f>IF(入力!C30="","",入力!C30)</f>
        <v/>
      </c>
      <c r="G2" s="0">
        <f>IF(入力!C11="","",入力!C11)</f>
        <v/>
      </c>
      <c r="H2" s="0">
        <f>IF(入力!C9="","",入力!C9)</f>
        <v/>
      </c>
      <c r="I2" s="0">
        <f>IF(入力!F9="","",入力!F9)</f>
        <v/>
      </c>
      <c r="J2" s="0">
        <f>IF(入力!C18="","",入力!C18)</f>
        <v/>
      </c>
      <c r="K2" s="326">
        <f>IF(入力!N20="","",入力!N20)</f>
        <v/>
      </c>
      <c r="L2" s="326">
        <f>IF(入力!N21="","",入力!N21)</f>
        <v/>
      </c>
      <c r="M2" s="326">
        <f>IF(入力!N23="","",入力!N23)</f>
        <v/>
      </c>
      <c r="N2" s="326">
        <f>IF(入力!N24="","",入力!N24)</f>
        <v/>
      </c>
      <c r="O2" s="0">
        <f>IF(入力!C25="","",入力!C25)</f>
        <v/>
      </c>
      <c r="P2" s="326">
        <f>IF(入力!N26="","",入力!N26)</f>
        <v/>
      </c>
      <c r="Q2" s="0">
        <f>IF(入力!C15="","",入力!C15)</f>
        <v/>
      </c>
      <c r="R2" s="326">
        <f>IF(入力!N37="","",入力!N37)</f>
        <v/>
      </c>
      <c r="S2" s="0">
        <f>IF(入力!C19="","",入力!C19)</f>
        <v/>
      </c>
      <c r="T2" s="0">
        <f>COUNTIF(入力!K6:K57,"✕*")</f>
        <v/>
      </c>
      <c r="U2" s="0">
        <f>IF(入力!C54="","",入力!C54)</f>
        <v/>
      </c>
      <c r="V2" s="0">
        <f>IF(入力!C55="","",入力!C55)</f>
        <v/>
      </c>
    </row>
    <row r="4">
      <c r="A4" s="327" t="inlineStr">
        <is>
          <t>【共済組合の方へ】2行目（A2:V2）をコピーし、管理台帳の「請求記録」へ『値のみ貼り付け』してください（職員の方は触らないでください）。</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松場 慶子</dc:creator>
  <dc:title xmlns:dc="http://purl.org/dc/elements/1.1/">育児休業手当金請求（変更請求）書</dc:title>
  <dcterms:created xmlns:dcterms="http://purl.org/dc/terms/" xmlns:xsi="http://www.w3.org/2001/XMLSchema-instance" xsi:type="dcterms:W3CDTF">2025-04-30T06:05:57Z</dcterms:created>
  <dcterms:modified xmlns:dcterms="http://purl.org/dc/terms/" xmlns:xsi="http://www.w3.org/2001/XMLSchema-instance" xsi:type="dcterms:W3CDTF">2026-10-23T02:49:10Z</dcterms:modified>
  <cp:lastModifiedBy>居倉 千恵</cp:lastModifiedBy>
  <cp:lastPrinted>2025-11-28T05:20:01Z</cp:lastPrinted>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0x01010056F91AF671892245ABE09DBE21C4F1C2</vt:lpwstr>
  </property>
  <property name="MediaServiceImageTags" fmtid="{D5CDD505-2E9C-101B-9397-08002B2CF9AE}" pid="3">
    <vt:lpwstr xmlns:vt="http://schemas.openxmlformats.org/officeDocument/2006/docPropsVTypes"/>
  </property>
</Properties>
</file>