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ownloads\"/>
    </mc:Choice>
  </mc:AlternateContent>
  <xr:revisionPtr revIDLastSave="0" documentId="13_ncr:1_{B25FD2E1-A798-444D-BF0B-185B783F5491}" xr6:coauthVersionLast="47" xr6:coauthVersionMax="47" xr10:uidLastSave="{00000000-0000-0000-0000-000000000000}"/>
  <bookViews>
    <workbookView xWindow="28692" yWindow="-108" windowWidth="29016" windowHeight="15696" tabRatio="500" firstSheet="0" activeTab="0" xr2:uid="{00000000-000D-0000-FFFF-FFFF00000000}"/>
  </bookViews>
  <sheets>
    <sheet name="使い方" sheetId="1" r:id="rId1"/>
    <sheet name="申込シミュレーション" sheetId="2" r:id="rId2"/>
    <sheet name="申込書追加入力" sheetId="3" r:id="rId3"/>
    <sheet name="借入状況等申告書" sheetId="4" r:id="rId4"/>
    <sheet name="償還表" sheetId="5" r:id="rId5"/>
    <sheet name="早見表" sheetId="6" r:id="rId6"/>
    <sheet name="福利課用" sheetId="7" r:id="rId7"/>
    <sheet name="保守ガイド" sheetId="8" r:id="rId8"/>
    <sheet name="マスタ" sheetId="9" r:id="rId9"/>
    <sheet state="hidden" name="計算過程" sheetId="10" r:id="rId10"/>
    <sheet state="hidden" name="Word差込データ" sheetId="11" r:id="rId11"/>
  </sheets>
  <definedNames>
    <definedName name="chk_missing">判定_不足項目</definedName>
    <definedName name="chk_ng">判定_NG件数</definedName>
    <definedName name="chk_warn">判定_要確認件数</definedName>
    <definedName name="dat_amt">計算_借用証書金額万円</definedName>
    <definedName name="dat_group">計算_区分群</definedName>
    <definedName name="dat_last">Word差込データ!$A$87</definedName>
    <definedName name="dat_name">入力_氏名</definedName>
    <definedName name="_xlnm.Print_Area" localSheetId="3">借入状況等申告書!$A$1:$AO$71</definedName>
    <definedName name="Z_338E83D0_03CE_4458_BC47_8585BA3B6E9A__wvu_PrintArea" localSheetId="3">借入状況等申告書!$A$1:$AO$71</definedName>
    <definedName name="区分表_回数上限">マスタ!$G$22:$G$39</definedName>
    <definedName name="区分表_基準日名">マスタ!$M$22:$M$39</definedName>
    <definedName name="区分表_期限起算">マスタ!$R$22:$R$39</definedName>
    <definedName name="区分表_給料月数">マスタ!$D$22:$D$39</definedName>
    <definedName name="区分表_区分群">マスタ!$B$22:$B$39</definedName>
    <definedName name="区分表_決定目安">マスタ!$S$22:$S$39</definedName>
    <definedName name="区分表_限度額方式">マスタ!$C$22:$C$39</definedName>
    <definedName name="区分表_後月数">マスタ!$O$22:$O$39</definedName>
    <definedName name="区分表_交付後期限月">マスタ!$Q$22:$Q$39</definedName>
    <definedName name="区分表_交付後書類">マスタ!$P$22:$P$39</definedName>
    <definedName name="区分表_事由書類">マスタ!$K$22:$K$39</definedName>
    <definedName name="区分表_住宅書類列">マスタ!$J$22:$J$39</definedName>
    <definedName name="区分表_上限万円">マスタ!$E$22:$E$39</definedName>
    <definedName name="区分表_申込時期">マスタ!$L$22:$L$39</definedName>
    <definedName name="区分表_前月数">マスタ!$N$22:$N$39</definedName>
    <definedName name="区分表_単位万円">マスタ!$F$22:$F$39</definedName>
    <definedName name="区分表_締切日">マスタ!$I$22:$I$39</definedName>
    <definedName name="区分表_名称">マスタ!$A$22:$A$39</definedName>
    <definedName name="区分表_利率種別">マスタ!$H$22:$H$39</definedName>
    <definedName name="計算_D上限">計算過程!$B$57</definedName>
    <definedName name="計算_E上限">計算過程!$B$56</definedName>
    <definedName name="計算_E毎月償還計">計算過程!$B$86</definedName>
    <definedName name="計算_J賞与償還計">計算過程!$B$87</definedName>
    <definedName name="計算_K給料月額">計算過程!$B$88</definedName>
    <definedName name="計算_L年間償還額">計算過程!$B$90</definedName>
    <definedName name="計算_M年収額">計算過程!$B$91</definedName>
    <definedName name="計算_下限円">計算過程!$B$53</definedName>
    <definedName name="計算_回数_月額から逆算">計算過程!$B$70</definedName>
    <definedName name="計算_回数上限">計算過程!$B$17</definedName>
    <definedName name="計算_基準日名">計算過程!$B$23</definedName>
    <definedName name="計算_期限起算">計算過程!$B$28</definedName>
    <definedName name="計算_給料月数">計算過程!$B$14</definedName>
    <definedName name="計算_共済既貸付償還計">計算過程!$B$108</definedName>
    <definedName name="計算_区分群">計算過程!$B$12</definedName>
    <definedName name="計算_区分行">計算過程!$B$11</definedName>
    <definedName name="計算_決定目安">計算過程!$B$29</definedName>
    <definedName name="計算_決定要因">計算過程!$B$63</definedName>
    <definedName name="計算_月額_基本">計算過程!$B$74</definedName>
    <definedName name="計算_月額_基本整数">計算過程!$B$76</definedName>
    <definedName name="計算_月額_在宅介護">計算過程!$B$75</definedName>
    <definedName name="計算_月額_在宅介護整数">計算過程!$B$77</definedName>
    <definedName name="計算_月額割合">計算過程!$B$89</definedName>
    <definedName name="計算_月額端数番号">計算過程!$B$73</definedName>
    <definedName name="計算_月数表位置">計算過程!$B$36</definedName>
    <definedName name="計算_限度額_基本">計算過程!$B$46</definedName>
    <definedName name="計算_限度額_月数方式">計算過程!$B$42</definedName>
    <definedName name="計算_限度額_合計">計算過程!$B$48</definedName>
    <definedName name="計算_限度額_再貸付方式">計算過程!$B$45</definedName>
    <definedName name="計算_限度額_修学方式">計算過程!$B$43</definedName>
    <definedName name="計算_限度額_住宅方式">計算過程!$B$44</definedName>
    <definedName name="計算_限度額内訳">計算過程!$B$49</definedName>
    <definedName name="計算_限度額方式">計算過程!$B$13</definedName>
    <definedName name="計算_後月数">計算過程!$B$25</definedName>
    <definedName name="計算_交付後期限">計算過程!$B$104</definedName>
    <definedName name="計算_交付後期限_交付日起算">計算過程!$B$101</definedName>
    <definedName name="計算_交付後期限_事由日起算">計算過程!$B$102</definedName>
    <definedName name="計算_交付後期限_入学">計算過程!$B$103</definedName>
    <definedName name="計算_交付後期限月">計算過程!$B$27</definedName>
    <definedName name="計算_交付後書類">計算過程!$B$26</definedName>
    <definedName name="計算_交付日">計算過程!$B$97</definedName>
    <definedName name="計算_今月締切">計算過程!$B$94</definedName>
    <definedName name="計算_最終回償還額">計算過程!$B$82</definedName>
    <definedName name="計算_最低保障_災害万円">計算過程!$B$40</definedName>
    <definedName name="計算_最低保障_住宅万円">計算過程!$B$39</definedName>
    <definedName name="計算_最低保障位置">計算過程!$B$37</definedName>
    <definedName name="計算_在宅介護加算">計算過程!$B$47</definedName>
    <definedName name="計算_試算回数">計算過程!$B$58</definedName>
    <definedName name="計算_事由書類">計算過程!$B$21</definedName>
    <definedName name="計算_借用証書金額万円">計算過程!$B$165</definedName>
    <definedName name="計算_住宅系">計算過程!$B$31</definedName>
    <definedName name="計算_住宅月数">計算過程!$B$38</definedName>
    <definedName name="計算_住宅書類列">計算過程!$B$20</definedName>
    <definedName name="計算_住宅書類列適用">計算過程!$B$105</definedName>
    <definedName name="計算_償還回数">計算過程!$B$71</definedName>
    <definedName name="計算_償還開始">計算過程!$B$98</definedName>
    <definedName name="計算_償還期間表示">計算過程!$B$100</definedName>
    <definedName name="計算_償還終了">計算過程!$B$99</definedName>
    <definedName name="計算_賞与回数">計算過程!$B$69</definedName>
    <definedName name="計算_賞与額_円未満">計算過程!$B$80</definedName>
    <definedName name="計算_賞与期間利率">計算過程!$B$79</definedName>
    <definedName name="計算_賞与元金">計算過程!$B$68</definedName>
    <definedName name="計算_賞与償還額">計算過程!$B$81</definedName>
    <definedName name="計算_上限額万円_現回数">計算過程!$B$112</definedName>
    <definedName name="計算_上限万円">計算過程!$B$15</definedName>
    <definedName name="計算_申込可能_小さい方">計算過程!$B$60</definedName>
    <definedName name="計算_申込可能_切捨て後">計算過程!$B$61</definedName>
    <definedName name="計算_申込可能開始">計算過程!$B$109</definedName>
    <definedName name="計算_申込可能額">計算過程!$B$62</definedName>
    <definedName name="計算_申込可能終了">計算過程!$B$110</definedName>
    <definedName name="計算_申込額">計算過程!$B$65</definedName>
    <definedName name="計算_申込額_基本">計算過程!$B$67</definedName>
    <definedName name="計算_申込額_在宅介護">計算過程!$B$66</definedName>
    <definedName name="計算_申込時期">計算過程!$B$22</definedName>
    <definedName name="計算_申込締切日">計算過程!$B$96</definedName>
    <definedName name="計算_前月数">計算過程!$B$24</definedName>
    <definedName name="計算_全角利率_災害">計算過程!$B$163</definedName>
    <definedName name="計算_全角利率_在宅介護">計算過程!$B$164</definedName>
    <definedName name="計算_全角利率_普通特別">計算過程!$B$162</definedName>
    <definedName name="計算_組合員期間表示">計算過程!$B$35</definedName>
    <definedName name="計算_組合員月数">計算過程!$B$34</definedName>
    <definedName name="計算_他機関償還計">計算過程!$B$107</definedName>
    <definedName name="計算_他借入月額">計算過程!$B$54</definedName>
    <definedName name="計算_他借入賞与">計算過程!$B$55</definedName>
    <definedName name="計算_単位円">計算過程!$B$52</definedName>
    <definedName name="計算_単位万円">計算過程!$B$16</definedName>
    <definedName name="計算_締切日の日">計算過程!$B$19</definedName>
    <definedName name="計算_年額割合">計算過程!$B$92</definedName>
    <definedName name="計算_必要回数">計算過程!$B$111</definedName>
    <definedName name="計算_返済総額">計算過程!$B$83</definedName>
    <definedName name="計算_返済能力上限">計算過程!$B$59</definedName>
    <definedName name="計算_返済能力内訳">計算過程!$B$50</definedName>
    <definedName name="計算_毎月償還額">計算過程!$B$78</definedName>
    <definedName name="計算_翌月締切">計算過程!$B$95</definedName>
    <definedName name="計算_利息総額">計算過程!$B$84</definedName>
    <definedName name="計算_利息端数番号">計算過程!$B$72</definedName>
    <definedName name="計算_利率">計算過程!$B$32</definedName>
    <definedName name="計算_利率_在宅介護">計算過程!$B$33</definedName>
    <definedName name="計算_利率種別">計算過程!$B$18</definedName>
    <definedName name="申告_A他機関既借入_月額">借入状況等申告書!$P$33</definedName>
    <definedName name="申告_B他機関新規_月額">借入状況等申告書!$AG$33</definedName>
    <definedName name="申告_C共済既貸付_月額">借入状況等申告書!$A$53</definedName>
    <definedName name="申告_F他機関既借入_賞与">借入状況等申告書!$U$33</definedName>
    <definedName name="申告_G他機関新規_賞与">借入状況等申告書!$AL$33</definedName>
    <definedName name="申告_H共済既貸付_賞与">借入状況等申告書!$H$53</definedName>
    <definedName name="設定_ボーナス回数上限">マスタ!$B$16</definedName>
    <definedName name="設定_ボーナス償還下限万円">マスタ!$B$13</definedName>
    <definedName name="設定_ボーナス償還上限割合">マスタ!$B$14</definedName>
    <definedName name="設定_ボーナス単位万円">マスタ!$B$15</definedName>
    <definedName name="設定_ボーナス併用申込下限万円">マスタ!$B$12</definedName>
    <definedName name="設定_月額端数方式">マスタ!$I$6</definedName>
    <definedName name="設定_在宅介護加算上限万円">マスタ!$B$11</definedName>
    <definedName name="設定_修学月額万円">マスタ!$B$18</definedName>
    <definedName name="設定_住宅必要組合員月数">マスタ!$B$17</definedName>
    <definedName name="設定_償還割合上限">マスタ!$B$8</definedName>
    <definedName name="設定_申込下限万円">マスタ!$B$10</definedName>
    <definedName name="設定_年収算定ボーナス月数">マスタ!$B$9</definedName>
    <definedName name="設定_利息端数方式">マスタ!$I$5</definedName>
    <definedName name="設定_利率_災害">マスタ!$B$6</definedName>
    <definedName name="設定_利率_住宅">マスタ!$B$5</definedName>
    <definedName name="設定_利率_普通特別">マスタ!$B$4</definedName>
    <definedName name="設定_利率差_在宅介護">マスタ!$B$7</definedName>
    <definedName name="設定_利率適用日">マスタ!$I$4</definedName>
    <definedName name="追加_ふりがな">申込書追加入力!$C$4</definedName>
    <definedName name="追加_金融機関">申込書追加入力!$C$10</definedName>
    <definedName name="追加_口座番号">申込書追加入力!$C$12</definedName>
    <definedName name="追加_支店">申込書追加入力!$C$11</definedName>
    <definedName name="追加_住所電話">申込書追加入力!$C$9</definedName>
    <definedName name="追加_所属電話">申込書追加入力!$C$8</definedName>
    <definedName name="追加_職員番号">申込書追加入力!$C$6</definedName>
    <definedName name="追加_職名">申込書追加入力!$C$5</definedName>
    <definedName name="追加_生年月日">申込書追加入力!$C$7</definedName>
    <definedName name="定数_誤差">計算過程!$B$9</definedName>
    <definedName name="定数_年月数">計算過程!$B$6</definedName>
    <definedName name="定数_年賞与回数">計算過程!$B$8</definedName>
    <definedName name="定数_半年月数">計算過程!$B$7</definedName>
    <definedName name="定数_万円">計算過程!$B$5</definedName>
    <definedName name="入力_ボーナス回数">申込シミュレーション!$C$22</definedName>
    <definedName name="入力_ボーナス元金万円">申込シミュレーション!$C$21</definedName>
    <definedName name="入力_ボーナス併用">申込シミュレーション!$C$20</definedName>
    <definedName name="入力_希望月額">申込シミュレーション!$C$19</definedName>
    <definedName name="入力_給料月額">申込シミュレーション!$C$12</definedName>
    <definedName name="入力_共済既貸付有無">申込シミュレーション!$C$28</definedName>
    <definedName name="入力_差押さえ等">申込シミュレーション!$C$14</definedName>
    <definedName name="入力_在宅介護加算万円">申込シミュレーション!$C$23</definedName>
    <definedName name="入力_氏名">申込シミュレーション!$C$8</definedName>
    <definedName name="入力_資格取得日">申込シミュレーション!$C$11</definedName>
    <definedName name="入力_事由発生日">申込シミュレーション!$C$13</definedName>
    <definedName name="入力_修学月数">申込シミュレーション!$C$16</definedName>
    <definedName name="入力_住所">申込シミュレーション!$C$25</definedName>
    <definedName name="入力_住宅書類区分">申込シミュレーション!$C$24</definedName>
    <definedName name="入力_所属区分">申込シミュレーション!$C$6</definedName>
    <definedName name="入力_所属名">申込シミュレーション!$C$7</definedName>
    <definedName name="入力_償還回数">申込シミュレーション!$C$18</definedName>
    <definedName name="入力_申込希望額万円">申込シミュレーション!$C$17</definedName>
    <definedName name="入力_申込予定日">申込シミュレーション!$C$10</definedName>
    <definedName name="入力_他借入有無">申込シミュレーション!$C$27</definedName>
    <definedName name="入力_貸付区分">申込シミュレーション!$C$9</definedName>
    <definedName name="入力_無給休職">申込シミュレーション!$C$15</definedName>
    <definedName name="判定_NG件数">計算過程!$B$156</definedName>
    <definedName name="判定_ボーナス条件1">計算過程!$B$140</definedName>
    <definedName name="判定_ボーナス条件2">計算過程!$B$141</definedName>
    <definedName name="判定_ボーナス条件3">計算過程!$B$142</definedName>
    <definedName name="判定_ボーナス条件4">計算過程!$B$143</definedName>
    <definedName name="判定_ボーナス条件5">計算過程!$B$144</definedName>
    <definedName name="判定_ボーナス条件6">計算過程!$B$145</definedName>
    <definedName name="判定_ボーナス条件7">計算過程!$B$146</definedName>
    <definedName name="判定_ボーナス条件8">計算過程!$B$147</definedName>
    <definedName name="判定_ボーナス条件9">計算過程!$B$148</definedName>
    <definedName name="判定_ボーナス併用">計算過程!$B$149</definedName>
    <definedName name="判定_ボーナス併用_説明">計算過程!$B$150</definedName>
    <definedName name="判定_給料月額">計算過程!$B$116</definedName>
    <definedName name="判定_給料月額_説明">計算過程!$B$117</definedName>
    <definedName name="判定_月額割合">計算過程!$B$136</definedName>
    <definedName name="判定_月額割合_説明">計算過程!$B$137</definedName>
    <definedName name="判定_限度額">計算過程!$B$132</definedName>
    <definedName name="判定_限度額_説明">計算過程!$B$133</definedName>
    <definedName name="判定_差押さえ">計算過程!$B$120</definedName>
    <definedName name="判定_差押さえ_説明">計算過程!$B$121</definedName>
    <definedName name="判定_在宅介護">計算過程!$B$153</definedName>
    <definedName name="判定_在宅介護_説明">計算過程!$B$154</definedName>
    <definedName name="判定_借入状況">計算過程!$B$124</definedName>
    <definedName name="判定_借入状況_説明">計算過程!$B$125</definedName>
    <definedName name="判定_修学月数">計算過程!$B$128</definedName>
    <definedName name="判定_修学月数_説明">計算過程!$B$129</definedName>
    <definedName name="判定_住宅書類区分">計算過程!$B$151</definedName>
    <definedName name="判定_住宅書類区分_説明">計算過程!$B$152</definedName>
    <definedName name="判定_償還回数">計算過程!$B$134</definedName>
    <definedName name="判定_償還回数_説明">計算過程!$B$135</definedName>
    <definedName name="判定_申込額下限単位">計算過程!$B$130</definedName>
    <definedName name="判定_申込額下限単位_説明">計算過程!$B$131</definedName>
    <definedName name="判定_申込時期">計算過程!$B$126</definedName>
    <definedName name="判定_申込時期_説明">計算過程!$B$127</definedName>
    <definedName name="判定_組合員期間">計算過程!$B$118</definedName>
    <definedName name="判定_組合員期間_説明">計算過程!$B$119</definedName>
    <definedName name="判定_総合">計算過程!$B$160</definedName>
    <definedName name="判定_貸付区分">計算過程!$B$114</definedName>
    <definedName name="判定_貸付区分_説明">計算過程!$B$115</definedName>
    <definedName name="判定_年額割合">計算過程!$B$138</definedName>
    <definedName name="判定_年額割合_説明">計算過程!$B$139</definedName>
    <definedName name="判定_不足項目">計算過程!$B$159</definedName>
    <definedName name="判定_不足項目_素">計算過程!$B$158</definedName>
    <definedName name="判定_無給休職">計算過程!$B$122</definedName>
    <definedName name="判定_無給休職_説明">計算過程!$B$123</definedName>
    <definedName name="判定_要確認件数">計算過程!$B$157</definedName>
    <definedName name="表_月数_下限">マスタ!$A$43:$A$49</definedName>
    <definedName name="表_月数_月数">マスタ!$C$43:$C$49</definedName>
    <definedName name="表_最低保障_下限">マスタ!$E$43:$E$47</definedName>
    <definedName name="表_最低保障_災害万円">マスタ!$H$43:$H$47</definedName>
    <definedName name="表_最低保障_住宅万円">マスタ!$G$43:$G$47</definedName>
    <definedName name="表_住宅書類_見出し">マスタ!$B$53:$H$53</definedName>
    <definedName name="表_祝日">マスタ!$A$92:$A$152</definedName>
    <definedName name="表_所属区分">マスタ!$A$85:$A$87</definedName>
    <definedName name="表_提出先">マスタ!$B$85:$B$87</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<sst xmlns="http://schemas.openxmlformats.org/spreadsheetml/2006/main" count="2304" uniqueCount="1648">
  <si>
    <t>使い方</t>
  </si>
  <si>
    <t>申込者の操作</t>
  </si>
  <si>
    <t>「申込シミュレーション」の黄色のセルに入力します。貸付区分は一覧から選びます。他の金融機関等からの借入と共済組合の既貸付は、「借入状況等申告書」シートの黄色のセルに入力します。</t>
  </si>
  <si>
    <t>確認</t>
  </si>
  <si>
    <r>
      <rPr>
        <sz val="10"/>
        <color rgb="FF000000"/>
        <rFont val="WenQuanYi Zen Hei"/>
        <family val="2"/>
      </rPr>
      <t>「申込シミュレーション」の右側で、申込可能額、毎月償還額、償還期間、償還額の割合</t>
    </r>
    <r>
      <rPr>
        <sz val="10"/>
        <color rgb="FF000000"/>
        <rFont val="ＭＳ 明朝"/>
        <family val="1"/>
        <charset val="128"/>
      </rPr>
      <t>(30%)</t>
    </r>
    <r>
      <rPr>
        <sz val="10"/>
        <color rgb="FF000000"/>
        <rFont val="WenQuanYi Zen Hei"/>
        <family val="2"/>
      </rPr>
      <t>、必要書類、申込締切日を確認します。</t>
    </r>
    <r>
      <rPr>
        <sz val="10"/>
        <color rgb="FF000000"/>
        <rFont val="ＭＳ 明朝"/>
        <family val="1"/>
        <charset val="128"/>
      </rPr>
      <t>×</t>
    </r>
    <r>
      <rPr>
        <sz val="10"/>
        <color rgb="FF000000"/>
        <rFont val="WenQuanYi Zen Hei"/>
        <family val="2"/>
      </rPr>
      <t>や△の項目には、直し方を表示します。</t>
    </r>
  </si>
  <si>
    <t>借入状況等申告書</t>
  </si>
  <si>
    <r>
      <rPr>
        <sz val="10"/>
        <color rgb="FF000000"/>
        <rFont val="WenQuanYi Zen Hei"/>
        <family val="2"/>
      </rPr>
      <t>様式はそのままです。借入先の入力から</t>
    </r>
    <r>
      <rPr>
        <sz val="10"/>
        <color rgb="FF000000"/>
        <rFont val="ＭＳ 明朝"/>
        <family val="1"/>
        <charset val="128"/>
      </rPr>
      <t>(A)</t>
    </r>
    <r>
      <rPr>
        <sz val="10"/>
        <color rgb="FF000000"/>
        <rFont val="WenQuanYi Zen Hei"/>
        <family val="2"/>
      </rPr>
      <t>〜</t>
    </r>
    <r>
      <rPr>
        <sz val="10"/>
        <color rgb="FF000000"/>
        <rFont val="ＭＳ 明朝"/>
        <family val="1"/>
        <charset val="128"/>
      </rPr>
      <t>(M)</t>
    </r>
    <r>
      <rPr>
        <sz val="10"/>
        <color rgb="FF000000"/>
        <rFont val="WenQuanYi Zen Hei"/>
        <family val="2"/>
      </rPr>
      <t>の計算、</t>
    </r>
    <r>
      <rPr>
        <sz val="10"/>
        <color rgb="FF000000"/>
        <rFont val="ＭＳ 明朝"/>
        <family val="1"/>
        <charset val="128"/>
      </rPr>
      <t>30%</t>
    </r>
    <r>
      <rPr>
        <sz val="10"/>
        <color rgb="FF000000"/>
        <rFont val="WenQuanYi Zen Hei"/>
        <family val="2"/>
      </rPr>
      <t>チェック、氏名・日付までが自動で入ります。印刷して提出できます。</t>
    </r>
  </si>
  <si>
    <r>
      <rPr>
        <b/>
        <sz val="10"/>
        <color rgb="FF000000"/>
        <rFont val="WenQuanYi Zen Hei"/>
        <family val="2"/>
      </rPr>
      <t>貸付申込書</t>
    </r>
    <r>
      <rPr>
        <b/>
        <sz val="10"/>
        <color rgb="FF000000"/>
        <rFont val="ＭＳ 明朝"/>
        <family val="1"/>
        <charset val="128"/>
      </rPr>
      <t>(</t>
    </r>
    <r>
      <rPr>
        <b/>
        <sz val="10"/>
        <color rgb="FF000000"/>
        <rFont val="WenQuanYi Zen Hei"/>
        <family val="2"/>
      </rPr>
      <t>申込者</t>
    </r>
    <r>
      <rPr>
        <b/>
        <sz val="10"/>
        <color rgb="FF000000"/>
        <rFont val="ＭＳ 明朝"/>
        <family val="1"/>
        <charset val="128"/>
      </rPr>
      <t>)</t>
    </r>
  </si>
  <si>
    <r>
      <rPr>
        <sz val="10"/>
        <color rgb="FF000000"/>
        <rFont val="WenQuanYi Zen Hei"/>
        <family val="2"/>
      </rPr>
      <t>「申込シミュレーション」の右上のボタンを押すと、貸付申込書</t>
    </r>
    <r>
      <rPr>
        <sz val="10"/>
        <color rgb="FF000000"/>
        <rFont val="ＭＳ 明朝"/>
        <family val="1"/>
        <charset val="128"/>
      </rPr>
      <t>(</t>
    </r>
    <r>
      <rPr>
        <sz val="10"/>
        <color rgb="FF000000"/>
        <rFont val="WenQuanYi Zen Hei"/>
        <family val="2"/>
      </rPr>
      <t>普通・特別貸付の</t>
    </r>
    <r>
      <rPr>
        <sz val="10"/>
        <color rgb="FF000000"/>
        <rFont val="ＭＳ 明朝"/>
        <family val="1"/>
        <charset val="128"/>
      </rPr>
      <t>1</t>
    </r>
    <r>
      <rPr>
        <sz val="10"/>
        <color rgb="FF000000"/>
        <rFont val="WenQuanYi Zen Hei"/>
        <family val="2"/>
      </rPr>
      <t>面</t>
    </r>
    <r>
      <rPr>
        <sz val="10"/>
        <color rgb="FF000000"/>
        <rFont val="ＭＳ 明朝"/>
        <family val="1"/>
        <charset val="128"/>
      </rPr>
      <t>)</t>
    </r>
    <r>
      <rPr>
        <sz val="10"/>
        <color rgb="FF000000"/>
        <rFont val="WenQuanYi Zen Hei"/>
        <family val="2"/>
      </rPr>
      <t>が</t>
    </r>
    <r>
      <rPr>
        <sz val="10"/>
        <color rgb="FF000000"/>
        <rFont val="ＭＳ 明朝"/>
        <family val="1"/>
        <charset val="128"/>
      </rPr>
      <t>Word</t>
    </r>
    <r>
      <rPr>
        <sz val="10"/>
        <color rgb="FF000000"/>
        <rFont val="WenQuanYi Zen Hei"/>
        <family val="2"/>
      </rPr>
      <t>で作成されます。職名、職員番号、生年月日、振込先口座、現在受けている貸付などは「申込書追加入力」シートに入力します。空欄の項目は</t>
    </r>
    <r>
      <rPr>
        <sz val="10"/>
        <color rgb="FF000000"/>
        <rFont val="ＭＳ 明朝"/>
        <family val="1"/>
        <charset val="128"/>
      </rPr>
      <t>Word</t>
    </r>
    <r>
      <rPr>
        <sz val="10"/>
        <color rgb="FF000000"/>
        <rFont val="WenQuanYi Zen Hei"/>
        <family val="2"/>
      </rPr>
      <t>でも空欄になります。住宅貸付・災害貸付は対象外です。</t>
    </r>
  </si>
  <si>
    <r>
      <rPr>
        <b/>
        <sz val="10"/>
        <color rgb="FF000000"/>
        <rFont val="WenQuanYi Zen Hei"/>
        <family val="2"/>
      </rPr>
      <t>借用証書・添書</t>
    </r>
    <r>
      <rPr>
        <b/>
        <sz val="10"/>
        <color rgb="FF000000"/>
        <rFont val="ＭＳ 明朝"/>
        <family val="1"/>
        <charset val="128"/>
      </rPr>
      <t>(</t>
    </r>
    <r>
      <rPr>
        <b/>
        <sz val="10"/>
        <color rgb="FF000000"/>
        <rFont val="WenQuanYi Zen Hei"/>
        <family val="2"/>
      </rPr>
      <t>福利課</t>
    </r>
    <r>
      <rPr>
        <b/>
        <sz val="10"/>
        <color rgb="FF000000"/>
        <rFont val="ＭＳ 明朝"/>
        <family val="1"/>
        <charset val="128"/>
      </rPr>
      <t>)</t>
    </r>
  </si>
  <si>
    <r>
      <rPr>
        <sz val="10"/>
        <color rgb="FF000000"/>
        <rFont val="WenQuanYi Zen Hei"/>
        <family val="2"/>
      </rPr>
      <t>借用証書と添書は福利課が作成します。「福利課用」シートのボタンを押すと、申込者が入力した内容で</t>
    </r>
    <r>
      <rPr>
        <sz val="10"/>
        <color rgb="FF000000"/>
        <rFont val="ＭＳ 明朝"/>
        <family val="1"/>
        <charset val="128"/>
      </rPr>
      <t>Word</t>
    </r>
    <r>
      <rPr>
        <sz val="10"/>
        <color rgb="FF000000"/>
        <rFont val="WenQuanYi Zen Hei"/>
        <family val="2"/>
      </rPr>
      <t>が作成されます。借用証書の氏名</t>
    </r>
    <r>
      <rPr>
        <sz val="10"/>
        <color rgb="FF000000"/>
        <rFont val="ＭＳ 明朝"/>
        <family val="1"/>
        <charset val="128"/>
      </rPr>
      <t>(</t>
    </r>
    <r>
      <rPr>
        <sz val="10"/>
        <color rgb="FF000000"/>
        <rFont val="WenQuanYi Zen Hei"/>
        <family val="2"/>
      </rPr>
      <t>自署</t>
    </r>
    <r>
      <rPr>
        <sz val="10"/>
        <color rgb="FF000000"/>
        <rFont val="ＭＳ 明朝"/>
        <family val="1"/>
        <charset val="128"/>
      </rPr>
      <t>)</t>
    </r>
    <r>
      <rPr>
        <sz val="10"/>
        <color rgb="FF000000"/>
        <rFont val="WenQuanYi Zen Hei"/>
        <family val="2"/>
      </rPr>
      <t>、実印、日付は記入しません。</t>
    </r>
  </si>
  <si>
    <r>
      <rPr>
        <b/>
        <sz val="10"/>
        <color rgb="FF000000"/>
        <rFont val="ＭＳ 明朝"/>
        <family val="1"/>
        <charset val="128"/>
      </rPr>
      <t>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</si>
  <si>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xml:space="preserve">ブックを「コンテンツの有効化」でマクロを有効にして開く </t>
    </r>
    <r>
      <rPr>
        <sz val="10"/>
        <color rgb="FF000000"/>
        <rFont val="ＭＳ 明朝"/>
        <family val="1"/>
        <charset val="128"/>
      </rPr>
      <t>(2)</t>
    </r>
    <r>
      <rPr>
        <sz val="10"/>
        <color rgb="FF000000"/>
        <rFont val="WenQuanYi Zen Hei"/>
        <family val="2"/>
      </rPr>
      <t>テンプレート</t>
    </r>
    <r>
      <rPr>
        <sz val="10"/>
        <color rgb="FF000000"/>
        <rFont val="ＭＳ 明朝"/>
        <family val="1"/>
        <charset val="128"/>
      </rPr>
      <t>(.docx)</t>
    </r>
    <r>
      <rPr>
        <sz val="10"/>
        <color rgb="FF000000"/>
        <rFont val="WenQuanYi Zen Hei"/>
        <family val="2"/>
      </rPr>
      <t xml:space="preserve">をブックと同じフォルダーに置く </t>
    </r>
    <r>
      <rPr>
        <sz val="10"/>
        <color rgb="FF000000"/>
        <rFont val="ＭＳ 明朝"/>
        <family val="1"/>
        <charset val="128"/>
      </rPr>
      <t>(3)</t>
    </r>
    <r>
      <rPr>
        <sz val="10"/>
        <color rgb="FF000000"/>
        <rFont val="WenQuanYi Zen Hei"/>
        <family val="2"/>
      </rPr>
      <t>ボタンを押す</t>
    </r>
    <r>
      <rPr>
        <sz val="10"/>
        <color rgb="FF000000"/>
        <rFont val="ＭＳ 明朝"/>
        <family val="1"/>
        <charset val="128"/>
      </rPr>
      <t>(</t>
    </r>
    <r>
      <rPr>
        <sz val="10"/>
        <color rgb="FF000000"/>
        <rFont val="WenQuanYi Zen Hei"/>
        <family val="2"/>
      </rPr>
      <t>確認メッセージが出たら内容を読む</t>
    </r>
    <r>
      <rPr>
        <sz val="10"/>
        <color rgb="FF000000"/>
        <rFont val="ＭＳ 明朝"/>
        <family val="1"/>
        <charset val="128"/>
      </rPr>
      <t>) (4)Word</t>
    </r>
    <r>
      <rPr>
        <sz val="10"/>
        <color rgb="FF000000"/>
        <rFont val="WenQuanYi Zen Hei"/>
        <family val="2"/>
      </rPr>
      <t>が自動で開く。同じフォルダーに「帳票名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 xml:space="preserve">」で保存される </t>
    </r>
    <r>
      <rPr>
        <sz val="10"/>
        <color rgb="FF000000"/>
        <rFont val="ＭＳ 明朝"/>
        <family val="1"/>
        <charset val="128"/>
      </rPr>
      <t>(5)</t>
    </r>
    <r>
      <rPr>
        <sz val="10"/>
        <color rgb="FF000000"/>
        <rFont val="WenQuanYi Zen Hei"/>
        <family val="2"/>
      </rPr>
      <t>内容を確認して印刷する。</t>
    </r>
    <r>
      <rPr>
        <sz val="10"/>
        <color rgb="FF000000"/>
        <rFont val="ＭＳ 明朝"/>
        <family val="1"/>
        <charset val="128"/>
      </rPr>
      <t>Word</t>
    </r>
    <r>
      <rPr>
        <sz val="10"/>
        <color rgb="FF000000"/>
        <rFont val="WenQuanYi Zen Hei"/>
        <family val="2"/>
      </rPr>
      <t>が入っているパソコンで使えます。</t>
    </r>
  </si>
  <si>
    <t>必要なファイル</t>
  </si>
  <si>
    <r>
      <rPr>
        <sz val="10"/>
        <color rgb="FF000000"/>
        <rFont val="WenQuanYi Zen Hei"/>
        <family val="2"/>
      </rPr>
      <t>申込者</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貸付申込書テンプレート</t>
    </r>
    <r>
      <rPr>
        <sz val="10"/>
        <color rgb="FF000000"/>
        <rFont val="ＭＳ 明朝"/>
        <family val="1"/>
        <charset val="128"/>
      </rPr>
      <t>.docx</t>
    </r>
    <r>
      <rPr>
        <sz val="10"/>
        <color rgb="FF000000"/>
        <rFont val="WenQuanYi Zen Hei"/>
        <family val="2"/>
      </rPr>
      <t>。福利課</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t>
    </r>
  </si>
  <si>
    <t>借りられる上限の見方</t>
  </si>
  <si>
    <r>
      <rPr>
        <sz val="10"/>
        <color rgb="FF000000"/>
        <rFont val="WenQuanYi Zen Hei"/>
        <family val="2"/>
      </rPr>
      <t>「申込シミュレーション」の「借りられる上限」</t>
    </r>
    <r>
      <rPr>
        <sz val="10"/>
        <color rgb="FF000000"/>
        <rFont val="ＭＳ 明朝"/>
        <family val="1"/>
        <charset val="128"/>
      </rPr>
      <t>(</t>
    </r>
    <r>
      <rPr>
        <sz val="10"/>
        <color rgb="FF000000"/>
        <rFont val="WenQuanYi Zen Hei"/>
        <family val="2"/>
      </rPr>
      <t>申込可能額</t>
    </r>
    <r>
      <rPr>
        <sz val="10"/>
        <color rgb="FF000000"/>
        <rFont val="ＭＳ 明朝"/>
        <family val="1"/>
        <charset val="128"/>
      </rPr>
      <t>)</t>
    </r>
    <r>
      <rPr>
        <sz val="10"/>
        <color rgb="FF000000"/>
        <rFont val="WenQuanYi Zen Hei"/>
        <family val="2"/>
      </rPr>
      <t>は、次の ① と ② の小さい方を、申込単位で切り捨てた額です。①貸付限度額は制度上の上限</t>
    </r>
    <r>
      <rPr>
        <sz val="10"/>
        <color rgb="FF000000"/>
        <rFont val="ＭＳ 明朝"/>
        <family val="1"/>
        <charset val="128"/>
      </rPr>
      <t>(</t>
    </r>
    <r>
      <rPr>
        <sz val="10"/>
        <color rgb="FF000000"/>
        <rFont val="WenQuanYi Zen Hei"/>
        <family val="2"/>
      </rPr>
      <t>給料月額</t>
    </r>
    <r>
      <rPr>
        <sz val="10"/>
        <color rgb="FF000000"/>
        <rFont val="ＭＳ 明朝"/>
        <family val="1"/>
        <charset val="128"/>
      </rPr>
      <t>×</t>
    </r>
    <r>
      <rPr>
        <sz val="10"/>
        <color rgb="FF000000"/>
        <rFont val="WenQuanYi Zen Hei"/>
        <family val="2"/>
      </rPr>
      <t>月数など。住宅は最低保障額あり</t>
    </r>
    <r>
      <rPr>
        <sz val="10"/>
        <color rgb="FF000000"/>
        <rFont val="ＭＳ 明朝"/>
        <family val="1"/>
        <charset val="128"/>
      </rPr>
      <t>)</t>
    </r>
    <r>
      <rPr>
        <sz val="10"/>
        <color rgb="FF000000"/>
        <rFont val="WenQuanYi Zen Hei"/>
        <family val="2"/>
      </rPr>
      <t>。②返済能力は、毎月の償還額が「給料月額の</t>
    </r>
    <r>
      <rPr>
        <sz val="10"/>
        <color rgb="FF000000"/>
        <rFont val="ＭＳ 明朝"/>
        <family val="1"/>
        <charset val="128"/>
      </rPr>
      <t xml:space="preserve">30% − </t>
    </r>
    <r>
      <rPr>
        <sz val="10"/>
        <color rgb="FF000000"/>
        <rFont val="WenQuanYi Zen Hei"/>
        <family val="2"/>
      </rPr>
      <t>他の借入等の償還額」に収まる元金</t>
    </r>
    <r>
      <rPr>
        <sz val="10"/>
        <color rgb="FF000000"/>
        <rFont val="ＭＳ 明朝"/>
        <family val="1"/>
        <charset val="128"/>
      </rPr>
      <t>(</t>
    </r>
    <r>
      <rPr>
        <sz val="10"/>
        <color rgb="FF000000"/>
        <rFont val="WenQuanYi Zen Hei"/>
        <family val="2"/>
      </rPr>
      <t>元利均等・入力した償還回数で計算</t>
    </r>
    <r>
      <rPr>
        <sz val="10"/>
        <color rgb="FF000000"/>
        <rFont val="ＭＳ 明朝"/>
        <family val="1"/>
        <charset val="128"/>
      </rPr>
      <t>)</t>
    </r>
    <r>
      <rPr>
        <sz val="10"/>
        <color rgb="FF000000"/>
        <rFont val="WenQuanYi Zen Hei"/>
        <family val="2"/>
      </rPr>
      <t>。償還回数を増やすと②が大きくなります。右下の早見表で、回数別の上限を確認できます。</t>
    </r>
  </si>
  <si>
    <t>償還表・早見表</t>
  </si>
  <si>
    <t>「償還表」は月ごとの償還額、「早見表」は金額と回数別の毎月償還額です。</t>
  </si>
  <si>
    <t>利率等の改定</t>
  </si>
  <si>
    <t>利率、限度額、提出書類、締切日などは「マスタ」シートの値を参照します。改定したときは、マスタを修正してください。</t>
  </si>
  <si>
    <t>出典</t>
  </si>
  <si>
    <t>保守する人へ</t>
  </si>
  <si>
    <t>利率の改定や、償還額の端数処理の調整は、「保守ガイド」シートの手順に沿って、「マスタ」の黄色のセルを直します。数式や「計算過程」は触りません。</t>
  </si>
  <si>
    <t>注意</t>
  </si>
  <si>
    <r>
      <rPr>
        <sz val="10"/>
        <color rgb="FF000000"/>
        <rFont val="WenQuanYi Zen Hei"/>
        <family val="2"/>
      </rPr>
      <t>償還額は元利均等の概算です。利息は円未満を四捨五入し、元金の端数は最後の回で調整します</t>
    </r>
    <r>
      <rPr>
        <sz val="10"/>
        <color rgb="FF000000"/>
        <rFont val="ＭＳ 明朝"/>
        <family val="1"/>
        <charset val="128"/>
      </rPr>
      <t>(</t>
    </r>
    <r>
      <rPr>
        <sz val="10"/>
        <color rgb="FF000000"/>
        <rFont val="WenQuanYi Zen Hei"/>
        <family val="2"/>
      </rPr>
      <t>最終回だけ償還額が異なります</t>
    </r>
    <r>
      <rPr>
        <sz val="10"/>
        <color rgb="FF000000"/>
        <rFont val="ＭＳ 明朝"/>
        <family val="1"/>
        <charset val="128"/>
      </rPr>
      <t>)</t>
    </r>
    <r>
      <rPr>
        <sz val="10"/>
        <color rgb="FF000000"/>
        <rFont val="WenQuanYi Zen Hei"/>
        <family val="2"/>
      </rPr>
      <t>。実際の償還表と数円の差が出ることがあります。</t>
    </r>
  </si>
  <si>
    <t>未確認の事項</t>
  </si>
  <si>
    <r>
      <rPr>
        <sz val="10"/>
        <color rgb="FF000000"/>
        <rFont val="WenQuanYi Zen Hei"/>
        <family val="2"/>
      </rPr>
      <t>次の</t>
    </r>
    <r>
      <rPr>
        <sz val="10"/>
        <color rgb="FF000000"/>
        <rFont val="ＭＳ 明朝"/>
        <family val="1"/>
        <charset val="128"/>
      </rPr>
      <t>4</t>
    </r>
    <r>
      <rPr>
        <sz val="10"/>
        <color rgb="FF000000"/>
        <rFont val="WenQuanYi Zen Hei"/>
        <family val="2"/>
      </rPr>
      <t>点は資料に記載がなく、仮に定めています。共済組合に確認し、必要に応じてマスタを修正してください。</t>
    </r>
    <r>
      <rPr>
        <sz val="10"/>
        <color rgb="FF000000"/>
        <rFont val="ＭＳ 明朝"/>
        <family val="1"/>
        <charset val="128"/>
      </rPr>
      <t>(1)</t>
    </r>
    <r>
      <rPr>
        <sz val="10"/>
        <color rgb="FF000000"/>
        <rFont val="WenQuanYi Zen Hei"/>
        <family val="2"/>
      </rPr>
      <t>災害家財貸付の申込単位</t>
    </r>
    <r>
      <rPr>
        <sz val="10"/>
        <color rgb="FF000000"/>
        <rFont val="ＭＳ 明朝"/>
        <family val="1"/>
        <charset val="128"/>
      </rPr>
      <t>(5</t>
    </r>
    <r>
      <rPr>
        <sz val="10"/>
        <color rgb="FF000000"/>
        <rFont val="WenQuanYi Zen Hei"/>
        <family val="2"/>
      </rPr>
      <t>万円</t>
    </r>
    <r>
      <rPr>
        <sz val="10"/>
        <color rgb="FF000000"/>
        <rFont val="ＭＳ 明朝"/>
        <family val="1"/>
        <charset val="128"/>
      </rPr>
      <t>)</t>
    </r>
    <r>
      <rPr>
        <sz val="10"/>
        <color rgb="FF000000"/>
        <rFont val="WenQuanYi Zen Hei"/>
        <family val="2"/>
      </rPr>
      <t>と償還回数の上限</t>
    </r>
    <r>
      <rPr>
        <sz val="10"/>
        <color rgb="FF000000"/>
        <rFont val="ＭＳ 明朝"/>
        <family val="1"/>
        <charset val="128"/>
      </rPr>
      <t>(360</t>
    </r>
    <r>
      <rPr>
        <sz val="10"/>
        <color rgb="FF000000"/>
        <rFont val="WenQuanYi Zen Hei"/>
        <family val="2"/>
      </rPr>
      <t>回</t>
    </r>
    <r>
      <rPr>
        <sz val="10"/>
        <color rgb="FF000000"/>
        <rFont val="ＭＳ 明朝"/>
        <family val="1"/>
        <charset val="128"/>
      </rPr>
      <t>) (2)</t>
    </r>
    <r>
      <rPr>
        <sz val="10"/>
        <color rgb="FF000000"/>
        <rFont val="WenQuanYi Zen Hei"/>
        <family val="2"/>
      </rPr>
      <t>組合員期間</t>
    </r>
    <r>
      <rPr>
        <sz val="10"/>
        <color rgb="FF000000"/>
        <rFont val="ＭＳ 明朝"/>
        <family val="1"/>
        <charset val="128"/>
      </rPr>
      <t>1</t>
    </r>
    <r>
      <rPr>
        <sz val="10"/>
        <color rgb="FF000000"/>
        <rFont val="WenQuanYi Zen Hei"/>
        <family val="2"/>
      </rPr>
      <t xml:space="preserve">年未満の災害住宅貸付の月数・最低保障額 </t>
    </r>
    <r>
      <rPr>
        <sz val="10"/>
        <color rgb="FF000000"/>
        <rFont val="ＭＳ 明朝"/>
        <family val="1"/>
        <charset val="128"/>
      </rPr>
      <t>(3)</t>
    </r>
    <r>
      <rPr>
        <sz val="10"/>
        <color rgb="FF000000"/>
        <rFont val="WenQuanYi Zen Hei"/>
        <family val="2"/>
      </rPr>
      <t xml:space="preserve">災害貸付に在宅介護対応の加算を併用する場合の利率 </t>
    </r>
    <r>
      <rPr>
        <sz val="10"/>
        <color rgb="FF000000"/>
        <rFont val="ＭＳ 明朝"/>
        <family val="1"/>
        <charset val="128"/>
      </rPr>
      <t>(4)</t>
    </r>
    <r>
      <rPr>
        <sz val="10"/>
        <color rgb="FF000000"/>
        <rFont val="WenQuanYi Zen Hei"/>
        <family val="2"/>
      </rPr>
      <t>住宅貸付の貸付決定時期</t>
    </r>
    <r>
      <rPr>
        <sz val="10"/>
        <color rgb="FF000000"/>
        <rFont val="ＭＳ 明朝"/>
        <family val="1"/>
        <charset val="128"/>
      </rPr>
      <t>(</t>
    </r>
    <r>
      <rPr>
        <sz val="10"/>
        <color rgb="FF000000"/>
        <rFont val="WenQuanYi Zen Hei"/>
        <family val="2"/>
      </rPr>
      <t>ハンドブックは「締切日の同月</t>
    </r>
    <r>
      <rPr>
        <sz val="10"/>
        <color rgb="FF000000"/>
        <rFont val="ＭＳ 明朝"/>
        <family val="1"/>
        <charset val="128"/>
      </rPr>
      <t>10</t>
    </r>
    <r>
      <rPr>
        <sz val="10"/>
        <color rgb="FF000000"/>
        <rFont val="WenQuanYi Zen Hei"/>
        <family val="2"/>
      </rPr>
      <t>日頃」</t>
    </r>
    <r>
      <rPr>
        <sz val="10"/>
        <color rgb="FF000000"/>
        <rFont val="ＭＳ 明朝"/>
        <family val="1"/>
        <charset val="128"/>
      </rPr>
      <t>)</t>
    </r>
  </si>
  <si>
    <t>自動判定していないもの</t>
  </si>
  <si>
    <t>自動車貸付の残がある場合、育児・介護休業中の償還猶予、修学貸付の修学期間中の償還、任期のある職員の償還期間。</t>
  </si>
  <si>
    <t>問合せ</t>
  </si>
  <si>
    <r>
      <rPr>
        <sz val="10"/>
        <color rgb="FF000000"/>
        <rFont val="WenQuanYi Zen Hei"/>
        <family val="2"/>
      </rPr>
      <t>広島市職員共済組合 庶務係 ☎</t>
    </r>
    <r>
      <rPr>
        <sz val="10"/>
        <color rgb="FF000000"/>
        <rFont val="ＭＳ 明朝"/>
        <family val="1"/>
        <charset val="128"/>
      </rPr>
      <t>082-504-2061</t>
    </r>
  </si>
  <si>
    <r>
      <rPr>
        <b/>
        <sz val="14"/>
        <color rgb="FF000000"/>
        <rFont val="WenQuanYi Zen Hei"/>
        <family val="2"/>
      </rPr>
      <t>貸付申込シミュレーター</t>
    </r>
    <r>
      <rPr>
        <b/>
        <sz val="14"/>
        <color rgb="FF000000"/>
        <rFont val="ＭＳ 明朝"/>
        <family val="1"/>
        <charset val="128"/>
      </rPr>
      <t>(</t>
    </r>
    <r>
      <rPr>
        <b/>
        <sz val="14"/>
        <color rgb="FF000000"/>
        <rFont val="WenQuanYi Zen Hei"/>
        <family val="2"/>
      </rPr>
      <t>広島市職員共済組合</t>
    </r>
    <r>
      <rPr>
        <b/>
        <sz val="14"/>
        <color rgb="FF000000"/>
        <rFont val="ＭＳ 明朝"/>
        <family val="1"/>
        <charset val="128"/>
      </rPr>
      <t>)</t>
    </r>
  </si>
  <si>
    <t>黄色のセルに入力してください。入力例が入っていますので、上書きしてください。</t>
  </si>
  <si>
    <t>※試算です。貸付の可否と償還額は、共済組合の審査及び償還表によります。</t>
  </si>
  <si>
    <r>
      <rPr>
        <i/>
        <sz val="9"/>
        <color rgb="FF595959"/>
        <rFont val="WenQuanYi Zen Hei"/>
        <family val="2"/>
      </rPr>
      <t>貸付申込書</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を</t>
    </r>
    <r>
      <rPr>
        <i/>
        <sz val="9"/>
        <color rgb="FF595959"/>
        <rFont val="ＭＳ 明朝"/>
        <family val="1"/>
        <charset val="128"/>
      </rPr>
      <t>Word</t>
    </r>
    <r>
      <rPr>
        <i/>
        <sz val="9"/>
        <color rgb="FF595959"/>
        <rFont val="WenQuanYi Zen Hei"/>
        <family val="2"/>
      </rPr>
      <t>で出力します。住宅・災害は対象外です。</t>
    </r>
  </si>
  <si>
    <r>
      <rPr>
        <b/>
        <sz val="10"/>
        <color rgb="FF000000"/>
        <rFont val="ＭＳ 明朝"/>
        <family val="1"/>
        <charset val="128"/>
      </rPr>
      <t xml:space="preserve">1 </t>
    </r>
    <r>
      <rPr>
        <b/>
        <sz val="10"/>
        <color rgb="FF000000"/>
        <rFont val="WenQuanYi Zen Hei"/>
        <family val="2"/>
      </rPr>
      <t>申込者・貸付の内容</t>
    </r>
  </si>
  <si>
    <r>
      <rPr>
        <b/>
        <sz val="10"/>
        <color rgb="FF000000"/>
        <rFont val="ＭＳ 明朝"/>
        <family val="1"/>
        <charset val="128"/>
      </rPr>
      <t xml:space="preserve">3 </t>
    </r>
    <r>
      <rPr>
        <b/>
        <sz val="10"/>
        <color rgb="FF000000"/>
        <rFont val="WenQuanYi Zen Hei"/>
        <family val="2"/>
      </rPr>
      <t>判定結果</t>
    </r>
  </si>
  <si>
    <t>所属区分</t>
  </si>
  <si>
    <r>
      <rPr>
        <sz val="10"/>
        <color rgb="FF0000FF"/>
        <rFont val="WenQuanYi Zen Hei"/>
        <family val="2"/>
      </rPr>
      <t>市長事務部局</t>
    </r>
    <r>
      <rPr>
        <sz val="10"/>
        <color rgb="FF0000FF"/>
        <rFont val="ＭＳ 明朝"/>
        <family val="1"/>
        <charset val="128"/>
      </rPr>
      <t>(</t>
    </r>
    <r>
      <rPr>
        <sz val="10"/>
        <color rgb="FF0000FF"/>
        <rFont val="WenQuanYi Zen Hei"/>
        <family val="2"/>
      </rPr>
      <t>給与支給の派遣職員を含む</t>
    </r>
    <r>
      <rPr>
        <sz val="10"/>
        <color rgb="FF0000FF"/>
        <rFont val="ＭＳ 明朝"/>
        <family val="1"/>
        <charset val="128"/>
      </rPr>
      <t>)</t>
    </r>
  </si>
  <si>
    <t>総合判定</t>
  </si>
  <si>
    <t>所属名</t>
  </si>
  <si>
    <t>○○局○○課</t>
  </si>
  <si>
    <t>借りられる上限</t>
  </si>
  <si>
    <t>氏名</t>
  </si>
  <si>
    <t>広島 太郎</t>
  </si>
  <si>
    <t>組合員期間</t>
  </si>
  <si>
    <t>貸付区分 ※プルダウン</t>
  </si>
  <si>
    <r>
      <rPr>
        <sz val="10"/>
        <color rgb="FF0000FF"/>
        <rFont val="WenQuanYi Zen Hei"/>
        <family val="2"/>
      </rPr>
      <t>普通貸付</t>
    </r>
    <r>
      <rPr>
        <sz val="10"/>
        <color rgb="FF0000FF"/>
        <rFont val="ＭＳ 明朝"/>
        <family val="1"/>
        <charset val="128"/>
      </rPr>
      <t>:</t>
    </r>
    <r>
      <rPr>
        <sz val="10"/>
        <color rgb="FF0000FF"/>
        <rFont val="WenQuanYi Zen Hei"/>
        <family val="2"/>
      </rPr>
      <t>自動車購入</t>
    </r>
  </si>
  <si>
    <r>
      <rPr>
        <sz val="10"/>
        <color rgb="FF000000"/>
        <rFont val="WenQuanYi Zen Hei"/>
        <family val="2"/>
      </rPr>
      <t>適用利率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</si>
  <si>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t>申込予定日</t>
  </si>
  <si>
    <r>
      <rPr>
        <sz val="10"/>
        <color rgb="FF000000"/>
        <rFont val="WenQuanYi Zen Hei"/>
        <family val="2"/>
      </rPr>
      <t>① 貸付限度額</t>
    </r>
    <r>
      <rPr>
        <sz val="10"/>
        <color rgb="FF000000"/>
        <rFont val="ＭＳ 明朝"/>
        <family val="1"/>
        <charset val="128"/>
      </rPr>
      <t>(</t>
    </r>
    <r>
      <rPr>
        <sz val="10"/>
        <color rgb="FF000000"/>
        <rFont val="WenQuanYi Zen Hei"/>
        <family val="2"/>
      </rPr>
      <t>制度上の上限</t>
    </r>
    <r>
      <rPr>
        <sz val="10"/>
        <color rgb="FF000000"/>
        <rFont val="ＭＳ 明朝"/>
        <family val="1"/>
        <charset val="128"/>
      </rPr>
      <t>)</t>
    </r>
  </si>
  <si>
    <t>組合員資格取得日</t>
  </si>
  <si>
    <t>　 うち在宅介護対応の加算</t>
  </si>
  <si>
    <t>①に含まれます</t>
  </si>
  <si>
    <r>
      <rPr>
        <sz val="10"/>
        <color rgb="FF000000"/>
        <rFont val="WenQuanYi Zen Hei"/>
        <family val="2"/>
      </rPr>
      <t>給料月額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</si>
  <si>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手当等は含めない</t>
    </r>
    <r>
      <rPr>
        <i/>
        <sz val="9"/>
        <color rgb="FF595959"/>
        <rFont val="ＭＳ 明朝"/>
        <family val="1"/>
        <charset val="128"/>
      </rPr>
      <t>(</t>
    </r>
    <r>
      <rPr>
        <i/>
        <sz val="9"/>
        <color rgb="FF595959"/>
        <rFont val="WenQuanYi Zen Hei"/>
        <family val="2"/>
      </rPr>
      <t>部分休業等で減額中は減額後</t>
    </r>
    <r>
      <rPr>
        <i/>
        <sz val="9"/>
        <color rgb="FF595959"/>
        <rFont val="ＭＳ 明朝"/>
        <family val="1"/>
        <charset val="128"/>
      </rPr>
      <t>)</t>
    </r>
  </si>
  <si>
    <t>② 返済能力から見た上限</t>
  </si>
  <si>
    <r>
      <rPr>
        <sz val="10"/>
        <color rgb="FF000000"/>
        <rFont val="WenQuanYi Zen Hei"/>
        <family val="2"/>
      </rPr>
      <t>事由発生</t>
    </r>
    <r>
      <rPr>
        <sz val="10"/>
        <color rgb="FF000000"/>
        <rFont val="ＭＳ 明朝"/>
        <family val="1"/>
        <charset val="128"/>
      </rPr>
      <t>(</t>
    </r>
    <r>
      <rPr>
        <sz val="10"/>
        <color rgb="FF000000"/>
        <rFont val="WenQuanYi Zen Hei"/>
        <family val="2"/>
      </rPr>
      <t>予定</t>
    </r>
    <r>
      <rPr>
        <sz val="10"/>
        <color rgb="FF000000"/>
        <rFont val="ＭＳ 明朝"/>
        <family val="1"/>
        <charset val="128"/>
      </rPr>
      <t>)</t>
    </r>
    <r>
      <rPr>
        <sz val="10"/>
        <color rgb="FF000000"/>
        <rFont val="WenQuanYi Zen Hei"/>
        <family val="2"/>
      </rPr>
      <t>日</t>
    </r>
  </si>
  <si>
    <r>
      <rPr>
        <b/>
        <sz val="10"/>
        <color rgb="FF000000"/>
        <rFont val="WenQuanYi Zen Hei"/>
        <family val="2"/>
      </rPr>
      <t>申込可能額</t>
    </r>
    <r>
      <rPr>
        <b/>
        <sz val="10"/>
        <color rgb="FF000000"/>
        <rFont val="ＭＳ 明朝"/>
        <family val="1"/>
        <charset val="128"/>
      </rPr>
      <t>(①②</t>
    </r>
    <r>
      <rPr>
        <b/>
        <sz val="10"/>
        <color rgb="FF000000"/>
        <rFont val="WenQuanYi Zen Hei"/>
        <family val="2"/>
      </rPr>
      <t>の小さい方</t>
    </r>
    <r>
      <rPr>
        <b/>
        <sz val="10"/>
        <color rgb="FF000000"/>
        <rFont val="ＭＳ 明朝"/>
        <family val="1"/>
        <charset val="128"/>
      </rPr>
      <t>)</t>
    </r>
  </si>
  <si>
    <t>給与の差押さえ等</t>
  </si>
  <si>
    <t>無</t>
  </si>
  <si>
    <t>有・無</t>
  </si>
  <si>
    <t>試算に用いた申込額</t>
  </si>
  <si>
    <t>申込希望金額を入力するとその金額で試算</t>
  </si>
  <si>
    <r>
      <rPr>
        <sz val="10"/>
        <color rgb="FF000000"/>
        <rFont val="WenQuanYi Zen Hei"/>
        <family val="2"/>
      </rPr>
      <t>無給休職</t>
    </r>
    <r>
      <rPr>
        <sz val="10"/>
        <color rgb="FF000000"/>
        <rFont val="ＭＳ 明朝"/>
        <family val="1"/>
        <charset val="128"/>
      </rPr>
      <t>(</t>
    </r>
    <r>
      <rPr>
        <sz val="10"/>
        <color rgb="FF000000"/>
        <rFont val="WenQuanYi Zen Hei"/>
        <family val="2"/>
      </rPr>
      <t>育児休業を除く</t>
    </r>
    <r>
      <rPr>
        <sz val="10"/>
        <color rgb="FF000000"/>
        <rFont val="ＭＳ 明朝"/>
        <family val="1"/>
        <charset val="128"/>
      </rPr>
      <t>)</t>
    </r>
  </si>
  <si>
    <t>償還回数</t>
  </si>
  <si>
    <r>
      <rPr>
        <sz val="10"/>
        <color rgb="FF000000"/>
        <rFont val="WenQuanYi Zen Hei"/>
        <family val="2"/>
      </rPr>
      <t>修学月数</t>
    </r>
    <r>
      <rPr>
        <sz val="10"/>
        <color rgb="FF000000"/>
        <rFont val="ＭＳ 明朝"/>
        <family val="1"/>
        <charset val="128"/>
      </rPr>
      <t>(</t>
    </r>
    <r>
      <rPr>
        <sz val="10"/>
        <color rgb="FF000000"/>
        <rFont val="WenQuanYi Zen Hei"/>
        <family val="2"/>
      </rPr>
      <t>修学貸付のみ</t>
    </r>
    <r>
      <rPr>
        <sz val="10"/>
        <color rgb="FF000000"/>
        <rFont val="ＭＳ 明朝"/>
        <family val="1"/>
        <charset val="128"/>
      </rPr>
      <t>)</t>
    </r>
  </si>
  <si>
    <r>
      <rPr>
        <i/>
        <sz val="9"/>
        <color rgb="FF595959"/>
        <rFont val="WenQuanYi Zen Hei"/>
        <family val="2"/>
      </rPr>
      <t>学年単位・修業年限以内。</t>
    </r>
    <r>
      <rPr>
        <i/>
        <sz val="9"/>
        <color rgb="FF595959"/>
        <rFont val="ＭＳ 明朝"/>
        <family val="1"/>
        <charset val="128"/>
      </rPr>
      <t>1</t>
    </r>
    <r>
      <rPr>
        <i/>
        <sz val="9"/>
        <color rgb="FF595959"/>
        <rFont val="WenQuanYi Zen Hei"/>
        <family val="2"/>
      </rPr>
      <t>か月</t>
    </r>
    <r>
      <rPr>
        <i/>
        <sz val="9"/>
        <color rgb="FF595959"/>
        <rFont val="ＭＳ 明朝"/>
        <family val="1"/>
        <charset val="128"/>
      </rPr>
      <t>15</t>
    </r>
    <r>
      <rPr>
        <i/>
        <sz val="9"/>
        <color rgb="FF595959"/>
        <rFont val="WenQuanYi Zen Hei"/>
        <family val="2"/>
      </rPr>
      <t>万円</t>
    </r>
  </si>
  <si>
    <t>毎月償還額</t>
  </si>
  <si>
    <r>
      <rPr>
        <sz val="10"/>
        <color rgb="FF000000"/>
        <rFont val="WenQuanYi Zen Hei"/>
        <family val="2"/>
      </rPr>
      <t>申込希望金額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</si>
  <si>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空欄なら申込可能額で試算します</t>
  </si>
  <si>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t>
    </r>
    <r>
      <rPr>
        <sz val="10"/>
        <color rgb="FF000000"/>
        <rFont val="ＭＳ 明朝"/>
        <family val="1"/>
        <charset val="128"/>
      </rPr>
      <t>)</t>
    </r>
  </si>
  <si>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</si>
  <si>
    <r>
      <rPr>
        <sz val="10"/>
        <color rgb="FF000000"/>
        <rFont val="WenQuanYi Zen Hei"/>
        <family val="2"/>
      </rPr>
      <t>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</si>
  <si>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回数か毎月償還額のどちらかを設定</t>
  </si>
  <si>
    <t>償還開始</t>
  </si>
  <si>
    <t>貸付を受けた月の翌月から</t>
  </si>
  <si>
    <r>
      <rPr>
        <sz val="10"/>
        <color rgb="FF000000"/>
        <rFont val="WenQuanYi Zen Hei"/>
        <family val="2"/>
      </rPr>
      <t>毎月償還額の希望</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</si>
  <si>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回数が空欄のとき、返済できる回数を逆算</t>
  </si>
  <si>
    <t>償還終了予定</t>
  </si>
  <si>
    <t>ボーナス併用償還</t>
  </si>
  <si>
    <r>
      <rPr>
        <i/>
        <sz val="9"/>
        <color rgb="FF595959"/>
        <rFont val="WenQuanYi Zen Hei"/>
        <family val="2"/>
      </rPr>
      <t>住宅系で申込</t>
    </r>
    <r>
      <rPr>
        <i/>
        <sz val="9"/>
        <color rgb="FF595959"/>
        <rFont val="ＭＳ 明朝"/>
        <family val="1"/>
        <charset val="128"/>
      </rPr>
      <t>300</t>
    </r>
    <r>
      <rPr>
        <i/>
        <sz val="9"/>
        <color rgb="FF595959"/>
        <rFont val="WenQuanYi Zen Hei"/>
        <family val="2"/>
      </rPr>
      <t>万円以上の場合のみ</t>
    </r>
  </si>
  <si>
    <t>返済総額</t>
  </si>
  <si>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</si>
  <si>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ＭＳ 明朝"/>
        <family val="1"/>
        <charset val="128"/>
      </rPr>
      <t>100</t>
    </r>
    <r>
      <rPr>
        <i/>
        <sz val="9"/>
        <color rgb="FF595959"/>
        <rFont val="WenQuanYi Zen Hei"/>
        <family val="2"/>
      </rPr>
      <t>万円以上・貸付金額の</t>
    </r>
    <r>
      <rPr>
        <i/>
        <sz val="9"/>
        <color rgb="FF595959"/>
        <rFont val="ＭＳ 明朝"/>
        <family val="1"/>
        <charset val="128"/>
      </rPr>
      <t>1/2</t>
    </r>
    <r>
      <rPr>
        <i/>
        <sz val="9"/>
        <color rgb="FF595959"/>
        <rFont val="WenQuanYi Zen Hei"/>
        <family val="2"/>
      </rPr>
      <t>以内・</t>
    </r>
    <r>
      <rPr>
        <i/>
        <sz val="9"/>
        <color rgb="FF595959"/>
        <rFont val="ＭＳ 明朝"/>
        <family val="1"/>
        <charset val="128"/>
      </rPr>
      <t>5</t>
    </r>
    <r>
      <rPr>
        <i/>
        <sz val="9"/>
        <color rgb="FF595959"/>
        <rFont val="WenQuanYi Zen Hei"/>
        <family val="2"/>
      </rPr>
      <t>万円単位</t>
    </r>
  </si>
  <si>
    <t>うち利息</t>
  </si>
  <si>
    <r>
      <rPr>
        <sz val="10"/>
        <color rgb="FF000000"/>
        <rFont val="WenQuanYi Zen Hei"/>
        <family val="2"/>
      </rPr>
      <t>ボーナス償還回数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</si>
  <si>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9"/>
        <color rgb="FF595959"/>
        <rFont val="ＭＳ 明朝"/>
        <family val="1"/>
        <charset val="128"/>
      </rPr>
      <t>60</t>
    </r>
    <r>
      <rPr>
        <i/>
        <sz val="9"/>
        <color rgb="FF595959"/>
        <rFont val="WenQuanYi Zen Hei"/>
        <family val="2"/>
      </rPr>
      <t>回以内</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月の計</t>
    </r>
    <r>
      <rPr>
        <i/>
        <sz val="9"/>
        <color rgb="FF595959"/>
        <rFont val="ＭＳ 明朝"/>
        <family val="1"/>
        <charset val="128"/>
      </rPr>
      <t>)</t>
    </r>
  </si>
  <si>
    <r>
      <rPr>
        <sz val="10"/>
        <color rgb="FF000000"/>
        <rFont val="WenQuanYi Zen Hei"/>
        <family val="2"/>
      </rPr>
      <t>在宅介護対応住宅の該当部分</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</si>
  <si>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住宅系のみ。</t>
    </r>
    <r>
      <rPr>
        <i/>
        <sz val="9"/>
        <color rgb="FF595959"/>
        <rFont val="ＭＳ 明朝"/>
        <family val="1"/>
        <charset val="128"/>
      </rPr>
      <t>300</t>
    </r>
    <r>
      <rPr>
        <i/>
        <sz val="9"/>
        <color rgb="FF595959"/>
        <rFont val="WenQuanYi Zen Hei"/>
        <family val="2"/>
      </rPr>
      <t>万円を限度に加算</t>
    </r>
  </si>
  <si>
    <r>
      <rPr>
        <b/>
        <sz val="10"/>
        <color rgb="FF000000"/>
        <rFont val="ＭＳ 明朝"/>
        <family val="1"/>
        <charset val="128"/>
      </rPr>
      <t xml:space="preserve">4 </t>
    </r>
    <r>
      <rPr>
        <b/>
        <sz val="10"/>
        <color rgb="FF000000"/>
        <rFont val="WenQuanYi Zen Hei"/>
        <family val="2"/>
      </rPr>
      <t>償還額の割合</t>
    </r>
    <r>
      <rPr>
        <b/>
        <sz val="10"/>
        <color rgb="FF000000"/>
        <rFont val="ＭＳ 明朝"/>
        <family val="1"/>
        <charset val="128"/>
      </rPr>
      <t>(</t>
    </r>
    <r>
      <rPr>
        <b/>
        <sz val="10"/>
        <color rgb="FF000000"/>
        <rFont val="WenQuanYi Zen Hei"/>
        <family val="2"/>
      </rPr>
      <t>借入状況等申告書の計算</t>
    </r>
    <r>
      <rPr>
        <b/>
        <sz val="10"/>
        <color rgb="FF000000"/>
        <rFont val="ＭＳ 明朝"/>
        <family val="1"/>
        <charset val="128"/>
      </rPr>
      <t>)</t>
    </r>
  </si>
  <si>
    <t>住宅書類の区分 ※災害住宅・再貸付のみ</t>
  </si>
  <si>
    <t>災害住宅・災害再貸付のみ選択</t>
  </si>
  <si>
    <r>
      <rPr>
        <sz val="10"/>
        <color rgb="FF000000"/>
        <rFont val="WenQuanYi Zen Hei"/>
        <family val="2"/>
      </rPr>
      <t>毎月の償還額</t>
    </r>
    <r>
      <rPr>
        <sz val="10"/>
        <color rgb="FF000000"/>
        <rFont val="ＭＳ 明朝"/>
        <family val="1"/>
        <charset val="128"/>
      </rPr>
      <t>(E)=A+B+C+D</t>
    </r>
  </si>
  <si>
    <r>
      <rPr>
        <i/>
        <sz val="9"/>
        <color rgb="FF595959"/>
        <rFont val="ＭＳ 明朝"/>
        <family val="1"/>
        <charset val="128"/>
      </rPr>
      <t>D=</t>
    </r>
    <r>
      <rPr>
        <i/>
        <sz val="9"/>
        <color rgb="FF595959"/>
        <rFont val="WenQuanYi Zen Hei"/>
        <family val="2"/>
      </rPr>
      <t>今回の貸付の毎月償還額</t>
    </r>
  </si>
  <si>
    <r>
      <rPr>
        <sz val="10"/>
        <color rgb="FF000000"/>
        <rFont val="WenQuanYi Zen Hei"/>
        <family val="2"/>
      </rPr>
      <t>住所</t>
    </r>
    <r>
      <rPr>
        <sz val="10"/>
        <color rgb="FF000000"/>
        <rFont val="ＭＳ 明朝"/>
        <family val="1"/>
        <charset val="128"/>
      </rPr>
      <t>(</t>
    </r>
    <r>
      <rPr>
        <sz val="10"/>
        <color rgb="FF000000"/>
        <rFont val="WenQuanYi Zen Hei"/>
        <family val="2"/>
      </rPr>
      <t>借用証書に使用</t>
    </r>
    <r>
      <rPr>
        <sz val="10"/>
        <color rgb="FF000000"/>
        <rFont val="ＭＳ 明朝"/>
        <family val="1"/>
        <charset val="128"/>
      </rPr>
      <t>)</t>
    </r>
  </si>
  <si>
    <r>
      <rPr>
        <sz val="10"/>
        <color rgb="FF0000FF"/>
        <rFont val="WenQuanYi Zen Hei"/>
        <family val="2"/>
      </rPr>
      <t>広島市中区○○町</t>
    </r>
    <r>
      <rPr>
        <sz val="10"/>
        <color rgb="FF0000FF"/>
        <rFont val="ＭＳ 明朝"/>
        <family val="1"/>
        <charset val="128"/>
      </rPr>
      <t>1-1</t>
    </r>
  </si>
  <si>
    <t>印鑑登録証明書と同じ表記で入力</t>
  </si>
  <si>
    <r>
      <rPr>
        <sz val="10"/>
        <color rgb="FF000000"/>
        <rFont val="WenQuanYi Zen Hei"/>
        <family val="2"/>
      </rPr>
      <t>ボーナス償還額</t>
    </r>
    <r>
      <rPr>
        <sz val="10"/>
        <color rgb="FF000000"/>
        <rFont val="ＭＳ 明朝"/>
        <family val="1"/>
        <charset val="128"/>
      </rPr>
      <t>(J)=F+G+H+I</t>
    </r>
  </si>
  <si>
    <r>
      <rPr>
        <b/>
        <sz val="10"/>
        <color rgb="FF000000"/>
        <rFont val="ＭＳ 明朝"/>
        <family val="1"/>
        <charset val="128"/>
      </rPr>
      <t xml:space="preserve">2 </t>
    </r>
    <r>
      <rPr>
        <b/>
        <sz val="10"/>
        <color rgb="FF000000"/>
        <rFont val="WenQuanYi Zen Hei"/>
        <family val="2"/>
      </rPr>
      <t>他の借入・共済組合の既貸付</t>
    </r>
    <r>
      <rPr>
        <b/>
        <sz val="10"/>
        <color rgb="FF000000"/>
        <rFont val="ＭＳ 明朝"/>
        <family val="1"/>
        <charset val="128"/>
      </rPr>
      <t>(</t>
    </r>
    <r>
      <rPr>
        <b/>
        <sz val="10"/>
        <color rgb="FF000000"/>
        <rFont val="WenQuanYi Zen Hei"/>
        <family val="2"/>
      </rPr>
      <t>詳細は「借入状況等申告書」</t>
    </r>
    <r>
      <rPr>
        <b/>
        <sz val="10"/>
        <color rgb="FF000000"/>
        <rFont val="ＭＳ 明朝"/>
        <family val="1"/>
        <charset val="128"/>
      </rPr>
      <t>)</t>
    </r>
  </si>
  <si>
    <r>
      <rPr>
        <sz val="10"/>
        <color rgb="FF000000"/>
        <rFont val="WenQuanYi Zen Hei"/>
        <family val="2"/>
      </rPr>
      <t>給料月額</t>
    </r>
    <r>
      <rPr>
        <sz val="10"/>
        <color rgb="FF000000"/>
        <rFont val="ＭＳ 明朝"/>
        <family val="1"/>
        <charset val="128"/>
      </rPr>
      <t>(K)</t>
    </r>
  </si>
  <si>
    <t>他の金融機関等からの借入</t>
  </si>
  <si>
    <t>有</t>
  </si>
  <si>
    <t>「有」の場合は借入状況等申告書の黄色のセルに入力</t>
  </si>
  <si>
    <r>
      <rPr>
        <b/>
        <sz val="10"/>
        <color rgb="FF000000"/>
        <rFont val="WenQuanYi Zen Hei"/>
        <family val="2"/>
      </rPr>
      <t xml:space="preserve">毎月償還額の割合 </t>
    </r>
    <r>
      <rPr>
        <b/>
        <sz val="10"/>
        <color rgb="FF000000"/>
        <rFont val="ＭＳ 明朝"/>
        <family val="1"/>
        <charset val="128"/>
      </rPr>
      <t>E÷K</t>
    </r>
  </si>
  <si>
    <r>
      <rPr>
        <sz val="10"/>
        <color rgb="FF000000"/>
        <rFont val="WenQuanYi Zen Hei"/>
        <family val="2"/>
      </rPr>
      <t>共済組合の既貸付</t>
    </r>
    <r>
      <rPr>
        <sz val="10"/>
        <color rgb="FF000000"/>
        <rFont val="ＭＳ 明朝"/>
        <family val="1"/>
        <charset val="128"/>
      </rPr>
      <t>(</t>
    </r>
    <r>
      <rPr>
        <sz val="10"/>
        <color rgb="FF000000"/>
        <rFont val="WenQuanYi Zen Hei"/>
        <family val="2"/>
      </rPr>
      <t>貸付金</t>
    </r>
    <r>
      <rPr>
        <sz val="10"/>
        <color rgb="FF000000"/>
        <rFont val="ＭＳ 明朝"/>
        <family val="1"/>
        <charset val="128"/>
      </rPr>
      <t>)</t>
    </r>
  </si>
  <si>
    <r>
      <rPr>
        <i/>
        <sz val="9"/>
        <color rgb="FF595959"/>
        <rFont val="WenQuanYi Zen Hei"/>
        <family val="2"/>
      </rPr>
      <t>既借入分の償還額は申告書の</t>
    </r>
    <r>
      <rPr>
        <i/>
        <sz val="9"/>
        <color rgb="FF595959"/>
        <rFont val="ＭＳ 明朝"/>
        <family val="1"/>
        <charset val="128"/>
      </rPr>
      <t>(C)(H)</t>
    </r>
    <r>
      <rPr>
        <i/>
        <sz val="9"/>
        <color rgb="FF595959"/>
        <rFont val="WenQuanYi Zen Hei"/>
        <family val="2"/>
      </rPr>
      <t>に入力</t>
    </r>
  </si>
  <si>
    <r>
      <rPr>
        <sz val="10"/>
        <color rgb="FF000000"/>
        <rFont val="WenQuanYi Zen Hei"/>
        <family val="2"/>
      </rPr>
      <t>年間償還額</t>
    </r>
    <r>
      <rPr>
        <sz val="10"/>
        <color rgb="FF000000"/>
        <rFont val="ＭＳ 明朝"/>
        <family val="1"/>
        <charset val="128"/>
      </rPr>
      <t>(L)=E×12+J×2</t>
    </r>
  </si>
  <si>
    <r>
      <rPr>
        <sz val="10"/>
        <color rgb="FF000000"/>
        <rFont val="WenQuanYi Zen Hei"/>
        <family val="2"/>
      </rPr>
      <t xml:space="preserve">他の金融機関等 毎月償還額 </t>
    </r>
    <r>
      <rPr>
        <sz val="10"/>
        <color rgb="FF000000"/>
        <rFont val="ＭＳ 明朝"/>
        <family val="1"/>
        <charset val="128"/>
      </rPr>
      <t>(A)+(B)</t>
    </r>
  </si>
  <si>
    <r>
      <rPr>
        <sz val="10"/>
        <color rgb="FF000000"/>
        <rFont val="WenQuanYi Zen Hei"/>
        <family val="2"/>
      </rPr>
      <t>年収額</t>
    </r>
    <r>
      <rPr>
        <sz val="10"/>
        <color rgb="FF000000"/>
        <rFont val="ＭＳ 明朝"/>
        <family val="1"/>
        <charset val="128"/>
      </rPr>
      <t>(M)=K×12+K×4</t>
    </r>
  </si>
  <si>
    <r>
      <rPr>
        <sz val="10"/>
        <color rgb="FF000000"/>
        <rFont val="WenQuanYi Zen Hei"/>
        <family val="2"/>
      </rPr>
      <t xml:space="preserve">他の金融機関等 ボーナス償還額 </t>
    </r>
    <r>
      <rPr>
        <sz val="10"/>
        <color rgb="FF000000"/>
        <rFont val="ＭＳ 明朝"/>
        <family val="1"/>
        <charset val="128"/>
      </rPr>
      <t>(F)+(G)</t>
    </r>
  </si>
  <si>
    <r>
      <rPr>
        <b/>
        <sz val="10"/>
        <color rgb="FF000000"/>
        <rFont val="WenQuanYi Zen Hei"/>
        <family val="2"/>
      </rPr>
      <t xml:space="preserve">年間償還額の割合 </t>
    </r>
    <r>
      <rPr>
        <b/>
        <sz val="10"/>
        <color rgb="FF000000"/>
        <rFont val="ＭＳ 明朝"/>
        <family val="1"/>
        <charset val="128"/>
      </rPr>
      <t>L÷M</t>
    </r>
  </si>
  <si>
    <r>
      <rPr>
        <sz val="10"/>
        <color rgb="FF000000"/>
        <rFont val="WenQuanYi Zen Hei"/>
        <family val="2"/>
      </rPr>
      <t xml:space="preserve">共済組合 毎月償還額 </t>
    </r>
    <r>
      <rPr>
        <sz val="10"/>
        <color rgb="FF000000"/>
        <rFont val="ＭＳ 明朝"/>
        <family val="1"/>
        <charset val="128"/>
      </rPr>
      <t>(C)</t>
    </r>
  </si>
  <si>
    <r>
      <rPr>
        <sz val="10"/>
        <color rgb="FF000000"/>
        <rFont val="WenQuanYi Zen Hei"/>
        <family val="2"/>
      </rPr>
      <t xml:space="preserve">共済組合 ボーナス償還額 </t>
    </r>
    <r>
      <rPr>
        <sz val="10"/>
        <color rgb="FF000000"/>
        <rFont val="ＭＳ 明朝"/>
        <family val="1"/>
        <charset val="128"/>
      </rPr>
      <t>(H)</t>
    </r>
  </si>
  <si>
    <r>
      <rPr>
        <b/>
        <sz val="10"/>
        <color rgb="FF000000"/>
        <rFont val="ＭＳ 明朝"/>
        <family val="1"/>
        <charset val="128"/>
      </rPr>
      <t xml:space="preserve">5 </t>
    </r>
    <r>
      <rPr>
        <b/>
        <sz val="10"/>
        <color rgb="FF000000"/>
        <rFont val="WenQuanYi Zen Hei"/>
        <family val="2"/>
      </rPr>
      <t>判定の内訳</t>
    </r>
    <r>
      <rPr>
        <b/>
        <sz val="10"/>
        <color rgb="FF000000"/>
        <rFont val="ＭＳ 明朝"/>
        <family val="1"/>
        <charset val="128"/>
      </rPr>
      <t>(○=</t>
    </r>
    <r>
      <rPr>
        <b/>
        <sz val="10"/>
        <color rgb="FF000000"/>
        <rFont val="WenQuanYi Zen Hei"/>
        <family val="2"/>
      </rPr>
      <t xml:space="preserve">適合 </t>
    </r>
    <r>
      <rPr>
        <b/>
        <sz val="10"/>
        <color rgb="FF000000"/>
        <rFont val="ＭＳ 明朝"/>
        <family val="1"/>
        <charset val="128"/>
      </rPr>
      <t>×=</t>
    </r>
    <r>
      <rPr>
        <b/>
        <sz val="10"/>
        <color rgb="FF000000"/>
        <rFont val="WenQuanYi Zen Hei"/>
        <family val="2"/>
      </rPr>
      <t>不適合 △</t>
    </r>
    <r>
      <rPr>
        <b/>
        <sz val="10"/>
        <color rgb="FF000000"/>
        <rFont val="ＭＳ 明朝"/>
        <family val="1"/>
        <charset val="128"/>
      </rPr>
      <t>=</t>
    </r>
    <r>
      <rPr>
        <b/>
        <sz val="10"/>
        <color rgb="FF000000"/>
        <rFont val="WenQuanYi Zen Hei"/>
        <family val="2"/>
      </rPr>
      <t>要確認 －</t>
    </r>
    <r>
      <rPr>
        <b/>
        <sz val="10"/>
        <color rgb="FF000000"/>
        <rFont val="ＭＳ 明朝"/>
        <family val="1"/>
        <charset val="128"/>
      </rPr>
      <t>=</t>
    </r>
    <r>
      <rPr>
        <b/>
        <sz val="10"/>
        <color rgb="FF000000"/>
        <rFont val="WenQuanYi Zen Hei"/>
        <family val="2"/>
      </rPr>
      <t>対象外</t>
    </r>
    <r>
      <rPr>
        <b/>
        <sz val="10"/>
        <color rgb="FF000000"/>
        <rFont val="ＭＳ 明朝"/>
        <family val="1"/>
        <charset val="128"/>
      </rPr>
      <t>)</t>
    </r>
  </si>
  <si>
    <t>貸付区分</t>
  </si>
  <si>
    <r>
      <rPr>
        <b/>
        <sz val="10"/>
        <color rgb="FF000000"/>
        <rFont val="ＭＳ 明朝"/>
        <family val="1"/>
        <charset val="128"/>
      </rPr>
      <t xml:space="preserve">7 </t>
    </r>
    <r>
      <rPr>
        <b/>
        <sz val="10"/>
        <color rgb="FF000000"/>
        <rFont val="WenQuanYi Zen Hei"/>
        <family val="2"/>
      </rPr>
      <t>申込時の提出書類</t>
    </r>
    <r>
      <rPr>
        <b/>
        <sz val="10"/>
        <color rgb="FF000000"/>
        <rFont val="ＭＳ 明朝"/>
        <family val="1"/>
        <charset val="128"/>
      </rPr>
      <t>(</t>
    </r>
    <r>
      <rPr>
        <b/>
        <sz val="10"/>
        <color rgb="FF000000"/>
        <rFont val="WenQuanYi Zen Hei"/>
        <family val="2"/>
      </rPr>
      <t>貸付区分に応じて自動表示</t>
    </r>
    <r>
      <rPr>
        <b/>
        <sz val="10"/>
        <color rgb="FF000000"/>
        <rFont val="ＭＳ 明朝"/>
        <family val="1"/>
        <charset val="128"/>
      </rPr>
      <t>)</t>
    </r>
  </si>
  <si>
    <t>給料月額</t>
  </si>
  <si>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</si>
  <si>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t>無給休職</t>
  </si>
  <si>
    <t>借入状況の入力</t>
  </si>
  <si>
    <t>申込時期</t>
  </si>
  <si>
    <t>修学月数</t>
  </si>
  <si>
    <t>申込金額の下限・単位</t>
  </si>
  <si>
    <t>貸付限度額</t>
  </si>
  <si>
    <r>
      <rPr>
        <sz val="10"/>
        <color rgb="FF000000"/>
        <rFont val="WenQuanYi Zen Hei"/>
        <family val="2"/>
      </rPr>
      <t>毎月償還額の割合</t>
    </r>
    <r>
      <rPr>
        <sz val="10"/>
        <color rgb="FF000000"/>
        <rFont val="ＭＳ 明朝"/>
        <family val="1"/>
        <charset val="128"/>
      </rPr>
      <t>(30%)</t>
    </r>
  </si>
  <si>
    <r>
      <rPr>
        <sz val="10"/>
        <color rgb="FF000000"/>
        <rFont val="WenQuanYi Zen Hei"/>
        <family val="2"/>
      </rPr>
      <t>年間償還額の割合</t>
    </r>
    <r>
      <rPr>
        <sz val="10"/>
        <color rgb="FF000000"/>
        <rFont val="ＭＳ 明朝"/>
        <family val="1"/>
        <charset val="128"/>
      </rPr>
      <t>(30%)</t>
    </r>
  </si>
  <si>
    <t>ボーナス併用の条件</t>
  </si>
  <si>
    <t>住宅書類の区分</t>
  </si>
  <si>
    <t>在宅介護対応住宅</t>
  </si>
  <si>
    <r>
      <rPr>
        <b/>
        <sz val="10"/>
        <color rgb="FF000000"/>
        <rFont val="ＭＳ 明朝"/>
        <family val="1"/>
        <charset val="128"/>
      </rPr>
      <t xml:space="preserve">6 </t>
    </r>
    <r>
      <rPr>
        <b/>
        <sz val="10"/>
        <color rgb="FF000000"/>
        <rFont val="WenQuanYi Zen Hei"/>
        <family val="2"/>
      </rPr>
      <t>日程</t>
    </r>
    <r>
      <rPr>
        <b/>
        <sz val="10"/>
        <color rgb="FF000000"/>
        <rFont val="ＭＳ 明朝"/>
        <family val="1"/>
        <charset val="128"/>
      </rPr>
      <t>(</t>
    </r>
    <r>
      <rPr>
        <b/>
        <sz val="10"/>
        <color rgb="FF000000"/>
        <rFont val="WenQuanYi Zen Hei"/>
        <family val="2"/>
      </rPr>
      <t>申込予定日から自動計算</t>
    </r>
    <r>
      <rPr>
        <b/>
        <sz val="10"/>
        <color rgb="FF000000"/>
        <rFont val="ＭＳ 明朝"/>
        <family val="1"/>
        <charset val="128"/>
      </rPr>
      <t>)</t>
    </r>
  </si>
  <si>
    <t>申込締切日</t>
  </si>
  <si>
    <r>
      <rPr>
        <i/>
        <sz val="9"/>
        <color rgb="FF595959"/>
        <rFont val="WenQuanYi Zen Hei"/>
        <family val="2"/>
      </rPr>
      <t>毎月</t>
    </r>
    <r>
      <rPr>
        <i/>
        <sz val="9"/>
        <color rgb="FF595959"/>
        <rFont val="ＭＳ 明朝"/>
        <family val="1"/>
        <charset val="128"/>
      </rPr>
      <t>5</t>
    </r>
    <r>
      <rPr>
        <i/>
        <sz val="9"/>
        <color rgb="FF595959"/>
        <rFont val="WenQuanYi Zen Hei"/>
        <family val="2"/>
      </rPr>
      <t>日</t>
    </r>
    <r>
      <rPr>
        <i/>
        <sz val="9"/>
        <color rgb="FF595959"/>
        <rFont val="ＭＳ 明朝"/>
        <family val="1"/>
        <charset val="128"/>
      </rPr>
      <t>(</t>
    </r>
    <r>
      <rPr>
        <i/>
        <sz val="9"/>
        <color rgb="FF595959"/>
        <rFont val="WenQuanYi Zen Hei"/>
        <family val="2"/>
      </rPr>
      <t>住宅貸付は毎月</t>
    </r>
    <r>
      <rPr>
        <i/>
        <sz val="9"/>
        <color rgb="FF595959"/>
        <rFont val="ＭＳ 明朝"/>
        <family val="1"/>
        <charset val="128"/>
      </rPr>
      <t>20</t>
    </r>
    <r>
      <rPr>
        <i/>
        <sz val="9"/>
        <color rgb="FF595959"/>
        <rFont val="WenQuanYi Zen Hei"/>
        <family val="2"/>
      </rPr>
      <t>日</t>
    </r>
    <r>
      <rPr>
        <i/>
        <sz val="9"/>
        <color rgb="FF595959"/>
        <rFont val="ＭＳ 明朝"/>
        <family val="1"/>
        <charset val="128"/>
      </rPr>
      <t>)</t>
    </r>
    <r>
      <rPr>
        <i/>
        <sz val="9"/>
        <color rgb="FF595959"/>
        <rFont val="WenQuanYi Zen Hei"/>
        <family val="2"/>
      </rPr>
      <t>・休日の場合は翌日</t>
    </r>
  </si>
  <si>
    <r>
      <rPr>
        <b/>
        <sz val="10"/>
        <color rgb="FF000000"/>
        <rFont val="ＭＳ 明朝"/>
        <family val="1"/>
        <charset val="128"/>
      </rPr>
      <t xml:space="preserve">8 </t>
    </r>
    <r>
      <rPr>
        <b/>
        <sz val="10"/>
        <color rgb="FF000000"/>
        <rFont val="WenQuanYi Zen Hei"/>
        <family val="2"/>
      </rPr>
      <t>貸付金交付後の提出書類</t>
    </r>
  </si>
  <si>
    <t>提出先</t>
  </si>
  <si>
    <r>
      <rPr>
        <sz val="10"/>
        <color rgb="FF000000"/>
        <rFont val="WenQuanYi Zen Hei"/>
        <family val="2"/>
      </rPr>
      <t>貸付決定</t>
    </r>
    <r>
      <rPr>
        <sz val="10"/>
        <color rgb="FF000000"/>
        <rFont val="ＭＳ 明朝"/>
        <family val="1"/>
        <charset val="128"/>
      </rPr>
      <t>(</t>
    </r>
    <r>
      <rPr>
        <sz val="10"/>
        <color rgb="FF000000"/>
        <rFont val="WenQuanYi Zen Hei"/>
        <family val="2"/>
      </rPr>
      <t>目安</t>
    </r>
    <r>
      <rPr>
        <sz val="10"/>
        <color rgb="FF000000"/>
        <rFont val="ＭＳ 明朝"/>
        <family val="1"/>
        <charset val="128"/>
      </rPr>
      <t>)</t>
    </r>
  </si>
  <si>
    <t>貸付金交付日</t>
  </si>
  <si>
    <r>
      <rPr>
        <i/>
        <sz val="9"/>
        <color rgb="FF595959"/>
        <rFont val="WenQuanYi Zen Hei"/>
        <family val="2"/>
      </rPr>
      <t>締切日の同月末日</t>
    </r>
    <r>
      <rPr>
        <i/>
        <sz val="9"/>
        <color rgb="FF595959"/>
        <rFont val="ＭＳ 明朝"/>
        <family val="1"/>
        <charset val="128"/>
      </rPr>
      <t>(</t>
    </r>
    <r>
      <rPr>
        <i/>
        <sz val="9"/>
        <color rgb="FF595959"/>
        <rFont val="WenQuanYi Zen Hei"/>
        <family val="2"/>
      </rPr>
      <t>休日・祝日の場合は前日</t>
    </r>
    <r>
      <rPr>
        <i/>
        <sz val="9"/>
        <color rgb="FF595959"/>
        <rFont val="ＭＳ 明朝"/>
        <family val="1"/>
        <charset val="128"/>
      </rPr>
      <t>)</t>
    </r>
  </si>
  <si>
    <t>交付後の書類の提出期限</t>
  </si>
  <si>
    <t>該当する場合のみ</t>
  </si>
  <si>
    <r>
      <rPr>
        <b/>
        <sz val="10"/>
        <color rgb="FF000000"/>
        <rFont val="ＭＳ 明朝"/>
        <family val="1"/>
        <charset val="128"/>
      </rPr>
      <t xml:space="preserve">9 </t>
    </r>
    <r>
      <rPr>
        <b/>
        <sz val="10"/>
        <color rgb="FF000000"/>
        <rFont val="WenQuanYi Zen Hei"/>
        <family val="2"/>
      </rPr>
      <t>借りられる上限の早見</t>
    </r>
    <r>
      <rPr>
        <b/>
        <sz val="10"/>
        <color rgb="FF000000"/>
        <rFont val="ＭＳ 明朝"/>
        <family val="1"/>
        <charset val="128"/>
      </rPr>
      <t>(</t>
    </r>
    <r>
      <rPr>
        <b/>
        <sz val="10"/>
        <color rgb="FF000000"/>
        <rFont val="WenQuanYi Zen Hei"/>
        <family val="2"/>
      </rPr>
      <t>償還回数別</t>
    </r>
    <r>
      <rPr>
        <b/>
        <sz val="10"/>
        <color rgb="FF000000"/>
        <rFont val="ＭＳ 明朝"/>
        <family val="1"/>
        <charset val="128"/>
      </rPr>
      <t>)</t>
    </r>
  </si>
  <si>
    <r>
      <rPr>
        <b/>
        <sz val="10"/>
        <color rgb="FF000000"/>
        <rFont val="WenQuanYi Zen Hei"/>
        <family val="2"/>
      </rPr>
      <t>償還回数</t>
    </r>
    <r>
      <rPr>
        <b/>
        <sz val="10"/>
        <color rgb="FF000000"/>
        <rFont val="ＭＳ 明朝"/>
        <family val="1"/>
        <charset val="128"/>
      </rPr>
      <t>(</t>
    </r>
    <r>
      <rPr>
        <b/>
        <sz val="10"/>
        <color rgb="FF000000"/>
        <rFont val="WenQuanYi Zen Hei"/>
        <family val="2"/>
      </rPr>
      <t>期間</t>
    </r>
    <r>
      <rPr>
        <b/>
        <sz val="10"/>
        <color rgb="FF000000"/>
        <rFont val="ＭＳ 明朝"/>
        <family val="1"/>
        <charset val="128"/>
      </rPr>
      <t>)</t>
    </r>
  </si>
  <si>
    <t>毎月償還額の目安</t>
  </si>
  <si>
    <t>償還回数を増やすと、毎月の返済が小さくなり、借りられる上限が大きくなります。ただし上限は①の貸付限度額までです。</t>
  </si>
  <si>
    <t>申込書追加入力</t>
  </si>
  <si>
    <r>
      <rPr>
        <sz val="9"/>
        <color rgb="FF595959"/>
        <rFont val="WenQuanYi Zen Hei"/>
        <family val="2"/>
      </rPr>
      <t>貸付申込書</t>
    </r>
    <r>
      <rPr>
        <sz val="9"/>
        <color rgb="FF595959"/>
        <rFont val="ＭＳ 明朝"/>
        <family val="1"/>
        <charset val="128"/>
      </rPr>
      <t>(</t>
    </r>
    <r>
      <rPr>
        <sz val="9"/>
        <color rgb="FF595959"/>
        <rFont val="WenQuanYi Zen Hei"/>
        <family val="2"/>
      </rPr>
      <t>普通・特別貸付</t>
    </r>
    <r>
      <rPr>
        <sz val="9"/>
        <color rgb="FF595959"/>
        <rFont val="ＭＳ 明朝"/>
        <family val="1"/>
        <charset val="128"/>
      </rPr>
      <t>)</t>
    </r>
    <r>
      <rPr>
        <sz val="9"/>
        <color rgb="FF595959"/>
        <rFont val="WenQuanYi Zen Hei"/>
        <family val="2"/>
      </rPr>
      <t>を</t>
    </r>
    <r>
      <rPr>
        <sz val="9"/>
        <color rgb="FF595959"/>
        <rFont val="ＭＳ 明朝"/>
        <family val="1"/>
        <charset val="128"/>
      </rPr>
      <t>Word</t>
    </r>
    <r>
      <rPr>
        <sz val="9"/>
        <color rgb="FF595959"/>
        <rFont val="WenQuanYi Zen Hei"/>
        <family val="2"/>
      </rPr>
      <t>出力するときに記入する項目です。空欄の項目は、</t>
    </r>
    <r>
      <rPr>
        <sz val="9"/>
        <color rgb="FF595959"/>
        <rFont val="ＭＳ 明朝"/>
        <family val="1"/>
        <charset val="128"/>
      </rPr>
      <t>Word</t>
    </r>
    <r>
      <rPr>
        <sz val="9"/>
        <color rgb="FF595959"/>
        <rFont val="WenQuanYi Zen Hei"/>
        <family val="2"/>
      </rPr>
      <t>で空欄のまま出力します。</t>
    </r>
  </si>
  <si>
    <t>ふりがな</t>
  </si>
  <si>
    <t>ひろしま たろう</t>
  </si>
  <si>
    <t>ひらがなで入力</t>
  </si>
  <si>
    <t>職名</t>
  </si>
  <si>
    <t>主事</t>
  </si>
  <si>
    <r>
      <rPr>
        <sz val="10"/>
        <color rgb="FF000000"/>
        <rFont val="WenQuanYi Zen Hei"/>
        <family val="2"/>
      </rPr>
      <t>職員番号</t>
    </r>
    <r>
      <rPr>
        <sz val="10"/>
        <color rgb="FF000000"/>
        <rFont val="ＭＳ 明朝"/>
        <family val="1"/>
        <charset val="128"/>
      </rPr>
      <t>(7</t>
    </r>
    <r>
      <rPr>
        <sz val="10"/>
        <color rgb="FF000000"/>
        <rFont val="WenQuanYi Zen Hei"/>
        <family val="2"/>
      </rPr>
      <t>桁</t>
    </r>
    <r>
      <rPr>
        <sz val="10"/>
        <color rgb="FF000000"/>
        <rFont val="ＭＳ 明朝"/>
        <family val="1"/>
        <charset val="128"/>
      </rPr>
      <t>)</t>
    </r>
  </si>
  <si>
    <t>1234567</t>
  </si>
  <si>
    <r>
      <rPr>
        <i/>
        <sz val="9"/>
        <color rgb="FF595959"/>
        <rFont val="WenQuanYi Zen Hei"/>
        <family val="2"/>
      </rPr>
      <t>数字</t>
    </r>
    <r>
      <rPr>
        <i/>
        <sz val="9"/>
        <color rgb="FF595959"/>
        <rFont val="ＭＳ 明朝"/>
        <family val="1"/>
        <charset val="128"/>
      </rPr>
      <t>7</t>
    </r>
    <r>
      <rPr>
        <i/>
        <sz val="9"/>
        <color rgb="FF595959"/>
        <rFont val="WenQuanYi Zen Hei"/>
        <family val="2"/>
      </rPr>
      <t>桁。</t>
    </r>
    <r>
      <rPr>
        <i/>
        <sz val="9"/>
        <color rgb="FF595959"/>
        <rFont val="ＭＳ 明朝"/>
        <family val="1"/>
        <charset val="128"/>
      </rPr>
      <t>1</t>
    </r>
    <r>
      <rPr>
        <i/>
        <sz val="9"/>
        <color rgb="FF595959"/>
        <rFont val="WenQuanYi Zen Hei"/>
        <family val="2"/>
      </rPr>
      <t>文字ずつ枠に入ります</t>
    </r>
  </si>
  <si>
    <t>生年月日</t>
  </si>
  <si>
    <r>
      <rPr>
        <i/>
        <sz val="9"/>
        <color rgb="FF595959"/>
        <rFont val="WenQuanYi Zen Hei"/>
        <family val="2"/>
      </rPr>
      <t>西暦で入力。</t>
    </r>
    <r>
      <rPr>
        <i/>
        <sz val="9"/>
        <color rgb="FF595959"/>
        <rFont val="ＭＳ 明朝"/>
        <family val="1"/>
        <charset val="128"/>
      </rPr>
      <t>S</t>
    </r>
    <r>
      <rPr>
        <i/>
        <sz val="9"/>
        <color rgb="FF595959"/>
        <rFont val="WenQuanYi Zen Hei"/>
        <family val="2"/>
      </rPr>
      <t>・</t>
    </r>
    <r>
      <rPr>
        <i/>
        <sz val="9"/>
        <color rgb="FF595959"/>
        <rFont val="ＭＳ 明朝"/>
        <family val="1"/>
        <charset val="128"/>
      </rPr>
      <t>H</t>
    </r>
    <r>
      <rPr>
        <i/>
        <sz val="9"/>
        <color rgb="FF595959"/>
        <rFont val="WenQuanYi Zen Hei"/>
        <family val="2"/>
      </rPr>
      <t>・</t>
    </r>
    <r>
      <rPr>
        <i/>
        <sz val="9"/>
        <color rgb="FF595959"/>
        <rFont val="ＭＳ 明朝"/>
        <family val="1"/>
        <charset val="128"/>
      </rPr>
      <t>R</t>
    </r>
    <r>
      <rPr>
        <i/>
        <sz val="9"/>
        <color rgb="FF595959"/>
        <rFont val="WenQuanYi Zen Hei"/>
        <family val="2"/>
      </rPr>
      <t>の元号に変換して記入</t>
    </r>
  </si>
  <si>
    <t>所属の電話番号</t>
  </si>
  <si>
    <t>082-000-0000</t>
  </si>
  <si>
    <t>住所の電話番号</t>
  </si>
  <si>
    <t>090-0000-0000</t>
  </si>
  <si>
    <t>振込先 金融機関名</t>
  </si>
  <si>
    <t>○○銀行</t>
  </si>
  <si>
    <r>
      <rPr>
        <i/>
        <sz val="9"/>
        <color rgb="FF595959"/>
        <rFont val="WenQuanYi Zen Hei"/>
        <family val="2"/>
      </rPr>
      <t>申込人名義の口座</t>
    </r>
    <r>
      <rPr>
        <i/>
        <sz val="9"/>
        <color rgb="FF595959"/>
        <rFont val="ＭＳ 明朝"/>
        <family val="1"/>
        <charset val="128"/>
      </rPr>
      <t>(</t>
    </r>
    <r>
      <rPr>
        <i/>
        <sz val="9"/>
        <color rgb="FF595959"/>
        <rFont val="WenQuanYi Zen Hei"/>
        <family val="2"/>
      </rPr>
      <t>銀行・信金・農協・信組</t>
    </r>
    <r>
      <rPr>
        <i/>
        <sz val="9"/>
        <color rgb="FF595959"/>
        <rFont val="ＭＳ 明朝"/>
        <family val="1"/>
        <charset val="128"/>
      </rPr>
      <t>)</t>
    </r>
  </si>
  <si>
    <t>振込先 支店名</t>
  </si>
  <si>
    <t>広島</t>
  </si>
  <si>
    <t>「支店」は付けずに入力</t>
  </si>
  <si>
    <t>振込先 口座番号</t>
  </si>
  <si>
    <t>普通預金の口座番号</t>
  </si>
  <si>
    <t>※ 入力例が入っています。上書きするか、消して使ってください。</t>
  </si>
  <si>
    <r>
      <rPr>
        <b/>
        <sz val="10"/>
        <color rgb="FF000000"/>
        <rFont val="WenQuanYi Zen Hei"/>
        <family val="2"/>
      </rPr>
      <t>共済組合の貸付</t>
    </r>
    <r>
      <rPr>
        <b/>
        <sz val="10"/>
        <color rgb="FF000000"/>
        <rFont val="ＭＳ 明朝"/>
        <family val="1"/>
        <charset val="128"/>
      </rPr>
      <t>(○</t>
    </r>
    <r>
      <rPr>
        <b/>
        <sz val="10"/>
        <color rgb="FF000000"/>
        <rFont val="WenQuanYi Zen Hei"/>
        <family val="2"/>
      </rPr>
      <t>を選択</t>
    </r>
    <r>
      <rPr>
        <b/>
        <sz val="10"/>
        <color rgb="FF000000"/>
        <rFont val="ＭＳ 明朝"/>
        <family val="1"/>
        <charset val="128"/>
      </rPr>
      <t>)</t>
    </r>
  </si>
  <si>
    <t>現在受けている貸付</t>
  </si>
  <si>
    <t>今回同時に申込む貸付</t>
  </si>
  <si>
    <t>住宅貸付</t>
  </si>
  <si>
    <t>特別貸付</t>
  </si>
  <si>
    <t>普通貸付</t>
  </si>
  <si>
    <t>○</t>
  </si>
  <si>
    <t>災害貸付</t>
  </si>
  <si>
    <t>なし</t>
  </si>
  <si>
    <r>
      <rPr>
        <i/>
        <sz val="9"/>
        <color rgb="FF595959"/>
        <rFont val="WenQuanYi Zen Hei"/>
        <family val="2"/>
      </rPr>
      <t>該当する貸付に「○」を選びます。「なし」は自動で入ります</t>
    </r>
    <r>
      <rPr>
        <i/>
        <sz val="9"/>
        <color rgb="FF595959"/>
        <rFont val="ＭＳ 明朝"/>
        <family val="1"/>
        <charset val="128"/>
      </rPr>
      <t>(</t>
    </r>
    <r>
      <rPr>
        <i/>
        <sz val="9"/>
        <color rgb="FF595959"/>
        <rFont val="WenQuanYi Zen Hei"/>
        <family val="2"/>
      </rPr>
      <t>現在の貸付は、申込シミュレーションで共済組合の既貸付を「無」にした場合</t>
    </r>
    <r>
      <rPr>
        <i/>
        <sz val="9"/>
        <color rgb="FF595959"/>
        <rFont val="ＭＳ 明朝"/>
        <family val="1"/>
        <charset val="128"/>
      </rPr>
      <t>)</t>
    </r>
    <r>
      <rPr>
        <i/>
        <sz val="9"/>
        <color rgb="FF595959"/>
        <rFont val="WenQuanYi Zen Hei"/>
        <family val="2"/>
      </rPr>
      <t>。</t>
    </r>
  </si>
  <si>
    <t>様式</t>
  </si>
  <si>
    <t>※　太枠内の記入をお願いします。</t>
  </si>
  <si>
    <t>借入状況</t>
  </si>
  <si>
    <t>※　広島市職員共済組合以外から既に借入れている又は今回の貸付と同一事由により新規借入を行う金融機関等からの
　借入状況の有無について、必ずどちらかに○印をしてください。</t>
  </si>
  <si>
    <t>住宅金融支援機構</t>
  </si>
  <si>
    <t>銀行</t>
  </si>
  <si>
    <t>その他公庫</t>
  </si>
  <si>
    <t>労働金庫</t>
  </si>
  <si>
    <t>信用金庫</t>
  </si>
  <si>
    <t>信用組合</t>
  </si>
  <si>
    <t>消費者金融</t>
  </si>
  <si>
    <t>信販会社</t>
  </si>
  <si>
    <t>地方公共団体による住宅融資等</t>
  </si>
  <si>
    <t>互助会</t>
  </si>
  <si>
    <t>その他</t>
  </si>
  <si>
    <t>※上記で「有」に○印したものについて、以下に記入してください。</t>
  </si>
  <si>
    <t>他の金融機関等からの借入状況記載欄</t>
  </si>
  <si>
    <t>借入先</t>
  </si>
  <si>
    <t>既借入分</t>
  </si>
  <si>
    <t>新規借入分</t>
  </si>
  <si>
    <t>借入日</t>
  </si>
  <si>
    <t>借入額
（万円）</t>
  </si>
  <si>
    <t>現在の残高
　　（円）</t>
  </si>
  <si>
    <r>
      <rPr>
        <sz val="9"/>
        <rFont val="WenQuanYi Zen Hei"/>
        <family val="2"/>
      </rPr>
      <t>毎月の
償還額</t>
    </r>
    <r>
      <rPr>
        <sz val="9"/>
        <rFont val="ＭＳ 明朝"/>
        <family val="2"/>
        <charset val="1"/>
      </rPr>
      <t>(</t>
    </r>
    <r>
      <rPr>
        <sz val="9"/>
        <rFont val="WenQuanYi Zen Hei"/>
        <family val="2"/>
      </rPr>
      <t>円</t>
    </r>
    <r>
      <rPr>
        <sz val="9"/>
        <rFont val="ＭＳ 明朝"/>
        <family val="2"/>
        <charset val="1"/>
      </rPr>
      <t>)</t>
    </r>
  </si>
  <si>
    <r>
      <rPr>
        <sz val="9"/>
        <rFont val="WenQuanYi Zen Hei"/>
        <family val="2"/>
      </rPr>
      <t>ボーナスの
償還額</t>
    </r>
    <r>
      <rPr>
        <sz val="9"/>
        <rFont val="ＭＳ 明朝"/>
        <family val="2"/>
        <charset val="1"/>
      </rPr>
      <t>(</t>
    </r>
    <r>
      <rPr>
        <sz val="9"/>
        <rFont val="WenQuanYi Zen Hei"/>
        <family val="2"/>
      </rPr>
      <t>円</t>
    </r>
    <r>
      <rPr>
        <sz val="9"/>
        <rFont val="ＭＳ 明朝"/>
        <family val="2"/>
        <charset val="1"/>
      </rPr>
      <t>)</t>
    </r>
  </si>
  <si>
    <t>借入
予定日</t>
  </si>
  <si>
    <r>
      <rPr>
        <sz val="9"/>
        <rFont val="WenQuanYi Zen Hei"/>
        <family val="2"/>
      </rPr>
      <t>ボーナスの償還額</t>
    </r>
    <r>
      <rPr>
        <sz val="9"/>
        <rFont val="ＭＳ 明朝"/>
        <family val="2"/>
        <charset val="1"/>
      </rPr>
      <t>(</t>
    </r>
    <r>
      <rPr>
        <sz val="9"/>
        <rFont val="WenQuanYi Zen Hei"/>
        <family val="2"/>
      </rPr>
      <t>円</t>
    </r>
    <r>
      <rPr>
        <sz val="9"/>
        <rFont val="ＭＳ 明朝"/>
        <family val="2"/>
        <charset val="1"/>
      </rPr>
      <t>)</t>
    </r>
  </si>
  <si>
    <r>
      <rPr>
        <sz val="8"/>
        <rFont val="WenQuanYi Zen Hei"/>
        <family val="2"/>
      </rPr>
      <t>○○銀行</t>
    </r>
    <r>
      <rPr>
        <sz val="8"/>
        <rFont val="ＭＳ 明朝"/>
        <family val="1"/>
        <charset val="128"/>
      </rPr>
      <t>(</t>
    </r>
    <r>
      <rPr>
        <sz val="8"/>
        <rFont val="WenQuanYi Zen Hei"/>
        <family val="2"/>
      </rPr>
      <t>自動車ローン</t>
    </r>
    <r>
      <rPr>
        <sz val="8"/>
        <rFont val="ＭＳ 明朝"/>
        <family val="1"/>
        <charset val="128"/>
      </rPr>
      <t>)</t>
    </r>
  </si>
  <si>
    <t>　　　　　　　　　　　　　　　　計　　　　</t>
  </si>
  <si>
    <t>計　　</t>
  </si>
  <si>
    <t>私の借入状況は上記事実に相違ないことを申告し、以下の事項について同意します。</t>
  </si>
  <si>
    <t>１　裏面の記入上の注意を確認し、これに従うこと。</t>
  </si>
  <si>
    <t>２　この申告と相違する場合は、共済組合の即時償還命令に従うこと。</t>
  </si>
  <si>
    <t>広島市職員共済組合理事長　様</t>
  </si>
  <si>
    <t>印</t>
  </si>
  <si>
    <t>※　記入しないでください。</t>
  </si>
  <si>
    <t>共済組合からの借入状況</t>
  </si>
  <si>
    <t>毎月の償還額</t>
  </si>
  <si>
    <t>ボーナス償還額</t>
  </si>
  <si>
    <t>【給料月額に対する毎月の償還額の割合】</t>
  </si>
  <si>
    <t>毎月の償還額（Ｅ）</t>
  </si>
  <si>
    <t>給料月額（Ｋ）
（部分休業等により減額されている
場合には減額後の給料月額）</t>
  </si>
  <si>
    <t>割合</t>
  </si>
  <si>
    <r>
      <rPr>
        <sz val="7"/>
        <rFont val="ＭＳ 明朝"/>
        <family val="1"/>
        <charset val="128"/>
      </rPr>
      <t>30</t>
    </r>
    <r>
      <rPr>
        <sz val="7"/>
        <rFont val="WenQuanYi Zen Hei"/>
        <family val="2"/>
      </rPr>
      <t>％
チェック</t>
    </r>
  </si>
  <si>
    <r>
      <rPr>
        <u/>
        <sz val="8"/>
        <rFont val="WenQuanYi Zen Hei"/>
        <family val="2"/>
      </rPr>
      <t>〔Ｅ</t>
    </r>
    <r>
      <rPr>
        <u/>
        <sz val="8"/>
        <rFont val="ＭＳ 明朝"/>
        <family val="2"/>
        <charset val="1"/>
      </rPr>
      <t>÷</t>
    </r>
    <r>
      <rPr>
        <u/>
        <sz val="8"/>
        <rFont val="WenQuanYi Zen Hei"/>
        <family val="2"/>
      </rPr>
      <t>Ｋ</t>
    </r>
    <r>
      <rPr>
        <u/>
        <sz val="8"/>
        <rFont val="ＭＳ 明朝"/>
        <family val="2"/>
        <charset val="1"/>
      </rPr>
      <t>×100</t>
    </r>
    <r>
      <rPr>
        <u/>
        <sz val="8"/>
        <rFont val="WenQuanYi Zen Hei"/>
        <family val="2"/>
      </rPr>
      <t>〕</t>
    </r>
  </si>
  <si>
    <t>【年収額に対する年間償還額の割合】</t>
  </si>
  <si>
    <t>年間償還額</t>
  </si>
  <si>
    <t>年収額</t>
  </si>
  <si>
    <r>
      <rPr>
        <sz val="9"/>
        <rFont val="WenQuanYi Zen Hei"/>
        <family val="2"/>
      </rPr>
      <t>｛Ｅ</t>
    </r>
    <r>
      <rPr>
        <sz val="9"/>
        <rFont val="ＭＳ 明朝"/>
        <family val="2"/>
        <charset val="1"/>
      </rPr>
      <t xml:space="preserve">×12 + </t>
    </r>
    <r>
      <rPr>
        <sz val="9"/>
        <rFont val="WenQuanYi Zen Hei"/>
        <family val="2"/>
      </rPr>
      <t>Ｊ</t>
    </r>
    <r>
      <rPr>
        <sz val="9"/>
        <rFont val="ＭＳ 明朝"/>
        <family val="2"/>
        <charset val="1"/>
      </rPr>
      <t>×2</t>
    </r>
    <r>
      <rPr>
        <sz val="9"/>
        <rFont val="WenQuanYi Zen Hei"/>
        <family val="2"/>
      </rPr>
      <t>｝（Ｌ）</t>
    </r>
  </si>
  <si>
    <r>
      <rPr>
        <sz val="9"/>
        <rFont val="WenQuanYi Zen Hei"/>
        <family val="2"/>
      </rPr>
      <t>｛Ｋ</t>
    </r>
    <r>
      <rPr>
        <sz val="9"/>
        <rFont val="ＭＳ 明朝"/>
        <family val="2"/>
        <charset val="1"/>
      </rPr>
      <t xml:space="preserve">×12 + </t>
    </r>
    <r>
      <rPr>
        <sz val="9"/>
        <rFont val="WenQuanYi Zen Hei"/>
        <family val="2"/>
      </rPr>
      <t>Ｋ</t>
    </r>
    <r>
      <rPr>
        <sz val="9"/>
        <rFont val="ＭＳ 明朝"/>
        <family val="2"/>
        <charset val="1"/>
      </rPr>
      <t>×4</t>
    </r>
    <r>
      <rPr>
        <sz val="9"/>
        <rFont val="WenQuanYi Zen Hei"/>
        <family val="2"/>
      </rPr>
      <t>｝（Ｍ）</t>
    </r>
  </si>
  <si>
    <r>
      <rPr>
        <u/>
        <sz val="8"/>
        <rFont val="WenQuanYi Zen Hei"/>
        <family val="2"/>
      </rPr>
      <t>〔Ｌ</t>
    </r>
    <r>
      <rPr>
        <u/>
        <sz val="8"/>
        <rFont val="ＭＳ 明朝"/>
        <family val="2"/>
        <charset val="1"/>
      </rPr>
      <t>÷</t>
    </r>
    <r>
      <rPr>
        <u/>
        <sz val="8"/>
        <rFont val="WenQuanYi Zen Hei"/>
        <family val="2"/>
      </rPr>
      <t>Ｍ</t>
    </r>
    <r>
      <rPr>
        <u/>
        <sz val="8"/>
        <rFont val="ＭＳ 明朝"/>
        <family val="2"/>
        <charset val="1"/>
      </rPr>
      <t>×100</t>
    </r>
    <r>
      <rPr>
        <u/>
        <sz val="8"/>
        <rFont val="WenQuanYi Zen Hei"/>
        <family val="2"/>
      </rPr>
      <t>〕</t>
    </r>
  </si>
  <si>
    <r>
      <rPr>
        <b/>
        <sz val="13"/>
        <color rgb="FF000000"/>
        <rFont val="WenQuanYi Zen Hei"/>
        <family val="2"/>
      </rPr>
      <t>償還表</t>
    </r>
    <r>
      <rPr>
        <b/>
        <sz val="13"/>
        <color rgb="FF000000"/>
        <rFont val="ＭＳ 明朝"/>
        <family val="1"/>
        <charset val="128"/>
      </rPr>
      <t>(</t>
    </r>
    <r>
      <rPr>
        <b/>
        <sz val="13"/>
        <color rgb="FF000000"/>
        <rFont val="WenQuanYi Zen Hei"/>
        <family val="2"/>
      </rPr>
      <t>試算</t>
    </r>
    <r>
      <rPr>
        <b/>
        <sz val="13"/>
        <color rgb="FF000000"/>
        <rFont val="ＭＳ 明朝"/>
        <family val="1"/>
        <charset val="128"/>
      </rPr>
      <t>)</t>
    </r>
  </si>
  <si>
    <r>
      <rPr>
        <i/>
        <sz val="9"/>
        <color rgb="FF595959"/>
        <rFont val="WenQuanYi Zen Hei"/>
        <family val="2"/>
      </rPr>
      <t>元利均等の概算。利息・毎月償還額の端数処理は「マスタ」の設定で選べます。元金の端数は最後の回で調整します</t>
    </r>
    <r>
      <rPr>
        <i/>
        <sz val="9"/>
        <color rgb="FF595959"/>
        <rFont val="ＭＳ 明朝"/>
        <family val="1"/>
        <charset val="128"/>
      </rPr>
      <t>(</t>
    </r>
    <r>
      <rPr>
        <i/>
        <sz val="9"/>
        <color rgb="FF595959"/>
        <rFont val="WenQuanYi Zen Hei"/>
        <family val="2"/>
      </rPr>
      <t>最後の回の償還額だけ異なります</t>
    </r>
    <r>
      <rPr>
        <i/>
        <sz val="9"/>
        <color rgb="FF595959"/>
        <rFont val="ＭＳ 明朝"/>
        <family val="1"/>
        <charset val="128"/>
      </rPr>
      <t>)</t>
    </r>
    <r>
      <rPr>
        <i/>
        <sz val="9"/>
        <color rgb="FF595959"/>
        <rFont val="WenQuanYi Zen Hei"/>
        <family val="2"/>
      </rPr>
      <t>。ボーナス償還は</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r>
      <rPr>
        <i/>
        <sz val="9"/>
        <color rgb="FF595959"/>
        <rFont val="ＭＳ 明朝"/>
        <family val="1"/>
        <charset val="128"/>
      </rPr>
      <t>(</t>
    </r>
    <r>
      <rPr>
        <i/>
        <sz val="9"/>
        <color rgb="FF595959"/>
        <rFont val="WenQuanYi Zen Hei"/>
        <family val="2"/>
      </rPr>
      <t>ボーナス分も最後の回で調整</t>
    </r>
    <r>
      <rPr>
        <i/>
        <sz val="9"/>
        <color rgb="FF595959"/>
        <rFont val="ＭＳ 明朝"/>
        <family val="1"/>
        <charset val="128"/>
      </rPr>
      <t>)</t>
    </r>
    <r>
      <rPr>
        <i/>
        <sz val="9"/>
        <color rgb="FF595959"/>
        <rFont val="WenQuanYi Zen Hei"/>
        <family val="2"/>
      </rPr>
      <t>。</t>
    </r>
  </si>
  <si>
    <t>何回目の返済か</t>
  </si>
  <si>
    <t>返済する月</t>
  </si>
  <si>
    <r>
      <rPr>
        <i/>
        <sz val="8"/>
        <color rgb="FF595959"/>
        <rFont val="WenQuanYi Zen Hei"/>
        <family val="2"/>
      </rPr>
      <t>この月に払う額</t>
    </r>
    <r>
      <rPr>
        <i/>
        <sz val="8"/>
        <color rgb="FF595959"/>
        <rFont val="ＭＳ 明朝"/>
        <family val="1"/>
        <charset val="128"/>
      </rPr>
      <t>(</t>
    </r>
    <r>
      <rPr>
        <i/>
        <sz val="8"/>
        <color rgb="FF595959"/>
        <rFont val="WenQuanYi Zen Hei"/>
        <family val="2"/>
      </rPr>
      <t>最終回だけ、残りを全部払う額</t>
    </r>
    <r>
      <rPr>
        <i/>
        <sz val="8"/>
        <color rgb="FF595959"/>
        <rFont val="ＭＳ 明朝"/>
        <family val="1"/>
        <charset val="128"/>
      </rPr>
      <t>)</t>
    </r>
  </si>
  <si>
    <r>
      <rPr>
        <i/>
        <sz val="8"/>
        <color rgb="FF595959"/>
        <rFont val="WenQuanYi Zen Hei"/>
        <family val="2"/>
      </rPr>
      <t xml:space="preserve">利息の合計
</t>
    </r>
    <r>
      <rPr>
        <i/>
        <sz val="8"/>
        <color rgb="FF595959"/>
        <rFont val="ＭＳ 明朝"/>
        <family val="1"/>
        <charset val="128"/>
      </rPr>
      <t>=P+Q</t>
    </r>
  </si>
  <si>
    <r>
      <rPr>
        <i/>
        <sz val="8"/>
        <color rgb="FF595959"/>
        <rFont val="WenQuanYi Zen Hei"/>
        <family val="2"/>
      </rPr>
      <t xml:space="preserve">元金
</t>
    </r>
    <r>
      <rPr>
        <i/>
        <sz val="8"/>
        <color rgb="FF595959"/>
        <rFont val="ＭＳ 明朝"/>
        <family val="1"/>
        <charset val="128"/>
      </rPr>
      <t>=</t>
    </r>
    <r>
      <rPr>
        <i/>
        <sz val="8"/>
        <color rgb="FF595959"/>
        <rFont val="WenQuanYi Zen Hei"/>
        <family val="2"/>
      </rPr>
      <t>償還額−利息</t>
    </r>
  </si>
  <si>
    <r>
      <rPr>
        <i/>
        <sz val="8"/>
        <color rgb="FF595959"/>
        <rFont val="WenQuanYi Zen Hei"/>
        <family val="2"/>
      </rPr>
      <t xml:space="preserve">基本部分の残高
</t>
    </r>
    <r>
      <rPr>
        <i/>
        <sz val="8"/>
        <color rgb="FF595959"/>
        <rFont val="ＭＳ 明朝"/>
        <family val="1"/>
        <charset val="128"/>
      </rPr>
      <t>=</t>
    </r>
    <r>
      <rPr>
        <i/>
        <sz val="8"/>
        <color rgb="FF595959"/>
        <rFont val="WenQuanYi Zen Hei"/>
        <family val="2"/>
      </rPr>
      <t>前月の残高−元金</t>
    </r>
  </si>
  <si>
    <t>在宅介護部分の残高</t>
  </si>
  <si>
    <r>
      <rPr>
        <i/>
        <sz val="8"/>
        <color rgb="FF595959"/>
        <rFont val="WenQuanYi Zen Hei"/>
        <family val="2"/>
      </rPr>
      <t xml:space="preserve">毎月分の残高
</t>
    </r>
    <r>
      <rPr>
        <i/>
        <sz val="8"/>
        <color rgb="FF595959"/>
        <rFont val="ＭＳ 明朝"/>
        <family val="1"/>
        <charset val="128"/>
      </rPr>
      <t>=F+G</t>
    </r>
  </si>
  <si>
    <r>
      <rPr>
        <i/>
        <sz val="8"/>
        <color rgb="FF595959"/>
        <rFont val="WenQuanYi Zen Hei"/>
        <family val="2"/>
      </rPr>
      <t>ボーナス償還の何回目か</t>
    </r>
    <r>
      <rPr>
        <i/>
        <sz val="8"/>
        <color rgb="FF595959"/>
        <rFont val="ＭＳ 明朝"/>
        <family val="1"/>
        <charset val="128"/>
      </rPr>
      <t>(6</t>
    </r>
    <r>
      <rPr>
        <i/>
        <sz val="8"/>
        <color rgb="FF595959"/>
        <rFont val="WenQuanYi Zen Hei"/>
        <family val="2"/>
      </rPr>
      <t>月・</t>
    </r>
    <r>
      <rPr>
        <i/>
        <sz val="8"/>
        <color rgb="FF595959"/>
        <rFont val="ＭＳ 明朝"/>
        <family val="1"/>
        <charset val="128"/>
      </rPr>
      <t>12</t>
    </r>
    <r>
      <rPr>
        <i/>
        <sz val="8"/>
        <color rgb="FF595959"/>
        <rFont val="WenQuanYi Zen Hei"/>
        <family val="2"/>
      </rPr>
      <t>月</t>
    </r>
    <r>
      <rPr>
        <i/>
        <sz val="8"/>
        <color rgb="FF595959"/>
        <rFont val="ＭＳ 明朝"/>
        <family val="1"/>
        <charset val="128"/>
      </rPr>
      <t>)</t>
    </r>
  </si>
  <si>
    <r>
      <rPr>
        <i/>
        <sz val="8"/>
        <color rgb="FF595959"/>
        <rFont val="WenQuanYi Zen Hei"/>
        <family val="2"/>
      </rPr>
      <t>ボーナスで払う額</t>
    </r>
    <r>
      <rPr>
        <i/>
        <sz val="8"/>
        <color rgb="FF595959"/>
        <rFont val="ＭＳ 明朝"/>
        <family val="1"/>
        <charset val="128"/>
      </rPr>
      <t>(</t>
    </r>
    <r>
      <rPr>
        <i/>
        <sz val="8"/>
        <color rgb="FF595959"/>
        <rFont val="WenQuanYi Zen Hei"/>
        <family val="2"/>
      </rPr>
      <t>最終回は残りを全部</t>
    </r>
    <r>
      <rPr>
        <i/>
        <sz val="8"/>
        <color rgb="FF595959"/>
        <rFont val="ＭＳ 明朝"/>
        <family val="1"/>
        <charset val="128"/>
      </rPr>
      <t>)</t>
    </r>
  </si>
  <si>
    <r>
      <rPr>
        <i/>
        <sz val="8"/>
        <color rgb="FF595959"/>
        <rFont val="WenQuanYi Zen Hei"/>
        <family val="2"/>
      </rPr>
      <t xml:space="preserve">ボーナス分の利息
</t>
    </r>
    <r>
      <rPr>
        <i/>
        <sz val="8"/>
        <color rgb="FF595959"/>
        <rFont val="ＭＳ 明朝"/>
        <family val="1"/>
        <charset val="128"/>
      </rPr>
      <t>=</t>
    </r>
    <r>
      <rPr>
        <i/>
        <sz val="8"/>
        <color rgb="FF595959"/>
        <rFont val="WenQuanYi Zen Hei"/>
        <family val="2"/>
      </rPr>
      <t>前回残高</t>
    </r>
    <r>
      <rPr>
        <i/>
        <sz val="8"/>
        <color rgb="FF595959"/>
        <rFont val="ＭＳ 明朝"/>
        <family val="1"/>
        <charset val="128"/>
      </rPr>
      <t>×</t>
    </r>
    <r>
      <rPr>
        <i/>
        <sz val="8"/>
        <color rgb="FF595959"/>
        <rFont val="WenQuanYi Zen Hei"/>
        <family val="2"/>
      </rPr>
      <t>半年の利率</t>
    </r>
  </si>
  <si>
    <r>
      <rPr>
        <i/>
        <sz val="8"/>
        <color rgb="FF595959"/>
        <rFont val="WenQuanYi Zen Hei"/>
        <family val="2"/>
      </rPr>
      <t xml:space="preserve">ボーナス分の元金
</t>
    </r>
    <r>
      <rPr>
        <i/>
        <sz val="8"/>
        <color rgb="FF595959"/>
        <rFont val="ＭＳ 明朝"/>
        <family val="1"/>
        <charset val="128"/>
      </rPr>
      <t>=J−K</t>
    </r>
  </si>
  <si>
    <t>ボーナス分の残高</t>
  </si>
  <si>
    <r>
      <rPr>
        <i/>
        <sz val="8"/>
        <color rgb="FF595959"/>
        <rFont val="WenQuanYi Zen Hei"/>
        <family val="2"/>
      </rPr>
      <t>毎月</t>
    </r>
    <r>
      <rPr>
        <i/>
        <sz val="8"/>
        <color rgb="FF595959"/>
        <rFont val="ＭＳ 明朝"/>
        <family val="1"/>
        <charset val="128"/>
      </rPr>
      <t>+</t>
    </r>
    <r>
      <rPr>
        <i/>
        <sz val="8"/>
        <color rgb="FF595959"/>
        <rFont val="WenQuanYi Zen Hei"/>
        <family val="2"/>
      </rPr>
      <t>ボーナスの合計</t>
    </r>
  </si>
  <si>
    <t>残高の合計</t>
  </si>
  <si>
    <r>
      <rPr>
        <i/>
        <sz val="8"/>
        <color rgb="FF595959"/>
        <rFont val="WenQuanYi Zen Hei"/>
        <family val="2"/>
      </rPr>
      <t xml:space="preserve">基本部分の利息
</t>
    </r>
    <r>
      <rPr>
        <i/>
        <sz val="8"/>
        <color rgb="FF595959"/>
        <rFont val="ＭＳ 明朝"/>
        <family val="1"/>
        <charset val="128"/>
      </rPr>
      <t>=</t>
    </r>
    <r>
      <rPr>
        <i/>
        <sz val="8"/>
        <color rgb="FF595959"/>
        <rFont val="WenQuanYi Zen Hei"/>
        <family val="2"/>
      </rPr>
      <t>前月の残高</t>
    </r>
    <r>
      <rPr>
        <i/>
        <sz val="8"/>
        <color rgb="FF595959"/>
        <rFont val="ＭＳ 明朝"/>
        <family val="1"/>
        <charset val="128"/>
      </rPr>
      <t>×</t>
    </r>
    <r>
      <rPr>
        <i/>
        <sz val="8"/>
        <color rgb="FF595959"/>
        <rFont val="WenQuanYi Zen Hei"/>
        <family val="2"/>
      </rPr>
      <t>年利</t>
    </r>
    <r>
      <rPr>
        <i/>
        <sz val="8"/>
        <color rgb="FF595959"/>
        <rFont val="ＭＳ 明朝"/>
        <family val="1"/>
        <charset val="128"/>
      </rPr>
      <t>÷12
(</t>
    </r>
    <r>
      <rPr>
        <i/>
        <sz val="8"/>
        <color rgb="FF595959"/>
        <rFont val="WenQuanYi Zen Hei"/>
        <family val="2"/>
      </rPr>
      <t>端数処理は設定</t>
    </r>
    <r>
      <rPr>
        <i/>
        <sz val="8"/>
        <color rgb="FF595959"/>
        <rFont val="ＭＳ 明朝"/>
        <family val="1"/>
        <charset val="128"/>
      </rPr>
      <t>)</t>
    </r>
  </si>
  <si>
    <r>
      <rPr>
        <i/>
        <sz val="8"/>
        <color rgb="FF595959"/>
        <rFont val="WenQuanYi Zen Hei"/>
        <family val="2"/>
      </rPr>
      <t xml:space="preserve">在宅介護部分の利息
</t>
    </r>
    <r>
      <rPr>
        <i/>
        <sz val="8"/>
        <color rgb="FF595959"/>
        <rFont val="ＭＳ 明朝"/>
        <family val="1"/>
        <charset val="128"/>
      </rPr>
      <t>(</t>
    </r>
    <r>
      <rPr>
        <i/>
        <sz val="8"/>
        <color rgb="FF595959"/>
        <rFont val="WenQuanYi Zen Hei"/>
        <family val="2"/>
      </rPr>
      <t>同上・在宅介護の利率</t>
    </r>
    <r>
      <rPr>
        <i/>
        <sz val="8"/>
        <color rgb="FF595959"/>
        <rFont val="ＭＳ 明朝"/>
        <family val="1"/>
        <charset val="128"/>
      </rPr>
      <t>)</t>
    </r>
  </si>
  <si>
    <t>合計</t>
  </si>
  <si>
    <t>回</t>
  </si>
  <si>
    <t>償還年月</t>
  </si>
  <si>
    <t>うち元金</t>
  </si>
  <si>
    <r>
      <rPr>
        <b/>
        <sz val="10"/>
        <color rgb="FF000000"/>
        <rFont val="WenQuanYi Zen Hei"/>
        <family val="2"/>
      </rPr>
      <t>残高</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</si>
  <si>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</si>
  <si>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毎月分</t>
    </r>
    <r>
      <rPr>
        <b/>
        <sz val="10"/>
        <color rgb="FF000000"/>
        <rFont val="ＭＳ 明朝"/>
        <family val="1"/>
        <charset val="128"/>
      </rPr>
      <t>)</t>
    </r>
  </si>
  <si>
    <t>ボーナス回次</t>
  </si>
  <si>
    <t>ボーナス分残高</t>
  </si>
  <si>
    <t>償還額合計</t>
  </si>
  <si>
    <t>残高合計</t>
  </si>
  <si>
    <r>
      <rPr>
        <b/>
        <sz val="10"/>
        <color rgb="FF000000"/>
        <rFont val="WenQuanYi Zen Hei"/>
        <family val="2"/>
      </rPr>
      <t>利息</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</si>
  <si>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利息</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</si>
  <si>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t>開始時</t>
  </si>
  <si>
    <r>
      <rPr>
        <b/>
        <sz val="13"/>
        <color rgb="FF000000"/>
        <rFont val="WenQuanYi Zen Hei"/>
        <family val="2"/>
      </rPr>
      <t>毎月償還額 早見表</t>
    </r>
    <r>
      <rPr>
        <b/>
        <sz val="13"/>
        <color rgb="FF000000"/>
        <rFont val="ＭＳ 明朝"/>
        <family val="1"/>
        <charset val="128"/>
      </rPr>
      <t>(</t>
    </r>
    <r>
      <rPr>
        <b/>
        <sz val="13"/>
        <color rgb="FF000000"/>
        <rFont val="WenQuanYi Zen Hei"/>
        <family val="2"/>
      </rPr>
      <t>元利均等・円</t>
    </r>
    <r>
      <rPr>
        <b/>
        <sz val="13"/>
        <color rgb="FF000000"/>
        <rFont val="ＭＳ 明朝"/>
        <family val="1"/>
        <charset val="128"/>
      </rPr>
      <t>)</t>
    </r>
  </si>
  <si>
    <t>概算。ボーナス併用なし。利率はマスタの値を使用。</t>
  </si>
  <si>
    <t>申込金額＼償還回数</t>
  </si>
  <si>
    <r>
      <rPr>
        <b/>
        <sz val="14"/>
        <color rgb="FF000000"/>
        <rFont val="WenQuanYi Zen Hei"/>
        <family val="2"/>
      </rPr>
      <t>福利課用</t>
    </r>
    <r>
      <rPr>
        <b/>
        <sz val="14"/>
        <color rgb="FF000000"/>
        <rFont val="ＭＳ 明朝"/>
        <family val="1"/>
        <charset val="128"/>
      </rPr>
      <t>(</t>
    </r>
    <r>
      <rPr>
        <b/>
        <sz val="14"/>
        <color rgb="FF000000"/>
        <rFont val="WenQuanYi Zen Hei"/>
        <family val="2"/>
      </rPr>
      <t>借用証書・添書の作成</t>
    </r>
    <r>
      <rPr>
        <b/>
        <sz val="14"/>
        <color rgb="FF000000"/>
        <rFont val="ＭＳ 明朝"/>
        <family val="1"/>
        <charset val="128"/>
      </rPr>
      <t>)</t>
    </r>
  </si>
  <si>
    <t>借用証書と添書は、福利課が作成します。申込者が入力した内容を使います。</t>
  </si>
  <si>
    <r>
      <rPr>
        <b/>
        <sz val="10"/>
        <color rgb="FF000000"/>
        <rFont val="ＭＳ 明朝"/>
        <family val="1"/>
        <charset val="128"/>
      </rPr>
      <t xml:space="preserve">1 </t>
    </r>
    <r>
      <rPr>
        <b/>
        <sz val="10"/>
        <color rgb="FF000000"/>
        <rFont val="WenQuanYi Zen Hei"/>
        <family val="2"/>
      </rPr>
      <t>申込内容の確認</t>
    </r>
  </si>
  <si>
    <t>所属</t>
  </si>
  <si>
    <r>
      <rPr>
        <sz val="10"/>
        <color rgb="FF000000"/>
        <rFont val="WenQuanYi Zen Hei"/>
        <family val="2"/>
      </rPr>
      <t>申込金額</t>
    </r>
    <r>
      <rPr>
        <sz val="10"/>
        <color rgb="FF000000"/>
        <rFont val="ＭＳ 明朝"/>
        <family val="1"/>
        <charset val="128"/>
      </rPr>
      <t>(</t>
    </r>
    <r>
      <rPr>
        <sz val="10"/>
        <color rgb="FF000000"/>
        <rFont val="WenQuanYi Zen Hei"/>
        <family val="2"/>
      </rPr>
      <t>試算</t>
    </r>
    <r>
      <rPr>
        <sz val="10"/>
        <color rgb="FF000000"/>
        <rFont val="ＭＳ 明朝"/>
        <family val="1"/>
        <charset val="128"/>
      </rPr>
      <t>)</t>
    </r>
  </si>
  <si>
    <r>
      <rPr>
        <b/>
        <sz val="10"/>
        <color rgb="FF000000"/>
        <rFont val="ＭＳ 明朝"/>
        <family val="1"/>
        <charset val="128"/>
      </rPr>
      <t>2 Word</t>
    </r>
    <r>
      <rPr>
        <b/>
        <sz val="10"/>
        <color rgb="FF000000"/>
        <rFont val="WenQuanYi Zen Hei"/>
        <family val="2"/>
      </rPr>
      <t>に出力</t>
    </r>
  </si>
  <si>
    <r>
      <rPr>
        <i/>
        <sz val="9"/>
        <color rgb="FF595959"/>
        <rFont val="WenQuanYi Zen Hei"/>
        <family val="2"/>
      </rPr>
      <t>※ 上のボタンを押すと、</t>
    </r>
    <r>
      <rPr>
        <i/>
        <sz val="9"/>
        <color rgb="FF595959"/>
        <rFont val="ＭＳ 明朝"/>
        <family val="1"/>
        <charset val="128"/>
      </rPr>
      <t>Word</t>
    </r>
    <r>
      <rPr>
        <i/>
        <sz val="9"/>
        <color rgb="FF595959"/>
        <rFont val="WenQuanYi Zen Hei"/>
        <family val="2"/>
      </rPr>
      <t>が起動して文書が開きます。借用証書は氏名</t>
    </r>
    <r>
      <rPr>
        <i/>
        <sz val="9"/>
        <color rgb="FF595959"/>
        <rFont val="ＭＳ 明朝"/>
        <family val="1"/>
        <charset val="128"/>
      </rPr>
      <t>(</t>
    </r>
    <r>
      <rPr>
        <i/>
        <sz val="9"/>
        <color rgb="FF595959"/>
        <rFont val="WenQuanYi Zen Hei"/>
        <family val="2"/>
      </rPr>
      <t>自署</t>
    </r>
    <r>
      <rPr>
        <i/>
        <sz val="9"/>
        <color rgb="FF595959"/>
        <rFont val="ＭＳ 明朝"/>
        <family val="1"/>
        <charset val="128"/>
      </rPr>
      <t>)</t>
    </r>
    <r>
      <rPr>
        <i/>
        <sz val="9"/>
        <color rgb="FF595959"/>
        <rFont val="WenQuanYi Zen Hei"/>
        <family val="2"/>
      </rPr>
      <t>・実印・日付を記入しない様式です。</t>
    </r>
  </si>
  <si>
    <r>
      <rPr>
        <b/>
        <sz val="10"/>
        <color rgb="FF000000"/>
        <rFont val="ＭＳ 明朝"/>
        <family val="1"/>
        <charset val="128"/>
      </rPr>
      <t>3 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</si>
  <si>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このブックを「コンテンツの有効化」でマクロを有効にして開きます。</t>
    </r>
  </si>
  <si>
    <r>
      <rPr>
        <sz val="10"/>
        <color rgb="FF000000"/>
        <rFont val="ＭＳ 明朝"/>
        <family val="1"/>
        <charset val="128"/>
      </rPr>
      <t>2</t>
    </r>
    <r>
      <rPr>
        <sz val="10"/>
        <color rgb="FF000000"/>
        <rFont val="WenQuanYi Zen Hei"/>
        <family val="2"/>
      </rPr>
      <t>　このブックと同じフォルダーに、「借用証書テンプレート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」を置きます。</t>
    </r>
  </si>
  <si>
    <r>
      <rPr>
        <sz val="10"/>
        <color rgb="FF000000"/>
        <rFont val="ＭＳ 明朝"/>
        <family val="1"/>
        <charset val="128"/>
      </rPr>
      <t>3</t>
    </r>
    <r>
      <rPr>
        <sz val="10"/>
        <color rgb="FF000000"/>
        <rFont val="WenQuanYi Zen Hei"/>
        <family val="2"/>
      </rPr>
      <t>　上のボタンを押します。確認のメッセージが出たときは、内容を読んで進めます。</t>
    </r>
  </si>
  <si>
    <r>
      <rPr>
        <sz val="10"/>
        <color rgb="FF000000"/>
        <rFont val="ＭＳ 明朝"/>
        <family val="1"/>
        <charset val="128"/>
      </rPr>
      <t>4</t>
    </r>
    <r>
      <rPr>
        <sz val="10"/>
        <color rgb="FF000000"/>
        <rFont val="WenQuanYi Zen Hei"/>
        <family val="2"/>
      </rPr>
      <t>　</t>
    </r>
    <r>
      <rPr>
        <sz val="10"/>
        <color rgb="FF000000"/>
        <rFont val="ＭＳ 明朝"/>
        <family val="1"/>
        <charset val="128"/>
      </rPr>
      <t>Word</t>
    </r>
    <r>
      <rPr>
        <sz val="10"/>
        <color rgb="FF000000"/>
        <rFont val="WenQuanYi Zen Hei"/>
        <family val="2"/>
      </rPr>
      <t>が自動で開き、申込内容が入った文書が表示されます。同じフォルダーに「帳票名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」で保存されます。</t>
    </r>
  </si>
  <si>
    <r>
      <rPr>
        <sz val="10"/>
        <color rgb="FF000000"/>
        <rFont val="ＭＳ 明朝"/>
        <family val="1"/>
        <charset val="128"/>
      </rPr>
      <t>5</t>
    </r>
    <r>
      <rPr>
        <sz val="10"/>
        <color rgb="FF000000"/>
        <rFont val="WenQuanYi Zen Hei"/>
        <family val="2"/>
      </rPr>
      <t>　内容を確認して、</t>
    </r>
    <r>
      <rPr>
        <sz val="10"/>
        <color rgb="FF000000"/>
        <rFont val="ＭＳ 明朝"/>
        <family val="1"/>
        <charset val="128"/>
      </rPr>
      <t>Word</t>
    </r>
    <r>
      <rPr>
        <sz val="10"/>
        <color rgb="FF000000"/>
        <rFont val="WenQuanYi Zen Hei"/>
        <family val="2"/>
      </rPr>
      <t>から印刷します。</t>
    </r>
  </si>
  <si>
    <r>
      <rPr>
        <sz val="10"/>
        <color rgb="FF000000"/>
        <rFont val="WenQuanYi Zen Hei"/>
        <family val="2"/>
      </rPr>
      <t>うまくいかないとき</t>
    </r>
    <r>
      <rPr>
        <sz val="10"/>
        <color rgb="FF000000"/>
        <rFont val="ＭＳ 明朝"/>
        <family val="1"/>
        <charset val="128"/>
      </rPr>
      <t>:</t>
    </r>
    <r>
      <rPr>
        <sz val="10"/>
        <color rgb="FF000000"/>
        <rFont val="WenQuanYi Zen Hei"/>
        <family val="2"/>
      </rPr>
      <t>入力不足のメッセージが出たら「申込シミュレーション」の黄色のセルを入力します。テンプレートが見つからないときは、選択画面でファイルを指定します。</t>
    </r>
  </si>
  <si>
    <t>保守ガイド</t>
  </si>
  <si>
    <t>利率の改定などをする人向けの手引です。直せるのは「マスタ」の黄色・青文字のセルだけで、それ以外のシートは保護されています(誤って数式を消さないため)。計算過程シートは非表示のまま、触らないでください。</t>
  </si>
  <si>
    <r>
      <rPr>
        <b/>
        <sz val="10"/>
        <color rgb="FF000000"/>
        <rFont val="ＭＳ 明朝"/>
        <family val="1"/>
        <charset val="128"/>
      </rPr>
      <t xml:space="preserve">1 </t>
    </r>
    <r>
      <rPr>
        <b/>
        <sz val="10"/>
        <color rgb="FF000000"/>
        <rFont val="WenQuanYi Zen Hei"/>
        <family val="2"/>
      </rPr>
      <t>よくある変更</t>
    </r>
  </si>
  <si>
    <t>やりたいこと</t>
  </si>
  <si>
    <r>
      <rPr>
        <b/>
        <sz val="10"/>
        <color rgb="FF000000"/>
        <rFont val="WenQuanYi Zen Hei"/>
        <family val="2"/>
      </rPr>
      <t>変更する場所</t>
    </r>
    <r>
      <rPr>
        <b/>
        <sz val="10"/>
        <color rgb="FF000000"/>
        <rFont val="ＭＳ 明朝"/>
        <family val="1"/>
        <charset val="128"/>
      </rPr>
      <t>(</t>
    </r>
    <r>
      <rPr>
        <b/>
        <sz val="10"/>
        <color rgb="FF000000"/>
        <rFont val="WenQuanYi Zen Hei"/>
        <family val="2"/>
      </rPr>
      <t>リンク</t>
    </r>
    <r>
      <rPr>
        <b/>
        <sz val="10"/>
        <color rgb="FF000000"/>
        <rFont val="ＭＳ 明朝"/>
        <family val="1"/>
        <charset val="128"/>
      </rPr>
      <t>)</t>
    </r>
  </si>
  <si>
    <t>手順</t>
  </si>
  <si>
    <t>確認方法</t>
  </si>
  <si>
    <r>
      <rPr>
        <sz val="10"/>
        <color rgb="FF000000"/>
        <rFont val="WenQuanYi Zen Hei"/>
        <family val="2"/>
      </rPr>
      <t>利率が変わった</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住宅</t>
    </r>
    <r>
      <rPr>
        <sz val="10"/>
        <color rgb="FF000000"/>
        <rFont val="ＭＳ 明朝"/>
        <family val="1"/>
        <charset val="128"/>
      </rPr>
      <t>/</t>
    </r>
    <r>
      <rPr>
        <sz val="10"/>
        <color rgb="FF000000"/>
        <rFont val="WenQuanYi Zen Hei"/>
        <family val="2"/>
      </rPr>
      <t>災害</t>
    </r>
    <r>
      <rPr>
        <sz val="10"/>
        <color rgb="FF000000"/>
        <rFont val="ＭＳ 明朝"/>
        <family val="1"/>
        <charset val="128"/>
      </rPr>
      <t>)</t>
    </r>
  </si>
  <si>
    <t>マスタ B4〜B6(利率)</t>
  </si>
  <si>
    <r>
      <rPr>
        <sz val="10"/>
        <color rgb="FF000000"/>
        <rFont val="WenQuanYi Zen Hei"/>
        <family val="2"/>
      </rPr>
      <t>①左のリンクを押す。②</t>
    </r>
    <r>
      <rPr>
        <sz val="10"/>
        <color rgb="FF000000"/>
        <rFont val="ＭＳ 明朝"/>
        <family val="1"/>
        <charset val="128"/>
      </rPr>
      <t>B4=</t>
    </r>
    <r>
      <rPr>
        <sz val="10"/>
        <color rgb="FF000000"/>
        <rFont val="WenQuanYi Zen Hei"/>
        <family val="2"/>
      </rPr>
      <t>普通・特別、</t>
    </r>
    <r>
      <rPr>
        <sz val="10"/>
        <color rgb="FF000000"/>
        <rFont val="ＭＳ 明朝"/>
        <family val="1"/>
        <charset val="128"/>
      </rPr>
      <t>B5=</t>
    </r>
    <r>
      <rPr>
        <sz val="10"/>
        <color rgb="FF000000"/>
        <rFont val="WenQuanYi Zen Hei"/>
        <family val="2"/>
      </rPr>
      <t>住宅、</t>
    </r>
    <r>
      <rPr>
        <sz val="10"/>
        <color rgb="FF000000"/>
        <rFont val="ＭＳ 明朝"/>
        <family val="1"/>
        <charset val="128"/>
      </rPr>
      <t>B6=</t>
    </r>
    <r>
      <rPr>
        <sz val="10"/>
        <color rgb="FF000000"/>
        <rFont val="WenQuanYi Zen Hei"/>
        <family val="2"/>
      </rPr>
      <t>災害の黄色のセルに、新しい利率</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1.26%)</t>
    </r>
    <r>
      <rPr>
        <sz val="10"/>
        <color rgb="FF000000"/>
        <rFont val="WenQuanYi Zen Hei"/>
        <family val="2"/>
      </rPr>
      <t>を入力する。③「利率の適用日」</t>
    </r>
    <r>
      <rPr>
        <sz val="10"/>
        <color rgb="FF000000"/>
        <rFont val="ＭＳ 明朝"/>
        <family val="1"/>
        <charset val="128"/>
      </rPr>
      <t>(I4)</t>
    </r>
    <r>
      <rPr>
        <sz val="10"/>
        <color rgb="FF000000"/>
        <rFont val="WenQuanYi Zen Hei"/>
        <family val="2"/>
      </rPr>
      <t>を、新しい適用日の文に直す</t>
    </r>
    <r>
      <rPr>
        <sz val="10"/>
        <color rgb="FF000000"/>
        <rFont val="ＭＳ 明朝"/>
        <family val="1"/>
        <charset val="128"/>
      </rPr>
      <t>(</t>
    </r>
    <r>
      <rPr>
        <sz val="10"/>
        <color rgb="FF000000"/>
        <rFont val="WenQuanYi Zen Hei"/>
        <family val="2"/>
      </rPr>
      <t>例 令和</t>
    </r>
    <r>
      <rPr>
        <sz val="10"/>
        <color rgb="FF000000"/>
        <rFont val="ＭＳ 明朝"/>
        <family val="1"/>
        <charset val="128"/>
      </rPr>
      <t>9</t>
    </r>
    <r>
      <rPr>
        <sz val="10"/>
        <color rgb="FF000000"/>
        <rFont val="WenQuanYi Zen Hei"/>
        <family val="2"/>
      </rPr>
      <t>年</t>
    </r>
    <r>
      <rPr>
        <sz val="10"/>
        <color rgb="FF000000"/>
        <rFont val="ＭＳ 明朝"/>
        <family val="1"/>
        <charset val="128"/>
      </rPr>
      <t>4</t>
    </r>
    <r>
      <rPr>
        <sz val="10"/>
        <color rgb="FF000000"/>
        <rFont val="WenQuanYi Zen Hei"/>
        <family val="2"/>
      </rPr>
      <t>月</t>
    </r>
    <r>
      <rPr>
        <sz val="10"/>
        <color rgb="FF000000"/>
        <rFont val="ＭＳ 明朝"/>
        <family val="1"/>
        <charset val="128"/>
      </rPr>
      <t>1</t>
    </r>
    <r>
      <rPr>
        <sz val="10"/>
        <color rgb="FF000000"/>
        <rFont val="WenQuanYi Zen Hei"/>
        <family val="2"/>
      </rPr>
      <t>日現在</t>
    </r>
    <r>
      <rPr>
        <sz val="10"/>
        <color rgb="FF000000"/>
        <rFont val="ＭＳ 明朝"/>
        <family val="1"/>
        <charset val="128"/>
      </rPr>
      <t>)</t>
    </r>
    <r>
      <rPr>
        <sz val="10"/>
        <color rgb="FF000000"/>
        <rFont val="WenQuanYi Zen Hei"/>
        <family val="2"/>
      </rPr>
      <t>。</t>
    </r>
  </si>
  <si>
    <r>
      <rPr>
        <sz val="10"/>
        <color rgb="FF000000"/>
        <rFont val="WenQuanYi Zen Hei"/>
        <family val="2"/>
      </rPr>
      <t>下の「</t>
    </r>
    <r>
      <rPr>
        <sz val="10"/>
        <color rgb="FF000000"/>
        <rFont val="ＭＳ 明朝"/>
        <family val="1"/>
        <charset val="128"/>
      </rPr>
      <t xml:space="preserve">3 </t>
    </r>
    <r>
      <rPr>
        <sz val="10"/>
        <color rgb="FF000000"/>
        <rFont val="WenQuanYi Zen Hei"/>
        <family val="2"/>
      </rPr>
      <t>検算」で、共済組合の償還表の毎月償還額と同じになるか確認する。早見表・画面・</t>
    </r>
    <r>
      <rPr>
        <sz val="10"/>
        <color rgb="FF000000"/>
        <rFont val="ＭＳ 明朝"/>
        <family val="1"/>
        <charset val="128"/>
      </rPr>
      <t>Word(</t>
    </r>
    <r>
      <rPr>
        <sz val="10"/>
        <color rgb="FF000000"/>
        <rFont val="WenQuanYi Zen Hei"/>
        <family val="2"/>
      </rPr>
      <t>借用証書の利率</t>
    </r>
    <r>
      <rPr>
        <sz val="10"/>
        <color rgb="FF000000"/>
        <rFont val="ＭＳ 明朝"/>
        <family val="1"/>
        <charset val="128"/>
      </rPr>
      <t>)</t>
    </r>
    <r>
      <rPr>
        <sz val="10"/>
        <color rgb="FF000000"/>
        <rFont val="WenQuanYi Zen Hei"/>
        <family val="2"/>
      </rPr>
      <t>は自動で変わる。</t>
    </r>
  </si>
  <si>
    <t>在宅介護対応住宅の利率差が変わった</t>
  </si>
  <si>
    <t>マスタ B7</t>
  </si>
  <si>
    <r>
      <rPr>
        <sz val="10"/>
        <color rgb="FF000000"/>
        <rFont val="ＭＳ 明朝"/>
        <family val="1"/>
        <charset val="128"/>
      </rPr>
      <t>B7</t>
    </r>
    <r>
      <rPr>
        <sz val="10"/>
        <color rgb="FF000000"/>
        <rFont val="WenQuanYi Zen Hei"/>
        <family val="2"/>
      </rPr>
      <t>の黄色のセルに、住宅貸付の利率との差</t>
    </r>
    <r>
      <rPr>
        <sz val="10"/>
        <color rgb="FF000000"/>
        <rFont val="ＭＳ 明朝"/>
        <family val="1"/>
        <charset val="128"/>
      </rPr>
      <t>(</t>
    </r>
    <r>
      <rPr>
        <sz val="10"/>
        <color rgb="FF000000"/>
        <rFont val="WenQuanYi Zen Hei"/>
        <family val="2"/>
      </rPr>
      <t xml:space="preserve">現在 </t>
    </r>
    <r>
      <rPr>
        <sz val="10"/>
        <color rgb="FF000000"/>
        <rFont val="ＭＳ 明朝"/>
        <family val="1"/>
        <charset val="128"/>
      </rPr>
      <t>0.26%)</t>
    </r>
    <r>
      <rPr>
        <sz val="10"/>
        <color rgb="FF000000"/>
        <rFont val="WenQuanYi Zen Hei"/>
        <family val="2"/>
      </rPr>
      <t>を入力する。</t>
    </r>
  </si>
  <si>
    <t>画面の「在宅介護対応の加算」を入れた試算で確認する。</t>
  </si>
  <si>
    <t>償還額が、共済組合の償還表と数円ずれる</t>
  </si>
  <si>
    <t>マスタ I5・I6(端数処理)</t>
  </si>
  <si>
    <r>
      <rPr>
        <sz val="10"/>
        <color rgb="FF000000"/>
        <rFont val="ＭＳ 明朝"/>
        <family val="1"/>
        <charset val="128"/>
      </rPr>
      <t>I5=</t>
    </r>
    <r>
      <rPr>
        <sz val="10"/>
        <color rgb="FF000000"/>
        <rFont val="WenQuanYi Zen Hei"/>
        <family val="2"/>
      </rPr>
      <t>利息の端数処理、</t>
    </r>
    <r>
      <rPr>
        <sz val="10"/>
        <color rgb="FF000000"/>
        <rFont val="ＭＳ 明朝"/>
        <family val="1"/>
        <charset val="128"/>
      </rPr>
      <t>I6=</t>
    </r>
    <r>
      <rPr>
        <sz val="10"/>
        <color rgb="FF000000"/>
        <rFont val="WenQuanYi Zen Hei"/>
        <family val="2"/>
      </rPr>
      <t>毎月償還額の端数処理を、一覧</t>
    </r>
    <r>
      <rPr>
        <sz val="10"/>
        <color rgb="FF000000"/>
        <rFont val="ＭＳ 明朝"/>
        <family val="1"/>
        <charset val="128"/>
      </rPr>
      <t>(</t>
    </r>
    <r>
      <rPr>
        <sz val="10"/>
        <color rgb="FF000000"/>
        <rFont val="WenQuanYi Zen Hei"/>
        <family val="2"/>
      </rPr>
      <t>四捨五入</t>
    </r>
    <r>
      <rPr>
        <sz val="10"/>
        <color rgb="FF000000"/>
        <rFont val="ＭＳ 明朝"/>
        <family val="1"/>
        <charset val="128"/>
      </rPr>
      <t>/</t>
    </r>
    <r>
      <rPr>
        <sz val="10"/>
        <color rgb="FF000000"/>
        <rFont val="WenQuanYi Zen Hei"/>
        <family val="2"/>
      </rPr>
      <t>切捨て</t>
    </r>
    <r>
      <rPr>
        <sz val="10"/>
        <color rgb="FF000000"/>
        <rFont val="ＭＳ 明朝"/>
        <family val="1"/>
        <charset val="128"/>
      </rPr>
      <t>/</t>
    </r>
    <r>
      <rPr>
        <sz val="10"/>
        <color rgb="FF000000"/>
        <rFont val="WenQuanYi Zen Hei"/>
        <family val="2"/>
      </rPr>
      <t>切上げ</t>
    </r>
    <r>
      <rPr>
        <sz val="10"/>
        <color rgb="FF000000"/>
        <rFont val="ＭＳ 明朝"/>
        <family val="1"/>
        <charset val="128"/>
      </rPr>
      <t>)</t>
    </r>
    <r>
      <rPr>
        <sz val="10"/>
        <color rgb="FF000000"/>
        <rFont val="WenQuanYi Zen Hei"/>
        <family val="2"/>
      </rPr>
      <t>から選ぶ。組み合わせを変えながら、検算で一致するものを探す。</t>
    </r>
  </si>
  <si>
    <r>
      <rPr>
        <sz val="10"/>
        <color rgb="FF000000"/>
        <rFont val="WenQuanYi Zen Hei"/>
        <family val="2"/>
      </rPr>
      <t>「</t>
    </r>
    <r>
      <rPr>
        <sz val="10"/>
        <color rgb="FF000000"/>
        <rFont val="ＭＳ 明朝"/>
        <family val="1"/>
        <charset val="128"/>
      </rPr>
      <t xml:space="preserve">3 </t>
    </r>
    <r>
      <rPr>
        <sz val="10"/>
        <color rgb="FF000000"/>
        <rFont val="WenQuanYi Zen Hei"/>
        <family val="2"/>
      </rPr>
      <t>検算」の判定が「○ 一致」になる組み合わせにする。</t>
    </r>
  </si>
  <si>
    <r>
      <rPr>
        <sz val="10"/>
        <color rgb="FF000000"/>
        <rFont val="ＭＳ 明朝"/>
        <family val="1"/>
        <charset val="128"/>
      </rPr>
      <t>30%</t>
    </r>
    <r>
      <rPr>
        <sz val="10"/>
        <color rgb="FF000000"/>
        <rFont val="WenQuanYi Zen Hei"/>
        <family val="2"/>
      </rPr>
      <t>の基準が変わった</t>
    </r>
  </si>
  <si>
    <t>マスタ B8</t>
  </si>
  <si>
    <r>
      <rPr>
        <sz val="10"/>
        <color rgb="FF000000"/>
        <rFont val="ＭＳ 明朝"/>
        <family val="1"/>
        <charset val="128"/>
      </rPr>
      <t>B8</t>
    </r>
    <r>
      <rPr>
        <sz val="10"/>
        <color rgb="FF000000"/>
        <rFont val="WenQuanYi Zen Hei"/>
        <family val="2"/>
      </rPr>
      <t>の黄色のセルを直す</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30%</t>
    </r>
    <r>
      <rPr>
        <sz val="10"/>
        <color rgb="FF000000"/>
        <rFont val="WenQuanYi Zen Hei"/>
        <family val="2"/>
      </rPr>
      <t>を</t>
    </r>
    <r>
      <rPr>
        <sz val="10"/>
        <color rgb="FF000000"/>
        <rFont val="ＭＳ 明朝"/>
        <family val="1"/>
        <charset val="128"/>
      </rPr>
      <t>35%</t>
    </r>
    <r>
      <rPr>
        <sz val="10"/>
        <color rgb="FF000000"/>
        <rFont val="WenQuanYi Zen Hei"/>
        <family val="2"/>
      </rPr>
      <t>に変更</t>
    </r>
    <r>
      <rPr>
        <sz val="10"/>
        <color rgb="FF000000"/>
        <rFont val="ＭＳ 明朝"/>
        <family val="1"/>
        <charset val="128"/>
      </rPr>
      <t>)</t>
    </r>
    <r>
      <rPr>
        <sz val="10"/>
        <color rgb="FF000000"/>
        <rFont val="WenQuanYi Zen Hei"/>
        <family val="2"/>
      </rPr>
      <t>。</t>
    </r>
  </si>
  <si>
    <t>画面の「償還額の割合」の判定が変わることを確認する。</t>
  </si>
  <si>
    <t>償還回数の上限が変わった</t>
  </si>
  <si>
    <t>マスタ 貸付区分表 G列</t>
  </si>
  <si>
    <r>
      <rPr>
        <sz val="10"/>
        <color rgb="FF000000"/>
        <rFont val="WenQuanYi Zen Hei"/>
        <family val="2"/>
      </rPr>
      <t>貸付区分表の「償還回数の上限」</t>
    </r>
    <r>
      <rPr>
        <sz val="10"/>
        <color rgb="FF000000"/>
        <rFont val="ＭＳ 明朝"/>
        <family val="1"/>
        <charset val="128"/>
      </rPr>
      <t>(G</t>
    </r>
    <r>
      <rPr>
        <sz val="10"/>
        <color rgb="FF000000"/>
        <rFont val="WenQuanYi Zen Hei"/>
        <family val="2"/>
      </rPr>
      <t>列</t>
    </r>
    <r>
      <rPr>
        <sz val="10"/>
        <color rgb="FF000000"/>
        <rFont val="ＭＳ 明朝"/>
        <family val="1"/>
        <charset val="128"/>
      </rPr>
      <t>)</t>
    </r>
    <r>
      <rPr>
        <sz val="10"/>
        <color rgb="FF000000"/>
        <rFont val="WenQuanYi Zen Hei"/>
        <family val="2"/>
      </rPr>
      <t>の、該当する区分の数字を直す。</t>
    </r>
  </si>
  <si>
    <t>画面で上限を超える回数を入れ、メッセージが出ることを確認する。</t>
  </si>
  <si>
    <t>限度額・上限額・最低保障額が変わった</t>
  </si>
  <si>
    <t>マスタ 貸付区分表 E列 / 表3</t>
  </si>
  <si>
    <r>
      <rPr>
        <sz val="10"/>
        <color rgb="FF000000"/>
        <rFont val="WenQuanYi Zen Hei"/>
        <family val="2"/>
      </rPr>
      <t>貸付区分表の「上限額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r>
      <rPr>
        <sz val="10"/>
        <color rgb="FF000000"/>
        <rFont val="WenQuanYi Zen Hei"/>
        <family val="2"/>
      </rPr>
      <t>」</t>
    </r>
    <r>
      <rPr>
        <sz val="10"/>
        <color rgb="FF000000"/>
        <rFont val="ＭＳ 明朝"/>
        <family val="1"/>
        <charset val="128"/>
      </rPr>
      <t>(E</t>
    </r>
    <r>
      <rPr>
        <sz val="10"/>
        <color rgb="FF000000"/>
        <rFont val="WenQuanYi Zen Hei"/>
        <family val="2"/>
      </rPr>
      <t>列</t>
    </r>
    <r>
      <rPr>
        <sz val="10"/>
        <color rgb="FF000000"/>
        <rFont val="ＭＳ 明朝"/>
        <family val="1"/>
        <charset val="128"/>
      </rPr>
      <t>)</t>
    </r>
    <r>
      <rPr>
        <sz val="10"/>
        <color rgb="FF000000"/>
        <rFont val="WenQuanYi Zen Hei"/>
        <family val="2"/>
      </rPr>
      <t>、または「</t>
    </r>
    <r>
      <rPr>
        <sz val="10"/>
        <color rgb="FF000000"/>
        <rFont val="ＭＳ 明朝"/>
        <family val="1"/>
        <charset val="128"/>
      </rPr>
      <t xml:space="preserve">3. </t>
    </r>
    <r>
      <rPr>
        <sz val="10"/>
        <color rgb="FF000000"/>
        <rFont val="WenQuanYi Zen Hei"/>
        <family val="2"/>
      </rPr>
      <t>組合員期間別の月数・最低保障額」の表を直す。</t>
    </r>
  </si>
  <si>
    <t>画面の「① 貸付限度額」の内訳の説明文で確認する。</t>
  </si>
  <si>
    <t>申込締切日が変わった</t>
  </si>
  <si>
    <t>マスタ 貸付区分表 I列</t>
  </si>
  <si>
    <r>
      <rPr>
        <sz val="10"/>
        <color rgb="FF000000"/>
        <rFont val="WenQuanYi Zen Hei"/>
        <family val="2"/>
      </rPr>
      <t>貸付区分表の「申込締切日</t>
    </r>
    <r>
      <rPr>
        <sz val="10"/>
        <color rgb="FF000000"/>
        <rFont val="ＭＳ 明朝"/>
        <family val="1"/>
        <charset val="128"/>
      </rPr>
      <t>(</t>
    </r>
    <r>
      <rPr>
        <sz val="10"/>
        <color rgb="FF000000"/>
        <rFont val="WenQuanYi Zen Hei"/>
        <family val="2"/>
      </rPr>
      <t>毎月○日</t>
    </r>
    <r>
      <rPr>
        <sz val="10"/>
        <color rgb="FF000000"/>
        <rFont val="ＭＳ 明朝"/>
        <family val="1"/>
        <charset val="128"/>
      </rPr>
      <t>)</t>
    </r>
    <r>
      <rPr>
        <sz val="10"/>
        <color rgb="FF000000"/>
        <rFont val="WenQuanYi Zen Hei"/>
        <family val="2"/>
      </rPr>
      <t>」</t>
    </r>
    <r>
      <rPr>
        <sz val="10"/>
        <color rgb="FF000000"/>
        <rFont val="ＭＳ 明朝"/>
        <family val="1"/>
        <charset val="128"/>
      </rPr>
      <t>(I</t>
    </r>
    <r>
      <rPr>
        <sz val="10"/>
        <color rgb="FF000000"/>
        <rFont val="WenQuanYi Zen Hei"/>
        <family val="2"/>
      </rPr>
      <t>列</t>
    </r>
    <r>
      <rPr>
        <sz val="10"/>
        <color rgb="FF000000"/>
        <rFont val="ＭＳ 明朝"/>
        <family val="1"/>
        <charset val="128"/>
      </rPr>
      <t>)</t>
    </r>
    <r>
      <rPr>
        <sz val="10"/>
        <color rgb="FF000000"/>
        <rFont val="WenQuanYi Zen Hei"/>
        <family val="2"/>
      </rPr>
      <t>を直す。</t>
    </r>
  </si>
  <si>
    <t>画面の「日程」の申込締切日で確認する。</t>
  </si>
  <si>
    <t>提出書類が変わった</t>
  </si>
  <si>
    <t>マスタ 4〜6(書類の表)</t>
  </si>
  <si>
    <r>
      <rPr>
        <sz val="10"/>
        <color rgb="FF000000"/>
        <rFont val="WenQuanYi Zen Hei"/>
        <family val="2"/>
      </rPr>
      <t>「</t>
    </r>
    <r>
      <rPr>
        <sz val="10"/>
        <color rgb="FF000000"/>
        <rFont val="ＭＳ 明朝"/>
        <family val="1"/>
        <charset val="128"/>
      </rPr>
      <t>4</t>
    </r>
    <r>
      <rPr>
        <sz val="10"/>
        <color rgb="FF000000"/>
        <rFont val="WenQuanYi Zen Hei"/>
        <family val="2"/>
      </rPr>
      <t>」「</t>
    </r>
    <r>
      <rPr>
        <sz val="10"/>
        <color rgb="FF000000"/>
        <rFont val="ＭＳ 明朝"/>
        <family val="1"/>
        <charset val="128"/>
      </rPr>
      <t>5</t>
    </r>
    <r>
      <rPr>
        <sz val="10"/>
        <color rgb="FF000000"/>
        <rFont val="WenQuanYi Zen Hei"/>
        <family val="2"/>
      </rPr>
      <t>」「</t>
    </r>
    <r>
      <rPr>
        <sz val="10"/>
        <color rgb="FF000000"/>
        <rFont val="ＭＳ 明朝"/>
        <family val="1"/>
        <charset val="128"/>
      </rPr>
      <t>6</t>
    </r>
    <r>
      <rPr>
        <sz val="10"/>
        <color rgb="FF000000"/>
        <rFont val="WenQuanYi Zen Hei"/>
        <family val="2"/>
      </rPr>
      <t>」の表の、書類名や○</t>
    </r>
    <r>
      <rPr>
        <sz val="10"/>
        <color rgb="FF000000"/>
        <rFont val="ＭＳ 明朝"/>
        <family val="1"/>
        <charset val="128"/>
      </rPr>
      <t>(</t>
    </r>
    <r>
      <rPr>
        <sz val="10"/>
        <color rgb="FF000000"/>
        <rFont val="WenQuanYi Zen Hei"/>
        <family val="2"/>
      </rPr>
      <t>必要</t>
    </r>
    <r>
      <rPr>
        <sz val="10"/>
        <color rgb="FF000000"/>
        <rFont val="ＭＳ 明朝"/>
        <family val="1"/>
        <charset val="128"/>
      </rPr>
      <t>)</t>
    </r>
    <r>
      <rPr>
        <sz val="10"/>
        <color rgb="FF000000"/>
        <rFont val="WenQuanYi Zen Hei"/>
        <family val="2"/>
      </rPr>
      <t>を直す。</t>
    </r>
  </si>
  <si>
    <t>画面の「申込時の提出書類」で確認する。</t>
  </si>
  <si>
    <r>
      <rPr>
        <sz val="10"/>
        <color rgb="FF000000"/>
        <rFont val="WenQuanYi Zen Hei"/>
        <family val="2"/>
      </rPr>
      <t>祝日を追加する</t>
    </r>
    <r>
      <rPr>
        <sz val="10"/>
        <color rgb="FF000000"/>
        <rFont val="ＭＳ 明朝"/>
        <family val="1"/>
        <charset val="128"/>
      </rPr>
      <t>(</t>
    </r>
    <r>
      <rPr>
        <sz val="10"/>
        <color rgb="FF000000"/>
        <rFont val="WenQuanYi Zen Hei"/>
        <family val="2"/>
      </rPr>
      <t>毎年</t>
    </r>
    <r>
      <rPr>
        <sz val="10"/>
        <color rgb="FF000000"/>
        <rFont val="ＭＳ 明朝"/>
        <family val="1"/>
        <charset val="128"/>
      </rPr>
      <t>)</t>
    </r>
  </si>
  <si>
    <t>マスタ 8(休日・祝日)</t>
  </si>
  <si>
    <r>
      <rPr>
        <sz val="10"/>
        <color rgb="FF000000"/>
        <rFont val="WenQuanYi Zen Hei"/>
        <family val="2"/>
      </rPr>
      <t>「</t>
    </r>
    <r>
      <rPr>
        <sz val="10"/>
        <color rgb="FF000000"/>
        <rFont val="ＭＳ 明朝"/>
        <family val="1"/>
        <charset val="128"/>
      </rPr>
      <t xml:space="preserve">8. </t>
    </r>
    <r>
      <rPr>
        <sz val="10"/>
        <color rgb="FF000000"/>
        <rFont val="WenQuanYi Zen Hei"/>
        <family val="2"/>
      </rPr>
      <t>休日・祝日」の表の、空いている黄色の行に、日付と名前を入力する。</t>
    </r>
  </si>
  <si>
    <t>画面の申込締切日・交付日が、祝日を避けた日になることを確認する。</t>
  </si>
  <si>
    <r>
      <rPr>
        <sz val="10"/>
        <color rgb="FF000000"/>
        <rFont val="ＭＳ 明朝"/>
        <family val="1"/>
        <charset val="128"/>
      </rPr>
      <t>Word</t>
    </r>
    <r>
      <rPr>
        <sz val="10"/>
        <color rgb="FF000000"/>
        <rFont val="WenQuanYi Zen Hei"/>
        <family val="2"/>
      </rPr>
      <t>の様式</t>
    </r>
    <r>
      <rPr>
        <sz val="10"/>
        <color rgb="FF000000"/>
        <rFont val="ＭＳ 明朝"/>
        <family val="1"/>
        <charset val="128"/>
      </rPr>
      <t>(</t>
    </r>
    <r>
      <rPr>
        <sz val="10"/>
        <color rgb="FF000000"/>
        <rFont val="WenQuanYi Zen Hei"/>
        <family val="2"/>
      </rPr>
      <t>借用証書・添書・貸付申込書</t>
    </r>
    <r>
      <rPr>
        <sz val="10"/>
        <color rgb="FF000000"/>
        <rFont val="ＭＳ 明朝"/>
        <family val="1"/>
        <charset val="128"/>
      </rPr>
      <t>)</t>
    </r>
    <r>
      <rPr>
        <sz val="10"/>
        <color rgb="FF000000"/>
        <rFont val="WenQuanYi Zen Hei"/>
        <family val="2"/>
      </rPr>
      <t>を直す</t>
    </r>
  </si>
  <si>
    <t>Wordテンプレート(.docx)</t>
  </si>
  <si>
    <r>
      <rPr>
        <sz val="10"/>
        <color rgb="FF000000"/>
        <rFont val="ＭＳ 明朝"/>
        <family val="1"/>
        <charset val="128"/>
      </rPr>
      <t>Word</t>
    </r>
    <r>
      <rPr>
        <sz val="10"/>
        <color rgb="FF000000"/>
        <rFont val="WenQuanYi Zen Hei"/>
        <family val="2"/>
      </rPr>
      <t>のテンプレートを開いて直接直す。</t>
    </r>
    <r>
      <rPr>
        <sz val="10"/>
        <color rgb="FF000000"/>
        <rFont val="ＭＳ 明朝"/>
        <family val="1"/>
        <charset val="128"/>
      </rPr>
      <t>{{</t>
    </r>
    <r>
      <rPr>
        <sz val="10"/>
        <color rgb="FF000000"/>
        <rFont val="WenQuanYi Zen Hei"/>
        <family val="2"/>
      </rPr>
      <t>項目</t>
    </r>
    <r>
      <rPr>
        <sz val="10"/>
        <color rgb="FF000000"/>
        <rFont val="ＭＳ 明朝"/>
        <family val="1"/>
        <charset val="128"/>
      </rPr>
      <t>}}</t>
    </r>
    <r>
      <rPr>
        <sz val="10"/>
        <color rgb="FF000000"/>
        <rFont val="WenQuanYi Zen Hei"/>
        <family val="2"/>
      </rPr>
      <t>の文字は消さない。項目を増やすときは「</t>
    </r>
    <r>
      <rPr>
        <sz val="10"/>
        <color rgb="FF000000"/>
        <rFont val="ＭＳ 明朝"/>
        <family val="1"/>
        <charset val="128"/>
      </rPr>
      <t>Word</t>
    </r>
    <r>
      <rPr>
        <sz val="10"/>
        <color rgb="FF000000"/>
        <rFont val="WenQuanYi Zen Hei"/>
        <family val="2"/>
      </rPr>
      <t>差込データ」の表に</t>
    </r>
    <r>
      <rPr>
        <sz val="10"/>
        <color rgb="FF000000"/>
        <rFont val="ＭＳ 明朝"/>
        <family val="1"/>
        <charset val="128"/>
      </rPr>
      <t>1</t>
    </r>
    <r>
      <rPr>
        <sz val="10"/>
        <color rgb="FF000000"/>
        <rFont val="WenQuanYi Zen Hei"/>
        <family val="2"/>
      </rPr>
      <t>行足す。</t>
    </r>
  </si>
  <si>
    <t>「福利課用」「申込シミュレーション」のボタンで出力して確認する。</t>
  </si>
  <si>
    <t>貸付区分を増やす・名前を変える</t>
  </si>
  <si>
    <t>マスタ 貸付区分表</t>
  </si>
  <si>
    <r>
      <rPr>
        <sz val="10"/>
        <color rgb="FF000000"/>
        <rFont val="WenQuanYi Zen Hei"/>
        <family val="2"/>
      </rPr>
      <t>貸付区分表に行を足す</t>
    </r>
    <r>
      <rPr>
        <sz val="10"/>
        <color rgb="FF000000"/>
        <rFont val="ＭＳ 明朝"/>
        <family val="1"/>
        <charset val="128"/>
      </rPr>
      <t>(</t>
    </r>
    <r>
      <rPr>
        <sz val="10"/>
        <color rgb="FF000000"/>
        <rFont val="WenQuanYi Zen Hei"/>
        <family val="2"/>
      </rPr>
      <t>または名前を直す</t>
    </r>
    <r>
      <rPr>
        <sz val="10"/>
        <color rgb="FF000000"/>
        <rFont val="ＭＳ 明朝"/>
        <family val="1"/>
        <charset val="128"/>
      </rPr>
      <t>)</t>
    </r>
    <r>
      <rPr>
        <sz val="10"/>
        <color rgb="FF000000"/>
        <rFont val="WenQuanYi Zen Hei"/>
        <family val="2"/>
      </rPr>
      <t>。名前を変えたときは、画面の貸付区分を選び直す。</t>
    </r>
  </si>
  <si>
    <r>
      <rPr>
        <sz val="10"/>
        <color rgb="FF000000"/>
        <rFont val="WenQuanYi Zen Hei"/>
        <family val="2"/>
      </rPr>
      <t>全区分で画面に</t>
    </r>
    <r>
      <rPr>
        <sz val="10"/>
        <color rgb="FF000000"/>
        <rFont val="ＭＳ 明朝"/>
        <family val="1"/>
        <charset val="128"/>
      </rPr>
      <t>×</t>
    </r>
    <r>
      <rPr>
        <sz val="10"/>
        <color rgb="FF000000"/>
        <rFont val="WenQuanYi Zen Hei"/>
        <family val="2"/>
      </rPr>
      <t>が出ないことを確認する。</t>
    </r>
  </si>
  <si>
    <r>
      <rPr>
        <b/>
        <sz val="10"/>
        <color rgb="FF000000"/>
        <rFont val="ＭＳ 明朝"/>
        <family val="1"/>
        <charset val="128"/>
      </rPr>
      <t xml:space="preserve">2 </t>
    </r>
    <r>
      <rPr>
        <b/>
        <sz val="10"/>
        <color rgb="FF000000"/>
        <rFont val="WenQuanYi Zen Hei"/>
        <family val="2"/>
      </rPr>
      <t>色と場所のルール</t>
    </r>
  </si>
  <si>
    <t>黄色のセル</t>
  </si>
  <si>
    <t>入力してよい・直してよい場所です。</t>
  </si>
  <si>
    <t>青い文字</t>
  </si>
  <si>
    <r>
      <rPr>
        <sz val="10"/>
        <color rgb="FF000000"/>
        <rFont val="WenQuanYi Zen Hei"/>
        <family val="2"/>
      </rPr>
      <t>マスタの設定値</t>
    </r>
    <r>
      <rPr>
        <sz val="10"/>
        <color rgb="FF000000"/>
        <rFont val="ＭＳ 明朝"/>
        <family val="1"/>
        <charset val="128"/>
      </rPr>
      <t>(</t>
    </r>
    <r>
      <rPr>
        <sz val="10"/>
        <color rgb="FF000000"/>
        <rFont val="WenQuanYi Zen Hei"/>
        <family val="2"/>
      </rPr>
      <t>利率・限度額など</t>
    </r>
    <r>
      <rPr>
        <sz val="10"/>
        <color rgb="FF000000"/>
        <rFont val="ＭＳ 明朝"/>
        <family val="1"/>
        <charset val="128"/>
      </rPr>
      <t>)</t>
    </r>
    <r>
      <rPr>
        <sz val="10"/>
        <color rgb="FF000000"/>
        <rFont val="WenQuanYi Zen Hei"/>
        <family val="2"/>
      </rPr>
      <t>です。制度が変わったときに直します。</t>
    </r>
  </si>
  <si>
    <t>灰色のセル・見出し</t>
  </si>
  <si>
    <t>説明や計算の見出しです。直しません。</t>
  </si>
  <si>
    <r>
      <rPr>
        <sz val="10"/>
        <color rgb="FF000000"/>
        <rFont val="WenQuanYi Zen Hei"/>
        <family val="2"/>
      </rPr>
      <t>シートの色</t>
    </r>
    <r>
      <rPr>
        <sz val="10"/>
        <color rgb="FF000000"/>
        <rFont val="ＭＳ 明朝"/>
        <family val="1"/>
        <charset val="128"/>
      </rPr>
      <t>(</t>
    </r>
    <r>
      <rPr>
        <sz val="10"/>
        <color rgb="FF000000"/>
        <rFont val="WenQuanYi Zen Hei"/>
        <family val="2"/>
      </rPr>
      <t>タブ</t>
    </r>
    <r>
      <rPr>
        <sz val="10"/>
        <color rgb="FF000000"/>
        <rFont val="ＭＳ 明朝"/>
        <family val="1"/>
        <charset val="128"/>
      </rPr>
      <t>)</t>
    </r>
  </si>
  <si>
    <r>
      <rPr>
        <sz val="10"/>
        <color rgb="FF000000"/>
        <rFont val="WenQuanYi Zen Hei"/>
        <family val="2"/>
      </rPr>
      <t>黄色</t>
    </r>
    <r>
      <rPr>
        <sz val="10"/>
        <color rgb="FF000000"/>
        <rFont val="ＭＳ 明朝"/>
        <family val="1"/>
        <charset val="128"/>
      </rPr>
      <t>=</t>
    </r>
    <r>
      <rPr>
        <sz val="10"/>
        <color rgb="FF000000"/>
        <rFont val="WenQuanYi Zen Hei"/>
        <family val="2"/>
      </rPr>
      <t xml:space="preserve">申込者が入力 </t>
    </r>
    <r>
      <rPr>
        <sz val="10"/>
        <color rgb="FF000000"/>
        <rFont val="ＭＳ 明朝"/>
        <family val="1"/>
        <charset val="128"/>
      </rPr>
      <t xml:space="preserve">/ </t>
    </r>
    <r>
      <rPr>
        <sz val="10"/>
        <color rgb="FF000000"/>
        <rFont val="WenQuanYi Zen Hei"/>
        <family val="2"/>
      </rPr>
      <t>橙</t>
    </r>
    <r>
      <rPr>
        <sz val="10"/>
        <color rgb="FF000000"/>
        <rFont val="ＭＳ 明朝"/>
        <family val="1"/>
        <charset val="128"/>
      </rPr>
      <t>=</t>
    </r>
    <r>
      <rPr>
        <sz val="10"/>
        <color rgb="FF000000"/>
        <rFont val="WenQuanYi Zen Hei"/>
        <family val="2"/>
      </rPr>
      <t xml:space="preserve">福利課用 </t>
    </r>
    <r>
      <rPr>
        <sz val="10"/>
        <color rgb="FF000000"/>
        <rFont val="ＭＳ 明朝"/>
        <family val="1"/>
        <charset val="128"/>
      </rPr>
      <t xml:space="preserve">/ </t>
    </r>
    <r>
      <rPr>
        <sz val="10"/>
        <color rgb="FF000000"/>
        <rFont val="WenQuanYi Zen Hei"/>
        <family val="2"/>
      </rPr>
      <t>緑</t>
    </r>
    <r>
      <rPr>
        <sz val="10"/>
        <color rgb="FF000000"/>
        <rFont val="ＭＳ 明朝"/>
        <family val="1"/>
        <charset val="128"/>
      </rPr>
      <t>=</t>
    </r>
    <r>
      <rPr>
        <sz val="10"/>
        <color rgb="FF000000"/>
        <rFont val="WenQuanYi Zen Hei"/>
        <family val="2"/>
      </rPr>
      <t>保守する人</t>
    </r>
    <r>
      <rPr>
        <sz val="10"/>
        <color rgb="FF000000"/>
        <rFont val="ＭＳ 明朝"/>
        <family val="1"/>
        <charset val="128"/>
      </rPr>
      <t>(</t>
    </r>
    <r>
      <rPr>
        <sz val="10"/>
        <color rgb="FF000000"/>
        <rFont val="WenQuanYi Zen Hei"/>
        <family val="2"/>
      </rPr>
      <t>保守ガイド・マスタ</t>
    </r>
    <r>
      <rPr>
        <sz val="10"/>
        <color rgb="FF000000"/>
        <rFont val="ＭＳ 明朝"/>
        <family val="1"/>
        <charset val="128"/>
      </rPr>
      <t xml:space="preserve">) / </t>
    </r>
    <r>
      <rPr>
        <sz val="10"/>
        <color rgb="FF000000"/>
        <rFont val="WenQuanYi Zen Hei"/>
        <family val="2"/>
      </rPr>
      <t>青</t>
    </r>
    <r>
      <rPr>
        <sz val="10"/>
        <color rgb="FF000000"/>
        <rFont val="ＭＳ 明朝"/>
        <family val="1"/>
        <charset val="128"/>
      </rPr>
      <t>=</t>
    </r>
    <r>
      <rPr>
        <sz val="10"/>
        <color rgb="FF000000"/>
        <rFont val="WenQuanYi Zen Hei"/>
        <family val="2"/>
      </rPr>
      <t xml:space="preserve">結果の表示 </t>
    </r>
    <r>
      <rPr>
        <sz val="10"/>
        <color rgb="FF000000"/>
        <rFont val="ＭＳ 明朝"/>
        <family val="1"/>
        <charset val="128"/>
      </rPr>
      <t xml:space="preserve">/ </t>
    </r>
    <r>
      <rPr>
        <sz val="10"/>
        <color rgb="FF000000"/>
        <rFont val="WenQuanYi Zen Hei"/>
        <family val="2"/>
      </rPr>
      <t>灰色</t>
    </r>
    <r>
      <rPr>
        <sz val="10"/>
        <color rgb="FF000000"/>
        <rFont val="ＭＳ 明朝"/>
        <family val="1"/>
        <charset val="128"/>
      </rPr>
      <t>=</t>
    </r>
    <r>
      <rPr>
        <sz val="10"/>
        <color rgb="FF000000"/>
        <rFont val="WenQuanYi Zen Hei"/>
        <family val="2"/>
      </rPr>
      <t>計算の本体</t>
    </r>
    <r>
      <rPr>
        <sz val="10"/>
        <color rgb="FF000000"/>
        <rFont val="ＭＳ 明朝"/>
        <family val="1"/>
        <charset val="128"/>
      </rPr>
      <t>(</t>
    </r>
    <r>
      <rPr>
        <sz val="10"/>
        <color rgb="FF000000"/>
        <rFont val="WenQuanYi Zen Hei"/>
        <family val="2"/>
      </rPr>
      <t>計算過程・</t>
    </r>
    <r>
      <rPr>
        <sz val="10"/>
        <color rgb="FF000000"/>
        <rFont val="ＭＳ 明朝"/>
        <family val="1"/>
        <charset val="128"/>
      </rPr>
      <t>Word</t>
    </r>
    <r>
      <rPr>
        <sz val="10"/>
        <color rgb="FF000000"/>
        <rFont val="WenQuanYi Zen Hei"/>
        <family val="2"/>
      </rPr>
      <t>差込データ。触らない</t>
    </r>
    <r>
      <rPr>
        <sz val="10"/>
        <color rgb="FF000000"/>
        <rFont val="ＭＳ 明朝"/>
        <family val="1"/>
        <charset val="128"/>
      </rPr>
      <t>)</t>
    </r>
  </si>
  <si>
    <r>
      <rPr>
        <b/>
        <sz val="10"/>
        <color rgb="FF000000"/>
        <rFont val="ＭＳ 明朝"/>
        <family val="1"/>
        <charset val="128"/>
      </rPr>
      <t xml:space="preserve">3 </t>
    </r>
    <r>
      <rPr>
        <b/>
        <sz val="10"/>
        <color rgb="FF000000"/>
        <rFont val="WenQuanYi Zen Hei"/>
        <family val="2"/>
      </rPr>
      <t>検算</t>
    </r>
    <r>
      <rPr>
        <b/>
        <sz val="10"/>
        <color rgb="FF000000"/>
        <rFont val="ＭＳ 明朝"/>
        <family val="1"/>
        <charset val="128"/>
      </rPr>
      <t>(</t>
    </r>
    <r>
      <rPr>
        <b/>
        <sz val="10"/>
        <color rgb="FF000000"/>
        <rFont val="WenQuanYi Zen Hei"/>
        <family val="2"/>
      </rPr>
      <t>元利均等の償還計画と共済組合の償還表との照合</t>
    </r>
    <r>
      <rPr>
        <b/>
        <sz val="10"/>
        <color rgb="FF000000"/>
        <rFont val="ＭＳ 明朝"/>
        <family val="1"/>
        <charset val="128"/>
      </rPr>
      <t>)</t>
    </r>
  </si>
  <si>
    <r>
      <rPr>
        <sz val="10"/>
        <color rgb="FF000000"/>
        <rFont val="WenQuanYi Zen Hei"/>
        <family val="2"/>
      </rPr>
      <t>元利均等</t>
    </r>
    <r>
      <rPr>
        <sz val="10"/>
        <color rgb="FF000000"/>
        <rFont val="ＭＳ 明朝"/>
        <family val="1"/>
        <charset val="128"/>
      </rPr>
      <t>:</t>
    </r>
    <r>
      <rPr>
        <sz val="10"/>
        <color rgb="FF000000"/>
        <rFont val="WenQuanYi Zen Hei"/>
        <family val="2"/>
      </rPr>
      <t xml:space="preserve">毎月の返済額が同じになる方式です。返済額 </t>
    </r>
    <r>
      <rPr>
        <sz val="10"/>
        <color rgb="FF000000"/>
        <rFont val="ＭＳ 明朝"/>
        <family val="1"/>
        <charset val="128"/>
      </rPr>
      <t>= PMT(</t>
    </r>
    <r>
      <rPr>
        <sz val="10"/>
        <color rgb="FF000000"/>
        <rFont val="WenQuanYi Zen Hei"/>
        <family val="2"/>
      </rPr>
      <t>月利</t>
    </r>
    <r>
      <rPr>
        <sz val="10"/>
        <color rgb="FF000000"/>
        <rFont val="ＭＳ 明朝"/>
        <family val="1"/>
        <charset val="128"/>
      </rPr>
      <t xml:space="preserve">, </t>
    </r>
    <r>
      <rPr>
        <sz val="10"/>
        <color rgb="FF000000"/>
        <rFont val="WenQuanYi Zen Hei"/>
        <family val="2"/>
      </rPr>
      <t>回数</t>
    </r>
    <r>
      <rPr>
        <sz val="10"/>
        <color rgb="FF000000"/>
        <rFont val="ＭＳ 明朝"/>
        <family val="1"/>
        <charset val="128"/>
      </rPr>
      <t>, −</t>
    </r>
    <r>
      <rPr>
        <sz val="10"/>
        <color rgb="FF000000"/>
        <rFont val="WenQuanYi Zen Hei"/>
        <family val="2"/>
      </rPr>
      <t>借入額</t>
    </r>
    <r>
      <rPr>
        <sz val="10"/>
        <color rgb="FF000000"/>
        <rFont val="ＭＳ 明朝"/>
        <family val="1"/>
        <charset val="128"/>
      </rPr>
      <t>)</t>
    </r>
    <r>
      <rPr>
        <sz val="10"/>
        <color rgb="FF000000"/>
        <rFont val="WenQuanYi Zen Hei"/>
        <family val="2"/>
      </rPr>
      <t xml:space="preserve">。月利 </t>
    </r>
    <r>
      <rPr>
        <sz val="10"/>
        <color rgb="FF000000"/>
        <rFont val="ＭＳ 明朝"/>
        <family val="1"/>
        <charset val="128"/>
      </rPr>
      <t xml:space="preserve">= </t>
    </r>
    <r>
      <rPr>
        <sz val="10"/>
        <color rgb="FF000000"/>
        <rFont val="WenQuanYi Zen Hei"/>
        <family val="2"/>
      </rPr>
      <t xml:space="preserve">年利 </t>
    </r>
    <r>
      <rPr>
        <sz val="10"/>
        <color rgb="FF000000"/>
        <rFont val="ＭＳ 明朝"/>
        <family val="1"/>
        <charset val="128"/>
      </rPr>
      <t>÷ 12</t>
    </r>
    <r>
      <rPr>
        <sz val="10"/>
        <color rgb="FF000000"/>
        <rFont val="WenQuanYi Zen Hei"/>
        <family val="2"/>
      </rPr>
      <t>。</t>
    </r>
  </si>
  <si>
    <r>
      <rPr>
        <sz val="10"/>
        <color rgb="FF000000"/>
        <rFont val="ＭＳ 明朝"/>
        <family val="1"/>
        <charset val="128"/>
      </rPr>
      <t>1</t>
    </r>
    <r>
      <rPr>
        <sz val="10"/>
        <color rgb="FF000000"/>
        <rFont val="WenQuanYi Zen Hei"/>
        <family val="2"/>
      </rPr>
      <t>回目</t>
    </r>
    <r>
      <rPr>
        <sz val="10"/>
        <color rgb="FF000000"/>
        <rFont val="ＭＳ 明朝"/>
        <family val="1"/>
        <charset val="128"/>
      </rPr>
      <t>:</t>
    </r>
    <r>
      <rPr>
        <sz val="10"/>
        <color rgb="FF000000"/>
        <rFont val="WenQuanYi Zen Hei"/>
        <family val="2"/>
      </rPr>
      <t xml:space="preserve">利息 </t>
    </r>
    <r>
      <rPr>
        <sz val="10"/>
        <color rgb="FF000000"/>
        <rFont val="ＭＳ 明朝"/>
        <family val="1"/>
        <charset val="128"/>
      </rPr>
      <t xml:space="preserve">= </t>
    </r>
    <r>
      <rPr>
        <sz val="10"/>
        <color rgb="FF000000"/>
        <rFont val="WenQuanYi Zen Hei"/>
        <family val="2"/>
      </rPr>
      <t xml:space="preserve">借入額 </t>
    </r>
    <r>
      <rPr>
        <sz val="10"/>
        <color rgb="FF000000"/>
        <rFont val="ＭＳ 明朝"/>
        <family val="1"/>
        <charset val="128"/>
      </rPr>
      <t xml:space="preserve">× </t>
    </r>
    <r>
      <rPr>
        <sz val="10"/>
        <color rgb="FF000000"/>
        <rFont val="WenQuanYi Zen Hei"/>
        <family val="2"/>
      </rPr>
      <t xml:space="preserve">月利。元金 </t>
    </r>
    <r>
      <rPr>
        <sz val="10"/>
        <color rgb="FF000000"/>
        <rFont val="ＭＳ 明朝"/>
        <family val="1"/>
        <charset val="128"/>
      </rPr>
      <t xml:space="preserve">= </t>
    </r>
    <r>
      <rPr>
        <sz val="10"/>
        <color rgb="FF000000"/>
        <rFont val="WenQuanYi Zen Hei"/>
        <family val="2"/>
      </rPr>
      <t xml:space="preserve">返済額 − 利息。残高 </t>
    </r>
    <r>
      <rPr>
        <sz val="10"/>
        <color rgb="FF000000"/>
        <rFont val="ＭＳ 明朝"/>
        <family val="1"/>
        <charset val="128"/>
      </rPr>
      <t xml:space="preserve">= </t>
    </r>
    <r>
      <rPr>
        <sz val="10"/>
        <color rgb="FF000000"/>
        <rFont val="WenQuanYi Zen Hei"/>
        <family val="2"/>
      </rPr>
      <t>借入額 − 元金。</t>
    </r>
    <r>
      <rPr>
        <sz val="10"/>
        <color rgb="FF000000"/>
        <rFont val="ＭＳ 明朝"/>
        <family val="1"/>
        <charset val="128"/>
      </rPr>
      <t>2</t>
    </r>
    <r>
      <rPr>
        <sz val="10"/>
        <color rgb="FF000000"/>
        <rFont val="WenQuanYi Zen Hei"/>
        <family val="2"/>
      </rPr>
      <t>回目以降も、前月の残高で同じ計算を繰り返します。</t>
    </r>
  </si>
  <si>
    <r>
      <rPr>
        <sz val="10"/>
        <color rgb="FF000000"/>
        <rFont val="WenQuanYi Zen Hei"/>
        <family val="2"/>
      </rPr>
      <t>最終回</t>
    </r>
    <r>
      <rPr>
        <sz val="10"/>
        <color rgb="FF000000"/>
        <rFont val="ＭＳ 明朝"/>
        <family val="1"/>
        <charset val="128"/>
      </rPr>
      <t>:</t>
    </r>
    <r>
      <rPr>
        <sz val="10"/>
        <color rgb="FF000000"/>
        <rFont val="WenQuanYi Zen Hei"/>
        <family val="2"/>
      </rPr>
      <t>残っている元金と利息を全部払います。円未満の端数は、ここで調整します</t>
    </r>
    <r>
      <rPr>
        <sz val="10"/>
        <color rgb="FF000000"/>
        <rFont val="ＭＳ 明朝"/>
        <family val="1"/>
        <charset val="128"/>
      </rPr>
      <t>(</t>
    </r>
    <r>
      <rPr>
        <sz val="10"/>
        <color rgb="FF000000"/>
        <rFont val="WenQuanYi Zen Hei"/>
        <family val="2"/>
      </rPr>
      <t>最終回だけ返済額が変わります</t>
    </r>
    <r>
      <rPr>
        <sz val="10"/>
        <color rgb="FF000000"/>
        <rFont val="ＭＳ 明朝"/>
        <family val="1"/>
        <charset val="128"/>
      </rPr>
      <t>)</t>
    </r>
    <r>
      <rPr>
        <sz val="10"/>
        <color rgb="FF000000"/>
        <rFont val="WenQuanYi Zen Hei"/>
        <family val="2"/>
      </rPr>
      <t>。</t>
    </r>
  </si>
  <si>
    <t>利率を直したときは、下の黄色のセルに「共済組合の償還表の毎月償還額」を入力し、判定が「○ 一致」になることを確認します。</t>
  </si>
  <si>
    <t>利率の種類</t>
  </si>
  <si>
    <t>普通・特別</t>
  </si>
  <si>
    <r>
      <rPr>
        <i/>
        <sz val="9"/>
        <color rgb="FF595959"/>
        <rFont val="WenQuanYi Zen Hei"/>
        <family val="2"/>
      </rPr>
      <t>一覧から選ぶ</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住宅</t>
    </r>
    <r>
      <rPr>
        <i/>
        <sz val="9"/>
        <color rgb="FF595959"/>
        <rFont val="ＭＳ 明朝"/>
        <family val="1"/>
        <charset val="128"/>
      </rPr>
      <t>/</t>
    </r>
    <r>
      <rPr>
        <i/>
        <sz val="9"/>
        <color rgb="FF595959"/>
        <rFont val="WenQuanYi Zen Hei"/>
        <family val="2"/>
      </rPr>
      <t>災害</t>
    </r>
    <r>
      <rPr>
        <i/>
        <sz val="9"/>
        <color rgb="FF595959"/>
        <rFont val="ＭＳ 明朝"/>
        <family val="1"/>
        <charset val="128"/>
      </rPr>
      <t>)</t>
    </r>
  </si>
  <si>
    <r>
      <rPr>
        <sz val="10"/>
        <color rgb="FF000000"/>
        <rFont val="WenQuanYi Zen Hei"/>
        <family val="2"/>
      </rPr>
      <t>貸付金額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</si>
  <si>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例</t>
    </r>
    <r>
      <rPr>
        <i/>
        <sz val="9"/>
        <color rgb="FF595959"/>
        <rFont val="ＭＳ 明朝"/>
        <family val="1"/>
        <charset val="128"/>
      </rPr>
      <t>)150</t>
    </r>
  </si>
  <si>
    <r>
      <rPr>
        <i/>
        <sz val="9"/>
        <color rgb="FF595959"/>
        <rFont val="WenQuanYi Zen Hei"/>
        <family val="2"/>
      </rPr>
      <t>例</t>
    </r>
    <r>
      <rPr>
        <i/>
        <sz val="9"/>
        <color rgb="FF595959"/>
        <rFont val="ＭＳ 明朝"/>
        <family val="1"/>
        <charset val="128"/>
      </rPr>
      <t>)60</t>
    </r>
  </si>
  <si>
    <r>
      <rPr>
        <sz val="10"/>
        <color rgb="FF000000"/>
        <rFont val="WenQuanYi Zen Hei"/>
        <family val="2"/>
      </rPr>
      <t>共済組合の償還表の毎月償還額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</si>
  <si>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共済組合の償還表の値を入力する</t>
    </r>
    <r>
      <rPr>
        <i/>
        <sz val="9"/>
        <color rgb="FF595959"/>
        <rFont val="ＭＳ 明朝"/>
        <family val="1"/>
        <charset val="128"/>
      </rPr>
      <t>(</t>
    </r>
    <r>
      <rPr>
        <i/>
        <sz val="9"/>
        <color rgb="FF595959"/>
        <rFont val="WenQuanYi Zen Hei"/>
        <family val="2"/>
      </rPr>
      <t>空欄でもよい</t>
    </r>
    <r>
      <rPr>
        <i/>
        <sz val="9"/>
        <color rgb="FF595959"/>
        <rFont val="ＭＳ 明朝"/>
        <family val="1"/>
        <charset val="128"/>
      </rPr>
      <t>)</t>
    </r>
  </si>
  <si>
    <t>年利</t>
  </si>
  <si>
    <t>マスタの利率</t>
  </si>
  <si>
    <r>
      <rPr>
        <sz val="10"/>
        <color rgb="FF000000"/>
        <rFont val="WenQuanYi Zen Hei"/>
        <family val="2"/>
      </rPr>
      <t>月利</t>
    </r>
    <r>
      <rPr>
        <sz val="10"/>
        <color rgb="FF000000"/>
        <rFont val="ＭＳ 明朝"/>
        <family val="1"/>
        <charset val="128"/>
      </rPr>
      <t>(</t>
    </r>
    <r>
      <rPr>
        <sz val="10"/>
        <color rgb="FF000000"/>
        <rFont val="WenQuanYi Zen Hei"/>
        <family val="2"/>
      </rPr>
      <t xml:space="preserve">年利 </t>
    </r>
    <r>
      <rPr>
        <sz val="10"/>
        <color rgb="FF000000"/>
        <rFont val="ＭＳ 明朝"/>
        <family val="1"/>
        <charset val="128"/>
      </rPr>
      <t>÷ 12)</t>
    </r>
  </si>
  <si>
    <r>
      <rPr>
        <i/>
        <sz val="9"/>
        <color rgb="FF595959"/>
        <rFont val="WenQuanYi Zen Hei"/>
        <family val="2"/>
      </rPr>
      <t>年利を</t>
    </r>
    <r>
      <rPr>
        <i/>
        <sz val="9"/>
        <color rgb="FF595959"/>
        <rFont val="ＭＳ 明朝"/>
        <family val="1"/>
        <charset val="128"/>
      </rPr>
      <t>12</t>
    </r>
    <r>
      <rPr>
        <i/>
        <sz val="9"/>
        <color rgb="FF595959"/>
        <rFont val="WenQuanYi Zen Hei"/>
        <family val="2"/>
      </rPr>
      <t>で割った値</t>
    </r>
  </si>
  <si>
    <r>
      <rPr>
        <sz val="10"/>
        <color rgb="FF000000"/>
        <rFont val="WenQuanYi Zen Hei"/>
        <family val="2"/>
      </rPr>
      <t>毎月償還額</t>
    </r>
    <r>
      <rPr>
        <sz val="10"/>
        <color rgb="FF000000"/>
        <rFont val="ＭＳ 明朝"/>
        <family val="1"/>
        <charset val="128"/>
      </rPr>
      <t>(PMT</t>
    </r>
    <r>
      <rPr>
        <sz val="10"/>
        <color rgb="FF000000"/>
        <rFont val="WenQuanYi Zen Hei"/>
        <family val="2"/>
      </rPr>
      <t>の結果</t>
    </r>
    <r>
      <rPr>
        <sz val="10"/>
        <color rgb="FF000000"/>
        <rFont val="ＭＳ 明朝"/>
        <family val="1"/>
        <charset val="128"/>
      </rPr>
      <t>)</t>
    </r>
  </si>
  <si>
    <t>円未満を丸める前の値</t>
  </si>
  <si>
    <r>
      <rPr>
        <sz val="10"/>
        <color rgb="FF000000"/>
        <rFont val="WenQuanYi Zen Hei"/>
        <family val="2"/>
      </rPr>
      <t>毎月償還額</t>
    </r>
    <r>
      <rPr>
        <sz val="10"/>
        <color rgb="FF000000"/>
        <rFont val="ＭＳ 明朝"/>
        <family val="1"/>
        <charset val="128"/>
      </rPr>
      <t>(</t>
    </r>
    <r>
      <rPr>
        <sz val="10"/>
        <color rgb="FF000000"/>
        <rFont val="WenQuanYi Zen Hei"/>
        <family val="2"/>
      </rPr>
      <t>端数処理後</t>
    </r>
    <r>
      <rPr>
        <sz val="10"/>
        <color rgb="FF000000"/>
        <rFont val="ＭＳ 明朝"/>
        <family val="1"/>
        <charset val="128"/>
      </rPr>
      <t>)</t>
    </r>
  </si>
  <si>
    <r>
      <rPr>
        <i/>
        <sz val="9"/>
        <color rgb="FF595959"/>
        <rFont val="WenQuanYi Zen Hei"/>
        <family val="2"/>
      </rPr>
      <t>マスタ「毎月償還額の端数処理」の設定どおりに丸めた値</t>
    </r>
    <r>
      <rPr>
        <i/>
        <sz val="9"/>
        <color rgb="FF595959"/>
        <rFont val="ＭＳ 明朝"/>
        <family val="1"/>
        <charset val="128"/>
      </rPr>
      <t>(</t>
    </r>
    <r>
      <rPr>
        <i/>
        <sz val="9"/>
        <color rgb="FF595959"/>
        <rFont val="WenQuanYi Zen Hei"/>
        <family val="2"/>
      </rPr>
      <t>画面と同じ</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</si>
  <si>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回目の利息</t>
    </r>
  </si>
  <si>
    <r>
      <rPr>
        <i/>
        <sz val="9"/>
        <color rgb="FF595959"/>
        <rFont val="WenQuanYi Zen Hei"/>
        <family val="2"/>
      </rPr>
      <t xml:space="preserve">借入額 </t>
    </r>
    <r>
      <rPr>
        <i/>
        <sz val="9"/>
        <color rgb="FF595959"/>
        <rFont val="ＭＳ 明朝"/>
        <family val="1"/>
        <charset val="128"/>
      </rPr>
      <t xml:space="preserve">× </t>
    </r>
    <r>
      <rPr>
        <i/>
        <sz val="9"/>
        <color rgb="FF595959"/>
        <rFont val="WenQuanYi Zen Hei"/>
        <family val="2"/>
      </rPr>
      <t>月利</t>
    </r>
    <r>
      <rPr>
        <i/>
        <sz val="9"/>
        <color rgb="FF595959"/>
        <rFont val="ＭＳ 明朝"/>
        <family val="1"/>
        <charset val="128"/>
      </rPr>
      <t>(</t>
    </r>
    <r>
      <rPr>
        <i/>
        <sz val="9"/>
        <color rgb="FF595959"/>
        <rFont val="WenQuanYi Zen Hei"/>
        <family val="2"/>
      </rPr>
      <t>マスタ「利息の端数処理」の設定どおり</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</si>
  <si>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回目の元金</t>
    </r>
  </si>
  <si>
    <t>毎月償還額 − 利息</t>
  </si>
  <si>
    <r>
      <rPr>
        <sz val="10"/>
        <color rgb="FF000000"/>
        <rFont val="ＭＳ 明朝"/>
        <family val="1"/>
        <charset val="128"/>
      </rPr>
      <t>1</t>
    </r>
    <r>
      <rPr>
        <sz val="10"/>
        <color rgb="FF000000"/>
        <rFont val="WenQuanYi Zen Hei"/>
        <family val="2"/>
      </rPr>
      <t>回目の返済後の残高</t>
    </r>
  </si>
  <si>
    <t>借入額 − 元金。これを回数分くり返し、最終回で残りを全部払う</t>
  </si>
  <si>
    <t>共済組合の償還表との差</t>
  </si>
  <si>
    <t>共済組合の値 − このブックの値</t>
  </si>
  <si>
    <t>判定</t>
  </si>
  <si>
    <t>「○ 一致」になるまで、利率や端数処理を見直す</t>
  </si>
  <si>
    <r>
      <rPr>
        <b/>
        <sz val="10"/>
        <color rgb="FF000000"/>
        <rFont val="ＭＳ 明朝"/>
        <family val="1"/>
        <charset val="128"/>
      </rPr>
      <t xml:space="preserve">4 </t>
    </r>
    <r>
      <rPr>
        <b/>
        <sz val="10"/>
        <color rgb="FF000000"/>
        <rFont val="WenQuanYi Zen Hei"/>
        <family val="2"/>
      </rPr>
      <t>改定履歴</t>
    </r>
    <r>
      <rPr>
        <b/>
        <sz val="10"/>
        <color rgb="FF000000"/>
        <rFont val="ＭＳ 明朝"/>
        <family val="1"/>
        <charset val="128"/>
      </rPr>
      <t>(</t>
    </r>
    <r>
      <rPr>
        <b/>
        <sz val="10"/>
        <color rgb="FF000000"/>
        <rFont val="WenQuanYi Zen Hei"/>
        <family val="2"/>
      </rPr>
      <t>変更したら記録します</t>
    </r>
    <r>
      <rPr>
        <b/>
        <sz val="10"/>
        <color rgb="FF000000"/>
        <rFont val="ＭＳ 明朝"/>
        <family val="1"/>
        <charset val="128"/>
      </rPr>
      <t>)</t>
    </r>
  </si>
  <si>
    <t>日付</t>
  </si>
  <si>
    <t>変更した人</t>
  </si>
  <si>
    <r>
      <rPr>
        <b/>
        <sz val="10"/>
        <color rgb="FF000000"/>
        <rFont val="WenQuanYi Zen Hei"/>
        <family val="2"/>
      </rPr>
      <t>変更内容</t>
    </r>
    <r>
      <rPr>
        <b/>
        <sz val="10"/>
        <color rgb="FF000000"/>
        <rFont val="ＭＳ 明朝"/>
        <family val="1"/>
        <charset val="128"/>
      </rPr>
      <t>(</t>
    </r>
    <r>
      <rPr>
        <b/>
        <sz val="10"/>
        <color rgb="FF000000"/>
        <rFont val="WenQuanYi Zen Hei"/>
        <family val="2"/>
      </rPr>
      <t>例 利率</t>
    </r>
    <r>
      <rPr>
        <b/>
        <sz val="10"/>
        <color rgb="FF000000"/>
        <rFont val="ＭＳ 明朝"/>
        <family val="1"/>
        <charset val="128"/>
      </rPr>
      <t>1.26%</t>
    </r>
    <r>
      <rPr>
        <b/>
        <sz val="10"/>
        <color rgb="FF000000"/>
        <rFont val="WenQuanYi Zen Hei"/>
        <family val="2"/>
      </rPr>
      <t>を</t>
    </r>
    <r>
      <rPr>
        <b/>
        <sz val="10"/>
        <color rgb="FF000000"/>
        <rFont val="ＭＳ 明朝"/>
        <family val="1"/>
        <charset val="128"/>
      </rPr>
      <t>1.30%</t>
    </r>
    <r>
      <rPr>
        <b/>
        <sz val="10"/>
        <color rgb="FF000000"/>
        <rFont val="WenQuanYi Zen Hei"/>
        <family val="2"/>
      </rPr>
      <t>に変更</t>
    </r>
    <r>
      <rPr>
        <b/>
        <sz val="10"/>
        <color rgb="FF000000"/>
        <rFont val="ＭＳ 明朝"/>
        <family val="1"/>
        <charset val="128"/>
      </rPr>
      <t>)</t>
    </r>
  </si>
  <si>
    <r>
      <rPr>
        <b/>
        <sz val="10"/>
        <color rgb="FF000000"/>
        <rFont val="WenQuanYi Zen Hei"/>
        <family val="2"/>
      </rPr>
      <t>確認方法</t>
    </r>
    <r>
      <rPr>
        <b/>
        <sz val="10"/>
        <color rgb="FF000000"/>
        <rFont val="ＭＳ 明朝"/>
        <family val="1"/>
        <charset val="128"/>
      </rPr>
      <t>(</t>
    </r>
    <r>
      <rPr>
        <b/>
        <sz val="10"/>
        <color rgb="FF000000"/>
        <rFont val="WenQuanYi Zen Hei"/>
        <family val="2"/>
      </rPr>
      <t>例 検算で一致</t>
    </r>
    <r>
      <rPr>
        <b/>
        <sz val="10"/>
        <color rgb="FF000000"/>
        <rFont val="ＭＳ 明朝"/>
        <family val="1"/>
        <charset val="128"/>
      </rPr>
      <t>)</t>
    </r>
  </si>
  <si>
    <r>
      <rPr>
        <b/>
        <sz val="10"/>
        <color rgb="FF000000"/>
        <rFont val="ＭＳ 明朝"/>
        <family val="1"/>
        <charset val="128"/>
      </rPr>
      <t xml:space="preserve">5 </t>
    </r>
    <r>
      <rPr>
        <b/>
        <sz val="10"/>
        <color rgb="FF000000"/>
        <rFont val="WenQuanYi Zen Hei"/>
        <family val="2"/>
      </rPr>
      <t>名前の一覧</t>
    </r>
  </si>
  <si>
    <r>
      <rPr>
        <sz val="9"/>
        <color rgb="FF595959"/>
        <rFont val="WenQuanYi Zen Hei"/>
        <family val="2"/>
      </rPr>
      <t>数式ではセル番地の代わりに次の名前を使っています。入力</t>
    </r>
    <r>
      <rPr>
        <sz val="9"/>
        <color rgb="FF595959"/>
        <rFont val="ＭＳ 明朝"/>
        <family val="1"/>
        <charset val="128"/>
      </rPr>
      <t>_=</t>
    </r>
    <r>
      <rPr>
        <sz val="9"/>
        <color rgb="FF595959"/>
        <rFont val="WenQuanYi Zen Hei"/>
        <family val="2"/>
      </rPr>
      <t xml:space="preserve">申込シミュレーションの入力 </t>
    </r>
    <r>
      <rPr>
        <sz val="9"/>
        <color rgb="FF595959"/>
        <rFont val="ＭＳ 明朝"/>
        <family val="1"/>
        <charset val="128"/>
      </rPr>
      <t xml:space="preserve">/ </t>
    </r>
    <r>
      <rPr>
        <sz val="9"/>
        <color rgb="FF595959"/>
        <rFont val="WenQuanYi Zen Hei"/>
        <family val="2"/>
      </rPr>
      <t>設定</t>
    </r>
    <r>
      <rPr>
        <sz val="9"/>
        <color rgb="FF595959"/>
        <rFont val="ＭＳ 明朝"/>
        <family val="1"/>
        <charset val="128"/>
      </rPr>
      <t>_=</t>
    </r>
    <r>
      <rPr>
        <sz val="9"/>
        <color rgb="FF595959"/>
        <rFont val="WenQuanYi Zen Hei"/>
        <family val="2"/>
      </rPr>
      <t xml:space="preserve">マスタの数値 </t>
    </r>
    <r>
      <rPr>
        <sz val="9"/>
        <color rgb="FF595959"/>
        <rFont val="ＭＳ 明朝"/>
        <family val="1"/>
        <charset val="128"/>
      </rPr>
      <t xml:space="preserve">/ </t>
    </r>
    <r>
      <rPr>
        <sz val="9"/>
        <color rgb="FF595959"/>
        <rFont val="WenQuanYi Zen Hei"/>
        <family val="2"/>
      </rPr>
      <t>区分表</t>
    </r>
    <r>
      <rPr>
        <sz val="9"/>
        <color rgb="FF595959"/>
        <rFont val="ＭＳ 明朝"/>
        <family val="1"/>
        <charset val="128"/>
      </rPr>
      <t>_</t>
    </r>
    <r>
      <rPr>
        <sz val="9"/>
        <color rgb="FF595959"/>
        <rFont val="WenQuanYi Zen Hei"/>
        <family val="2"/>
      </rPr>
      <t>・表</t>
    </r>
    <r>
      <rPr>
        <sz val="9"/>
        <color rgb="FF595959"/>
        <rFont val="ＭＳ 明朝"/>
        <family val="1"/>
        <charset val="128"/>
      </rPr>
      <t>_=</t>
    </r>
    <r>
      <rPr>
        <sz val="9"/>
        <color rgb="FF595959"/>
        <rFont val="WenQuanYi Zen Hei"/>
        <family val="2"/>
      </rPr>
      <t xml:space="preserve">マスタの表 </t>
    </r>
    <r>
      <rPr>
        <sz val="9"/>
        <color rgb="FF595959"/>
        <rFont val="ＭＳ 明朝"/>
        <family val="1"/>
        <charset val="128"/>
      </rPr>
      <t xml:space="preserve">/ </t>
    </r>
    <r>
      <rPr>
        <sz val="9"/>
        <color rgb="FF595959"/>
        <rFont val="WenQuanYi Zen Hei"/>
        <family val="2"/>
      </rPr>
      <t>定数</t>
    </r>
    <r>
      <rPr>
        <sz val="9"/>
        <color rgb="FF595959"/>
        <rFont val="ＭＳ 明朝"/>
        <family val="1"/>
        <charset val="128"/>
      </rPr>
      <t>_=</t>
    </r>
    <r>
      <rPr>
        <sz val="9"/>
        <color rgb="FF595959"/>
        <rFont val="WenQuanYi Zen Hei"/>
        <family val="2"/>
      </rPr>
      <t xml:space="preserve">意味のある定数 </t>
    </r>
    <r>
      <rPr>
        <sz val="9"/>
        <color rgb="FF595959"/>
        <rFont val="ＭＳ 明朝"/>
        <family val="1"/>
        <charset val="128"/>
      </rPr>
      <t xml:space="preserve">/ </t>
    </r>
    <r>
      <rPr>
        <sz val="9"/>
        <color rgb="FF595959"/>
        <rFont val="WenQuanYi Zen Hei"/>
        <family val="2"/>
      </rPr>
      <t>計算</t>
    </r>
    <r>
      <rPr>
        <sz val="9"/>
        <color rgb="FF595959"/>
        <rFont val="ＭＳ 明朝"/>
        <family val="1"/>
        <charset val="128"/>
      </rPr>
      <t>_=</t>
    </r>
    <r>
      <rPr>
        <sz val="9"/>
        <color rgb="FF595959"/>
        <rFont val="WenQuanYi Zen Hei"/>
        <family val="2"/>
      </rPr>
      <t xml:space="preserve">計算過程の値 </t>
    </r>
    <r>
      <rPr>
        <sz val="9"/>
        <color rgb="FF595959"/>
        <rFont val="ＭＳ 明朝"/>
        <family val="1"/>
        <charset val="128"/>
      </rPr>
      <t xml:space="preserve">/ </t>
    </r>
    <r>
      <rPr>
        <sz val="9"/>
        <color rgb="FF595959"/>
        <rFont val="WenQuanYi Zen Hei"/>
        <family val="2"/>
      </rPr>
      <t>判定</t>
    </r>
    <r>
      <rPr>
        <sz val="9"/>
        <color rgb="FF595959"/>
        <rFont val="ＭＳ 明朝"/>
        <family val="1"/>
        <charset val="128"/>
      </rPr>
      <t>_=</t>
    </r>
    <r>
      <rPr>
        <sz val="9"/>
        <color rgb="FF595959"/>
        <rFont val="WenQuanYi Zen Hei"/>
        <family val="2"/>
      </rPr>
      <t>チェック結果</t>
    </r>
    <r>
      <rPr>
        <sz val="9"/>
        <color rgb="FF595959"/>
        <rFont val="ＭＳ 明朝"/>
        <family val="1"/>
        <charset val="128"/>
      </rPr>
      <t>(1=</t>
    </r>
    <r>
      <rPr>
        <sz val="9"/>
        <color rgb="FF595959"/>
        <rFont val="WenQuanYi Zen Hei"/>
        <family val="2"/>
      </rPr>
      <t xml:space="preserve">適合 </t>
    </r>
    <r>
      <rPr>
        <sz val="9"/>
        <color rgb="FF595959"/>
        <rFont val="ＭＳ 明朝"/>
        <family val="1"/>
        <charset val="128"/>
      </rPr>
      <t>0=</t>
    </r>
    <r>
      <rPr>
        <sz val="9"/>
        <color rgb="FF595959"/>
        <rFont val="WenQuanYi Zen Hei"/>
        <family val="2"/>
      </rPr>
      <t xml:space="preserve">不適合 </t>
    </r>
    <r>
      <rPr>
        <sz val="9"/>
        <color rgb="FF595959"/>
        <rFont val="ＭＳ 明朝"/>
        <family val="1"/>
        <charset val="128"/>
      </rPr>
      <t>2=</t>
    </r>
    <r>
      <rPr>
        <sz val="9"/>
        <color rgb="FF595959"/>
        <rFont val="WenQuanYi Zen Hei"/>
        <family val="2"/>
      </rPr>
      <t xml:space="preserve">要確認 </t>
    </r>
    <r>
      <rPr>
        <sz val="9"/>
        <color rgb="FF595959"/>
        <rFont val="ＭＳ 明朝"/>
        <family val="1"/>
        <charset val="128"/>
      </rPr>
      <t>3=</t>
    </r>
    <r>
      <rPr>
        <sz val="9"/>
        <color rgb="FF595959"/>
        <rFont val="WenQuanYi Zen Hei"/>
        <family val="2"/>
      </rPr>
      <t>対象外</t>
    </r>
    <r>
      <rPr>
        <sz val="9"/>
        <color rgb="FF595959"/>
        <rFont val="ＭＳ 明朝"/>
        <family val="1"/>
        <charset val="128"/>
      </rPr>
      <t>)</t>
    </r>
    <r>
      <rPr>
        <sz val="9"/>
        <color rgb="FF595959"/>
        <rFont val="WenQuanYi Zen Hei"/>
        <family val="2"/>
      </rPr>
      <t>。数式は「数式」タブの「名前の管理」でも確認できます。</t>
    </r>
  </si>
  <si>
    <t>名前</t>
  </si>
  <si>
    <t>種類</t>
  </si>
  <si>
    <t>参照先</t>
  </si>
  <si>
    <t>内容</t>
  </si>
  <si>
    <r>
      <rPr>
        <sz val="9"/>
        <color rgb="FF000000"/>
        <rFont val="WenQuanYi Zen Hei"/>
        <family val="2"/>
      </rPr>
      <t>入力</t>
    </r>
    <r>
      <rPr>
        <sz val="9"/>
        <color rgb="FF000000"/>
        <rFont val="ＭＳ 明朝"/>
        <family val="1"/>
        <charset val="128"/>
      </rPr>
      <t>_</t>
    </r>
    <r>
      <rPr>
        <sz val="9"/>
        <color rgb="FF000000"/>
        <rFont val="WenQuanYi Zen Hei"/>
        <family val="2"/>
      </rPr>
      <t>所属区分</t>
    </r>
  </si>
  <si>
    <t>入力</t>
  </si>
  <si>
    <r>
      <rPr>
        <sz val="9"/>
        <color rgb="FF000000"/>
        <rFont val="WenQuanYi Zen Hei"/>
        <family val="2"/>
      </rPr>
      <t>申込シミュレーション</t>
    </r>
    <r>
      <rPr>
        <sz val="9"/>
        <color rgb="FF000000"/>
        <rFont val="ＭＳ 明朝"/>
        <family val="1"/>
        <charset val="128"/>
      </rPr>
      <t>!$C$6</t>
    </r>
  </si>
  <si>
    <r>
      <rPr>
        <sz val="9"/>
        <color rgb="FF000000"/>
        <rFont val="WenQuanYi Zen Hei"/>
        <family val="2"/>
      </rPr>
      <t>入力</t>
    </r>
    <r>
      <rPr>
        <sz val="9"/>
        <color rgb="FF000000"/>
        <rFont val="ＭＳ 明朝"/>
        <family val="1"/>
        <charset val="128"/>
      </rPr>
      <t>_</t>
    </r>
    <r>
      <rPr>
        <sz val="9"/>
        <color rgb="FF000000"/>
        <rFont val="WenQuanYi Zen Hei"/>
        <family val="2"/>
      </rPr>
      <t>所属名</t>
    </r>
  </si>
  <si>
    <r>
      <rPr>
        <sz val="9"/>
        <color rgb="FF000000"/>
        <rFont val="WenQuanYi Zen Hei"/>
        <family val="2"/>
      </rPr>
      <t>申込シミュレーション</t>
    </r>
    <r>
      <rPr>
        <sz val="9"/>
        <color rgb="FF000000"/>
        <rFont val="ＭＳ 明朝"/>
        <family val="1"/>
        <charset val="128"/>
      </rPr>
      <t>!$C$7</t>
    </r>
  </si>
  <si>
    <r>
      <rPr>
        <sz val="9"/>
        <color rgb="FF000000"/>
        <rFont val="WenQuanYi Zen Hei"/>
        <family val="2"/>
      </rPr>
      <t>入力</t>
    </r>
    <r>
      <rPr>
        <sz val="9"/>
        <color rgb="FF000000"/>
        <rFont val="ＭＳ 明朝"/>
        <family val="1"/>
        <charset val="128"/>
      </rPr>
      <t>_</t>
    </r>
    <r>
      <rPr>
        <sz val="9"/>
        <color rgb="FF000000"/>
        <rFont val="WenQuanYi Zen Hei"/>
        <family val="2"/>
      </rPr>
      <t>氏名</t>
    </r>
  </si>
  <si>
    <r>
      <rPr>
        <sz val="9"/>
        <color rgb="FF000000"/>
        <rFont val="WenQuanYi Zen Hei"/>
        <family val="2"/>
      </rPr>
      <t>申込シミュレーション</t>
    </r>
    <r>
      <rPr>
        <sz val="9"/>
        <color rgb="FF000000"/>
        <rFont val="ＭＳ 明朝"/>
        <family val="1"/>
        <charset val="128"/>
      </rPr>
      <t>!$C$8</t>
    </r>
  </si>
  <si>
    <r>
      <rPr>
        <sz val="9"/>
        <color rgb="FF000000"/>
        <rFont val="WenQuanYi Zen Hei"/>
        <family val="2"/>
      </rPr>
      <t>入力</t>
    </r>
    <r>
      <rPr>
        <sz val="9"/>
        <color rgb="FF000000"/>
        <rFont val="ＭＳ 明朝"/>
        <family val="1"/>
        <charset val="128"/>
      </rPr>
      <t>_</t>
    </r>
    <r>
      <rPr>
        <sz val="9"/>
        <color rgb="FF000000"/>
        <rFont val="WenQuanYi Zen Hei"/>
        <family val="2"/>
      </rPr>
      <t>貸付区分</t>
    </r>
  </si>
  <si>
    <r>
      <rPr>
        <sz val="9"/>
        <color rgb="FF000000"/>
        <rFont val="WenQuanYi Zen Hei"/>
        <family val="2"/>
      </rPr>
      <t>申込シミュレーション</t>
    </r>
    <r>
      <rPr>
        <sz val="9"/>
        <color rgb="FF000000"/>
        <rFont val="ＭＳ 明朝"/>
        <family val="1"/>
        <charset val="128"/>
      </rPr>
      <t>!$C$9</t>
    </r>
  </si>
  <si>
    <r>
      <rPr>
        <sz val="9"/>
        <color rgb="FF000000"/>
        <rFont val="WenQuanYi Zen Hei"/>
        <family val="2"/>
      </rPr>
      <t>入力</t>
    </r>
    <r>
      <rPr>
        <sz val="9"/>
        <color rgb="FF000000"/>
        <rFont val="ＭＳ 明朝"/>
        <family val="1"/>
        <charset val="128"/>
      </rPr>
      <t>_</t>
    </r>
    <r>
      <rPr>
        <sz val="9"/>
        <color rgb="FF000000"/>
        <rFont val="WenQuanYi Zen Hei"/>
        <family val="2"/>
      </rPr>
      <t>申込予定日</t>
    </r>
  </si>
  <si>
    <r>
      <rPr>
        <sz val="9"/>
        <color rgb="FF000000"/>
        <rFont val="WenQuanYi Zen Hei"/>
        <family val="2"/>
      </rPr>
      <t>申込シミュレーション</t>
    </r>
    <r>
      <rPr>
        <sz val="9"/>
        <color rgb="FF000000"/>
        <rFont val="ＭＳ 明朝"/>
        <family val="1"/>
        <charset val="128"/>
      </rPr>
      <t>!$C$10</t>
    </r>
  </si>
  <si>
    <r>
      <rPr>
        <sz val="9"/>
        <color rgb="FF000000"/>
        <rFont val="WenQuanYi Zen Hei"/>
        <family val="2"/>
      </rPr>
      <t>入力</t>
    </r>
    <r>
      <rPr>
        <sz val="9"/>
        <color rgb="FF000000"/>
        <rFont val="ＭＳ 明朝"/>
        <family val="1"/>
        <charset val="128"/>
      </rPr>
      <t>_</t>
    </r>
    <r>
      <rPr>
        <sz val="9"/>
        <color rgb="FF000000"/>
        <rFont val="WenQuanYi Zen Hei"/>
        <family val="2"/>
      </rPr>
      <t>資格取得日</t>
    </r>
  </si>
  <si>
    <r>
      <rPr>
        <sz val="9"/>
        <color rgb="FF000000"/>
        <rFont val="WenQuanYi Zen Hei"/>
        <family val="2"/>
      </rPr>
      <t>申込シミュレーション</t>
    </r>
    <r>
      <rPr>
        <sz val="9"/>
        <color rgb="FF000000"/>
        <rFont val="ＭＳ 明朝"/>
        <family val="1"/>
        <charset val="128"/>
      </rPr>
      <t>!$C$11</t>
    </r>
  </si>
  <si>
    <r>
      <rPr>
        <sz val="9"/>
        <color rgb="FF000000"/>
        <rFont val="WenQuanYi Zen Hei"/>
        <family val="2"/>
      </rPr>
      <t>入力</t>
    </r>
    <r>
      <rPr>
        <sz val="9"/>
        <color rgb="FF000000"/>
        <rFont val="ＭＳ 明朝"/>
        <family val="1"/>
        <charset val="128"/>
      </rPr>
      <t>_</t>
    </r>
    <r>
      <rPr>
        <sz val="9"/>
        <color rgb="FF000000"/>
        <rFont val="WenQuanYi Zen Hei"/>
        <family val="2"/>
      </rPr>
      <t>給料月額</t>
    </r>
  </si>
  <si>
    <r>
      <rPr>
        <sz val="9"/>
        <color rgb="FF000000"/>
        <rFont val="WenQuanYi Zen Hei"/>
        <family val="2"/>
      </rPr>
      <t>申込シミュレーション</t>
    </r>
    <r>
      <rPr>
        <sz val="9"/>
        <color rgb="FF000000"/>
        <rFont val="ＭＳ 明朝"/>
        <family val="1"/>
        <charset val="128"/>
      </rPr>
      <t>!$C$12</t>
    </r>
  </si>
  <si>
    <r>
      <rPr>
        <sz val="9"/>
        <color rgb="FF000000"/>
        <rFont val="WenQuanYi Zen Hei"/>
        <family val="2"/>
      </rPr>
      <t>入力</t>
    </r>
    <r>
      <rPr>
        <sz val="9"/>
        <color rgb="FF000000"/>
        <rFont val="ＭＳ 明朝"/>
        <family val="1"/>
        <charset val="128"/>
      </rPr>
      <t>_</t>
    </r>
    <r>
      <rPr>
        <sz val="9"/>
        <color rgb="FF000000"/>
        <rFont val="WenQuanYi Zen Hei"/>
        <family val="2"/>
      </rPr>
      <t>事由発生日</t>
    </r>
  </si>
  <si>
    <r>
      <rPr>
        <sz val="9"/>
        <color rgb="FF000000"/>
        <rFont val="WenQuanYi Zen Hei"/>
        <family val="2"/>
      </rPr>
      <t>申込シミュレーション</t>
    </r>
    <r>
      <rPr>
        <sz val="9"/>
        <color rgb="FF000000"/>
        <rFont val="ＭＳ 明朝"/>
        <family val="1"/>
        <charset val="128"/>
      </rPr>
      <t>!$C$13</t>
    </r>
  </si>
  <si>
    <r>
      <rPr>
        <sz val="9"/>
        <color rgb="FF000000"/>
        <rFont val="WenQuanYi Zen Hei"/>
        <family val="2"/>
      </rPr>
      <t>入力</t>
    </r>
    <r>
      <rPr>
        <sz val="9"/>
        <color rgb="FF000000"/>
        <rFont val="ＭＳ 明朝"/>
        <family val="1"/>
        <charset val="128"/>
      </rPr>
      <t>_</t>
    </r>
    <r>
      <rPr>
        <sz val="9"/>
        <color rgb="FF000000"/>
        <rFont val="WenQuanYi Zen Hei"/>
        <family val="2"/>
      </rPr>
      <t>差押さえ等</t>
    </r>
  </si>
  <si>
    <r>
      <rPr>
        <sz val="9"/>
        <color rgb="FF000000"/>
        <rFont val="WenQuanYi Zen Hei"/>
        <family val="2"/>
      </rPr>
      <t>申込シミュレーション</t>
    </r>
    <r>
      <rPr>
        <sz val="9"/>
        <color rgb="FF000000"/>
        <rFont val="ＭＳ 明朝"/>
        <family val="1"/>
        <charset val="128"/>
      </rPr>
      <t>!$C$14</t>
    </r>
  </si>
  <si>
    <r>
      <rPr>
        <sz val="9"/>
        <color rgb="FF000000"/>
        <rFont val="WenQuanYi Zen Hei"/>
        <family val="2"/>
      </rPr>
      <t>入力</t>
    </r>
    <r>
      <rPr>
        <sz val="9"/>
        <color rgb="FF000000"/>
        <rFont val="ＭＳ 明朝"/>
        <family val="1"/>
        <charset val="128"/>
      </rPr>
      <t>_</t>
    </r>
    <r>
      <rPr>
        <sz val="9"/>
        <color rgb="FF000000"/>
        <rFont val="WenQuanYi Zen Hei"/>
        <family val="2"/>
      </rPr>
      <t>無給休職</t>
    </r>
  </si>
  <si>
    <r>
      <rPr>
        <sz val="9"/>
        <color rgb="FF000000"/>
        <rFont val="WenQuanYi Zen Hei"/>
        <family val="2"/>
      </rPr>
      <t>申込シミュレーション</t>
    </r>
    <r>
      <rPr>
        <sz val="9"/>
        <color rgb="FF000000"/>
        <rFont val="ＭＳ 明朝"/>
        <family val="1"/>
        <charset val="128"/>
      </rPr>
      <t>!$C$15</t>
    </r>
  </si>
  <si>
    <r>
      <rPr>
        <sz val="9"/>
        <color rgb="FF000000"/>
        <rFont val="WenQuanYi Zen Hei"/>
        <family val="2"/>
      </rPr>
      <t>入力</t>
    </r>
    <r>
      <rPr>
        <sz val="9"/>
        <color rgb="FF000000"/>
        <rFont val="ＭＳ 明朝"/>
        <family val="1"/>
        <charset val="128"/>
      </rPr>
      <t>_</t>
    </r>
    <r>
      <rPr>
        <sz val="9"/>
        <color rgb="FF000000"/>
        <rFont val="WenQuanYi Zen Hei"/>
        <family val="2"/>
      </rPr>
      <t>修学月数</t>
    </r>
  </si>
  <si>
    <r>
      <rPr>
        <sz val="9"/>
        <color rgb="FF000000"/>
        <rFont val="WenQuanYi Zen Hei"/>
        <family val="2"/>
      </rPr>
      <t>申込シミュレーション</t>
    </r>
    <r>
      <rPr>
        <sz val="9"/>
        <color rgb="FF000000"/>
        <rFont val="ＭＳ 明朝"/>
        <family val="1"/>
        <charset val="128"/>
      </rPr>
      <t>!$C$16</t>
    </r>
  </si>
  <si>
    <r>
      <rPr>
        <sz val="9"/>
        <color rgb="FF000000"/>
        <rFont val="WenQuanYi Zen Hei"/>
        <family val="2"/>
      </rPr>
      <t>入力</t>
    </r>
    <r>
      <rPr>
        <sz val="9"/>
        <color rgb="FF000000"/>
        <rFont val="ＭＳ 明朝"/>
        <family val="1"/>
        <charset val="128"/>
      </rPr>
      <t>_</t>
    </r>
    <r>
      <rPr>
        <sz val="9"/>
        <color rgb="FF000000"/>
        <rFont val="WenQuanYi Zen Hei"/>
        <family val="2"/>
      </rPr>
      <t>申込希望額万円</t>
    </r>
  </si>
  <si>
    <r>
      <rPr>
        <sz val="9"/>
        <color rgb="FF000000"/>
        <rFont val="WenQuanYi Zen Hei"/>
        <family val="2"/>
      </rPr>
      <t>申込シミュレーション</t>
    </r>
    <r>
      <rPr>
        <sz val="9"/>
        <color rgb="FF000000"/>
        <rFont val="ＭＳ 明朝"/>
        <family val="1"/>
        <charset val="128"/>
      </rPr>
      <t>!$C$17</t>
    </r>
  </si>
  <si>
    <r>
      <rPr>
        <sz val="9"/>
        <color rgb="FF000000"/>
        <rFont val="WenQuanYi Zen Hei"/>
        <family val="2"/>
      </rPr>
      <t>入力</t>
    </r>
    <r>
      <rPr>
        <sz val="9"/>
        <color rgb="FF000000"/>
        <rFont val="ＭＳ 明朝"/>
        <family val="1"/>
        <charset val="128"/>
      </rPr>
      <t>_</t>
    </r>
    <r>
      <rPr>
        <sz val="9"/>
        <color rgb="FF000000"/>
        <rFont val="WenQuanYi Zen Hei"/>
        <family val="2"/>
      </rPr>
      <t>償還回数</t>
    </r>
  </si>
  <si>
    <r>
      <rPr>
        <sz val="9"/>
        <color rgb="FF000000"/>
        <rFont val="WenQuanYi Zen Hei"/>
        <family val="2"/>
      </rPr>
      <t>申込シミュレーション</t>
    </r>
    <r>
      <rPr>
        <sz val="9"/>
        <color rgb="FF000000"/>
        <rFont val="ＭＳ 明朝"/>
        <family val="1"/>
        <charset val="128"/>
      </rPr>
      <t>!$C$18</t>
    </r>
  </si>
  <si>
    <r>
      <rPr>
        <sz val="9"/>
        <color rgb="FF000000"/>
        <rFont val="WenQuanYi Zen Hei"/>
        <family val="2"/>
      </rPr>
      <t>入力</t>
    </r>
    <r>
      <rPr>
        <sz val="9"/>
        <color rgb="FF000000"/>
        <rFont val="ＭＳ 明朝"/>
        <family val="1"/>
        <charset val="128"/>
      </rPr>
      <t>_</t>
    </r>
    <r>
      <rPr>
        <sz val="9"/>
        <color rgb="FF000000"/>
        <rFont val="WenQuanYi Zen Hei"/>
        <family val="2"/>
      </rPr>
      <t>希望月額</t>
    </r>
  </si>
  <si>
    <r>
      <rPr>
        <sz val="9"/>
        <color rgb="FF000000"/>
        <rFont val="WenQuanYi Zen Hei"/>
        <family val="2"/>
      </rPr>
      <t>申込シミュレーション</t>
    </r>
    <r>
      <rPr>
        <sz val="9"/>
        <color rgb="FF000000"/>
        <rFont val="ＭＳ 明朝"/>
        <family val="1"/>
        <charset val="128"/>
      </rPr>
      <t>!$C$19</t>
    </r>
  </si>
  <si>
    <r>
      <rPr>
        <sz val="9"/>
        <color rgb="FF000000"/>
        <rFont val="WenQuanYi Zen Hei"/>
        <family val="2"/>
      </rPr>
      <t>入力</t>
    </r>
    <r>
      <rPr>
        <sz val="9"/>
        <color rgb="FF000000"/>
        <rFont val="ＭＳ 明朝"/>
        <family val="1"/>
        <charset val="128"/>
      </rPr>
      <t>_</t>
    </r>
    <r>
      <rPr>
        <sz val="9"/>
        <color rgb="FF000000"/>
        <rFont val="WenQuanYi Zen Hei"/>
        <family val="2"/>
      </rPr>
      <t>ボーナス併用</t>
    </r>
  </si>
  <si>
    <r>
      <rPr>
        <sz val="9"/>
        <color rgb="FF000000"/>
        <rFont val="WenQuanYi Zen Hei"/>
        <family val="2"/>
      </rPr>
      <t>申込シミュレーション</t>
    </r>
    <r>
      <rPr>
        <sz val="9"/>
        <color rgb="FF000000"/>
        <rFont val="ＭＳ 明朝"/>
        <family val="1"/>
        <charset val="128"/>
      </rPr>
      <t>!$C$20</t>
    </r>
  </si>
  <si>
    <r>
      <rPr>
        <sz val="9"/>
        <color rgb="FF000000"/>
        <rFont val="WenQuanYi Zen Hei"/>
        <family val="2"/>
      </rPr>
      <t>入力</t>
    </r>
    <r>
      <rPr>
        <sz val="9"/>
        <color rgb="FF000000"/>
        <rFont val="ＭＳ 明朝"/>
        <family val="1"/>
        <charset val="128"/>
      </rPr>
      <t>_</t>
    </r>
    <r>
      <rPr>
        <sz val="9"/>
        <color rgb="FF000000"/>
        <rFont val="WenQuanYi Zen Hei"/>
        <family val="2"/>
      </rPr>
      <t>ボーナス元金万円</t>
    </r>
  </si>
  <si>
    <r>
      <rPr>
        <sz val="9"/>
        <color rgb="FF000000"/>
        <rFont val="WenQuanYi Zen Hei"/>
        <family val="2"/>
      </rPr>
      <t>申込シミュレーション</t>
    </r>
    <r>
      <rPr>
        <sz val="9"/>
        <color rgb="FF000000"/>
        <rFont val="ＭＳ 明朝"/>
        <family val="1"/>
        <charset val="128"/>
      </rPr>
      <t>!$C$21</t>
    </r>
  </si>
  <si>
    <r>
      <rPr>
        <sz val="9"/>
        <color rgb="FF000000"/>
        <rFont val="WenQuanYi Zen Hei"/>
        <family val="2"/>
      </rPr>
      <t>入力</t>
    </r>
    <r>
      <rPr>
        <sz val="9"/>
        <color rgb="FF000000"/>
        <rFont val="ＭＳ 明朝"/>
        <family val="1"/>
        <charset val="128"/>
      </rPr>
      <t>_</t>
    </r>
    <r>
      <rPr>
        <sz val="9"/>
        <color rgb="FF000000"/>
        <rFont val="WenQuanYi Zen Hei"/>
        <family val="2"/>
      </rPr>
      <t>ボーナス回数</t>
    </r>
  </si>
  <si>
    <r>
      <rPr>
        <sz val="9"/>
        <color rgb="FF000000"/>
        <rFont val="WenQuanYi Zen Hei"/>
        <family val="2"/>
      </rPr>
      <t>申込シミュレーション</t>
    </r>
    <r>
      <rPr>
        <sz val="9"/>
        <color rgb="FF000000"/>
        <rFont val="ＭＳ 明朝"/>
        <family val="1"/>
        <charset val="128"/>
      </rPr>
      <t>!$C$22</t>
    </r>
  </si>
  <si>
    <r>
      <rPr>
        <sz val="9"/>
        <color rgb="FF000000"/>
        <rFont val="WenQuanYi Zen Hei"/>
        <family val="2"/>
      </rPr>
      <t>入力</t>
    </r>
    <r>
      <rPr>
        <sz val="9"/>
        <color rgb="FF000000"/>
        <rFont val="ＭＳ 明朝"/>
        <family val="1"/>
        <charset val="128"/>
      </rPr>
      <t>_</t>
    </r>
    <r>
      <rPr>
        <sz val="9"/>
        <color rgb="FF000000"/>
        <rFont val="WenQuanYi Zen Hei"/>
        <family val="2"/>
      </rPr>
      <t>在宅介護加算万円</t>
    </r>
  </si>
  <si>
    <r>
      <rPr>
        <sz val="9"/>
        <color rgb="FF000000"/>
        <rFont val="WenQuanYi Zen Hei"/>
        <family val="2"/>
      </rPr>
      <t>申込シミュレーション</t>
    </r>
    <r>
      <rPr>
        <sz val="9"/>
        <color rgb="FF000000"/>
        <rFont val="ＭＳ 明朝"/>
        <family val="1"/>
        <charset val="128"/>
      </rPr>
      <t>!$C$23</t>
    </r>
  </si>
  <si>
    <r>
      <rPr>
        <sz val="9"/>
        <color rgb="FF000000"/>
        <rFont val="WenQuanYi Zen Hei"/>
        <family val="2"/>
      </rPr>
      <t>入力</t>
    </r>
    <r>
      <rPr>
        <sz val="9"/>
        <color rgb="FF000000"/>
        <rFont val="ＭＳ 明朝"/>
        <family val="1"/>
        <charset val="128"/>
      </rPr>
      <t>_</t>
    </r>
    <r>
      <rPr>
        <sz val="9"/>
        <color rgb="FF000000"/>
        <rFont val="WenQuanYi Zen Hei"/>
        <family val="2"/>
      </rPr>
      <t>住宅書類区分</t>
    </r>
  </si>
  <si>
    <r>
      <rPr>
        <sz val="9"/>
        <color rgb="FF000000"/>
        <rFont val="WenQuanYi Zen Hei"/>
        <family val="2"/>
      </rPr>
      <t>申込シミュレーション</t>
    </r>
    <r>
      <rPr>
        <sz val="9"/>
        <color rgb="FF000000"/>
        <rFont val="ＭＳ 明朝"/>
        <family val="1"/>
        <charset val="128"/>
      </rPr>
      <t>!$C$24</t>
    </r>
  </si>
  <si>
    <r>
      <rPr>
        <sz val="9"/>
        <color rgb="FF000000"/>
        <rFont val="WenQuanYi Zen Hei"/>
        <family val="2"/>
      </rPr>
      <t>入力</t>
    </r>
    <r>
      <rPr>
        <sz val="9"/>
        <color rgb="FF000000"/>
        <rFont val="ＭＳ 明朝"/>
        <family val="1"/>
        <charset val="128"/>
      </rPr>
      <t>_</t>
    </r>
    <r>
      <rPr>
        <sz val="9"/>
        <color rgb="FF000000"/>
        <rFont val="WenQuanYi Zen Hei"/>
        <family val="2"/>
      </rPr>
      <t>住所</t>
    </r>
  </si>
  <si>
    <r>
      <rPr>
        <sz val="9"/>
        <color rgb="FF000000"/>
        <rFont val="WenQuanYi Zen Hei"/>
        <family val="2"/>
      </rPr>
      <t>申込シミュレーション</t>
    </r>
    <r>
      <rPr>
        <sz val="9"/>
        <color rgb="FF000000"/>
        <rFont val="ＭＳ 明朝"/>
        <family val="1"/>
        <charset val="128"/>
      </rPr>
      <t>!$C$25</t>
    </r>
  </si>
  <si>
    <r>
      <rPr>
        <sz val="9"/>
        <color rgb="FF000000"/>
        <rFont val="WenQuanYi Zen Hei"/>
        <family val="2"/>
      </rPr>
      <t>入力</t>
    </r>
    <r>
      <rPr>
        <sz val="9"/>
        <color rgb="FF000000"/>
        <rFont val="ＭＳ 明朝"/>
        <family val="1"/>
        <charset val="128"/>
      </rPr>
      <t>_</t>
    </r>
    <r>
      <rPr>
        <sz val="9"/>
        <color rgb="FF000000"/>
        <rFont val="WenQuanYi Zen Hei"/>
        <family val="2"/>
      </rPr>
      <t>他借入有無</t>
    </r>
  </si>
  <si>
    <r>
      <rPr>
        <sz val="9"/>
        <color rgb="FF000000"/>
        <rFont val="WenQuanYi Zen Hei"/>
        <family val="2"/>
      </rPr>
      <t>申込シミュレーション</t>
    </r>
    <r>
      <rPr>
        <sz val="9"/>
        <color rgb="FF000000"/>
        <rFont val="ＭＳ 明朝"/>
        <family val="1"/>
        <charset val="128"/>
      </rPr>
      <t>!$C$27</t>
    </r>
  </si>
  <si>
    <r>
      <rPr>
        <sz val="9"/>
        <color rgb="FF000000"/>
        <rFont val="WenQuanYi Zen Hei"/>
        <family val="2"/>
      </rPr>
      <t>入力</t>
    </r>
    <r>
      <rPr>
        <sz val="9"/>
        <color rgb="FF000000"/>
        <rFont val="ＭＳ 明朝"/>
        <family val="1"/>
        <charset val="128"/>
      </rPr>
      <t>_</t>
    </r>
    <r>
      <rPr>
        <sz val="9"/>
        <color rgb="FF000000"/>
        <rFont val="WenQuanYi Zen Hei"/>
        <family val="2"/>
      </rPr>
      <t>共済既貸付有無</t>
    </r>
  </si>
  <si>
    <r>
      <rPr>
        <sz val="9"/>
        <color rgb="FF000000"/>
        <rFont val="WenQuanYi Zen Hei"/>
        <family val="2"/>
      </rPr>
      <t>申込シミュレーション</t>
    </r>
    <r>
      <rPr>
        <sz val="9"/>
        <color rgb="FF000000"/>
        <rFont val="ＭＳ 明朝"/>
        <family val="1"/>
        <charset val="128"/>
      </rPr>
      <t>!$C$28</t>
    </r>
  </si>
  <si>
    <r>
      <rPr>
        <sz val="9"/>
        <color rgb="FF000000"/>
        <rFont val="WenQuanYi Zen Hei"/>
        <family val="2"/>
      </rPr>
      <t>申告</t>
    </r>
    <r>
      <rPr>
        <sz val="9"/>
        <color rgb="FF000000"/>
        <rFont val="ＭＳ 明朝"/>
        <family val="1"/>
        <charset val="128"/>
      </rPr>
      <t>_A</t>
    </r>
    <r>
      <rPr>
        <sz val="9"/>
        <color rgb="FF000000"/>
        <rFont val="WenQuanYi Zen Hei"/>
        <family val="2"/>
      </rPr>
      <t>他機関既借入</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</si>
  <si>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!$P$33</t>
    </r>
  </si>
  <si>
    <r>
      <rPr>
        <sz val="9"/>
        <color rgb="FF000000"/>
        <rFont val="WenQuanYi Zen Hei"/>
        <family val="2"/>
      </rPr>
      <t>申告</t>
    </r>
    <r>
      <rPr>
        <sz val="9"/>
        <color rgb="FF000000"/>
        <rFont val="ＭＳ 明朝"/>
        <family val="1"/>
        <charset val="128"/>
      </rPr>
      <t>_F</t>
    </r>
    <r>
      <rPr>
        <sz val="9"/>
        <color rgb="FF000000"/>
        <rFont val="WenQuanYi Zen Hei"/>
        <family val="2"/>
      </rPr>
      <t>他機関既借入</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</si>
  <si>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!$U$33</t>
    </r>
  </si>
  <si>
    <r>
      <rPr>
        <sz val="9"/>
        <color rgb="FF000000"/>
        <rFont val="WenQuanYi Zen Hei"/>
        <family val="2"/>
      </rPr>
      <t>申告</t>
    </r>
    <r>
      <rPr>
        <sz val="9"/>
        <color rgb="FF000000"/>
        <rFont val="ＭＳ 明朝"/>
        <family val="1"/>
        <charset val="128"/>
      </rPr>
      <t>_B</t>
    </r>
    <r>
      <rPr>
        <sz val="9"/>
        <color rgb="FF000000"/>
        <rFont val="WenQuanYi Zen Hei"/>
        <family val="2"/>
      </rPr>
      <t>他機関新規</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</si>
  <si>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!$AG$33</t>
    </r>
  </si>
  <si>
    <r>
      <rPr>
        <sz val="9"/>
        <color rgb="FF000000"/>
        <rFont val="WenQuanYi Zen Hei"/>
        <family val="2"/>
      </rPr>
      <t>申告</t>
    </r>
    <r>
      <rPr>
        <sz val="9"/>
        <color rgb="FF000000"/>
        <rFont val="ＭＳ 明朝"/>
        <family val="1"/>
        <charset val="128"/>
      </rPr>
      <t>_G</t>
    </r>
    <r>
      <rPr>
        <sz val="9"/>
        <color rgb="FF000000"/>
        <rFont val="WenQuanYi Zen Hei"/>
        <family val="2"/>
      </rPr>
      <t>他機関新規</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</si>
  <si>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!$AL$33</t>
    </r>
  </si>
  <si>
    <r>
      <rPr>
        <sz val="9"/>
        <color rgb="FF000000"/>
        <rFont val="WenQuanYi Zen Hei"/>
        <family val="2"/>
      </rPr>
      <t>申告</t>
    </r>
    <r>
      <rPr>
        <sz val="9"/>
        <color rgb="FF000000"/>
        <rFont val="ＭＳ 明朝"/>
        <family val="1"/>
        <charset val="128"/>
      </rPr>
      <t>_C</t>
    </r>
    <r>
      <rPr>
        <sz val="9"/>
        <color rgb="FF000000"/>
        <rFont val="WenQuanYi Zen Hei"/>
        <family val="2"/>
      </rPr>
      <t>共済既貸付</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</si>
  <si>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!$A$53</t>
    </r>
  </si>
  <si>
    <r>
      <rPr>
        <sz val="9"/>
        <color rgb="FF000000"/>
        <rFont val="WenQuanYi Zen Hei"/>
        <family val="2"/>
      </rPr>
      <t>申告</t>
    </r>
    <r>
      <rPr>
        <sz val="9"/>
        <color rgb="FF000000"/>
        <rFont val="ＭＳ 明朝"/>
        <family val="1"/>
        <charset val="128"/>
      </rPr>
      <t>_H</t>
    </r>
    <r>
      <rPr>
        <sz val="9"/>
        <color rgb="FF000000"/>
        <rFont val="WenQuanYi Zen Hei"/>
        <family val="2"/>
      </rPr>
      <t>共済既貸付</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</si>
  <si>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!$H$53</t>
    </r>
  </si>
  <si>
    <r>
      <rPr>
        <sz val="9"/>
        <color rgb="FF000000"/>
        <rFont val="WenQuanYi Zen Hei"/>
        <family val="2"/>
      </rPr>
      <t>追加</t>
    </r>
    <r>
      <rPr>
        <sz val="9"/>
        <color rgb="FF000000"/>
        <rFont val="ＭＳ 明朝"/>
        <family val="1"/>
        <charset val="128"/>
      </rPr>
      <t>_</t>
    </r>
    <r>
      <rPr>
        <sz val="9"/>
        <color rgb="FF000000"/>
        <rFont val="WenQuanYi Zen Hei"/>
        <family val="2"/>
      </rPr>
      <t>ふりがな</t>
    </r>
  </si>
  <si>
    <r>
      <rPr>
        <sz val="9"/>
        <color rgb="FF000000"/>
        <rFont val="WenQuanYi Zen Hei"/>
        <family val="2"/>
      </rPr>
      <t>申込書追加入力</t>
    </r>
    <r>
      <rPr>
        <sz val="9"/>
        <color rgb="FF000000"/>
        <rFont val="ＭＳ 明朝"/>
        <family val="1"/>
        <charset val="128"/>
      </rPr>
      <t>!$C$4</t>
    </r>
  </si>
  <si>
    <r>
      <rPr>
        <sz val="9"/>
        <color rgb="FF000000"/>
        <rFont val="WenQuanYi Zen Hei"/>
        <family val="2"/>
      </rPr>
      <t>追加</t>
    </r>
    <r>
      <rPr>
        <sz val="9"/>
        <color rgb="FF000000"/>
        <rFont val="ＭＳ 明朝"/>
        <family val="1"/>
        <charset val="128"/>
      </rPr>
      <t>_</t>
    </r>
    <r>
      <rPr>
        <sz val="9"/>
        <color rgb="FF000000"/>
        <rFont val="WenQuanYi Zen Hei"/>
        <family val="2"/>
      </rPr>
      <t>職名</t>
    </r>
  </si>
  <si>
    <r>
      <rPr>
        <sz val="9"/>
        <color rgb="FF000000"/>
        <rFont val="WenQuanYi Zen Hei"/>
        <family val="2"/>
      </rPr>
      <t>申込書追加入力</t>
    </r>
    <r>
      <rPr>
        <sz val="9"/>
        <color rgb="FF000000"/>
        <rFont val="ＭＳ 明朝"/>
        <family val="1"/>
        <charset val="128"/>
      </rPr>
      <t>!$C$5</t>
    </r>
  </si>
  <si>
    <r>
      <rPr>
        <sz val="9"/>
        <color rgb="FF000000"/>
        <rFont val="WenQuanYi Zen Hei"/>
        <family val="2"/>
      </rPr>
      <t>追加</t>
    </r>
    <r>
      <rPr>
        <sz val="9"/>
        <color rgb="FF000000"/>
        <rFont val="ＭＳ 明朝"/>
        <family val="1"/>
        <charset val="128"/>
      </rPr>
      <t>_</t>
    </r>
    <r>
      <rPr>
        <sz val="9"/>
        <color rgb="FF000000"/>
        <rFont val="WenQuanYi Zen Hei"/>
        <family val="2"/>
      </rPr>
      <t>職員番号</t>
    </r>
  </si>
  <si>
    <r>
      <rPr>
        <sz val="9"/>
        <color rgb="FF000000"/>
        <rFont val="WenQuanYi Zen Hei"/>
        <family val="2"/>
      </rPr>
      <t>申込書追加入力</t>
    </r>
    <r>
      <rPr>
        <sz val="9"/>
        <color rgb="FF000000"/>
        <rFont val="ＭＳ 明朝"/>
        <family val="1"/>
        <charset val="128"/>
      </rPr>
      <t>!$C$6</t>
    </r>
  </si>
  <si>
    <r>
      <rPr>
        <sz val="9"/>
        <color rgb="FF000000"/>
        <rFont val="WenQuanYi Zen Hei"/>
        <family val="2"/>
      </rPr>
      <t>追加</t>
    </r>
    <r>
      <rPr>
        <sz val="9"/>
        <color rgb="FF000000"/>
        <rFont val="ＭＳ 明朝"/>
        <family val="1"/>
        <charset val="128"/>
      </rPr>
      <t>_</t>
    </r>
    <r>
      <rPr>
        <sz val="9"/>
        <color rgb="FF000000"/>
        <rFont val="WenQuanYi Zen Hei"/>
        <family val="2"/>
      </rPr>
      <t>生年月日</t>
    </r>
  </si>
  <si>
    <r>
      <rPr>
        <sz val="9"/>
        <color rgb="FF000000"/>
        <rFont val="WenQuanYi Zen Hei"/>
        <family val="2"/>
      </rPr>
      <t>申込書追加入力</t>
    </r>
    <r>
      <rPr>
        <sz val="9"/>
        <color rgb="FF000000"/>
        <rFont val="ＭＳ 明朝"/>
        <family val="1"/>
        <charset val="128"/>
      </rPr>
      <t>!$C$7</t>
    </r>
  </si>
  <si>
    <r>
      <rPr>
        <sz val="9"/>
        <color rgb="FF000000"/>
        <rFont val="WenQuanYi Zen Hei"/>
        <family val="2"/>
      </rPr>
      <t>追加</t>
    </r>
    <r>
      <rPr>
        <sz val="9"/>
        <color rgb="FF000000"/>
        <rFont val="ＭＳ 明朝"/>
        <family val="1"/>
        <charset val="128"/>
      </rPr>
      <t>_</t>
    </r>
    <r>
      <rPr>
        <sz val="9"/>
        <color rgb="FF000000"/>
        <rFont val="WenQuanYi Zen Hei"/>
        <family val="2"/>
      </rPr>
      <t>所属電話</t>
    </r>
  </si>
  <si>
    <r>
      <rPr>
        <sz val="9"/>
        <color rgb="FF000000"/>
        <rFont val="WenQuanYi Zen Hei"/>
        <family val="2"/>
      </rPr>
      <t>申込書追加入力</t>
    </r>
    <r>
      <rPr>
        <sz val="9"/>
        <color rgb="FF000000"/>
        <rFont val="ＭＳ 明朝"/>
        <family val="1"/>
        <charset val="128"/>
      </rPr>
      <t>!$C$8</t>
    </r>
  </si>
  <si>
    <r>
      <rPr>
        <sz val="9"/>
        <color rgb="FF000000"/>
        <rFont val="WenQuanYi Zen Hei"/>
        <family val="2"/>
      </rPr>
      <t>追加</t>
    </r>
    <r>
      <rPr>
        <sz val="9"/>
        <color rgb="FF000000"/>
        <rFont val="ＭＳ 明朝"/>
        <family val="1"/>
        <charset val="128"/>
      </rPr>
      <t>_</t>
    </r>
    <r>
      <rPr>
        <sz val="9"/>
        <color rgb="FF000000"/>
        <rFont val="WenQuanYi Zen Hei"/>
        <family val="2"/>
      </rPr>
      <t>住所電話</t>
    </r>
  </si>
  <si>
    <r>
      <rPr>
        <sz val="9"/>
        <color rgb="FF000000"/>
        <rFont val="WenQuanYi Zen Hei"/>
        <family val="2"/>
      </rPr>
      <t>申込書追加入力</t>
    </r>
    <r>
      <rPr>
        <sz val="9"/>
        <color rgb="FF000000"/>
        <rFont val="ＭＳ 明朝"/>
        <family val="1"/>
        <charset val="128"/>
      </rPr>
      <t>!$C$9</t>
    </r>
  </si>
  <si>
    <r>
      <rPr>
        <sz val="9"/>
        <color rgb="FF000000"/>
        <rFont val="WenQuanYi Zen Hei"/>
        <family val="2"/>
      </rPr>
      <t>追加</t>
    </r>
    <r>
      <rPr>
        <sz val="9"/>
        <color rgb="FF000000"/>
        <rFont val="ＭＳ 明朝"/>
        <family val="1"/>
        <charset val="128"/>
      </rPr>
      <t>_</t>
    </r>
    <r>
      <rPr>
        <sz val="9"/>
        <color rgb="FF000000"/>
        <rFont val="WenQuanYi Zen Hei"/>
        <family val="2"/>
      </rPr>
      <t>金融機関</t>
    </r>
  </si>
  <si>
    <r>
      <rPr>
        <sz val="9"/>
        <color rgb="FF000000"/>
        <rFont val="WenQuanYi Zen Hei"/>
        <family val="2"/>
      </rPr>
      <t>申込書追加入力</t>
    </r>
    <r>
      <rPr>
        <sz val="9"/>
        <color rgb="FF000000"/>
        <rFont val="ＭＳ 明朝"/>
        <family val="1"/>
        <charset val="128"/>
      </rPr>
      <t>!$C$10</t>
    </r>
  </si>
  <si>
    <r>
      <rPr>
        <sz val="9"/>
        <color rgb="FF000000"/>
        <rFont val="WenQuanYi Zen Hei"/>
        <family val="2"/>
      </rPr>
      <t>追加</t>
    </r>
    <r>
      <rPr>
        <sz val="9"/>
        <color rgb="FF000000"/>
        <rFont val="ＭＳ 明朝"/>
        <family val="1"/>
        <charset val="128"/>
      </rPr>
      <t>_</t>
    </r>
    <r>
      <rPr>
        <sz val="9"/>
        <color rgb="FF000000"/>
        <rFont val="WenQuanYi Zen Hei"/>
        <family val="2"/>
      </rPr>
      <t>支店</t>
    </r>
  </si>
  <si>
    <r>
      <rPr>
        <sz val="9"/>
        <color rgb="FF000000"/>
        <rFont val="WenQuanYi Zen Hei"/>
        <family val="2"/>
      </rPr>
      <t>申込書追加入力</t>
    </r>
    <r>
      <rPr>
        <sz val="9"/>
        <color rgb="FF000000"/>
        <rFont val="ＭＳ 明朝"/>
        <family val="1"/>
        <charset val="128"/>
      </rPr>
      <t>!$C$11</t>
    </r>
  </si>
  <si>
    <r>
      <rPr>
        <sz val="9"/>
        <color rgb="FF000000"/>
        <rFont val="WenQuanYi Zen Hei"/>
        <family val="2"/>
      </rPr>
      <t>追加</t>
    </r>
    <r>
      <rPr>
        <sz val="9"/>
        <color rgb="FF000000"/>
        <rFont val="ＭＳ 明朝"/>
        <family val="1"/>
        <charset val="128"/>
      </rPr>
      <t>_</t>
    </r>
    <r>
      <rPr>
        <sz val="9"/>
        <color rgb="FF000000"/>
        <rFont val="WenQuanYi Zen Hei"/>
        <family val="2"/>
      </rPr>
      <t>口座番号</t>
    </r>
  </si>
  <si>
    <r>
      <rPr>
        <sz val="9"/>
        <color rgb="FF000000"/>
        <rFont val="WenQuanYi Zen Hei"/>
        <family val="2"/>
      </rPr>
      <t>申込書追加入力</t>
    </r>
    <r>
      <rPr>
        <sz val="9"/>
        <color rgb="FF000000"/>
        <rFont val="ＭＳ 明朝"/>
        <family val="1"/>
        <charset val="128"/>
      </rPr>
      <t>!$C$12</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</si>
  <si>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普通特別</t>
    </r>
  </si>
  <si>
    <t>設定</t>
  </si>
  <si>
    <r>
      <rPr>
        <sz val="9"/>
        <color rgb="FF000000"/>
        <rFont val="WenQuanYi Zen Hei"/>
        <family val="2"/>
      </rPr>
      <t>マスタ</t>
    </r>
    <r>
      <rPr>
        <sz val="9"/>
        <color rgb="FF000000"/>
        <rFont val="ＭＳ 明朝"/>
        <family val="1"/>
        <charset val="128"/>
      </rPr>
      <t>!$B$4</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</si>
  <si>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住宅</t>
    </r>
  </si>
  <si>
    <r>
      <rPr>
        <sz val="9"/>
        <color rgb="FF000000"/>
        <rFont val="WenQuanYi Zen Hei"/>
        <family val="2"/>
      </rPr>
      <t>マスタ</t>
    </r>
    <r>
      <rPr>
        <sz val="9"/>
        <color rgb="FF000000"/>
        <rFont val="ＭＳ 明朝"/>
        <family val="1"/>
        <charset val="128"/>
      </rPr>
      <t>!$B$5</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</si>
  <si>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災害</t>
    </r>
  </si>
  <si>
    <r>
      <rPr>
        <sz val="9"/>
        <color rgb="FF000000"/>
        <rFont val="WenQuanYi Zen Hei"/>
        <family val="2"/>
      </rPr>
      <t>マスタ</t>
    </r>
    <r>
      <rPr>
        <sz val="9"/>
        <color rgb="FF000000"/>
        <rFont val="ＭＳ 明朝"/>
        <family val="1"/>
        <charset val="128"/>
      </rPr>
      <t>!$B$6</t>
    </r>
  </si>
  <si>
    <r>
      <rPr>
        <sz val="9"/>
        <color rgb="FF000000"/>
        <rFont val="WenQuanYi Zen Hei"/>
        <family val="2"/>
      </rPr>
      <t>設定</t>
    </r>
    <r>
      <rPr>
        <sz val="9"/>
        <color rgb="FF000000"/>
        <rFont val="ＭＳ 明朝"/>
        <family val="1"/>
        <charset val="128"/>
      </rPr>
      <t>_</t>
    </r>
    <r>
      <rPr>
        <sz val="9"/>
        <color rgb="FF000000"/>
        <rFont val="WenQuanYi Zen Hei"/>
        <family val="2"/>
      </rPr>
      <t>利率差</t>
    </r>
    <r>
      <rPr>
        <sz val="9"/>
        <color rgb="FF000000"/>
        <rFont val="ＭＳ 明朝"/>
        <family val="1"/>
        <charset val="128"/>
      </rPr>
      <t>_</t>
    </r>
    <r>
      <rPr>
        <sz val="9"/>
        <color rgb="FF000000"/>
        <rFont val="WenQuanYi Zen Hei"/>
        <family val="2"/>
      </rPr>
      <t>在宅介護</t>
    </r>
  </si>
  <si>
    <r>
      <rPr>
        <sz val="9"/>
        <color rgb="FF000000"/>
        <rFont val="WenQuanYi Zen Hei"/>
        <family val="2"/>
      </rPr>
      <t>マスタ</t>
    </r>
    <r>
      <rPr>
        <sz val="9"/>
        <color rgb="FF000000"/>
        <rFont val="ＭＳ 明朝"/>
        <family val="1"/>
        <charset val="128"/>
      </rPr>
      <t>!$B$7</t>
    </r>
  </si>
  <si>
    <r>
      <rPr>
        <sz val="9"/>
        <color rgb="FF000000"/>
        <rFont val="WenQuanYi Zen Hei"/>
        <family val="2"/>
      </rPr>
      <t>設定</t>
    </r>
    <r>
      <rPr>
        <sz val="9"/>
        <color rgb="FF000000"/>
        <rFont val="ＭＳ 明朝"/>
        <family val="1"/>
        <charset val="128"/>
      </rPr>
      <t>_</t>
    </r>
    <r>
      <rPr>
        <sz val="9"/>
        <color rgb="FF000000"/>
        <rFont val="WenQuanYi Zen Hei"/>
        <family val="2"/>
      </rPr>
      <t>償還割合上限</t>
    </r>
  </si>
  <si>
    <r>
      <rPr>
        <sz val="9"/>
        <color rgb="FF000000"/>
        <rFont val="WenQuanYi Zen Hei"/>
        <family val="2"/>
      </rPr>
      <t>マスタ</t>
    </r>
    <r>
      <rPr>
        <sz val="9"/>
        <color rgb="FF000000"/>
        <rFont val="ＭＳ 明朝"/>
        <family val="1"/>
        <charset val="128"/>
      </rPr>
      <t>!$B$8</t>
    </r>
  </si>
  <si>
    <r>
      <rPr>
        <sz val="9"/>
        <color rgb="FF000000"/>
        <rFont val="WenQuanYi Zen Hei"/>
        <family val="2"/>
      </rPr>
      <t>設定</t>
    </r>
    <r>
      <rPr>
        <sz val="9"/>
        <color rgb="FF000000"/>
        <rFont val="ＭＳ 明朝"/>
        <family val="1"/>
        <charset val="128"/>
      </rPr>
      <t>_</t>
    </r>
    <r>
      <rPr>
        <sz val="9"/>
        <color rgb="FF000000"/>
        <rFont val="WenQuanYi Zen Hei"/>
        <family val="2"/>
      </rPr>
      <t>年収算定ボーナス月数</t>
    </r>
  </si>
  <si>
    <r>
      <rPr>
        <sz val="9"/>
        <color rgb="FF000000"/>
        <rFont val="WenQuanYi Zen Hei"/>
        <family val="2"/>
      </rPr>
      <t>マスタ</t>
    </r>
    <r>
      <rPr>
        <sz val="9"/>
        <color rgb="FF000000"/>
        <rFont val="ＭＳ 明朝"/>
        <family val="1"/>
        <charset val="128"/>
      </rPr>
      <t>!$B$9</t>
    </r>
  </si>
  <si>
    <r>
      <rPr>
        <sz val="9"/>
        <color rgb="FF000000"/>
        <rFont val="WenQuanYi Zen Hei"/>
        <family val="2"/>
      </rPr>
      <t>設定</t>
    </r>
    <r>
      <rPr>
        <sz val="9"/>
        <color rgb="FF000000"/>
        <rFont val="ＭＳ 明朝"/>
        <family val="1"/>
        <charset val="128"/>
      </rPr>
      <t>_</t>
    </r>
    <r>
      <rPr>
        <sz val="9"/>
        <color rgb="FF000000"/>
        <rFont val="WenQuanYi Zen Hei"/>
        <family val="2"/>
      </rPr>
      <t>申込下限万円</t>
    </r>
  </si>
  <si>
    <r>
      <rPr>
        <sz val="9"/>
        <color rgb="FF000000"/>
        <rFont val="WenQuanYi Zen Hei"/>
        <family val="2"/>
      </rPr>
      <t>マスタ</t>
    </r>
    <r>
      <rPr>
        <sz val="9"/>
        <color rgb="FF000000"/>
        <rFont val="ＭＳ 明朝"/>
        <family val="1"/>
        <charset val="128"/>
      </rPr>
      <t>!$B$10</t>
    </r>
  </si>
  <si>
    <r>
      <rPr>
        <sz val="9"/>
        <color rgb="FF000000"/>
        <rFont val="WenQuanYi Zen Hei"/>
        <family val="2"/>
      </rPr>
      <t>設定</t>
    </r>
    <r>
      <rPr>
        <sz val="9"/>
        <color rgb="FF000000"/>
        <rFont val="ＭＳ 明朝"/>
        <family val="1"/>
        <charset val="128"/>
      </rPr>
      <t>_</t>
    </r>
    <r>
      <rPr>
        <sz val="9"/>
        <color rgb="FF000000"/>
        <rFont val="WenQuanYi Zen Hei"/>
        <family val="2"/>
      </rPr>
      <t>在宅介護加算上限万円</t>
    </r>
  </si>
  <si>
    <r>
      <rPr>
        <sz val="9"/>
        <color rgb="FF000000"/>
        <rFont val="WenQuanYi Zen Hei"/>
        <family val="2"/>
      </rPr>
      <t>マスタ</t>
    </r>
    <r>
      <rPr>
        <sz val="9"/>
        <color rgb="FF000000"/>
        <rFont val="ＭＳ 明朝"/>
        <family val="1"/>
        <charset val="128"/>
      </rPr>
      <t>!$B$11</t>
    </r>
  </si>
  <si>
    <r>
      <rPr>
        <sz val="9"/>
        <color rgb="FF000000"/>
        <rFont val="WenQuanYi Zen Hei"/>
        <family val="2"/>
      </rPr>
      <t>設定</t>
    </r>
    <r>
      <rPr>
        <sz val="9"/>
        <color rgb="FF000000"/>
        <rFont val="ＭＳ 明朝"/>
        <family val="1"/>
        <charset val="128"/>
      </rPr>
      <t>_</t>
    </r>
    <r>
      <rPr>
        <sz val="9"/>
        <color rgb="FF000000"/>
        <rFont val="WenQuanYi Zen Hei"/>
        <family val="2"/>
      </rPr>
      <t>ボーナス併用申込下限万円</t>
    </r>
  </si>
  <si>
    <r>
      <rPr>
        <sz val="9"/>
        <color rgb="FF000000"/>
        <rFont val="WenQuanYi Zen Hei"/>
        <family val="2"/>
      </rPr>
      <t>マスタ</t>
    </r>
    <r>
      <rPr>
        <sz val="9"/>
        <color rgb="FF000000"/>
        <rFont val="ＭＳ 明朝"/>
        <family val="1"/>
        <charset val="128"/>
      </rPr>
      <t>!$B$12</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</si>
  <si>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ボーナス償還下限万円</t>
    </r>
  </si>
  <si>
    <r>
      <rPr>
        <sz val="9"/>
        <color rgb="FF000000"/>
        <rFont val="WenQuanYi Zen Hei"/>
        <family val="2"/>
      </rPr>
      <t>マスタ</t>
    </r>
    <r>
      <rPr>
        <sz val="9"/>
        <color rgb="FF000000"/>
        <rFont val="ＭＳ 明朝"/>
        <family val="1"/>
        <charset val="128"/>
      </rPr>
      <t>!$B$13</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</si>
  <si>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ボーナス償還上限割合</t>
    </r>
  </si>
  <si>
    <r>
      <rPr>
        <sz val="9"/>
        <color rgb="FF000000"/>
        <rFont val="WenQuanYi Zen Hei"/>
        <family val="2"/>
      </rPr>
      <t>マスタ</t>
    </r>
    <r>
      <rPr>
        <sz val="9"/>
        <color rgb="FF000000"/>
        <rFont val="ＭＳ 明朝"/>
        <family val="1"/>
        <charset val="128"/>
      </rPr>
      <t>!$B$14</t>
    </r>
  </si>
  <si>
    <r>
      <rPr>
        <sz val="9"/>
        <color rgb="FF000000"/>
        <rFont val="WenQuanYi Zen Hei"/>
        <family val="2"/>
      </rPr>
      <t>設定</t>
    </r>
    <r>
      <rPr>
        <sz val="9"/>
        <color rgb="FF000000"/>
        <rFont val="ＭＳ 明朝"/>
        <family val="1"/>
        <charset val="128"/>
      </rPr>
      <t>_</t>
    </r>
    <r>
      <rPr>
        <sz val="9"/>
        <color rgb="FF000000"/>
        <rFont val="WenQuanYi Zen Hei"/>
        <family val="2"/>
      </rPr>
      <t>ボーナス単位万円</t>
    </r>
  </si>
  <si>
    <r>
      <rPr>
        <sz val="9"/>
        <color rgb="FF000000"/>
        <rFont val="WenQuanYi Zen Hei"/>
        <family val="2"/>
      </rPr>
      <t>マスタ</t>
    </r>
    <r>
      <rPr>
        <sz val="9"/>
        <color rgb="FF000000"/>
        <rFont val="ＭＳ 明朝"/>
        <family val="1"/>
        <charset val="128"/>
      </rPr>
      <t>!$B$15</t>
    </r>
  </si>
  <si>
    <r>
      <rPr>
        <sz val="9"/>
        <color rgb="FF000000"/>
        <rFont val="WenQuanYi Zen Hei"/>
        <family val="2"/>
      </rPr>
      <t>設定</t>
    </r>
    <r>
      <rPr>
        <sz val="9"/>
        <color rgb="FF000000"/>
        <rFont val="ＭＳ 明朝"/>
        <family val="1"/>
        <charset val="128"/>
      </rPr>
      <t>_</t>
    </r>
    <r>
      <rPr>
        <sz val="9"/>
        <color rgb="FF000000"/>
        <rFont val="WenQuanYi Zen Hei"/>
        <family val="2"/>
      </rPr>
      <t>ボーナス回数上限</t>
    </r>
  </si>
  <si>
    <r>
      <rPr>
        <sz val="9"/>
        <color rgb="FF000000"/>
        <rFont val="WenQuanYi Zen Hei"/>
        <family val="2"/>
      </rPr>
      <t>マスタ</t>
    </r>
    <r>
      <rPr>
        <sz val="9"/>
        <color rgb="FF000000"/>
        <rFont val="ＭＳ 明朝"/>
        <family val="1"/>
        <charset val="128"/>
      </rPr>
      <t>!$B$16</t>
    </r>
  </si>
  <si>
    <r>
      <rPr>
        <sz val="9"/>
        <color rgb="FF000000"/>
        <rFont val="WenQuanYi Zen Hei"/>
        <family val="2"/>
      </rPr>
      <t>設定</t>
    </r>
    <r>
      <rPr>
        <sz val="9"/>
        <color rgb="FF000000"/>
        <rFont val="ＭＳ 明朝"/>
        <family val="1"/>
        <charset val="128"/>
      </rPr>
      <t>_</t>
    </r>
    <r>
      <rPr>
        <sz val="9"/>
        <color rgb="FF000000"/>
        <rFont val="WenQuanYi Zen Hei"/>
        <family val="2"/>
      </rPr>
      <t>住宅必要組合員月数</t>
    </r>
  </si>
  <si>
    <r>
      <rPr>
        <sz val="9"/>
        <color rgb="FF000000"/>
        <rFont val="WenQuanYi Zen Hei"/>
        <family val="2"/>
      </rPr>
      <t>マスタ</t>
    </r>
    <r>
      <rPr>
        <sz val="9"/>
        <color rgb="FF000000"/>
        <rFont val="ＭＳ 明朝"/>
        <family val="1"/>
        <charset val="128"/>
      </rPr>
      <t>!$B$17</t>
    </r>
  </si>
  <si>
    <r>
      <rPr>
        <sz val="9"/>
        <color rgb="FF000000"/>
        <rFont val="WenQuanYi Zen Hei"/>
        <family val="2"/>
      </rPr>
      <t>設定</t>
    </r>
    <r>
      <rPr>
        <sz val="9"/>
        <color rgb="FF000000"/>
        <rFont val="ＭＳ 明朝"/>
        <family val="1"/>
        <charset val="128"/>
      </rPr>
      <t>_</t>
    </r>
    <r>
      <rPr>
        <sz val="9"/>
        <color rgb="FF000000"/>
        <rFont val="WenQuanYi Zen Hei"/>
        <family val="2"/>
      </rPr>
      <t>修学月額万円</t>
    </r>
  </si>
  <si>
    <r>
      <rPr>
        <sz val="9"/>
        <color rgb="FF000000"/>
        <rFont val="WenQuanYi Zen Hei"/>
        <family val="2"/>
      </rPr>
      <t>マスタ</t>
    </r>
    <r>
      <rPr>
        <sz val="9"/>
        <color rgb="FF000000"/>
        <rFont val="ＭＳ 明朝"/>
        <family val="1"/>
        <charset val="128"/>
      </rPr>
      <t>!$B$18</t>
    </r>
  </si>
  <si>
    <r>
      <rPr>
        <sz val="9"/>
        <color rgb="FF000000"/>
        <rFont val="WenQuanYi Zen Hei"/>
        <family val="2"/>
      </rPr>
      <t>区分表</t>
    </r>
    <r>
      <rPr>
        <sz val="9"/>
        <color rgb="FF000000"/>
        <rFont val="ＭＳ 明朝"/>
        <family val="1"/>
        <charset val="128"/>
      </rPr>
      <t>_</t>
    </r>
    <r>
      <rPr>
        <sz val="9"/>
        <color rgb="FF000000"/>
        <rFont val="WenQuanYi Zen Hei"/>
        <family val="2"/>
      </rPr>
      <t>名称</t>
    </r>
  </si>
  <si>
    <t>設定の表</t>
  </si>
  <si>
    <r>
      <rPr>
        <sz val="9"/>
        <color rgb="FF000000"/>
        <rFont val="WenQuanYi Zen Hei"/>
        <family val="2"/>
      </rPr>
      <t>マスタ</t>
    </r>
    <r>
      <rPr>
        <sz val="9"/>
        <color rgb="FF000000"/>
        <rFont val="ＭＳ 明朝"/>
        <family val="1"/>
        <charset val="128"/>
      </rPr>
      <t>!$A$22:$A$39</t>
    </r>
  </si>
  <si>
    <r>
      <rPr>
        <sz val="9"/>
        <color rgb="FF000000"/>
        <rFont val="WenQuanYi Zen Hei"/>
        <family val="2"/>
      </rPr>
      <t>区分表</t>
    </r>
    <r>
      <rPr>
        <sz val="9"/>
        <color rgb="FF000000"/>
        <rFont val="ＭＳ 明朝"/>
        <family val="1"/>
        <charset val="128"/>
      </rPr>
      <t>_</t>
    </r>
    <r>
      <rPr>
        <sz val="9"/>
        <color rgb="FF000000"/>
        <rFont val="WenQuanYi Zen Hei"/>
        <family val="2"/>
      </rPr>
      <t>区分群</t>
    </r>
  </si>
  <si>
    <r>
      <rPr>
        <sz val="9"/>
        <color rgb="FF000000"/>
        <rFont val="WenQuanYi Zen Hei"/>
        <family val="2"/>
      </rPr>
      <t>マスタ</t>
    </r>
    <r>
      <rPr>
        <sz val="9"/>
        <color rgb="FF000000"/>
        <rFont val="ＭＳ 明朝"/>
        <family val="1"/>
        <charset val="128"/>
      </rPr>
      <t>!$B$22:$B$39</t>
    </r>
  </si>
  <si>
    <r>
      <rPr>
        <sz val="9"/>
        <color rgb="FF000000"/>
        <rFont val="WenQuanYi Zen Hei"/>
        <family val="2"/>
      </rPr>
      <t>区分表</t>
    </r>
    <r>
      <rPr>
        <sz val="9"/>
        <color rgb="FF000000"/>
        <rFont val="ＭＳ 明朝"/>
        <family val="1"/>
        <charset val="128"/>
      </rPr>
      <t>_</t>
    </r>
    <r>
      <rPr>
        <sz val="9"/>
        <color rgb="FF000000"/>
        <rFont val="WenQuanYi Zen Hei"/>
        <family val="2"/>
      </rPr>
      <t>限度額方式</t>
    </r>
  </si>
  <si>
    <r>
      <rPr>
        <sz val="9"/>
        <color rgb="FF000000"/>
        <rFont val="WenQuanYi Zen Hei"/>
        <family val="2"/>
      </rPr>
      <t>マスタ</t>
    </r>
    <r>
      <rPr>
        <sz val="9"/>
        <color rgb="FF000000"/>
        <rFont val="ＭＳ 明朝"/>
        <family val="1"/>
        <charset val="128"/>
      </rPr>
      <t>!$C$22:$C$39</t>
    </r>
  </si>
  <si>
    <r>
      <rPr>
        <sz val="9"/>
        <color rgb="FF000000"/>
        <rFont val="WenQuanYi Zen Hei"/>
        <family val="2"/>
      </rPr>
      <t>区分表</t>
    </r>
    <r>
      <rPr>
        <sz val="9"/>
        <color rgb="FF000000"/>
        <rFont val="ＭＳ 明朝"/>
        <family val="1"/>
        <charset val="128"/>
      </rPr>
      <t>_</t>
    </r>
    <r>
      <rPr>
        <sz val="9"/>
        <color rgb="FF000000"/>
        <rFont val="WenQuanYi Zen Hei"/>
        <family val="2"/>
      </rPr>
      <t>給料月数</t>
    </r>
  </si>
  <si>
    <r>
      <rPr>
        <sz val="9"/>
        <color rgb="FF000000"/>
        <rFont val="WenQuanYi Zen Hei"/>
        <family val="2"/>
      </rPr>
      <t>マスタ</t>
    </r>
    <r>
      <rPr>
        <sz val="9"/>
        <color rgb="FF000000"/>
        <rFont val="ＭＳ 明朝"/>
        <family val="1"/>
        <charset val="128"/>
      </rPr>
      <t>!$D$22:$D$39</t>
    </r>
  </si>
  <si>
    <r>
      <rPr>
        <sz val="9"/>
        <color rgb="FF000000"/>
        <rFont val="WenQuanYi Zen Hei"/>
        <family val="2"/>
      </rPr>
      <t>区分表</t>
    </r>
    <r>
      <rPr>
        <sz val="9"/>
        <color rgb="FF000000"/>
        <rFont val="ＭＳ 明朝"/>
        <family val="1"/>
        <charset val="128"/>
      </rPr>
      <t>_</t>
    </r>
    <r>
      <rPr>
        <sz val="9"/>
        <color rgb="FF000000"/>
        <rFont val="WenQuanYi Zen Hei"/>
        <family val="2"/>
      </rPr>
      <t>上限万円</t>
    </r>
  </si>
  <si>
    <r>
      <rPr>
        <sz val="9"/>
        <color rgb="FF000000"/>
        <rFont val="WenQuanYi Zen Hei"/>
        <family val="2"/>
      </rPr>
      <t>マスタ</t>
    </r>
    <r>
      <rPr>
        <sz val="9"/>
        <color rgb="FF000000"/>
        <rFont val="ＭＳ 明朝"/>
        <family val="1"/>
        <charset val="128"/>
      </rPr>
      <t>!$E$22:$E$39</t>
    </r>
  </si>
  <si>
    <r>
      <rPr>
        <sz val="9"/>
        <color rgb="FF000000"/>
        <rFont val="WenQuanYi Zen Hei"/>
        <family val="2"/>
      </rPr>
      <t>区分表</t>
    </r>
    <r>
      <rPr>
        <sz val="9"/>
        <color rgb="FF000000"/>
        <rFont val="ＭＳ 明朝"/>
        <family val="1"/>
        <charset val="128"/>
      </rPr>
      <t>_</t>
    </r>
    <r>
      <rPr>
        <sz val="9"/>
        <color rgb="FF000000"/>
        <rFont val="WenQuanYi Zen Hei"/>
        <family val="2"/>
      </rPr>
      <t>単位万円</t>
    </r>
  </si>
  <si>
    <r>
      <rPr>
        <sz val="9"/>
        <color rgb="FF000000"/>
        <rFont val="WenQuanYi Zen Hei"/>
        <family val="2"/>
      </rPr>
      <t>マスタ</t>
    </r>
    <r>
      <rPr>
        <sz val="9"/>
        <color rgb="FF000000"/>
        <rFont val="ＭＳ 明朝"/>
        <family val="1"/>
        <charset val="128"/>
      </rPr>
      <t>!$F$22:$F$39</t>
    </r>
  </si>
  <si>
    <r>
      <rPr>
        <sz val="9"/>
        <color rgb="FF000000"/>
        <rFont val="WenQuanYi Zen Hei"/>
        <family val="2"/>
      </rPr>
      <t>区分表</t>
    </r>
    <r>
      <rPr>
        <sz val="9"/>
        <color rgb="FF000000"/>
        <rFont val="ＭＳ 明朝"/>
        <family val="1"/>
        <charset val="128"/>
      </rPr>
      <t>_</t>
    </r>
    <r>
      <rPr>
        <sz val="9"/>
        <color rgb="FF000000"/>
        <rFont val="WenQuanYi Zen Hei"/>
        <family val="2"/>
      </rPr>
      <t>回数上限</t>
    </r>
  </si>
  <si>
    <r>
      <rPr>
        <sz val="9"/>
        <color rgb="FF000000"/>
        <rFont val="WenQuanYi Zen Hei"/>
        <family val="2"/>
      </rPr>
      <t>マスタ</t>
    </r>
    <r>
      <rPr>
        <sz val="9"/>
        <color rgb="FF000000"/>
        <rFont val="ＭＳ 明朝"/>
        <family val="1"/>
        <charset val="128"/>
      </rPr>
      <t>!$G$22:$G$39</t>
    </r>
  </si>
  <si>
    <r>
      <rPr>
        <sz val="9"/>
        <color rgb="FF000000"/>
        <rFont val="WenQuanYi Zen Hei"/>
        <family val="2"/>
      </rPr>
      <t>区分表</t>
    </r>
    <r>
      <rPr>
        <sz val="9"/>
        <color rgb="FF000000"/>
        <rFont val="ＭＳ 明朝"/>
        <family val="1"/>
        <charset val="128"/>
      </rPr>
      <t>_</t>
    </r>
    <r>
      <rPr>
        <sz val="9"/>
        <color rgb="FF000000"/>
        <rFont val="WenQuanYi Zen Hei"/>
        <family val="2"/>
      </rPr>
      <t>利率種別</t>
    </r>
  </si>
  <si>
    <r>
      <rPr>
        <sz val="9"/>
        <color rgb="FF000000"/>
        <rFont val="WenQuanYi Zen Hei"/>
        <family val="2"/>
      </rPr>
      <t>マスタ</t>
    </r>
    <r>
      <rPr>
        <sz val="9"/>
        <color rgb="FF000000"/>
        <rFont val="ＭＳ 明朝"/>
        <family val="1"/>
        <charset val="128"/>
      </rPr>
      <t>!$H$22:$H$39</t>
    </r>
  </si>
  <si>
    <r>
      <rPr>
        <sz val="9"/>
        <color rgb="FF000000"/>
        <rFont val="WenQuanYi Zen Hei"/>
        <family val="2"/>
      </rPr>
      <t>区分表</t>
    </r>
    <r>
      <rPr>
        <sz val="9"/>
        <color rgb="FF000000"/>
        <rFont val="ＭＳ 明朝"/>
        <family val="1"/>
        <charset val="128"/>
      </rPr>
      <t>_</t>
    </r>
    <r>
      <rPr>
        <sz val="9"/>
        <color rgb="FF000000"/>
        <rFont val="WenQuanYi Zen Hei"/>
        <family val="2"/>
      </rPr>
      <t>締切日</t>
    </r>
  </si>
  <si>
    <r>
      <rPr>
        <sz val="9"/>
        <color rgb="FF000000"/>
        <rFont val="WenQuanYi Zen Hei"/>
        <family val="2"/>
      </rPr>
      <t>マスタ</t>
    </r>
    <r>
      <rPr>
        <sz val="9"/>
        <color rgb="FF000000"/>
        <rFont val="ＭＳ 明朝"/>
        <family val="1"/>
        <charset val="128"/>
      </rPr>
      <t>!$I$22:$I$39</t>
    </r>
  </si>
  <si>
    <r>
      <rPr>
        <sz val="9"/>
        <color rgb="FF000000"/>
        <rFont val="WenQuanYi Zen Hei"/>
        <family val="2"/>
      </rPr>
      <t>区分表</t>
    </r>
    <r>
      <rPr>
        <sz val="9"/>
        <color rgb="FF000000"/>
        <rFont val="ＭＳ 明朝"/>
        <family val="1"/>
        <charset val="128"/>
      </rPr>
      <t>_</t>
    </r>
    <r>
      <rPr>
        <sz val="9"/>
        <color rgb="FF000000"/>
        <rFont val="WenQuanYi Zen Hei"/>
        <family val="2"/>
      </rPr>
      <t>住宅書類列</t>
    </r>
  </si>
  <si>
    <r>
      <rPr>
        <sz val="9"/>
        <color rgb="FF000000"/>
        <rFont val="WenQuanYi Zen Hei"/>
        <family val="2"/>
      </rPr>
      <t>マスタ</t>
    </r>
    <r>
      <rPr>
        <sz val="9"/>
        <color rgb="FF000000"/>
        <rFont val="ＭＳ 明朝"/>
        <family val="1"/>
        <charset val="128"/>
      </rPr>
      <t>!$J$22:$J$39</t>
    </r>
  </si>
  <si>
    <r>
      <rPr>
        <sz val="9"/>
        <color rgb="FF000000"/>
        <rFont val="WenQuanYi Zen Hei"/>
        <family val="2"/>
      </rPr>
      <t>区分表</t>
    </r>
    <r>
      <rPr>
        <sz val="9"/>
        <color rgb="FF000000"/>
        <rFont val="ＭＳ 明朝"/>
        <family val="1"/>
        <charset val="128"/>
      </rPr>
      <t>_</t>
    </r>
    <r>
      <rPr>
        <sz val="9"/>
        <color rgb="FF000000"/>
        <rFont val="WenQuanYi Zen Hei"/>
        <family val="2"/>
      </rPr>
      <t>事由書類</t>
    </r>
  </si>
  <si>
    <r>
      <rPr>
        <sz val="9"/>
        <color rgb="FF000000"/>
        <rFont val="WenQuanYi Zen Hei"/>
        <family val="2"/>
      </rPr>
      <t>マスタ</t>
    </r>
    <r>
      <rPr>
        <sz val="9"/>
        <color rgb="FF000000"/>
        <rFont val="ＭＳ 明朝"/>
        <family val="1"/>
        <charset val="128"/>
      </rPr>
      <t>!$K$22:$K$39</t>
    </r>
  </si>
  <si>
    <r>
      <rPr>
        <sz val="9"/>
        <color rgb="FF000000"/>
        <rFont val="WenQuanYi Zen Hei"/>
        <family val="2"/>
      </rPr>
      <t>区分表</t>
    </r>
    <r>
      <rPr>
        <sz val="9"/>
        <color rgb="FF000000"/>
        <rFont val="ＭＳ 明朝"/>
        <family val="1"/>
        <charset val="128"/>
      </rPr>
      <t>_</t>
    </r>
    <r>
      <rPr>
        <sz val="9"/>
        <color rgb="FF000000"/>
        <rFont val="WenQuanYi Zen Hei"/>
        <family val="2"/>
      </rPr>
      <t>申込時期</t>
    </r>
  </si>
  <si>
    <r>
      <rPr>
        <sz val="9"/>
        <color rgb="FF000000"/>
        <rFont val="WenQuanYi Zen Hei"/>
        <family val="2"/>
      </rPr>
      <t>マスタ</t>
    </r>
    <r>
      <rPr>
        <sz val="9"/>
        <color rgb="FF000000"/>
        <rFont val="ＭＳ 明朝"/>
        <family val="1"/>
        <charset val="128"/>
      </rPr>
      <t>!$L$22:$L$39</t>
    </r>
  </si>
  <si>
    <r>
      <rPr>
        <sz val="9"/>
        <color rgb="FF000000"/>
        <rFont val="WenQuanYi Zen Hei"/>
        <family val="2"/>
      </rPr>
      <t>区分表</t>
    </r>
    <r>
      <rPr>
        <sz val="9"/>
        <color rgb="FF000000"/>
        <rFont val="ＭＳ 明朝"/>
        <family val="1"/>
        <charset val="128"/>
      </rPr>
      <t>_</t>
    </r>
    <r>
      <rPr>
        <sz val="9"/>
        <color rgb="FF000000"/>
        <rFont val="WenQuanYi Zen Hei"/>
        <family val="2"/>
      </rPr>
      <t>基準日名</t>
    </r>
  </si>
  <si>
    <r>
      <rPr>
        <sz val="9"/>
        <color rgb="FF000000"/>
        <rFont val="WenQuanYi Zen Hei"/>
        <family val="2"/>
      </rPr>
      <t>マスタ</t>
    </r>
    <r>
      <rPr>
        <sz val="9"/>
        <color rgb="FF000000"/>
        <rFont val="ＭＳ 明朝"/>
        <family val="1"/>
        <charset val="128"/>
      </rPr>
      <t>!$M$22:$M$39</t>
    </r>
  </si>
  <si>
    <r>
      <rPr>
        <sz val="9"/>
        <color rgb="FF000000"/>
        <rFont val="WenQuanYi Zen Hei"/>
        <family val="2"/>
      </rPr>
      <t>区分表</t>
    </r>
    <r>
      <rPr>
        <sz val="9"/>
        <color rgb="FF000000"/>
        <rFont val="ＭＳ 明朝"/>
        <family val="1"/>
        <charset val="128"/>
      </rPr>
      <t>_</t>
    </r>
    <r>
      <rPr>
        <sz val="9"/>
        <color rgb="FF000000"/>
        <rFont val="WenQuanYi Zen Hei"/>
        <family val="2"/>
      </rPr>
      <t>前月数</t>
    </r>
  </si>
  <si>
    <r>
      <rPr>
        <sz val="9"/>
        <color rgb="FF000000"/>
        <rFont val="WenQuanYi Zen Hei"/>
        <family val="2"/>
      </rPr>
      <t>マスタ</t>
    </r>
    <r>
      <rPr>
        <sz val="9"/>
        <color rgb="FF000000"/>
        <rFont val="ＭＳ 明朝"/>
        <family val="1"/>
        <charset val="128"/>
      </rPr>
      <t>!$N$22:$N$39</t>
    </r>
  </si>
  <si>
    <r>
      <rPr>
        <sz val="9"/>
        <color rgb="FF000000"/>
        <rFont val="WenQuanYi Zen Hei"/>
        <family val="2"/>
      </rPr>
      <t>区分表</t>
    </r>
    <r>
      <rPr>
        <sz val="9"/>
        <color rgb="FF000000"/>
        <rFont val="ＭＳ 明朝"/>
        <family val="1"/>
        <charset val="128"/>
      </rPr>
      <t>_</t>
    </r>
    <r>
      <rPr>
        <sz val="9"/>
        <color rgb="FF000000"/>
        <rFont val="WenQuanYi Zen Hei"/>
        <family val="2"/>
      </rPr>
      <t>後月数</t>
    </r>
  </si>
  <si>
    <r>
      <rPr>
        <sz val="9"/>
        <color rgb="FF000000"/>
        <rFont val="WenQuanYi Zen Hei"/>
        <family val="2"/>
      </rPr>
      <t>マスタ</t>
    </r>
    <r>
      <rPr>
        <sz val="9"/>
        <color rgb="FF000000"/>
        <rFont val="ＭＳ 明朝"/>
        <family val="1"/>
        <charset val="128"/>
      </rPr>
      <t>!$O$22:$O$39</t>
    </r>
  </si>
  <si>
    <r>
      <rPr>
        <sz val="9"/>
        <color rgb="FF000000"/>
        <rFont val="WenQuanYi Zen Hei"/>
        <family val="2"/>
      </rPr>
      <t>区分表</t>
    </r>
    <r>
      <rPr>
        <sz val="9"/>
        <color rgb="FF000000"/>
        <rFont val="ＭＳ 明朝"/>
        <family val="1"/>
        <charset val="128"/>
      </rPr>
      <t>_</t>
    </r>
    <r>
      <rPr>
        <sz val="9"/>
        <color rgb="FF000000"/>
        <rFont val="WenQuanYi Zen Hei"/>
        <family val="2"/>
      </rPr>
      <t>交付後書類</t>
    </r>
  </si>
  <si>
    <r>
      <rPr>
        <sz val="9"/>
        <color rgb="FF000000"/>
        <rFont val="WenQuanYi Zen Hei"/>
        <family val="2"/>
      </rPr>
      <t>マスタ</t>
    </r>
    <r>
      <rPr>
        <sz val="9"/>
        <color rgb="FF000000"/>
        <rFont val="ＭＳ 明朝"/>
        <family val="1"/>
        <charset val="128"/>
      </rPr>
      <t>!$P$22:$P$39</t>
    </r>
  </si>
  <si>
    <r>
      <rPr>
        <sz val="9"/>
        <color rgb="FF000000"/>
        <rFont val="WenQuanYi Zen Hei"/>
        <family val="2"/>
      </rPr>
      <t>区分表</t>
    </r>
    <r>
      <rPr>
        <sz val="9"/>
        <color rgb="FF000000"/>
        <rFont val="ＭＳ 明朝"/>
        <family val="1"/>
        <charset val="128"/>
      </rPr>
      <t>_</t>
    </r>
    <r>
      <rPr>
        <sz val="9"/>
        <color rgb="FF000000"/>
        <rFont val="WenQuanYi Zen Hei"/>
        <family val="2"/>
      </rPr>
      <t>交付後期限月</t>
    </r>
  </si>
  <si>
    <r>
      <rPr>
        <sz val="9"/>
        <color rgb="FF000000"/>
        <rFont val="WenQuanYi Zen Hei"/>
        <family val="2"/>
      </rPr>
      <t>マスタ</t>
    </r>
    <r>
      <rPr>
        <sz val="9"/>
        <color rgb="FF000000"/>
        <rFont val="ＭＳ 明朝"/>
        <family val="1"/>
        <charset val="128"/>
      </rPr>
      <t>!$Q$22:$Q$39</t>
    </r>
  </si>
  <si>
    <r>
      <rPr>
        <sz val="9"/>
        <color rgb="FF000000"/>
        <rFont val="WenQuanYi Zen Hei"/>
        <family val="2"/>
      </rPr>
      <t>区分表</t>
    </r>
    <r>
      <rPr>
        <sz val="9"/>
        <color rgb="FF000000"/>
        <rFont val="ＭＳ 明朝"/>
        <family val="1"/>
        <charset val="128"/>
      </rPr>
      <t>_</t>
    </r>
    <r>
      <rPr>
        <sz val="9"/>
        <color rgb="FF000000"/>
        <rFont val="WenQuanYi Zen Hei"/>
        <family val="2"/>
      </rPr>
      <t>期限起算</t>
    </r>
  </si>
  <si>
    <r>
      <rPr>
        <sz val="9"/>
        <color rgb="FF000000"/>
        <rFont val="WenQuanYi Zen Hei"/>
        <family val="2"/>
      </rPr>
      <t>マスタ</t>
    </r>
    <r>
      <rPr>
        <sz val="9"/>
        <color rgb="FF000000"/>
        <rFont val="ＭＳ 明朝"/>
        <family val="1"/>
        <charset val="128"/>
      </rPr>
      <t>!$R$22:$R$39</t>
    </r>
  </si>
  <si>
    <r>
      <rPr>
        <sz val="9"/>
        <color rgb="FF000000"/>
        <rFont val="WenQuanYi Zen Hei"/>
        <family val="2"/>
      </rPr>
      <t>区分表</t>
    </r>
    <r>
      <rPr>
        <sz val="9"/>
        <color rgb="FF000000"/>
        <rFont val="ＭＳ 明朝"/>
        <family val="1"/>
        <charset val="128"/>
      </rPr>
      <t>_</t>
    </r>
    <r>
      <rPr>
        <sz val="9"/>
        <color rgb="FF000000"/>
        <rFont val="WenQuanYi Zen Hei"/>
        <family val="2"/>
      </rPr>
      <t>決定目安</t>
    </r>
  </si>
  <si>
    <r>
      <rPr>
        <sz val="9"/>
        <color rgb="FF000000"/>
        <rFont val="WenQuanYi Zen Hei"/>
        <family val="2"/>
      </rPr>
      <t>マスタ</t>
    </r>
    <r>
      <rPr>
        <sz val="9"/>
        <color rgb="FF000000"/>
        <rFont val="ＭＳ 明朝"/>
        <family val="1"/>
        <charset val="128"/>
      </rPr>
      <t>!$S$22:$S$39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</si>
  <si>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</si>
  <si>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!$A$43:$A$49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</si>
  <si>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月数</t>
    </r>
  </si>
  <si>
    <r>
      <rPr>
        <sz val="9"/>
        <color rgb="FF000000"/>
        <rFont val="WenQuanYi Zen Hei"/>
        <family val="2"/>
      </rPr>
      <t>マスタ</t>
    </r>
    <r>
      <rPr>
        <sz val="9"/>
        <color rgb="FF000000"/>
        <rFont val="ＭＳ 明朝"/>
        <family val="1"/>
        <charset val="128"/>
      </rPr>
      <t>!$C$43:$C$49</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</si>
  <si>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</si>
  <si>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!$E$43:$E$47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</si>
  <si>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</si>
  <si>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マスタ</t>
    </r>
    <r>
      <rPr>
        <sz val="9"/>
        <color rgb="FF000000"/>
        <rFont val="ＭＳ 明朝"/>
        <family val="1"/>
        <charset val="128"/>
      </rPr>
      <t>!$G$43:$G$47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</si>
  <si>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</si>
  <si>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マスタ</t>
    </r>
    <r>
      <rPr>
        <sz val="9"/>
        <color rgb="FF000000"/>
        <rFont val="ＭＳ 明朝"/>
        <family val="1"/>
        <charset val="128"/>
      </rPr>
      <t>!$H$43:$H$47</t>
    </r>
  </si>
  <si>
    <r>
      <rPr>
        <sz val="9"/>
        <color rgb="FF000000"/>
        <rFont val="WenQuanYi Zen Hei"/>
        <family val="2"/>
      </rPr>
      <t>表</t>
    </r>
    <r>
      <rPr>
        <sz val="9"/>
        <color rgb="FF000000"/>
        <rFont val="ＭＳ 明朝"/>
        <family val="1"/>
        <charset val="128"/>
      </rPr>
      <t>_</t>
    </r>
    <r>
      <rPr>
        <sz val="9"/>
        <color rgb="FF000000"/>
        <rFont val="WenQuanYi Zen Hei"/>
        <family val="2"/>
      </rPr>
      <t>住宅書類</t>
    </r>
    <r>
      <rPr>
        <sz val="9"/>
        <color rgb="FF000000"/>
        <rFont val="ＭＳ 明朝"/>
        <family val="1"/>
        <charset val="128"/>
      </rPr>
      <t>_</t>
    </r>
    <r>
      <rPr>
        <sz val="9"/>
        <color rgb="FF000000"/>
        <rFont val="WenQuanYi Zen Hei"/>
        <family val="2"/>
      </rPr>
      <t>見出し</t>
    </r>
  </si>
  <si>
    <r>
      <rPr>
        <sz val="9"/>
        <color rgb="FF000000"/>
        <rFont val="WenQuanYi Zen Hei"/>
        <family val="2"/>
      </rPr>
      <t>マスタ</t>
    </r>
    <r>
      <rPr>
        <sz val="9"/>
        <color rgb="FF000000"/>
        <rFont val="ＭＳ 明朝"/>
        <family val="1"/>
        <charset val="128"/>
      </rPr>
      <t>!$B$53:$H$53</t>
    </r>
  </si>
  <si>
    <r>
      <rPr>
        <sz val="9"/>
        <color rgb="FF000000"/>
        <rFont val="WenQuanYi Zen Hei"/>
        <family val="2"/>
      </rPr>
      <t>表</t>
    </r>
    <r>
      <rPr>
        <sz val="9"/>
        <color rgb="FF000000"/>
        <rFont val="ＭＳ 明朝"/>
        <family val="1"/>
        <charset val="128"/>
      </rPr>
      <t>_</t>
    </r>
    <r>
      <rPr>
        <sz val="9"/>
        <color rgb="FF000000"/>
        <rFont val="WenQuanYi Zen Hei"/>
        <family val="2"/>
      </rPr>
      <t>所属区分</t>
    </r>
  </si>
  <si>
    <r>
      <rPr>
        <sz val="9"/>
        <color rgb="FF000000"/>
        <rFont val="WenQuanYi Zen Hei"/>
        <family val="2"/>
      </rPr>
      <t>マスタ</t>
    </r>
    <r>
      <rPr>
        <sz val="9"/>
        <color rgb="FF000000"/>
        <rFont val="ＭＳ 明朝"/>
        <family val="1"/>
        <charset val="128"/>
      </rPr>
      <t>!$A$85:$A$87</t>
    </r>
  </si>
  <si>
    <r>
      <rPr>
        <sz val="9"/>
        <color rgb="FF000000"/>
        <rFont val="WenQuanYi Zen Hei"/>
        <family val="2"/>
      </rPr>
      <t>表</t>
    </r>
    <r>
      <rPr>
        <sz val="9"/>
        <color rgb="FF000000"/>
        <rFont val="ＭＳ 明朝"/>
        <family val="1"/>
        <charset val="128"/>
      </rPr>
      <t>_</t>
    </r>
    <r>
      <rPr>
        <sz val="9"/>
        <color rgb="FF000000"/>
        <rFont val="WenQuanYi Zen Hei"/>
        <family val="2"/>
      </rPr>
      <t>提出先</t>
    </r>
  </si>
  <si>
    <r>
      <rPr>
        <sz val="9"/>
        <color rgb="FF000000"/>
        <rFont val="WenQuanYi Zen Hei"/>
        <family val="2"/>
      </rPr>
      <t>マスタ</t>
    </r>
    <r>
      <rPr>
        <sz val="9"/>
        <color rgb="FF000000"/>
        <rFont val="ＭＳ 明朝"/>
        <family val="1"/>
        <charset val="128"/>
      </rPr>
      <t>!$B$85:$B$87</t>
    </r>
  </si>
  <si>
    <r>
      <rPr>
        <sz val="9"/>
        <color rgb="FF000000"/>
        <rFont val="WenQuanYi Zen Hei"/>
        <family val="2"/>
      </rPr>
      <t>表</t>
    </r>
    <r>
      <rPr>
        <sz val="9"/>
        <color rgb="FF000000"/>
        <rFont val="ＭＳ 明朝"/>
        <family val="1"/>
        <charset val="128"/>
      </rPr>
      <t>_</t>
    </r>
    <r>
      <rPr>
        <sz val="9"/>
        <color rgb="FF000000"/>
        <rFont val="WenQuanYi Zen Hei"/>
        <family val="2"/>
      </rPr>
      <t>祝日</t>
    </r>
  </si>
  <si>
    <r>
      <rPr>
        <sz val="9"/>
        <color rgb="FF000000"/>
        <rFont val="WenQuanYi Zen Hei"/>
        <family val="2"/>
      </rPr>
      <t>マスタ</t>
    </r>
    <r>
      <rPr>
        <sz val="9"/>
        <color rgb="FF000000"/>
        <rFont val="ＭＳ 明朝"/>
        <family val="1"/>
        <charset val="128"/>
      </rPr>
      <t>!$A$92:$A$152</t>
    </r>
  </si>
  <si>
    <r>
      <rPr>
        <sz val="9"/>
        <color rgb="FF000000"/>
        <rFont val="WenQuanYi Zen Hei"/>
        <family val="2"/>
      </rPr>
      <t>定数</t>
    </r>
    <r>
      <rPr>
        <sz val="9"/>
        <color rgb="FF000000"/>
        <rFont val="ＭＳ 明朝"/>
        <family val="1"/>
        <charset val="128"/>
      </rPr>
      <t>_</t>
    </r>
    <r>
      <rPr>
        <sz val="9"/>
        <color rgb="FF000000"/>
        <rFont val="WenQuanYi Zen Hei"/>
        <family val="2"/>
      </rPr>
      <t>万円</t>
    </r>
  </si>
  <si>
    <t>定数</t>
  </si>
  <si>
    <r>
      <rPr>
        <sz val="9"/>
        <color rgb="FF000000"/>
        <rFont val="WenQuanYi Zen Hei"/>
        <family val="2"/>
      </rPr>
      <t>計算過程</t>
    </r>
    <r>
      <rPr>
        <sz val="9"/>
        <color rgb="FF000000"/>
        <rFont val="ＭＳ 明朝"/>
        <family val="1"/>
        <charset val="128"/>
      </rPr>
      <t>!$B$5</t>
    </r>
  </si>
  <si>
    <r>
      <rPr>
        <sz val="9"/>
        <color rgb="FF000000"/>
        <rFont val="WenQuanYi Zen Hei"/>
        <family val="2"/>
      </rPr>
      <t>定数</t>
    </r>
    <r>
      <rPr>
        <sz val="9"/>
        <color rgb="FF000000"/>
        <rFont val="ＭＳ 明朝"/>
        <family val="1"/>
        <charset val="128"/>
      </rPr>
      <t>:1</t>
    </r>
    <r>
      <rPr>
        <sz val="9"/>
        <color rgb="FF000000"/>
        <rFont val="WenQuanYi Zen Hei"/>
        <family val="2"/>
      </rPr>
      <t>万円</t>
    </r>
    <r>
      <rPr>
        <sz val="9"/>
        <color rgb="FF000000"/>
        <rFont val="ＭＳ 明朝"/>
        <family val="1"/>
        <charset val="128"/>
      </rPr>
      <t>=10000</t>
    </r>
    <r>
      <rPr>
        <sz val="9"/>
        <color rgb="FF000000"/>
        <rFont val="WenQuanYi Zen Hei"/>
        <family val="2"/>
      </rPr>
      <t>円</t>
    </r>
  </si>
  <si>
    <r>
      <rPr>
        <sz val="9"/>
        <color rgb="FF000000"/>
        <rFont val="WenQuanYi Zen Hei"/>
        <family val="2"/>
      </rPr>
      <t>定数</t>
    </r>
    <r>
      <rPr>
        <sz val="9"/>
        <color rgb="FF000000"/>
        <rFont val="ＭＳ 明朝"/>
        <family val="1"/>
        <charset val="128"/>
      </rPr>
      <t>_</t>
    </r>
    <r>
      <rPr>
        <sz val="9"/>
        <color rgb="FF000000"/>
        <rFont val="WenQuanYi Zen Hei"/>
        <family val="2"/>
      </rPr>
      <t>年月数</t>
    </r>
  </si>
  <si>
    <r>
      <rPr>
        <sz val="9"/>
        <color rgb="FF000000"/>
        <rFont val="WenQuanYi Zen Hei"/>
        <family val="2"/>
      </rPr>
      <t>計算過程</t>
    </r>
    <r>
      <rPr>
        <sz val="9"/>
        <color rgb="FF000000"/>
        <rFont val="ＭＳ 明朝"/>
        <family val="1"/>
        <charset val="128"/>
      </rPr>
      <t>!$B$6</t>
    </r>
  </si>
  <si>
    <r>
      <rPr>
        <sz val="9"/>
        <color rgb="FF000000"/>
        <rFont val="WenQuanYi Zen Hei"/>
        <family val="2"/>
      </rPr>
      <t>定数</t>
    </r>
    <r>
      <rPr>
        <sz val="9"/>
        <color rgb="FF000000"/>
        <rFont val="ＭＳ 明朝"/>
        <family val="1"/>
        <charset val="128"/>
      </rPr>
      <t>:1</t>
    </r>
    <r>
      <rPr>
        <sz val="9"/>
        <color rgb="FF000000"/>
        <rFont val="WenQuanYi Zen Hei"/>
        <family val="2"/>
      </rPr>
      <t>年の月数</t>
    </r>
  </si>
  <si>
    <r>
      <rPr>
        <sz val="9"/>
        <color rgb="FF000000"/>
        <rFont val="WenQuanYi Zen Hei"/>
        <family val="2"/>
      </rPr>
      <t>定数</t>
    </r>
    <r>
      <rPr>
        <sz val="9"/>
        <color rgb="FF000000"/>
        <rFont val="ＭＳ 明朝"/>
        <family val="1"/>
        <charset val="128"/>
      </rPr>
      <t>_</t>
    </r>
    <r>
      <rPr>
        <sz val="9"/>
        <color rgb="FF000000"/>
        <rFont val="WenQuanYi Zen Hei"/>
        <family val="2"/>
      </rPr>
      <t>半年月数</t>
    </r>
  </si>
  <si>
    <r>
      <rPr>
        <sz val="9"/>
        <color rgb="FF000000"/>
        <rFont val="WenQuanYi Zen Hei"/>
        <family val="2"/>
      </rPr>
      <t>計算過程</t>
    </r>
    <r>
      <rPr>
        <sz val="9"/>
        <color rgb="FF000000"/>
        <rFont val="ＭＳ 明朝"/>
        <family val="1"/>
        <charset val="128"/>
      </rPr>
      <t>!$B$7</t>
    </r>
  </si>
  <si>
    <r>
      <rPr>
        <sz val="9"/>
        <color rgb="FF000000"/>
        <rFont val="WenQuanYi Zen Hei"/>
        <family val="2"/>
      </rPr>
      <t>定数</t>
    </r>
    <r>
      <rPr>
        <sz val="9"/>
        <color rgb="FF000000"/>
        <rFont val="ＭＳ 明朝"/>
        <family val="1"/>
        <charset val="128"/>
      </rPr>
      <t>:</t>
    </r>
    <r>
      <rPr>
        <sz val="9"/>
        <color rgb="FF000000"/>
        <rFont val="WenQuanYi Zen Hei"/>
        <family val="2"/>
      </rPr>
      <t>半年の月数</t>
    </r>
  </si>
  <si>
    <r>
      <rPr>
        <sz val="9"/>
        <color rgb="FF000000"/>
        <rFont val="WenQuanYi Zen Hei"/>
        <family val="2"/>
      </rPr>
      <t>定数</t>
    </r>
    <r>
      <rPr>
        <sz val="9"/>
        <color rgb="FF000000"/>
        <rFont val="ＭＳ 明朝"/>
        <family val="1"/>
        <charset val="128"/>
      </rPr>
      <t>_</t>
    </r>
    <r>
      <rPr>
        <sz val="9"/>
        <color rgb="FF000000"/>
        <rFont val="WenQuanYi Zen Hei"/>
        <family val="2"/>
      </rPr>
      <t>年賞与回数</t>
    </r>
  </si>
  <si>
    <r>
      <rPr>
        <sz val="9"/>
        <color rgb="FF000000"/>
        <rFont val="WenQuanYi Zen Hei"/>
        <family val="2"/>
      </rPr>
      <t>計算過程</t>
    </r>
    <r>
      <rPr>
        <sz val="9"/>
        <color rgb="FF000000"/>
        <rFont val="ＭＳ 明朝"/>
        <family val="1"/>
        <charset val="128"/>
      </rPr>
      <t>!$B$8</t>
    </r>
  </si>
  <si>
    <r>
      <rPr>
        <sz val="9"/>
        <color rgb="FF000000"/>
        <rFont val="WenQuanYi Zen Hei"/>
        <family val="2"/>
      </rPr>
      <t>定数</t>
    </r>
    <r>
      <rPr>
        <sz val="9"/>
        <color rgb="FF000000"/>
        <rFont val="ＭＳ 明朝"/>
        <family val="1"/>
        <charset val="128"/>
      </rPr>
      <t>:</t>
    </r>
    <r>
      <rPr>
        <sz val="9"/>
        <color rgb="FF000000"/>
        <rFont val="WenQuanYi Zen Hei"/>
        <family val="2"/>
      </rPr>
      <t>年間のボーナス回数</t>
    </r>
  </si>
  <si>
    <r>
      <rPr>
        <sz val="9"/>
        <color rgb="FF000000"/>
        <rFont val="WenQuanYi Zen Hei"/>
        <family val="2"/>
      </rPr>
      <t>定数</t>
    </r>
    <r>
      <rPr>
        <sz val="9"/>
        <color rgb="FF000000"/>
        <rFont val="ＭＳ 明朝"/>
        <family val="1"/>
        <charset val="128"/>
      </rPr>
      <t>_</t>
    </r>
    <r>
      <rPr>
        <sz val="9"/>
        <color rgb="FF000000"/>
        <rFont val="WenQuanYi Zen Hei"/>
        <family val="2"/>
      </rPr>
      <t>誤差</t>
    </r>
  </si>
  <si>
    <r>
      <rPr>
        <sz val="9"/>
        <color rgb="FF000000"/>
        <rFont val="WenQuanYi Zen Hei"/>
        <family val="2"/>
      </rPr>
      <t>計算過程</t>
    </r>
    <r>
      <rPr>
        <sz val="9"/>
        <color rgb="FF000000"/>
        <rFont val="ＭＳ 明朝"/>
        <family val="1"/>
        <charset val="128"/>
      </rPr>
      <t>!$B$9</t>
    </r>
  </si>
  <si>
    <r>
      <rPr>
        <sz val="9"/>
        <color rgb="FF000000"/>
        <rFont val="WenQuanYi Zen Hei"/>
        <family val="2"/>
      </rPr>
      <t>定数</t>
    </r>
    <r>
      <rPr>
        <sz val="9"/>
        <color rgb="FF000000"/>
        <rFont val="ＭＳ 明朝"/>
        <family val="1"/>
        <charset val="128"/>
      </rPr>
      <t>:</t>
    </r>
    <r>
      <rPr>
        <sz val="9"/>
        <color rgb="FF000000"/>
        <rFont val="WenQuanYi Zen Hei"/>
        <family val="2"/>
      </rPr>
      <t>比較の許容誤差</t>
    </r>
  </si>
  <si>
    <r>
      <rPr>
        <sz val="9"/>
        <color rgb="FF000000"/>
        <rFont val="WenQuanYi Zen Hei"/>
        <family val="2"/>
      </rPr>
      <t>計算</t>
    </r>
    <r>
      <rPr>
        <sz val="9"/>
        <color rgb="FF000000"/>
        <rFont val="ＭＳ 明朝"/>
        <family val="1"/>
        <charset val="128"/>
      </rPr>
      <t>_</t>
    </r>
    <r>
      <rPr>
        <sz val="9"/>
        <color rgb="FF000000"/>
        <rFont val="WenQuanYi Zen Hei"/>
        <family val="2"/>
      </rPr>
      <t>区分行</t>
    </r>
  </si>
  <si>
    <t>計算</t>
  </si>
  <si>
    <r>
      <rPr>
        <sz val="9"/>
        <color rgb="FF000000"/>
        <rFont val="WenQuanYi Zen Hei"/>
        <family val="2"/>
      </rPr>
      <t>計算過程</t>
    </r>
    <r>
      <rPr>
        <sz val="9"/>
        <color rgb="FF000000"/>
        <rFont val="ＭＳ 明朝"/>
        <family val="1"/>
        <charset val="128"/>
      </rPr>
      <t>!$B$11</t>
    </r>
  </si>
  <si>
    <t>貸付区分表の行番号</t>
  </si>
  <si>
    <r>
      <rPr>
        <sz val="9"/>
        <color rgb="FF000000"/>
        <rFont val="WenQuanYi Zen Hei"/>
        <family val="2"/>
      </rPr>
      <t>計算</t>
    </r>
    <r>
      <rPr>
        <sz val="9"/>
        <color rgb="FF000000"/>
        <rFont val="ＭＳ 明朝"/>
        <family val="1"/>
        <charset val="128"/>
      </rPr>
      <t>_</t>
    </r>
    <r>
      <rPr>
        <sz val="9"/>
        <color rgb="FF000000"/>
        <rFont val="WenQuanYi Zen Hei"/>
        <family val="2"/>
      </rPr>
      <t>区分群</t>
    </r>
  </si>
  <si>
    <r>
      <rPr>
        <sz val="9"/>
        <color rgb="FF000000"/>
        <rFont val="WenQuanYi Zen Hei"/>
        <family val="2"/>
      </rPr>
      <t>計算過程</t>
    </r>
    <r>
      <rPr>
        <sz val="9"/>
        <color rgb="FF000000"/>
        <rFont val="ＭＳ 明朝"/>
        <family val="1"/>
        <charset val="128"/>
      </rPr>
      <t>!$B$12</t>
    </r>
  </si>
  <si>
    <t>区分群</t>
  </si>
  <si>
    <r>
      <rPr>
        <sz val="9"/>
        <color rgb="FF000000"/>
        <rFont val="WenQuanYi Zen Hei"/>
        <family val="2"/>
      </rPr>
      <t>計算</t>
    </r>
    <r>
      <rPr>
        <sz val="9"/>
        <color rgb="FF000000"/>
        <rFont val="ＭＳ 明朝"/>
        <family val="1"/>
        <charset val="128"/>
      </rPr>
      <t>_</t>
    </r>
    <r>
      <rPr>
        <sz val="9"/>
        <color rgb="FF000000"/>
        <rFont val="WenQuanYi Zen Hei"/>
        <family val="2"/>
      </rPr>
      <t>限度額方式</t>
    </r>
  </si>
  <si>
    <r>
      <rPr>
        <sz val="9"/>
        <color rgb="FF000000"/>
        <rFont val="WenQuanYi Zen Hei"/>
        <family val="2"/>
      </rPr>
      <t>計算過程</t>
    </r>
    <r>
      <rPr>
        <sz val="9"/>
        <color rgb="FF000000"/>
        <rFont val="ＭＳ 明朝"/>
        <family val="1"/>
        <charset val="128"/>
      </rPr>
      <t>!$B$13</t>
    </r>
  </si>
  <si>
    <t>限度額の計算方式</t>
  </si>
  <si>
    <r>
      <rPr>
        <sz val="9"/>
        <color rgb="FF000000"/>
        <rFont val="WenQuanYi Zen Hei"/>
        <family val="2"/>
      </rPr>
      <t>計算</t>
    </r>
    <r>
      <rPr>
        <sz val="9"/>
        <color rgb="FF000000"/>
        <rFont val="ＭＳ 明朝"/>
        <family val="1"/>
        <charset val="128"/>
      </rPr>
      <t>_</t>
    </r>
    <r>
      <rPr>
        <sz val="9"/>
        <color rgb="FF000000"/>
        <rFont val="WenQuanYi Zen Hei"/>
        <family val="2"/>
      </rPr>
      <t>給料月数</t>
    </r>
  </si>
  <si>
    <r>
      <rPr>
        <sz val="9"/>
        <color rgb="FF000000"/>
        <rFont val="WenQuanYi Zen Hei"/>
        <family val="2"/>
      </rPr>
      <t>計算過程</t>
    </r>
    <r>
      <rPr>
        <sz val="9"/>
        <color rgb="FF000000"/>
        <rFont val="ＭＳ 明朝"/>
        <family val="1"/>
        <charset val="128"/>
      </rPr>
      <t>!$B$14</t>
    </r>
  </si>
  <si>
    <r>
      <rPr>
        <sz val="9"/>
        <color rgb="FF000000"/>
        <rFont val="WenQuanYi Zen Hei"/>
        <family val="2"/>
      </rPr>
      <t>給料月数</t>
    </r>
    <r>
      <rPr>
        <sz val="9"/>
        <color rgb="FF000000"/>
        <rFont val="ＭＳ 明朝"/>
        <family val="1"/>
        <charset val="128"/>
      </rPr>
      <t>(</t>
    </r>
    <r>
      <rPr>
        <sz val="9"/>
        <color rgb="FF000000"/>
        <rFont val="WenQuanYi Zen Hei"/>
        <family val="2"/>
      </rPr>
      <t>月数方式</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</si>
  <si>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上限万円</t>
    </r>
  </si>
  <si>
    <r>
      <rPr>
        <sz val="9"/>
        <color rgb="FF000000"/>
        <rFont val="WenQuanYi Zen Hei"/>
        <family val="2"/>
      </rPr>
      <t>計算過程</t>
    </r>
    <r>
      <rPr>
        <sz val="9"/>
        <color rgb="FF000000"/>
        <rFont val="ＭＳ 明朝"/>
        <family val="1"/>
        <charset val="128"/>
      </rPr>
      <t>!$B$15</t>
    </r>
  </si>
  <si>
    <r>
      <rPr>
        <sz val="9"/>
        <color rgb="FF000000"/>
        <rFont val="WenQuanYi Zen Hei"/>
        <family val="2"/>
      </rPr>
      <t>上限額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</si>
  <si>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単位万円</t>
    </r>
  </si>
  <si>
    <r>
      <rPr>
        <sz val="9"/>
        <color rgb="FF000000"/>
        <rFont val="WenQuanYi Zen Hei"/>
        <family val="2"/>
      </rPr>
      <t>計算過程</t>
    </r>
    <r>
      <rPr>
        <sz val="9"/>
        <color rgb="FF000000"/>
        <rFont val="ＭＳ 明朝"/>
        <family val="1"/>
        <charset val="128"/>
      </rPr>
      <t>!$B$16</t>
    </r>
  </si>
  <si>
    <r>
      <rPr>
        <sz val="9"/>
        <color rgb="FF000000"/>
        <rFont val="WenQuanYi Zen Hei"/>
        <family val="2"/>
      </rPr>
      <t>申込単位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</si>
  <si>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回数上限</t>
    </r>
  </si>
  <si>
    <r>
      <rPr>
        <sz val="9"/>
        <color rgb="FF000000"/>
        <rFont val="WenQuanYi Zen Hei"/>
        <family val="2"/>
      </rPr>
      <t>計算過程</t>
    </r>
    <r>
      <rPr>
        <sz val="9"/>
        <color rgb="FF000000"/>
        <rFont val="ＭＳ 明朝"/>
        <family val="1"/>
        <charset val="128"/>
      </rPr>
      <t>!$B$17</t>
    </r>
  </si>
  <si>
    <t>償還回数の上限</t>
  </si>
  <si>
    <r>
      <rPr>
        <sz val="9"/>
        <color rgb="FF000000"/>
        <rFont val="WenQuanYi Zen Hei"/>
        <family val="2"/>
      </rPr>
      <t>計算</t>
    </r>
    <r>
      <rPr>
        <sz val="9"/>
        <color rgb="FF000000"/>
        <rFont val="ＭＳ 明朝"/>
        <family val="1"/>
        <charset val="128"/>
      </rPr>
      <t>_</t>
    </r>
    <r>
      <rPr>
        <sz val="9"/>
        <color rgb="FF000000"/>
        <rFont val="WenQuanYi Zen Hei"/>
        <family val="2"/>
      </rPr>
      <t>利率種別</t>
    </r>
  </si>
  <si>
    <r>
      <rPr>
        <sz val="9"/>
        <color rgb="FF000000"/>
        <rFont val="WenQuanYi Zen Hei"/>
        <family val="2"/>
      </rPr>
      <t>計算過程</t>
    </r>
    <r>
      <rPr>
        <sz val="9"/>
        <color rgb="FF000000"/>
        <rFont val="ＭＳ 明朝"/>
        <family val="1"/>
        <charset val="128"/>
      </rPr>
      <t>!$B$18</t>
    </r>
  </si>
  <si>
    <t>利率種別</t>
  </si>
  <si>
    <r>
      <rPr>
        <sz val="9"/>
        <color rgb="FF000000"/>
        <rFont val="WenQuanYi Zen Hei"/>
        <family val="2"/>
      </rPr>
      <t>計算</t>
    </r>
    <r>
      <rPr>
        <sz val="9"/>
        <color rgb="FF000000"/>
        <rFont val="ＭＳ 明朝"/>
        <family val="1"/>
        <charset val="128"/>
      </rPr>
      <t>_</t>
    </r>
    <r>
      <rPr>
        <sz val="9"/>
        <color rgb="FF000000"/>
        <rFont val="WenQuanYi Zen Hei"/>
        <family val="2"/>
      </rPr>
      <t>締切日の日</t>
    </r>
  </si>
  <si>
    <r>
      <rPr>
        <sz val="9"/>
        <color rgb="FF000000"/>
        <rFont val="WenQuanYi Zen Hei"/>
        <family val="2"/>
      </rPr>
      <t>計算過程</t>
    </r>
    <r>
      <rPr>
        <sz val="9"/>
        <color rgb="FF000000"/>
        <rFont val="ＭＳ 明朝"/>
        <family val="1"/>
        <charset val="128"/>
      </rPr>
      <t>!$B$19</t>
    </r>
  </si>
  <si>
    <r>
      <rPr>
        <sz val="9"/>
        <color rgb="FF000000"/>
        <rFont val="WenQuanYi Zen Hei"/>
        <family val="2"/>
      </rPr>
      <t>申込締切日</t>
    </r>
    <r>
      <rPr>
        <sz val="9"/>
        <color rgb="FF000000"/>
        <rFont val="ＭＳ 明朝"/>
        <family val="1"/>
        <charset val="128"/>
      </rPr>
      <t>(</t>
    </r>
    <r>
      <rPr>
        <sz val="9"/>
        <color rgb="FF000000"/>
        <rFont val="WenQuanYi Zen Hei"/>
        <family val="2"/>
      </rPr>
      <t>日</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</si>
  <si>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住宅書類列</t>
    </r>
  </si>
  <si>
    <r>
      <rPr>
        <sz val="9"/>
        <color rgb="FF000000"/>
        <rFont val="WenQuanYi Zen Hei"/>
        <family val="2"/>
      </rPr>
      <t>計算過程</t>
    </r>
    <r>
      <rPr>
        <sz val="9"/>
        <color rgb="FF000000"/>
        <rFont val="ＭＳ 明朝"/>
        <family val="1"/>
        <charset val="128"/>
      </rPr>
      <t>!$B$20</t>
    </r>
  </si>
  <si>
    <r>
      <rPr>
        <sz val="9"/>
        <color rgb="FF000000"/>
        <rFont val="WenQuanYi Zen Hei"/>
        <family val="2"/>
      </rPr>
      <t>住宅書類の列</t>
    </r>
    <r>
      <rPr>
        <sz val="9"/>
        <color rgb="FF000000"/>
        <rFont val="ＭＳ 明朝"/>
        <family val="1"/>
        <charset val="128"/>
      </rPr>
      <t>No(</t>
    </r>
    <r>
      <rPr>
        <sz val="9"/>
        <color rgb="FF000000"/>
        <rFont val="WenQuanYi Zen Hei"/>
        <family val="2"/>
      </rPr>
      <t>住宅貸付</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</si>
  <si>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事由書類</t>
    </r>
  </si>
  <si>
    <r>
      <rPr>
        <sz val="9"/>
        <color rgb="FF000000"/>
        <rFont val="WenQuanYi Zen Hei"/>
        <family val="2"/>
      </rPr>
      <t>計算過程</t>
    </r>
    <r>
      <rPr>
        <sz val="9"/>
        <color rgb="FF000000"/>
        <rFont val="ＭＳ 明朝"/>
        <family val="1"/>
        <charset val="128"/>
      </rPr>
      <t>!$B$21</t>
    </r>
  </si>
  <si>
    <t>事由別の添付書類</t>
  </si>
  <si>
    <r>
      <rPr>
        <sz val="9"/>
        <color rgb="FF000000"/>
        <rFont val="WenQuanYi Zen Hei"/>
        <family val="2"/>
      </rPr>
      <t>計算</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</si>
  <si>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!$B$22</t>
    </r>
  </si>
  <si>
    <r>
      <rPr>
        <sz val="9"/>
        <color rgb="FF000000"/>
        <rFont val="WenQuanYi Zen Hei"/>
        <family val="2"/>
      </rPr>
      <t>計算</t>
    </r>
    <r>
      <rPr>
        <sz val="9"/>
        <color rgb="FF000000"/>
        <rFont val="ＭＳ 明朝"/>
        <family val="1"/>
        <charset val="128"/>
      </rPr>
      <t>_</t>
    </r>
    <r>
      <rPr>
        <sz val="9"/>
        <color rgb="FF000000"/>
        <rFont val="WenQuanYi Zen Hei"/>
        <family val="2"/>
      </rPr>
      <t>基準日名</t>
    </r>
  </si>
  <si>
    <r>
      <rPr>
        <sz val="9"/>
        <color rgb="FF000000"/>
        <rFont val="WenQuanYi Zen Hei"/>
        <family val="2"/>
      </rPr>
      <t>計算過程</t>
    </r>
    <r>
      <rPr>
        <sz val="9"/>
        <color rgb="FF000000"/>
        <rFont val="ＭＳ 明朝"/>
        <family val="1"/>
        <charset val="128"/>
      </rPr>
      <t>!$B$23</t>
    </r>
  </si>
  <si>
    <t>基準日の名称</t>
  </si>
  <si>
    <r>
      <rPr>
        <sz val="9"/>
        <color rgb="FF000000"/>
        <rFont val="WenQuanYi Zen Hei"/>
        <family val="2"/>
      </rPr>
      <t>計算</t>
    </r>
    <r>
      <rPr>
        <sz val="9"/>
        <color rgb="FF000000"/>
        <rFont val="ＭＳ 明朝"/>
        <family val="1"/>
        <charset val="128"/>
      </rPr>
      <t>_</t>
    </r>
    <r>
      <rPr>
        <sz val="9"/>
        <color rgb="FF000000"/>
        <rFont val="WenQuanYi Zen Hei"/>
        <family val="2"/>
      </rPr>
      <t>前月数</t>
    </r>
  </si>
  <si>
    <r>
      <rPr>
        <sz val="9"/>
        <color rgb="FF000000"/>
        <rFont val="WenQuanYi Zen Hei"/>
        <family val="2"/>
      </rPr>
      <t>計算過程</t>
    </r>
    <r>
      <rPr>
        <sz val="9"/>
        <color rgb="FF000000"/>
        <rFont val="ＭＳ 明朝"/>
        <family val="1"/>
        <charset val="128"/>
      </rPr>
      <t>!$B$24</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</si>
  <si>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基準日の何か月前</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</si>
  <si>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後月数</t>
    </r>
  </si>
  <si>
    <r>
      <rPr>
        <sz val="9"/>
        <color rgb="FF000000"/>
        <rFont val="WenQuanYi Zen Hei"/>
        <family val="2"/>
      </rPr>
      <t>計算過程</t>
    </r>
    <r>
      <rPr>
        <sz val="9"/>
        <color rgb="FF000000"/>
        <rFont val="ＭＳ 明朝"/>
        <family val="1"/>
        <charset val="128"/>
      </rPr>
      <t>!$B$25</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</si>
  <si>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基準日の何か月後</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</si>
  <si>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交付後書類</t>
    </r>
  </si>
  <si>
    <r>
      <rPr>
        <sz val="9"/>
        <color rgb="FF000000"/>
        <rFont val="WenQuanYi Zen Hei"/>
        <family val="2"/>
      </rPr>
      <t>計算過程</t>
    </r>
    <r>
      <rPr>
        <sz val="9"/>
        <color rgb="FF000000"/>
        <rFont val="ＭＳ 明朝"/>
        <family val="1"/>
        <charset val="128"/>
      </rPr>
      <t>!$B$26</t>
    </r>
  </si>
  <si>
    <r>
      <rPr>
        <sz val="9"/>
        <color rgb="FF000000"/>
        <rFont val="WenQuanYi Zen Hei"/>
        <family val="2"/>
      </rPr>
      <t>交付後の提出書類</t>
    </r>
    <r>
      <rPr>
        <sz val="9"/>
        <color rgb="FF000000"/>
        <rFont val="ＭＳ 明朝"/>
        <family val="1"/>
        <charset val="128"/>
      </rPr>
      <t>(</t>
    </r>
    <r>
      <rPr>
        <sz val="9"/>
        <color rgb="FF000000"/>
        <rFont val="WenQuanYi Zen Hei"/>
        <family val="2"/>
      </rPr>
      <t>住宅以外</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</si>
  <si>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交付後期限月</t>
    </r>
  </si>
  <si>
    <r>
      <rPr>
        <sz val="9"/>
        <color rgb="FF000000"/>
        <rFont val="WenQuanYi Zen Hei"/>
        <family val="2"/>
      </rPr>
      <t>計算過程</t>
    </r>
    <r>
      <rPr>
        <sz val="9"/>
        <color rgb="FF000000"/>
        <rFont val="ＭＳ 明朝"/>
        <family val="1"/>
        <charset val="128"/>
      </rPr>
      <t>!$B$27</t>
    </r>
  </si>
  <si>
    <r>
      <rPr>
        <sz val="9"/>
        <color rgb="FF000000"/>
        <rFont val="WenQuanYi Zen Hei"/>
        <family val="2"/>
      </rPr>
      <t>交付後の提出期限</t>
    </r>
    <r>
      <rPr>
        <sz val="9"/>
        <color rgb="FF000000"/>
        <rFont val="ＭＳ 明朝"/>
        <family val="1"/>
        <charset val="128"/>
      </rPr>
      <t>(</t>
    </r>
    <r>
      <rPr>
        <sz val="9"/>
        <color rgb="FF000000"/>
        <rFont val="WenQuanYi Zen Hei"/>
        <family val="2"/>
      </rPr>
      <t>月</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</si>
  <si>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期限起算</t>
    </r>
  </si>
  <si>
    <r>
      <rPr>
        <sz val="9"/>
        <color rgb="FF000000"/>
        <rFont val="WenQuanYi Zen Hei"/>
        <family val="2"/>
      </rPr>
      <t>計算過程</t>
    </r>
    <r>
      <rPr>
        <sz val="9"/>
        <color rgb="FF000000"/>
        <rFont val="ＭＳ 明朝"/>
        <family val="1"/>
        <charset val="128"/>
      </rPr>
      <t>!$B$28</t>
    </r>
  </si>
  <si>
    <t>期限の起算</t>
  </si>
  <si>
    <r>
      <rPr>
        <sz val="9"/>
        <color rgb="FF000000"/>
        <rFont val="WenQuanYi Zen Hei"/>
        <family val="2"/>
      </rPr>
      <t>計算</t>
    </r>
    <r>
      <rPr>
        <sz val="9"/>
        <color rgb="FF000000"/>
        <rFont val="ＭＳ 明朝"/>
        <family val="1"/>
        <charset val="128"/>
      </rPr>
      <t>_</t>
    </r>
    <r>
      <rPr>
        <sz val="9"/>
        <color rgb="FF000000"/>
        <rFont val="WenQuanYi Zen Hei"/>
        <family val="2"/>
      </rPr>
      <t>決定目安</t>
    </r>
  </si>
  <si>
    <r>
      <rPr>
        <sz val="9"/>
        <color rgb="FF000000"/>
        <rFont val="WenQuanYi Zen Hei"/>
        <family val="2"/>
      </rPr>
      <t>計算過程</t>
    </r>
    <r>
      <rPr>
        <sz val="9"/>
        <color rgb="FF000000"/>
        <rFont val="ＭＳ 明朝"/>
        <family val="1"/>
        <charset val="128"/>
      </rPr>
      <t>!$B$29</t>
    </r>
  </si>
  <si>
    <r>
      <rPr>
        <sz val="9"/>
        <color rgb="FF000000"/>
        <rFont val="WenQuanYi Zen Hei"/>
        <family val="2"/>
      </rPr>
      <t>貸付決定</t>
    </r>
    <r>
      <rPr>
        <sz val="9"/>
        <color rgb="FF000000"/>
        <rFont val="ＭＳ 明朝"/>
        <family val="1"/>
        <charset val="128"/>
      </rPr>
      <t>(</t>
    </r>
    <r>
      <rPr>
        <sz val="9"/>
        <color rgb="FF000000"/>
        <rFont val="WenQuanYi Zen Hei"/>
        <family val="2"/>
      </rPr>
      <t>目安</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</si>
  <si>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住宅系</t>
    </r>
  </si>
  <si>
    <r>
      <rPr>
        <sz val="9"/>
        <color rgb="FF000000"/>
        <rFont val="WenQuanYi Zen Hei"/>
        <family val="2"/>
      </rPr>
      <t>計算過程</t>
    </r>
    <r>
      <rPr>
        <sz val="9"/>
        <color rgb="FF000000"/>
        <rFont val="ＭＳ 明朝"/>
        <family val="1"/>
        <charset val="128"/>
      </rPr>
      <t>!$B$31</t>
    </r>
  </si>
  <si>
    <r>
      <rPr>
        <sz val="9"/>
        <color rgb="FF000000"/>
        <rFont val="WenQuanYi Zen Hei"/>
        <family val="2"/>
      </rPr>
      <t>住宅系</t>
    </r>
    <r>
      <rPr>
        <sz val="9"/>
        <color rgb="FF000000"/>
        <rFont val="ＭＳ 明朝"/>
        <family val="1"/>
        <charset val="128"/>
      </rPr>
      <t>(</t>
    </r>
    <r>
      <rPr>
        <sz val="9"/>
        <color rgb="FF000000"/>
        <rFont val="WenQuanYi Zen Hei"/>
        <family val="2"/>
      </rPr>
      <t>住宅・災害住宅・災害再貸付</t>
    </r>
    <r>
      <rPr>
        <sz val="9"/>
        <color rgb="FF000000"/>
        <rFont val="ＭＳ 明朝"/>
        <family val="1"/>
        <charset val="128"/>
      </rPr>
      <t>)=1</t>
    </r>
  </si>
  <si>
    <r>
      <rPr>
        <sz val="9"/>
        <color rgb="FF000000"/>
        <rFont val="WenQuanYi Zen Hei"/>
        <family val="2"/>
      </rPr>
      <t>計算</t>
    </r>
    <r>
      <rPr>
        <sz val="9"/>
        <color rgb="FF000000"/>
        <rFont val="ＭＳ 明朝"/>
        <family val="1"/>
        <charset val="128"/>
      </rPr>
      <t>_</t>
    </r>
    <r>
      <rPr>
        <sz val="9"/>
        <color rgb="FF000000"/>
        <rFont val="WenQuanYi Zen Hei"/>
        <family val="2"/>
      </rPr>
      <t>利率</t>
    </r>
  </si>
  <si>
    <r>
      <rPr>
        <sz val="9"/>
        <color rgb="FF000000"/>
        <rFont val="WenQuanYi Zen Hei"/>
        <family val="2"/>
      </rPr>
      <t>計算過程</t>
    </r>
    <r>
      <rPr>
        <sz val="9"/>
        <color rgb="FF000000"/>
        <rFont val="ＭＳ 明朝"/>
        <family val="1"/>
        <charset val="128"/>
      </rPr>
      <t>!$B$32</t>
    </r>
  </si>
  <si>
    <r>
      <rPr>
        <sz val="9"/>
        <color rgb="FF000000"/>
        <rFont val="WenQuanYi Zen Hei"/>
        <family val="2"/>
      </rPr>
      <t>適用利率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</si>
  <si>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</si>
  <si>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!$B$33</t>
    </r>
  </si>
  <si>
    <r>
      <rPr>
        <sz val="9"/>
        <color rgb="FF000000"/>
        <rFont val="WenQuanYi Zen Hei"/>
        <family val="2"/>
      </rPr>
      <t>在宅介護対応</t>
    </r>
    <r>
      <rPr>
        <sz val="9"/>
        <color rgb="FF000000"/>
        <rFont val="ＭＳ 明朝"/>
        <family val="1"/>
        <charset val="128"/>
      </rPr>
      <t>(</t>
    </r>
    <r>
      <rPr>
        <sz val="9"/>
        <color rgb="FF000000"/>
        <rFont val="WenQuanYi Zen Hei"/>
        <family val="2"/>
      </rPr>
      <t>加算部分</t>
    </r>
    <r>
      <rPr>
        <sz val="9"/>
        <color rgb="FF000000"/>
        <rFont val="ＭＳ 明朝"/>
        <family val="1"/>
        <charset val="128"/>
      </rPr>
      <t>)</t>
    </r>
    <r>
      <rPr>
        <sz val="9"/>
        <color rgb="FF000000"/>
        <rFont val="WenQuanYi Zen Hei"/>
        <family val="2"/>
      </rPr>
      <t>の利率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</si>
  <si>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組合員月数</t>
    </r>
  </si>
  <si>
    <r>
      <rPr>
        <sz val="9"/>
        <color rgb="FF000000"/>
        <rFont val="WenQuanYi Zen Hei"/>
        <family val="2"/>
      </rPr>
      <t>計算過程</t>
    </r>
    <r>
      <rPr>
        <sz val="9"/>
        <color rgb="FF000000"/>
        <rFont val="ＭＳ 明朝"/>
        <family val="1"/>
        <charset val="128"/>
      </rPr>
      <t>!$B$34</t>
    </r>
  </si>
  <si>
    <r>
      <rPr>
        <sz val="9"/>
        <color rgb="FF000000"/>
        <rFont val="WenQuanYi Zen Hei"/>
        <family val="2"/>
      </rPr>
      <t>組合員期間</t>
    </r>
    <r>
      <rPr>
        <sz val="9"/>
        <color rgb="FF000000"/>
        <rFont val="ＭＳ 明朝"/>
        <family val="1"/>
        <charset val="128"/>
      </rPr>
      <t>(</t>
    </r>
    <r>
      <rPr>
        <sz val="9"/>
        <color rgb="FF000000"/>
        <rFont val="WenQuanYi Zen Hei"/>
        <family val="2"/>
      </rPr>
      <t>月数</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</si>
  <si>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組合員期間表示</t>
    </r>
  </si>
  <si>
    <r>
      <rPr>
        <sz val="9"/>
        <color rgb="FF000000"/>
        <rFont val="WenQuanYi Zen Hei"/>
        <family val="2"/>
      </rPr>
      <t>計算過程</t>
    </r>
    <r>
      <rPr>
        <sz val="9"/>
        <color rgb="FF000000"/>
        <rFont val="ＭＳ 明朝"/>
        <family val="1"/>
        <charset val="128"/>
      </rPr>
      <t>!$B$35</t>
    </r>
  </si>
  <si>
    <r>
      <rPr>
        <sz val="9"/>
        <color rgb="FF000000"/>
        <rFont val="WenQuanYi Zen Hei"/>
        <family val="2"/>
      </rPr>
      <t>組合員期間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</si>
  <si>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月数表位置</t>
    </r>
  </si>
  <si>
    <r>
      <rPr>
        <sz val="9"/>
        <color rgb="FF000000"/>
        <rFont val="WenQuanYi Zen Hei"/>
        <family val="2"/>
      </rPr>
      <t>計算過程</t>
    </r>
    <r>
      <rPr>
        <sz val="9"/>
        <color rgb="FF000000"/>
        <rFont val="ＭＳ 明朝"/>
        <family val="1"/>
        <charset val="128"/>
      </rPr>
      <t>!$B$36</t>
    </r>
  </si>
  <si>
    <t>月数表の区分位置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</si>
  <si>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最低保障位置</t>
    </r>
  </si>
  <si>
    <r>
      <rPr>
        <sz val="9"/>
        <color rgb="FF000000"/>
        <rFont val="WenQuanYi Zen Hei"/>
        <family val="2"/>
      </rPr>
      <t>計算過程</t>
    </r>
    <r>
      <rPr>
        <sz val="9"/>
        <color rgb="FF000000"/>
        <rFont val="ＭＳ 明朝"/>
        <family val="1"/>
        <charset val="128"/>
      </rPr>
      <t>!$B$37</t>
    </r>
  </si>
  <si>
    <t>最低保障額表の区分位置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</si>
  <si>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住宅月数</t>
    </r>
  </si>
  <si>
    <r>
      <rPr>
        <sz val="9"/>
        <color rgb="FF000000"/>
        <rFont val="WenQuanYi Zen Hei"/>
        <family val="2"/>
      </rPr>
      <t>計算過程</t>
    </r>
    <r>
      <rPr>
        <sz val="9"/>
        <color rgb="FF000000"/>
        <rFont val="ＭＳ 明朝"/>
        <family val="1"/>
        <charset val="128"/>
      </rPr>
      <t>!$B$38</t>
    </r>
  </si>
  <si>
    <r>
      <rPr>
        <sz val="9"/>
        <color rgb="FF000000"/>
        <rFont val="WenQuanYi Zen Hei"/>
        <family val="2"/>
      </rPr>
      <t>住宅</t>
    </r>
    <r>
      <rPr>
        <sz val="9"/>
        <color rgb="FF000000"/>
        <rFont val="ＭＳ 明朝"/>
        <family val="1"/>
        <charset val="128"/>
      </rPr>
      <t>:</t>
    </r>
    <r>
      <rPr>
        <sz val="9"/>
        <color rgb="FF000000"/>
        <rFont val="WenQuanYi Zen Hei"/>
        <family val="2"/>
      </rPr>
      <t>給料月額に乗じる月数</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</si>
  <si>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</si>
  <si>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計算過程</t>
    </r>
    <r>
      <rPr>
        <sz val="9"/>
        <color rgb="FF000000"/>
        <rFont val="ＭＳ 明朝"/>
        <family val="1"/>
        <charset val="128"/>
      </rPr>
      <t>!$B$39</t>
    </r>
  </si>
  <si>
    <r>
      <rPr>
        <sz val="9"/>
        <color rgb="FF000000"/>
        <rFont val="WenQuanYi Zen Hei"/>
        <family val="2"/>
      </rPr>
      <t>住宅</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</si>
  <si>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</si>
  <si>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計算過程</t>
    </r>
    <r>
      <rPr>
        <sz val="9"/>
        <color rgb="FF000000"/>
        <rFont val="ＭＳ 明朝"/>
        <family val="1"/>
        <charset val="128"/>
      </rPr>
      <t>!$B$40</t>
    </r>
  </si>
  <si>
    <r>
      <rPr>
        <sz val="9"/>
        <color rgb="FF000000"/>
        <rFont val="WenQuanYi Zen Hei"/>
        <family val="2"/>
      </rPr>
      <t>災害再貸付</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</si>
  <si>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月数方式</t>
    </r>
  </si>
  <si>
    <r>
      <rPr>
        <sz val="9"/>
        <color rgb="FF000000"/>
        <rFont val="WenQuanYi Zen Hei"/>
        <family val="2"/>
      </rPr>
      <t>計算過程</t>
    </r>
    <r>
      <rPr>
        <sz val="9"/>
        <color rgb="FF000000"/>
        <rFont val="ＭＳ 明朝"/>
        <family val="1"/>
        <charset val="128"/>
      </rPr>
      <t>!$B$42</t>
    </r>
  </si>
  <si>
    <r>
      <rPr>
        <sz val="9"/>
        <color rgb="FF000000"/>
        <rFont val="WenQuanYi Zen Hei"/>
        <family val="2"/>
      </rPr>
      <t>限度額</t>
    </r>
    <r>
      <rPr>
        <sz val="9"/>
        <color rgb="FF000000"/>
        <rFont val="ＭＳ 明朝"/>
        <family val="1"/>
        <charset val="128"/>
      </rPr>
      <t>:</t>
    </r>
    <r>
      <rPr>
        <sz val="9"/>
        <color rgb="FF000000"/>
        <rFont val="WenQuanYi Zen Hei"/>
        <family val="2"/>
      </rPr>
      <t>月数方式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</si>
  <si>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修学方式</t>
    </r>
  </si>
  <si>
    <r>
      <rPr>
        <sz val="9"/>
        <color rgb="FF000000"/>
        <rFont val="WenQuanYi Zen Hei"/>
        <family val="2"/>
      </rPr>
      <t>計算過程</t>
    </r>
    <r>
      <rPr>
        <sz val="9"/>
        <color rgb="FF000000"/>
        <rFont val="ＭＳ 明朝"/>
        <family val="1"/>
        <charset val="128"/>
      </rPr>
      <t>!$B$43</t>
    </r>
  </si>
  <si>
    <r>
      <rPr>
        <sz val="9"/>
        <color rgb="FF000000"/>
        <rFont val="WenQuanYi Zen Hei"/>
        <family val="2"/>
      </rPr>
      <t>限度額</t>
    </r>
    <r>
      <rPr>
        <sz val="9"/>
        <color rgb="FF000000"/>
        <rFont val="ＭＳ 明朝"/>
        <family val="1"/>
        <charset val="128"/>
      </rPr>
      <t>:</t>
    </r>
    <r>
      <rPr>
        <sz val="9"/>
        <color rgb="FF000000"/>
        <rFont val="WenQuanYi Zen Hei"/>
        <family val="2"/>
      </rPr>
      <t>修学方式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</si>
  <si>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住宅方式</t>
    </r>
  </si>
  <si>
    <r>
      <rPr>
        <sz val="9"/>
        <color rgb="FF000000"/>
        <rFont val="WenQuanYi Zen Hei"/>
        <family val="2"/>
      </rPr>
      <t>計算過程</t>
    </r>
    <r>
      <rPr>
        <sz val="9"/>
        <color rgb="FF000000"/>
        <rFont val="ＭＳ 明朝"/>
        <family val="1"/>
        <charset val="128"/>
      </rPr>
      <t>!$B$44</t>
    </r>
  </si>
  <si>
    <r>
      <rPr>
        <sz val="9"/>
        <color rgb="FF000000"/>
        <rFont val="WenQuanYi Zen Hei"/>
        <family val="2"/>
      </rPr>
      <t>限度額</t>
    </r>
    <r>
      <rPr>
        <sz val="9"/>
        <color rgb="FF000000"/>
        <rFont val="ＭＳ 明朝"/>
        <family val="1"/>
        <charset val="128"/>
      </rPr>
      <t>:</t>
    </r>
    <r>
      <rPr>
        <sz val="9"/>
        <color rgb="FF000000"/>
        <rFont val="WenQuanYi Zen Hei"/>
        <family val="2"/>
      </rPr>
      <t>住宅方式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</si>
  <si>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再貸付方式</t>
    </r>
  </si>
  <si>
    <r>
      <rPr>
        <sz val="9"/>
        <color rgb="FF000000"/>
        <rFont val="WenQuanYi Zen Hei"/>
        <family val="2"/>
      </rPr>
      <t>計算過程</t>
    </r>
    <r>
      <rPr>
        <sz val="9"/>
        <color rgb="FF000000"/>
        <rFont val="ＭＳ 明朝"/>
        <family val="1"/>
        <charset val="128"/>
      </rPr>
      <t>!$B$45</t>
    </r>
  </si>
  <si>
    <r>
      <rPr>
        <sz val="9"/>
        <color rgb="FF000000"/>
        <rFont val="WenQuanYi Zen Hei"/>
        <family val="2"/>
      </rPr>
      <t>限度額</t>
    </r>
    <r>
      <rPr>
        <sz val="9"/>
        <color rgb="FF000000"/>
        <rFont val="ＭＳ 明朝"/>
        <family val="1"/>
        <charset val="128"/>
      </rPr>
      <t>:</t>
    </r>
    <r>
      <rPr>
        <sz val="9"/>
        <color rgb="FF000000"/>
        <rFont val="WenQuanYi Zen Hei"/>
        <family val="2"/>
      </rPr>
      <t>再貸付方式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</si>
  <si>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</si>
  <si>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!$B$46</t>
    </r>
  </si>
  <si>
    <r>
      <rPr>
        <sz val="9"/>
        <color rgb="FF000000"/>
        <rFont val="WenQuanYi Zen Hei"/>
        <family val="2"/>
      </rPr>
      <t>貸付限度額</t>
    </r>
    <r>
      <rPr>
        <sz val="9"/>
        <color rgb="FF000000"/>
        <rFont val="ＭＳ 明朝"/>
        <family val="1"/>
        <charset val="128"/>
      </rPr>
      <t>(</t>
    </r>
    <r>
      <rPr>
        <sz val="9"/>
        <color rgb="FF000000"/>
        <rFont val="WenQuanYi Zen Hei"/>
        <family val="2"/>
      </rPr>
      <t>基本・円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</si>
  <si>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在宅介護加算</t>
    </r>
  </si>
  <si>
    <r>
      <rPr>
        <sz val="9"/>
        <color rgb="FF000000"/>
        <rFont val="WenQuanYi Zen Hei"/>
        <family val="2"/>
      </rPr>
      <t>計算過程</t>
    </r>
    <r>
      <rPr>
        <sz val="9"/>
        <color rgb="FF000000"/>
        <rFont val="ＭＳ 明朝"/>
        <family val="1"/>
        <charset val="128"/>
      </rPr>
      <t>!$B$47</t>
    </r>
  </si>
  <si>
    <r>
      <rPr>
        <sz val="9"/>
        <color rgb="FF000000"/>
        <rFont val="WenQuanYi Zen Hei"/>
        <family val="2"/>
      </rPr>
      <t>在宅介護対応住宅の加算限度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</si>
  <si>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合計</t>
    </r>
  </si>
  <si>
    <r>
      <rPr>
        <sz val="9"/>
        <color rgb="FF000000"/>
        <rFont val="WenQuanYi Zen Hei"/>
        <family val="2"/>
      </rPr>
      <t>計算過程</t>
    </r>
    <r>
      <rPr>
        <sz val="9"/>
        <color rgb="FF000000"/>
        <rFont val="ＭＳ 明朝"/>
        <family val="1"/>
        <charset val="128"/>
      </rPr>
      <t>!$B$48</t>
    </r>
  </si>
  <si>
    <r>
      <rPr>
        <sz val="9"/>
        <color rgb="FF000000"/>
        <rFont val="WenQuanYi Zen Hei"/>
        <family val="2"/>
      </rPr>
      <t>貸付限度額</t>
    </r>
    <r>
      <rPr>
        <sz val="9"/>
        <color rgb="FF000000"/>
        <rFont val="ＭＳ 明朝"/>
        <family val="1"/>
        <charset val="128"/>
      </rPr>
      <t>(</t>
    </r>
    <r>
      <rPr>
        <sz val="9"/>
        <color rgb="FF000000"/>
        <rFont val="WenQuanYi Zen Hei"/>
        <family val="2"/>
      </rPr>
      <t>合計・円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</si>
  <si>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限度額内訳</t>
    </r>
  </si>
  <si>
    <r>
      <rPr>
        <sz val="9"/>
        <color rgb="FF000000"/>
        <rFont val="WenQuanYi Zen Hei"/>
        <family val="2"/>
      </rPr>
      <t>計算過程</t>
    </r>
    <r>
      <rPr>
        <sz val="9"/>
        <color rgb="FF000000"/>
        <rFont val="ＭＳ 明朝"/>
        <family val="1"/>
        <charset val="128"/>
      </rPr>
      <t>!$B$49</t>
    </r>
  </si>
  <si>
    <r>
      <rPr>
        <sz val="9"/>
        <color rgb="FF000000"/>
        <rFont val="WenQuanYi Zen Hei"/>
        <family val="2"/>
      </rPr>
      <t>貸付限度額の計算内訳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</si>
  <si>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返済能力内訳</t>
    </r>
  </si>
  <si>
    <r>
      <rPr>
        <sz val="9"/>
        <color rgb="FF000000"/>
        <rFont val="WenQuanYi Zen Hei"/>
        <family val="2"/>
      </rPr>
      <t>計算過程</t>
    </r>
    <r>
      <rPr>
        <sz val="9"/>
        <color rgb="FF000000"/>
        <rFont val="ＭＳ 明朝"/>
        <family val="1"/>
        <charset val="128"/>
      </rPr>
      <t>!$B$50</t>
    </r>
  </si>
  <si>
    <r>
      <rPr>
        <sz val="9"/>
        <color rgb="FF000000"/>
        <rFont val="WenQuanYi Zen Hei"/>
        <family val="2"/>
      </rPr>
      <t>返済能力の計算内訳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</si>
  <si>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単位円</t>
    </r>
  </si>
  <si>
    <r>
      <rPr>
        <sz val="9"/>
        <color rgb="FF000000"/>
        <rFont val="WenQuanYi Zen Hei"/>
        <family val="2"/>
      </rPr>
      <t>計算過程</t>
    </r>
    <r>
      <rPr>
        <sz val="9"/>
        <color rgb="FF000000"/>
        <rFont val="ＭＳ 明朝"/>
        <family val="1"/>
        <charset val="128"/>
      </rPr>
      <t>!$B$52</t>
    </r>
  </si>
  <si>
    <r>
      <rPr>
        <sz val="9"/>
        <color rgb="FF000000"/>
        <rFont val="WenQuanYi Zen Hei"/>
        <family val="2"/>
      </rPr>
      <t>申込単位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</si>
  <si>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下限円</t>
    </r>
  </si>
  <si>
    <r>
      <rPr>
        <sz val="9"/>
        <color rgb="FF000000"/>
        <rFont val="WenQuanYi Zen Hei"/>
        <family val="2"/>
      </rPr>
      <t>計算過程</t>
    </r>
    <r>
      <rPr>
        <sz val="9"/>
        <color rgb="FF000000"/>
        <rFont val="ＭＳ 明朝"/>
        <family val="1"/>
        <charset val="128"/>
      </rPr>
      <t>!$B$53</t>
    </r>
  </si>
  <si>
    <r>
      <rPr>
        <sz val="9"/>
        <color rgb="FF000000"/>
        <rFont val="WenQuanYi Zen Hei"/>
        <family val="2"/>
      </rPr>
      <t>申込金額の下限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</si>
  <si>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他借入月額</t>
    </r>
  </si>
  <si>
    <r>
      <rPr>
        <sz val="9"/>
        <color rgb="FF000000"/>
        <rFont val="WenQuanYi Zen Hei"/>
        <family val="2"/>
      </rPr>
      <t>計算過程</t>
    </r>
    <r>
      <rPr>
        <sz val="9"/>
        <color rgb="FF000000"/>
        <rFont val="ＭＳ 明朝"/>
        <family val="1"/>
        <charset val="128"/>
      </rPr>
      <t>!$B$54</t>
    </r>
  </si>
  <si>
    <r>
      <rPr>
        <sz val="9"/>
        <color rgb="FF000000"/>
        <rFont val="WenQuanYi Zen Hei"/>
        <family val="2"/>
      </rPr>
      <t xml:space="preserve">他の借入等の毎月償還額 </t>
    </r>
    <r>
      <rPr>
        <sz val="9"/>
        <color rgb="FF000000"/>
        <rFont val="ＭＳ 明朝"/>
        <family val="1"/>
        <charset val="128"/>
      </rPr>
      <t>A+B+C</t>
    </r>
  </si>
  <si>
    <r>
      <rPr>
        <sz val="9"/>
        <color rgb="FF000000"/>
        <rFont val="WenQuanYi Zen Hei"/>
        <family val="2"/>
      </rPr>
      <t>計算</t>
    </r>
    <r>
      <rPr>
        <sz val="9"/>
        <color rgb="FF000000"/>
        <rFont val="ＭＳ 明朝"/>
        <family val="1"/>
        <charset val="128"/>
      </rPr>
      <t>_</t>
    </r>
    <r>
      <rPr>
        <sz val="9"/>
        <color rgb="FF000000"/>
        <rFont val="WenQuanYi Zen Hei"/>
        <family val="2"/>
      </rPr>
      <t>他借入賞与</t>
    </r>
  </si>
  <si>
    <r>
      <rPr>
        <sz val="9"/>
        <color rgb="FF000000"/>
        <rFont val="WenQuanYi Zen Hei"/>
        <family val="2"/>
      </rPr>
      <t>計算過程</t>
    </r>
    <r>
      <rPr>
        <sz val="9"/>
        <color rgb="FF000000"/>
        <rFont val="ＭＳ 明朝"/>
        <family val="1"/>
        <charset val="128"/>
      </rPr>
      <t>!$B$55</t>
    </r>
  </si>
  <si>
    <r>
      <rPr>
        <sz val="9"/>
        <color rgb="FF000000"/>
        <rFont val="WenQuanYi Zen Hei"/>
        <family val="2"/>
      </rPr>
      <t xml:space="preserve">他の借入等のボーナス償還額 </t>
    </r>
    <r>
      <rPr>
        <sz val="9"/>
        <color rgb="FF000000"/>
        <rFont val="ＭＳ 明朝"/>
        <family val="1"/>
        <charset val="128"/>
      </rPr>
      <t>F+G+H</t>
    </r>
  </si>
  <si>
    <r>
      <rPr>
        <sz val="9"/>
        <color rgb="FF000000"/>
        <rFont val="WenQuanYi Zen Hei"/>
        <family val="2"/>
      </rPr>
      <t>計算</t>
    </r>
    <r>
      <rPr>
        <sz val="9"/>
        <color rgb="FF000000"/>
        <rFont val="ＭＳ 明朝"/>
        <family val="1"/>
        <charset val="128"/>
      </rPr>
      <t>_E</t>
    </r>
    <r>
      <rPr>
        <sz val="9"/>
        <color rgb="FF000000"/>
        <rFont val="WenQuanYi Zen Hei"/>
        <family val="2"/>
      </rPr>
      <t>上限</t>
    </r>
  </si>
  <si>
    <r>
      <rPr>
        <sz val="9"/>
        <color rgb="FF000000"/>
        <rFont val="WenQuanYi Zen Hei"/>
        <family val="2"/>
      </rPr>
      <t>計算過程</t>
    </r>
    <r>
      <rPr>
        <sz val="9"/>
        <color rgb="FF000000"/>
        <rFont val="ＭＳ 明朝"/>
        <family val="1"/>
        <charset val="128"/>
      </rPr>
      <t>!$B$56</t>
    </r>
  </si>
  <si>
    <r>
      <rPr>
        <sz val="9"/>
        <color rgb="FF000000"/>
        <rFont val="WenQuanYi Zen Hei"/>
        <family val="2"/>
      </rPr>
      <t>毎月償還額</t>
    </r>
    <r>
      <rPr>
        <sz val="9"/>
        <color rgb="FF000000"/>
        <rFont val="ＭＳ 明朝"/>
        <family val="1"/>
        <charset val="128"/>
      </rPr>
      <t>(E)</t>
    </r>
    <r>
      <rPr>
        <sz val="9"/>
        <color rgb="FF000000"/>
        <rFont val="WenQuanYi Zen Hei"/>
        <family val="2"/>
      </rPr>
      <t>の上限</t>
    </r>
  </si>
  <si>
    <r>
      <rPr>
        <sz val="9"/>
        <color rgb="FF000000"/>
        <rFont val="WenQuanYi Zen Hei"/>
        <family val="2"/>
      </rPr>
      <t>計算</t>
    </r>
    <r>
      <rPr>
        <sz val="9"/>
        <color rgb="FF000000"/>
        <rFont val="ＭＳ 明朝"/>
        <family val="1"/>
        <charset val="128"/>
      </rPr>
      <t>_D</t>
    </r>
    <r>
      <rPr>
        <sz val="9"/>
        <color rgb="FF000000"/>
        <rFont val="WenQuanYi Zen Hei"/>
        <family val="2"/>
      </rPr>
      <t>上限</t>
    </r>
  </si>
  <si>
    <r>
      <rPr>
        <sz val="9"/>
        <color rgb="FF000000"/>
        <rFont val="WenQuanYi Zen Hei"/>
        <family val="2"/>
      </rPr>
      <t>計算過程</t>
    </r>
    <r>
      <rPr>
        <sz val="9"/>
        <color rgb="FF000000"/>
        <rFont val="ＭＳ 明朝"/>
        <family val="1"/>
        <charset val="128"/>
      </rPr>
      <t>!$B$57</t>
    </r>
  </si>
  <si>
    <r>
      <rPr>
        <sz val="9"/>
        <color rgb="FF000000"/>
        <rFont val="WenQuanYi Zen Hei"/>
        <family val="2"/>
      </rPr>
      <t>今回の貸付の毎月償還額の上限</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</si>
  <si>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試算回数</t>
    </r>
  </si>
  <si>
    <r>
      <rPr>
        <sz val="9"/>
        <color rgb="FF000000"/>
        <rFont val="WenQuanYi Zen Hei"/>
        <family val="2"/>
      </rPr>
      <t>計算過程</t>
    </r>
    <r>
      <rPr>
        <sz val="9"/>
        <color rgb="FF000000"/>
        <rFont val="ＭＳ 明朝"/>
        <family val="1"/>
        <charset val="128"/>
      </rPr>
      <t>!$B$58</t>
    </r>
  </si>
  <si>
    <t>返済能力の試算に用いる償還回数</t>
  </si>
  <si>
    <r>
      <rPr>
        <sz val="9"/>
        <color rgb="FF000000"/>
        <rFont val="WenQuanYi Zen Hei"/>
        <family val="2"/>
      </rPr>
      <t>計算</t>
    </r>
    <r>
      <rPr>
        <sz val="9"/>
        <color rgb="FF000000"/>
        <rFont val="ＭＳ 明朝"/>
        <family val="1"/>
        <charset val="128"/>
      </rPr>
      <t>_</t>
    </r>
    <r>
      <rPr>
        <sz val="9"/>
        <color rgb="FF000000"/>
        <rFont val="WenQuanYi Zen Hei"/>
        <family val="2"/>
      </rPr>
      <t>返済能力上限</t>
    </r>
  </si>
  <si>
    <r>
      <rPr>
        <sz val="9"/>
        <color rgb="FF000000"/>
        <rFont val="WenQuanYi Zen Hei"/>
        <family val="2"/>
      </rPr>
      <t>計算過程</t>
    </r>
    <r>
      <rPr>
        <sz val="9"/>
        <color rgb="FF000000"/>
        <rFont val="ＭＳ 明朝"/>
        <family val="1"/>
        <charset val="128"/>
      </rPr>
      <t>!$B$59</t>
    </r>
  </si>
  <si>
    <r>
      <rPr>
        <sz val="9"/>
        <color rgb="FF000000"/>
        <rFont val="WenQuanYi Zen Hei"/>
        <family val="2"/>
      </rPr>
      <t>返済能力から見た借入上限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</si>
  <si>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小さい方</t>
    </r>
  </si>
  <si>
    <r>
      <rPr>
        <sz val="9"/>
        <color rgb="FF000000"/>
        <rFont val="WenQuanYi Zen Hei"/>
        <family val="2"/>
      </rPr>
      <t>計算過程</t>
    </r>
    <r>
      <rPr>
        <sz val="9"/>
        <color rgb="FF000000"/>
        <rFont val="ＭＳ 明朝"/>
        <family val="1"/>
        <charset val="128"/>
      </rPr>
      <t>!$B$60</t>
    </r>
  </si>
  <si>
    <r>
      <rPr>
        <sz val="9"/>
        <color rgb="FF000000"/>
        <rFont val="WenQuanYi Zen Hei"/>
        <family val="2"/>
      </rPr>
      <t>①②の小さい方</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</si>
  <si>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切捨て後</t>
    </r>
  </si>
  <si>
    <r>
      <rPr>
        <sz val="9"/>
        <color rgb="FF000000"/>
        <rFont val="WenQuanYi Zen Hei"/>
        <family val="2"/>
      </rPr>
      <t>計算過程</t>
    </r>
    <r>
      <rPr>
        <sz val="9"/>
        <color rgb="FF000000"/>
        <rFont val="ＭＳ 明朝"/>
        <family val="1"/>
        <charset val="128"/>
      </rPr>
      <t>!$B$61</t>
    </r>
  </si>
  <si>
    <r>
      <rPr>
        <sz val="9"/>
        <color rgb="FF000000"/>
        <rFont val="WenQuanYi Zen Hei"/>
        <family val="2"/>
      </rPr>
      <t>申込単位で切り捨て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</si>
  <si>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申込可能額</t>
    </r>
  </si>
  <si>
    <r>
      <rPr>
        <sz val="9"/>
        <color rgb="FF000000"/>
        <rFont val="WenQuanYi Zen Hei"/>
        <family val="2"/>
      </rPr>
      <t>計算過程</t>
    </r>
    <r>
      <rPr>
        <sz val="9"/>
        <color rgb="FF000000"/>
        <rFont val="ＭＳ 明朝"/>
        <family val="1"/>
        <charset val="128"/>
      </rPr>
      <t>!$B$62</t>
    </r>
  </si>
  <si>
    <r>
      <rPr>
        <sz val="9"/>
        <color rgb="FF000000"/>
        <rFont val="WenQuanYi Zen Hei"/>
        <family val="2"/>
      </rPr>
      <t>申込可能額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</si>
  <si>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決定要因</t>
    </r>
  </si>
  <si>
    <r>
      <rPr>
        <sz val="9"/>
        <color rgb="FF000000"/>
        <rFont val="WenQuanYi Zen Hei"/>
        <family val="2"/>
      </rPr>
      <t>計算過程</t>
    </r>
    <r>
      <rPr>
        <sz val="9"/>
        <color rgb="FF000000"/>
        <rFont val="ＭＳ 明朝"/>
        <family val="1"/>
        <charset val="128"/>
      </rPr>
      <t>!$B$63</t>
    </r>
  </si>
  <si>
    <t>申込可能額を決めている要因</t>
  </si>
  <si>
    <r>
      <rPr>
        <sz val="9"/>
        <color rgb="FF000000"/>
        <rFont val="WenQuanYi Zen Hei"/>
        <family val="2"/>
      </rPr>
      <t>計算</t>
    </r>
    <r>
      <rPr>
        <sz val="9"/>
        <color rgb="FF000000"/>
        <rFont val="ＭＳ 明朝"/>
        <family val="1"/>
        <charset val="128"/>
      </rPr>
      <t>_</t>
    </r>
    <r>
      <rPr>
        <sz val="9"/>
        <color rgb="FF000000"/>
        <rFont val="WenQuanYi Zen Hei"/>
        <family val="2"/>
      </rPr>
      <t>申込額</t>
    </r>
  </si>
  <si>
    <r>
      <rPr>
        <sz val="9"/>
        <color rgb="FF000000"/>
        <rFont val="WenQuanYi Zen Hei"/>
        <family val="2"/>
      </rPr>
      <t>計算過程</t>
    </r>
    <r>
      <rPr>
        <sz val="9"/>
        <color rgb="FF000000"/>
        <rFont val="ＭＳ 明朝"/>
        <family val="1"/>
        <charset val="128"/>
      </rPr>
      <t>!$B$65</t>
    </r>
  </si>
  <si>
    <r>
      <rPr>
        <sz val="9"/>
        <color rgb="FF000000"/>
        <rFont val="WenQuanYi Zen Hei"/>
        <family val="2"/>
      </rPr>
      <t>算定に用いる申込額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</si>
  <si>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</si>
  <si>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!$B$66</t>
    </r>
  </si>
  <si>
    <r>
      <rPr>
        <sz val="9"/>
        <color rgb="FF000000"/>
        <rFont val="WenQuanYi Zen Hei"/>
        <family val="2"/>
      </rPr>
      <t>うち在宅介護対応部分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</si>
  <si>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</si>
  <si>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!$B$67</t>
    </r>
  </si>
  <si>
    <r>
      <rPr>
        <sz val="9"/>
        <color rgb="FF000000"/>
        <rFont val="WenQuanYi Zen Hei"/>
        <family val="2"/>
      </rPr>
      <t>うち基本部分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</si>
  <si>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賞与元金</t>
    </r>
  </si>
  <si>
    <r>
      <rPr>
        <sz val="9"/>
        <color rgb="FF000000"/>
        <rFont val="WenQuanYi Zen Hei"/>
        <family val="2"/>
      </rPr>
      <t>計算過程</t>
    </r>
    <r>
      <rPr>
        <sz val="9"/>
        <color rgb="FF000000"/>
        <rFont val="ＭＳ 明朝"/>
        <family val="1"/>
        <charset val="128"/>
      </rPr>
      <t>!$B$68</t>
    </r>
  </si>
  <si>
    <r>
      <rPr>
        <sz val="9"/>
        <color rgb="FF000000"/>
        <rFont val="WenQuanYi Zen Hei"/>
        <family val="2"/>
      </rPr>
      <t>ボーナス償還分の元金</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</si>
  <si>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賞与回数</t>
    </r>
  </si>
  <si>
    <r>
      <rPr>
        <sz val="9"/>
        <color rgb="FF000000"/>
        <rFont val="WenQuanYi Zen Hei"/>
        <family val="2"/>
      </rPr>
      <t>計算過程</t>
    </r>
    <r>
      <rPr>
        <sz val="9"/>
        <color rgb="FF000000"/>
        <rFont val="ＭＳ 明朝"/>
        <family val="1"/>
        <charset val="128"/>
      </rPr>
      <t>!$B$69</t>
    </r>
  </si>
  <si>
    <r>
      <rPr>
        <sz val="9"/>
        <color rgb="FF000000"/>
        <rFont val="WenQuanYi Zen Hei"/>
        <family val="2"/>
      </rPr>
      <t>ボーナス償還回数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</si>
  <si>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t>
    </r>
    <r>
      <rPr>
        <sz val="9"/>
        <color rgb="FF000000"/>
        <rFont val="ＭＳ 明朝"/>
        <family val="1"/>
        <charset val="128"/>
      </rPr>
      <t>_</t>
    </r>
    <r>
      <rPr>
        <sz val="9"/>
        <color rgb="FF000000"/>
        <rFont val="WenQuanYi Zen Hei"/>
        <family val="2"/>
      </rPr>
      <t>月額から逆算</t>
    </r>
  </si>
  <si>
    <r>
      <rPr>
        <sz val="9"/>
        <color rgb="FF000000"/>
        <rFont val="WenQuanYi Zen Hei"/>
        <family val="2"/>
      </rPr>
      <t>計算過程</t>
    </r>
    <r>
      <rPr>
        <sz val="9"/>
        <color rgb="FF000000"/>
        <rFont val="ＭＳ 明朝"/>
        <family val="1"/>
        <charset val="128"/>
      </rPr>
      <t>!$B$70</t>
    </r>
  </si>
  <si>
    <t>毎月償還額の希望から逆算した回数</t>
  </si>
  <si>
    <r>
      <rPr>
        <sz val="9"/>
        <color rgb="FF000000"/>
        <rFont val="WenQuanYi Zen Hei"/>
        <family val="2"/>
      </rPr>
      <t>計算</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</si>
  <si>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!$B$71</t>
    </r>
  </si>
  <si>
    <r>
      <rPr>
        <sz val="9"/>
        <color rgb="FF000000"/>
        <rFont val="WenQuanYi Zen Hei"/>
        <family val="2"/>
      </rPr>
      <t>毎月償還の回数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</si>
  <si>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</si>
  <si>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!$B$74</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</si>
  <si>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</si>
  <si>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</si>
  <si>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!$B$75</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</si>
  <si>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</si>
  <si>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毎月償還額</t>
    </r>
  </si>
  <si>
    <r>
      <rPr>
        <sz val="9"/>
        <color rgb="FF000000"/>
        <rFont val="WenQuanYi Zen Hei"/>
        <family val="2"/>
      </rPr>
      <t>計算過程</t>
    </r>
    <r>
      <rPr>
        <sz val="9"/>
        <color rgb="FF000000"/>
        <rFont val="ＭＳ 明朝"/>
        <family val="1"/>
        <charset val="128"/>
      </rPr>
      <t>!$B$78</t>
    </r>
  </si>
  <si>
    <r>
      <rPr>
        <sz val="9"/>
        <color rgb="FF000000"/>
        <rFont val="WenQuanYi Zen Hei"/>
        <family val="2"/>
      </rPr>
      <t>毎月償還額</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</si>
  <si>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賞与期間利率</t>
    </r>
  </si>
  <si>
    <r>
      <rPr>
        <sz val="9"/>
        <color rgb="FF000000"/>
        <rFont val="WenQuanYi Zen Hei"/>
        <family val="2"/>
      </rPr>
      <t>計算過程</t>
    </r>
    <r>
      <rPr>
        <sz val="9"/>
        <color rgb="FF000000"/>
        <rFont val="ＭＳ 明朝"/>
        <family val="1"/>
        <charset val="128"/>
      </rPr>
      <t>!$B$79</t>
    </r>
  </si>
  <si>
    <r>
      <rPr>
        <sz val="9"/>
        <color rgb="FF000000"/>
        <rFont val="WenQuanYi Zen Hei"/>
        <family val="2"/>
      </rPr>
      <t>ボーナス償還の期間利率</t>
    </r>
    <r>
      <rPr>
        <sz val="9"/>
        <color rgb="FF000000"/>
        <rFont val="ＭＳ 明朝"/>
        <family val="1"/>
        <charset val="128"/>
      </rPr>
      <t>(</t>
    </r>
    <r>
      <rPr>
        <sz val="9"/>
        <color rgb="FF000000"/>
        <rFont val="WenQuanYi Zen Hei"/>
        <family val="2"/>
      </rPr>
      <t>半年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</si>
  <si>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賞与額</t>
    </r>
    <r>
      <rPr>
        <sz val="9"/>
        <color rgb="FF000000"/>
        <rFont val="ＭＳ 明朝"/>
        <family val="1"/>
        <charset val="128"/>
      </rPr>
      <t>_</t>
    </r>
    <r>
      <rPr>
        <sz val="9"/>
        <color rgb="FF000000"/>
        <rFont val="WenQuanYi Zen Hei"/>
        <family val="2"/>
      </rPr>
      <t>円未満</t>
    </r>
  </si>
  <si>
    <r>
      <rPr>
        <sz val="9"/>
        <color rgb="FF000000"/>
        <rFont val="WenQuanYi Zen Hei"/>
        <family val="2"/>
      </rPr>
      <t>計算過程</t>
    </r>
    <r>
      <rPr>
        <sz val="9"/>
        <color rgb="FF000000"/>
        <rFont val="ＭＳ 明朝"/>
        <family val="1"/>
        <charset val="128"/>
      </rPr>
      <t>!$B$80</t>
    </r>
  </si>
  <si>
    <r>
      <rPr>
        <sz val="9"/>
        <color rgb="FF000000"/>
        <rFont val="WenQuanYi Zen Hei"/>
        <family val="2"/>
      </rPr>
      <t>ボーナス償還額</t>
    </r>
    <r>
      <rPr>
        <sz val="9"/>
        <color rgb="FF000000"/>
        <rFont val="ＭＳ 明朝"/>
        <family val="1"/>
        <charset val="128"/>
      </rPr>
      <t>(1</t>
    </r>
    <r>
      <rPr>
        <sz val="9"/>
        <color rgb="FF000000"/>
        <rFont val="WenQuanYi Zen Hei"/>
        <family val="2"/>
      </rPr>
      <t>回・円未満含む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</si>
  <si>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賞与償還額</t>
    </r>
  </si>
  <si>
    <r>
      <rPr>
        <sz val="9"/>
        <color rgb="FF000000"/>
        <rFont val="WenQuanYi Zen Hei"/>
        <family val="2"/>
      </rPr>
      <t>計算過程</t>
    </r>
    <r>
      <rPr>
        <sz val="9"/>
        <color rgb="FF000000"/>
        <rFont val="ＭＳ 明朝"/>
        <family val="1"/>
        <charset val="128"/>
      </rPr>
      <t>!$B$81</t>
    </r>
  </si>
  <si>
    <r>
      <rPr>
        <sz val="9"/>
        <color rgb="FF000000"/>
        <rFont val="WenQuanYi Zen Hei"/>
        <family val="2"/>
      </rPr>
      <t>ボーナス償還額</t>
    </r>
    <r>
      <rPr>
        <sz val="9"/>
        <color rgb="FF000000"/>
        <rFont val="ＭＳ 明朝"/>
        <family val="1"/>
        <charset val="128"/>
      </rPr>
      <t>(I)</t>
    </r>
  </si>
  <si>
    <r>
      <rPr>
        <sz val="9"/>
        <color rgb="FF000000"/>
        <rFont val="WenQuanYi Zen Hei"/>
        <family val="2"/>
      </rPr>
      <t>計算</t>
    </r>
    <r>
      <rPr>
        <sz val="9"/>
        <color rgb="FF000000"/>
        <rFont val="ＭＳ 明朝"/>
        <family val="1"/>
        <charset val="128"/>
      </rPr>
      <t>_</t>
    </r>
    <r>
      <rPr>
        <sz val="9"/>
        <color rgb="FF000000"/>
        <rFont val="WenQuanYi Zen Hei"/>
        <family val="2"/>
      </rPr>
      <t>最終回償還額</t>
    </r>
  </si>
  <si>
    <r>
      <rPr>
        <sz val="9"/>
        <color rgb="FF000000"/>
        <rFont val="WenQuanYi Zen Hei"/>
        <family val="2"/>
      </rPr>
      <t>計算過程</t>
    </r>
    <r>
      <rPr>
        <sz val="9"/>
        <color rgb="FF000000"/>
        <rFont val="ＭＳ 明朝"/>
        <family val="1"/>
        <charset val="128"/>
      </rPr>
      <t>!$B$82</t>
    </r>
  </si>
  <si>
    <r>
      <rPr>
        <sz val="9"/>
        <color rgb="FF000000"/>
        <rFont val="WenQuanYi Zen Hei"/>
        <family val="2"/>
      </rPr>
      <t>最終回の毎月償還額</t>
    </r>
    <r>
      <rPr>
        <sz val="9"/>
        <color rgb="FF000000"/>
        <rFont val="ＭＳ 明朝"/>
        <family val="1"/>
        <charset val="128"/>
      </rPr>
      <t>(</t>
    </r>
    <r>
      <rPr>
        <sz val="9"/>
        <color rgb="FF000000"/>
        <rFont val="WenQuanYi Zen Hei"/>
        <family val="2"/>
      </rPr>
      <t>端数調整後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</si>
  <si>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返済総額</t>
    </r>
  </si>
  <si>
    <r>
      <rPr>
        <sz val="9"/>
        <color rgb="FF000000"/>
        <rFont val="WenQuanYi Zen Hei"/>
        <family val="2"/>
      </rPr>
      <t>計算過程</t>
    </r>
    <r>
      <rPr>
        <sz val="9"/>
        <color rgb="FF000000"/>
        <rFont val="ＭＳ 明朝"/>
        <family val="1"/>
        <charset val="128"/>
      </rPr>
      <t>!$B$83</t>
    </r>
  </si>
  <si>
    <r>
      <rPr>
        <sz val="9"/>
        <color rgb="FF000000"/>
        <rFont val="WenQuanYi Zen Hei"/>
        <family val="2"/>
      </rPr>
      <t>返済総額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</si>
  <si>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利息総額</t>
    </r>
  </si>
  <si>
    <r>
      <rPr>
        <sz val="9"/>
        <color rgb="FF000000"/>
        <rFont val="WenQuanYi Zen Hei"/>
        <family val="2"/>
      </rPr>
      <t>計算過程</t>
    </r>
    <r>
      <rPr>
        <sz val="9"/>
        <color rgb="FF000000"/>
        <rFont val="ＭＳ 明朝"/>
        <family val="1"/>
        <charset val="128"/>
      </rPr>
      <t>!$B$84</t>
    </r>
  </si>
  <si>
    <r>
      <rPr>
        <sz val="9"/>
        <color rgb="FF000000"/>
        <rFont val="WenQuanYi Zen Hei"/>
        <family val="2"/>
      </rPr>
      <t>利息総額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</si>
  <si>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_E</t>
    </r>
    <r>
      <rPr>
        <sz val="9"/>
        <color rgb="FF000000"/>
        <rFont val="WenQuanYi Zen Hei"/>
        <family val="2"/>
      </rPr>
      <t>毎月償還計</t>
    </r>
  </si>
  <si>
    <r>
      <rPr>
        <sz val="9"/>
        <color rgb="FF000000"/>
        <rFont val="WenQuanYi Zen Hei"/>
        <family val="2"/>
      </rPr>
      <t>計算過程</t>
    </r>
    <r>
      <rPr>
        <sz val="9"/>
        <color rgb="FF000000"/>
        <rFont val="ＭＳ 明朝"/>
        <family val="1"/>
        <charset val="128"/>
      </rPr>
      <t>!$B$86</t>
    </r>
  </si>
  <si>
    <r>
      <rPr>
        <sz val="9"/>
        <color rgb="FF000000"/>
        <rFont val="WenQuanYi Zen Hei"/>
        <family val="2"/>
      </rPr>
      <t>毎月の償還額</t>
    </r>
    <r>
      <rPr>
        <sz val="9"/>
        <color rgb="FF000000"/>
        <rFont val="ＭＳ 明朝"/>
        <family val="1"/>
        <charset val="128"/>
      </rPr>
      <t>(E)=A+B+C+D</t>
    </r>
  </si>
  <si>
    <r>
      <rPr>
        <sz val="9"/>
        <color rgb="FF000000"/>
        <rFont val="WenQuanYi Zen Hei"/>
        <family val="2"/>
      </rPr>
      <t>計算</t>
    </r>
    <r>
      <rPr>
        <sz val="9"/>
        <color rgb="FF000000"/>
        <rFont val="ＭＳ 明朝"/>
        <family val="1"/>
        <charset val="128"/>
      </rPr>
      <t>_J</t>
    </r>
    <r>
      <rPr>
        <sz val="9"/>
        <color rgb="FF000000"/>
        <rFont val="WenQuanYi Zen Hei"/>
        <family val="2"/>
      </rPr>
      <t>賞与償還計</t>
    </r>
  </si>
  <si>
    <r>
      <rPr>
        <sz val="9"/>
        <color rgb="FF000000"/>
        <rFont val="WenQuanYi Zen Hei"/>
        <family val="2"/>
      </rPr>
      <t>計算過程</t>
    </r>
    <r>
      <rPr>
        <sz val="9"/>
        <color rgb="FF000000"/>
        <rFont val="ＭＳ 明朝"/>
        <family val="1"/>
        <charset val="128"/>
      </rPr>
      <t>!$B$87</t>
    </r>
  </si>
  <si>
    <r>
      <rPr>
        <sz val="9"/>
        <color rgb="FF000000"/>
        <rFont val="WenQuanYi Zen Hei"/>
        <family val="2"/>
      </rPr>
      <t>ボーナス償還額</t>
    </r>
    <r>
      <rPr>
        <sz val="9"/>
        <color rgb="FF000000"/>
        <rFont val="ＭＳ 明朝"/>
        <family val="1"/>
        <charset val="128"/>
      </rPr>
      <t>(J)=F+G+H+I</t>
    </r>
  </si>
  <si>
    <r>
      <rPr>
        <sz val="9"/>
        <color rgb="FF000000"/>
        <rFont val="WenQuanYi Zen Hei"/>
        <family val="2"/>
      </rPr>
      <t>計算</t>
    </r>
    <r>
      <rPr>
        <sz val="9"/>
        <color rgb="FF000000"/>
        <rFont val="ＭＳ 明朝"/>
        <family val="1"/>
        <charset val="128"/>
      </rPr>
      <t>_K</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</si>
  <si>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!$B$88</t>
    </r>
  </si>
  <si>
    <r>
      <rPr>
        <sz val="9"/>
        <color rgb="FF000000"/>
        <rFont val="WenQuanYi Zen Hei"/>
        <family val="2"/>
      </rPr>
      <t>給料月額</t>
    </r>
    <r>
      <rPr>
        <sz val="9"/>
        <color rgb="FF000000"/>
        <rFont val="ＭＳ 明朝"/>
        <family val="1"/>
        <charset val="128"/>
      </rPr>
      <t>(K)</t>
    </r>
  </si>
  <si>
    <r>
      <rPr>
        <sz val="9"/>
        <color rgb="FF000000"/>
        <rFont val="WenQuanYi Zen Hei"/>
        <family val="2"/>
      </rPr>
      <t>計算</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</si>
  <si>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!$B$89</t>
    </r>
  </si>
  <si>
    <r>
      <rPr>
        <sz val="9"/>
        <color rgb="FF000000"/>
        <rFont val="WenQuanYi Zen Hei"/>
        <family val="2"/>
      </rPr>
      <t>毎月償還額の割合</t>
    </r>
    <r>
      <rPr>
        <sz val="9"/>
        <color rgb="FF000000"/>
        <rFont val="ＭＳ 明朝"/>
        <family val="1"/>
        <charset val="128"/>
      </rPr>
      <t>(E÷K)</t>
    </r>
  </si>
  <si>
    <r>
      <rPr>
        <sz val="9"/>
        <color rgb="FF000000"/>
        <rFont val="WenQuanYi Zen Hei"/>
        <family val="2"/>
      </rPr>
      <t>計算</t>
    </r>
    <r>
      <rPr>
        <sz val="9"/>
        <color rgb="FF000000"/>
        <rFont val="ＭＳ 明朝"/>
        <family val="1"/>
        <charset val="128"/>
      </rPr>
      <t>_L</t>
    </r>
    <r>
      <rPr>
        <sz val="9"/>
        <color rgb="FF000000"/>
        <rFont val="WenQuanYi Zen Hei"/>
        <family val="2"/>
      </rPr>
      <t>年間償還額</t>
    </r>
  </si>
  <si>
    <r>
      <rPr>
        <sz val="9"/>
        <color rgb="FF000000"/>
        <rFont val="WenQuanYi Zen Hei"/>
        <family val="2"/>
      </rPr>
      <t>計算過程</t>
    </r>
    <r>
      <rPr>
        <sz val="9"/>
        <color rgb="FF000000"/>
        <rFont val="ＭＳ 明朝"/>
        <family val="1"/>
        <charset val="128"/>
      </rPr>
      <t>!$B$90</t>
    </r>
  </si>
  <si>
    <r>
      <rPr>
        <sz val="9"/>
        <color rgb="FF000000"/>
        <rFont val="WenQuanYi Zen Hei"/>
        <family val="2"/>
      </rPr>
      <t>年間償還額</t>
    </r>
    <r>
      <rPr>
        <sz val="9"/>
        <color rgb="FF000000"/>
        <rFont val="ＭＳ 明朝"/>
        <family val="1"/>
        <charset val="128"/>
      </rPr>
      <t>(L)=E×12+J×2</t>
    </r>
  </si>
  <si>
    <r>
      <rPr>
        <sz val="9"/>
        <color rgb="FF000000"/>
        <rFont val="WenQuanYi Zen Hei"/>
        <family val="2"/>
      </rPr>
      <t>計算</t>
    </r>
    <r>
      <rPr>
        <sz val="9"/>
        <color rgb="FF000000"/>
        <rFont val="ＭＳ 明朝"/>
        <family val="1"/>
        <charset val="128"/>
      </rPr>
      <t>_M</t>
    </r>
    <r>
      <rPr>
        <sz val="9"/>
        <color rgb="FF000000"/>
        <rFont val="WenQuanYi Zen Hei"/>
        <family val="2"/>
      </rPr>
      <t>年収額</t>
    </r>
  </si>
  <si>
    <r>
      <rPr>
        <sz val="9"/>
        <color rgb="FF000000"/>
        <rFont val="WenQuanYi Zen Hei"/>
        <family val="2"/>
      </rPr>
      <t>計算過程</t>
    </r>
    <r>
      <rPr>
        <sz val="9"/>
        <color rgb="FF000000"/>
        <rFont val="ＭＳ 明朝"/>
        <family val="1"/>
        <charset val="128"/>
      </rPr>
      <t>!$B$91</t>
    </r>
  </si>
  <si>
    <r>
      <rPr>
        <sz val="9"/>
        <color rgb="FF000000"/>
        <rFont val="WenQuanYi Zen Hei"/>
        <family val="2"/>
      </rPr>
      <t>年収額</t>
    </r>
    <r>
      <rPr>
        <sz val="9"/>
        <color rgb="FF000000"/>
        <rFont val="ＭＳ 明朝"/>
        <family val="1"/>
        <charset val="128"/>
      </rPr>
      <t>(M)=K×12+K×4</t>
    </r>
  </si>
  <si>
    <r>
      <rPr>
        <sz val="9"/>
        <color rgb="FF000000"/>
        <rFont val="WenQuanYi Zen Hei"/>
        <family val="2"/>
      </rPr>
      <t>計算</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</si>
  <si>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!$B$92</t>
    </r>
  </si>
  <si>
    <r>
      <rPr>
        <sz val="9"/>
        <color rgb="FF000000"/>
        <rFont val="WenQuanYi Zen Hei"/>
        <family val="2"/>
      </rPr>
      <t>年間償還額の割合</t>
    </r>
    <r>
      <rPr>
        <sz val="9"/>
        <color rgb="FF000000"/>
        <rFont val="ＭＳ 明朝"/>
        <family val="1"/>
        <charset val="128"/>
      </rPr>
      <t>(L÷M)</t>
    </r>
  </si>
  <si>
    <r>
      <rPr>
        <sz val="9"/>
        <color rgb="FF000000"/>
        <rFont val="WenQuanYi Zen Hei"/>
        <family val="2"/>
      </rPr>
      <t>計算</t>
    </r>
    <r>
      <rPr>
        <sz val="9"/>
        <color rgb="FF000000"/>
        <rFont val="ＭＳ 明朝"/>
        <family val="1"/>
        <charset val="128"/>
      </rPr>
      <t>_</t>
    </r>
    <r>
      <rPr>
        <sz val="9"/>
        <color rgb="FF000000"/>
        <rFont val="WenQuanYi Zen Hei"/>
        <family val="2"/>
      </rPr>
      <t>今月締切</t>
    </r>
  </si>
  <si>
    <r>
      <rPr>
        <sz val="9"/>
        <color rgb="FF000000"/>
        <rFont val="WenQuanYi Zen Hei"/>
        <family val="2"/>
      </rPr>
      <t>計算過程</t>
    </r>
    <r>
      <rPr>
        <sz val="9"/>
        <color rgb="FF000000"/>
        <rFont val="ＭＳ 明朝"/>
        <family val="1"/>
        <charset val="128"/>
      </rPr>
      <t>!$B$94</t>
    </r>
  </si>
  <si>
    <t>今月の締切日</t>
  </si>
  <si>
    <r>
      <rPr>
        <sz val="9"/>
        <color rgb="FF000000"/>
        <rFont val="WenQuanYi Zen Hei"/>
        <family val="2"/>
      </rPr>
      <t>計算</t>
    </r>
    <r>
      <rPr>
        <sz val="9"/>
        <color rgb="FF000000"/>
        <rFont val="ＭＳ 明朝"/>
        <family val="1"/>
        <charset val="128"/>
      </rPr>
      <t>_</t>
    </r>
    <r>
      <rPr>
        <sz val="9"/>
        <color rgb="FF000000"/>
        <rFont val="WenQuanYi Zen Hei"/>
        <family val="2"/>
      </rPr>
      <t>翌月締切</t>
    </r>
  </si>
  <si>
    <r>
      <rPr>
        <sz val="9"/>
        <color rgb="FF000000"/>
        <rFont val="WenQuanYi Zen Hei"/>
        <family val="2"/>
      </rPr>
      <t>計算過程</t>
    </r>
    <r>
      <rPr>
        <sz val="9"/>
        <color rgb="FF000000"/>
        <rFont val="ＭＳ 明朝"/>
        <family val="1"/>
        <charset val="128"/>
      </rPr>
      <t>!$B$95</t>
    </r>
  </si>
  <si>
    <t>翌月の締切日</t>
  </si>
  <si>
    <r>
      <rPr>
        <sz val="9"/>
        <color rgb="FF000000"/>
        <rFont val="WenQuanYi Zen Hei"/>
        <family val="2"/>
      </rPr>
      <t>計算</t>
    </r>
    <r>
      <rPr>
        <sz val="9"/>
        <color rgb="FF000000"/>
        <rFont val="ＭＳ 明朝"/>
        <family val="1"/>
        <charset val="128"/>
      </rPr>
      <t>_</t>
    </r>
    <r>
      <rPr>
        <sz val="9"/>
        <color rgb="FF000000"/>
        <rFont val="WenQuanYi Zen Hei"/>
        <family val="2"/>
      </rPr>
      <t>申込締切日</t>
    </r>
  </si>
  <si>
    <r>
      <rPr>
        <sz val="9"/>
        <color rgb="FF000000"/>
        <rFont val="WenQuanYi Zen Hei"/>
        <family val="2"/>
      </rPr>
      <t>計算過程</t>
    </r>
    <r>
      <rPr>
        <sz val="9"/>
        <color rgb="FF000000"/>
        <rFont val="ＭＳ 明朝"/>
        <family val="1"/>
        <charset val="128"/>
      </rPr>
      <t>!$B$96</t>
    </r>
  </si>
  <si>
    <r>
      <rPr>
        <sz val="9"/>
        <color rgb="FF000000"/>
        <rFont val="WenQuanYi Zen Hei"/>
        <family val="2"/>
      </rPr>
      <t>申込締切日</t>
    </r>
    <r>
      <rPr>
        <sz val="9"/>
        <color rgb="FF000000"/>
        <rFont val="ＭＳ 明朝"/>
        <family val="1"/>
        <charset val="128"/>
      </rPr>
      <t>(</t>
    </r>
    <r>
      <rPr>
        <sz val="9"/>
        <color rgb="FF000000"/>
        <rFont val="WenQuanYi Zen Hei"/>
        <family val="2"/>
      </rPr>
      <t>申込予定日に対する</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</si>
  <si>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交付日</t>
    </r>
  </si>
  <si>
    <r>
      <rPr>
        <sz val="9"/>
        <color rgb="FF000000"/>
        <rFont val="WenQuanYi Zen Hei"/>
        <family val="2"/>
      </rPr>
      <t>計算過程</t>
    </r>
    <r>
      <rPr>
        <sz val="9"/>
        <color rgb="FF000000"/>
        <rFont val="ＭＳ 明朝"/>
        <family val="1"/>
        <charset val="128"/>
      </rPr>
      <t>!$B$97</t>
    </r>
  </si>
  <si>
    <r>
      <rPr>
        <sz val="9"/>
        <color rgb="FF000000"/>
        <rFont val="WenQuanYi Zen Hei"/>
        <family val="2"/>
      </rPr>
      <t>計算</t>
    </r>
    <r>
      <rPr>
        <sz val="9"/>
        <color rgb="FF000000"/>
        <rFont val="ＭＳ 明朝"/>
        <family val="1"/>
        <charset val="128"/>
      </rPr>
      <t>_</t>
    </r>
    <r>
      <rPr>
        <sz val="9"/>
        <color rgb="FF000000"/>
        <rFont val="WenQuanYi Zen Hei"/>
        <family val="2"/>
      </rPr>
      <t>償還開始</t>
    </r>
  </si>
  <si>
    <r>
      <rPr>
        <sz val="9"/>
        <color rgb="FF000000"/>
        <rFont val="WenQuanYi Zen Hei"/>
        <family val="2"/>
      </rPr>
      <t>計算過程</t>
    </r>
    <r>
      <rPr>
        <sz val="9"/>
        <color rgb="FF000000"/>
        <rFont val="ＭＳ 明朝"/>
        <family val="1"/>
        <charset val="128"/>
      </rPr>
      <t>!$B$98</t>
    </r>
  </si>
  <si>
    <t>償還開始年月</t>
  </si>
  <si>
    <r>
      <rPr>
        <sz val="9"/>
        <color rgb="FF000000"/>
        <rFont val="WenQuanYi Zen Hei"/>
        <family val="2"/>
      </rPr>
      <t>計算</t>
    </r>
    <r>
      <rPr>
        <sz val="9"/>
        <color rgb="FF000000"/>
        <rFont val="ＭＳ 明朝"/>
        <family val="1"/>
        <charset val="128"/>
      </rPr>
      <t>_</t>
    </r>
    <r>
      <rPr>
        <sz val="9"/>
        <color rgb="FF000000"/>
        <rFont val="WenQuanYi Zen Hei"/>
        <family val="2"/>
      </rPr>
      <t>償還終了</t>
    </r>
  </si>
  <si>
    <r>
      <rPr>
        <sz val="9"/>
        <color rgb="FF000000"/>
        <rFont val="WenQuanYi Zen Hei"/>
        <family val="2"/>
      </rPr>
      <t>計算過程</t>
    </r>
    <r>
      <rPr>
        <sz val="9"/>
        <color rgb="FF000000"/>
        <rFont val="ＭＳ 明朝"/>
        <family val="1"/>
        <charset val="128"/>
      </rPr>
      <t>!$B$99</t>
    </r>
  </si>
  <si>
    <t>償還終了予定年月</t>
  </si>
  <si>
    <r>
      <rPr>
        <sz val="9"/>
        <color rgb="FF000000"/>
        <rFont val="WenQuanYi Zen Hei"/>
        <family val="2"/>
      </rPr>
      <t>計算</t>
    </r>
    <r>
      <rPr>
        <sz val="9"/>
        <color rgb="FF000000"/>
        <rFont val="ＭＳ 明朝"/>
        <family val="1"/>
        <charset val="128"/>
      </rPr>
      <t>_</t>
    </r>
    <r>
      <rPr>
        <sz val="9"/>
        <color rgb="FF000000"/>
        <rFont val="WenQuanYi Zen Hei"/>
        <family val="2"/>
      </rPr>
      <t>償還期間表示</t>
    </r>
  </si>
  <si>
    <r>
      <rPr>
        <sz val="9"/>
        <color rgb="FF000000"/>
        <rFont val="WenQuanYi Zen Hei"/>
        <family val="2"/>
      </rPr>
      <t>計算過程</t>
    </r>
    <r>
      <rPr>
        <sz val="9"/>
        <color rgb="FF000000"/>
        <rFont val="ＭＳ 明朝"/>
        <family val="1"/>
        <charset val="128"/>
      </rPr>
      <t>!$B$100</t>
    </r>
  </si>
  <si>
    <r>
      <rPr>
        <sz val="9"/>
        <color rgb="FF000000"/>
        <rFont val="WenQuanYi Zen Hei"/>
        <family val="2"/>
      </rPr>
      <t>償還期間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</si>
  <si>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交付日起算</t>
    </r>
  </si>
  <si>
    <r>
      <rPr>
        <sz val="9"/>
        <color rgb="FF000000"/>
        <rFont val="WenQuanYi Zen Hei"/>
        <family val="2"/>
      </rPr>
      <t>計算過程</t>
    </r>
    <r>
      <rPr>
        <sz val="9"/>
        <color rgb="FF000000"/>
        <rFont val="ＭＳ 明朝"/>
        <family val="1"/>
        <charset val="128"/>
      </rPr>
      <t>!$B$101</t>
    </r>
  </si>
  <si>
    <r>
      <rPr>
        <sz val="9"/>
        <color rgb="FF000000"/>
        <rFont val="WenQuanYi Zen Hei"/>
        <family val="2"/>
      </rPr>
      <t>交付後の期限</t>
    </r>
    <r>
      <rPr>
        <sz val="9"/>
        <color rgb="FF000000"/>
        <rFont val="ＭＳ 明朝"/>
        <family val="1"/>
        <charset val="128"/>
      </rPr>
      <t>:</t>
    </r>
    <r>
      <rPr>
        <sz val="9"/>
        <color rgb="FF000000"/>
        <rFont val="WenQuanYi Zen Hei"/>
        <family val="2"/>
      </rPr>
      <t>交付日から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</si>
  <si>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事由日起算</t>
    </r>
  </si>
  <si>
    <r>
      <rPr>
        <sz val="9"/>
        <color rgb="FF000000"/>
        <rFont val="WenQuanYi Zen Hei"/>
        <family val="2"/>
      </rPr>
      <t>計算過程</t>
    </r>
    <r>
      <rPr>
        <sz val="9"/>
        <color rgb="FF000000"/>
        <rFont val="ＭＳ 明朝"/>
        <family val="1"/>
        <charset val="128"/>
      </rPr>
      <t>!$B$102</t>
    </r>
  </si>
  <si>
    <r>
      <rPr>
        <sz val="9"/>
        <color rgb="FF000000"/>
        <rFont val="WenQuanYi Zen Hei"/>
        <family val="2"/>
      </rPr>
      <t>交付後の期限</t>
    </r>
    <r>
      <rPr>
        <sz val="9"/>
        <color rgb="FF000000"/>
        <rFont val="ＭＳ 明朝"/>
        <family val="1"/>
        <charset val="128"/>
      </rPr>
      <t>:</t>
    </r>
    <r>
      <rPr>
        <sz val="9"/>
        <color rgb="FF000000"/>
        <rFont val="WenQuanYi Zen Hei"/>
        <family val="2"/>
      </rPr>
      <t>事由発生日から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</si>
  <si>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入学</t>
    </r>
  </si>
  <si>
    <r>
      <rPr>
        <sz val="9"/>
        <color rgb="FF000000"/>
        <rFont val="WenQuanYi Zen Hei"/>
        <family val="2"/>
      </rPr>
      <t>計算過程</t>
    </r>
    <r>
      <rPr>
        <sz val="9"/>
        <color rgb="FF000000"/>
        <rFont val="ＭＳ 明朝"/>
        <family val="1"/>
        <charset val="128"/>
      </rPr>
      <t>!$B$103</t>
    </r>
  </si>
  <si>
    <r>
      <rPr>
        <sz val="9"/>
        <color rgb="FF000000"/>
        <rFont val="WenQuanYi Zen Hei"/>
        <family val="2"/>
      </rPr>
      <t>交付後の期限</t>
    </r>
    <r>
      <rPr>
        <sz val="9"/>
        <color rgb="FF000000"/>
        <rFont val="ＭＳ 明朝"/>
        <family val="1"/>
        <charset val="128"/>
      </rPr>
      <t>:</t>
    </r>
    <r>
      <rPr>
        <sz val="9"/>
        <color rgb="FF000000"/>
        <rFont val="WenQuanYi Zen Hei"/>
        <family val="2"/>
      </rPr>
      <t>入学</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</si>
  <si>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</si>
  <si>
    <r>
      <rPr>
        <sz val="9"/>
        <color rgb="FF000000"/>
        <rFont val="WenQuanYi Zen Hei"/>
        <family val="2"/>
      </rPr>
      <t>計算過程</t>
    </r>
    <r>
      <rPr>
        <sz val="9"/>
        <color rgb="FF000000"/>
        <rFont val="ＭＳ 明朝"/>
        <family val="1"/>
        <charset val="128"/>
      </rPr>
      <t>!$B$104</t>
    </r>
  </si>
  <si>
    <t>交付後の提出期限</t>
  </si>
  <si>
    <r>
      <rPr>
        <sz val="9"/>
        <color rgb="FF000000"/>
        <rFont val="WenQuanYi Zen Hei"/>
        <family val="2"/>
      </rPr>
      <t>計算</t>
    </r>
    <r>
      <rPr>
        <sz val="9"/>
        <color rgb="FF000000"/>
        <rFont val="ＭＳ 明朝"/>
        <family val="1"/>
        <charset val="128"/>
      </rPr>
      <t>_</t>
    </r>
    <r>
      <rPr>
        <sz val="9"/>
        <color rgb="FF000000"/>
        <rFont val="WenQuanYi Zen Hei"/>
        <family val="2"/>
      </rPr>
      <t>住宅書類列適用</t>
    </r>
  </si>
  <si>
    <r>
      <rPr>
        <sz val="9"/>
        <color rgb="FF000000"/>
        <rFont val="WenQuanYi Zen Hei"/>
        <family val="2"/>
      </rPr>
      <t>計算過程</t>
    </r>
    <r>
      <rPr>
        <sz val="9"/>
        <color rgb="FF000000"/>
        <rFont val="ＭＳ 明朝"/>
        <family val="1"/>
        <charset val="128"/>
      </rPr>
      <t>!$B$105</t>
    </r>
  </si>
  <si>
    <r>
      <rPr>
        <sz val="9"/>
        <color rgb="FF000000"/>
        <rFont val="WenQuanYi Zen Hei"/>
        <family val="2"/>
      </rPr>
      <t>住宅書類の列</t>
    </r>
    <r>
      <rPr>
        <sz val="9"/>
        <color rgb="FF000000"/>
        <rFont val="ＭＳ 明朝"/>
        <family val="1"/>
        <charset val="128"/>
      </rPr>
      <t>No(</t>
    </r>
    <r>
      <rPr>
        <sz val="9"/>
        <color rgb="FF000000"/>
        <rFont val="WenQuanYi Zen Hei"/>
        <family val="2"/>
      </rPr>
      <t>適用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</si>
  <si>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他機関償還計</t>
    </r>
  </si>
  <si>
    <r>
      <rPr>
        <sz val="9"/>
        <color rgb="FF000000"/>
        <rFont val="WenQuanYi Zen Hei"/>
        <family val="2"/>
      </rPr>
      <t>計算過程</t>
    </r>
    <r>
      <rPr>
        <sz val="9"/>
        <color rgb="FF000000"/>
        <rFont val="ＭＳ 明朝"/>
        <family val="1"/>
        <charset val="128"/>
      </rPr>
      <t>!$B$107</t>
    </r>
  </si>
  <si>
    <r>
      <rPr>
        <sz val="9"/>
        <color rgb="FF000000"/>
        <rFont val="WenQuanYi Zen Hei"/>
        <family val="2"/>
      </rPr>
      <t>他の金融機関等の償還額の合計</t>
    </r>
    <r>
      <rPr>
        <sz val="9"/>
        <color rgb="FF000000"/>
        <rFont val="ＭＳ 明朝"/>
        <family val="1"/>
        <charset val="128"/>
      </rPr>
      <t>(A+B+F+G)</t>
    </r>
  </si>
  <si>
    <r>
      <rPr>
        <sz val="9"/>
        <color rgb="FF000000"/>
        <rFont val="WenQuanYi Zen Hei"/>
        <family val="2"/>
      </rPr>
      <t>計算</t>
    </r>
    <r>
      <rPr>
        <sz val="9"/>
        <color rgb="FF000000"/>
        <rFont val="ＭＳ 明朝"/>
        <family val="1"/>
        <charset val="128"/>
      </rPr>
      <t>_</t>
    </r>
    <r>
      <rPr>
        <sz val="9"/>
        <color rgb="FF000000"/>
        <rFont val="WenQuanYi Zen Hei"/>
        <family val="2"/>
      </rPr>
      <t>共済既貸付償還計</t>
    </r>
  </si>
  <si>
    <r>
      <rPr>
        <sz val="9"/>
        <color rgb="FF000000"/>
        <rFont val="WenQuanYi Zen Hei"/>
        <family val="2"/>
      </rPr>
      <t>計算過程</t>
    </r>
    <r>
      <rPr>
        <sz val="9"/>
        <color rgb="FF000000"/>
        <rFont val="ＭＳ 明朝"/>
        <family val="1"/>
        <charset val="128"/>
      </rPr>
      <t>!$B$108</t>
    </r>
  </si>
  <si>
    <r>
      <rPr>
        <sz val="9"/>
        <color rgb="FF000000"/>
        <rFont val="WenQuanYi Zen Hei"/>
        <family val="2"/>
      </rPr>
      <t>共済組合の既貸付の償還額の合計</t>
    </r>
    <r>
      <rPr>
        <sz val="9"/>
        <color rgb="FF000000"/>
        <rFont val="ＭＳ 明朝"/>
        <family val="1"/>
        <charset val="128"/>
      </rPr>
      <t>(C+H)</t>
    </r>
  </si>
  <si>
    <r>
      <rPr>
        <sz val="9"/>
        <color rgb="FF000000"/>
        <rFont val="WenQuanYi Zen Hei"/>
        <family val="2"/>
      </rPr>
      <t>計算</t>
    </r>
    <r>
      <rPr>
        <sz val="9"/>
        <color rgb="FF000000"/>
        <rFont val="ＭＳ 明朝"/>
        <family val="1"/>
        <charset val="128"/>
      </rPr>
      <t>_</t>
    </r>
    <r>
      <rPr>
        <sz val="9"/>
        <color rgb="FF000000"/>
        <rFont val="WenQuanYi Zen Hei"/>
        <family val="2"/>
      </rPr>
      <t>申込可能開始</t>
    </r>
  </si>
  <si>
    <r>
      <rPr>
        <sz val="9"/>
        <color rgb="FF000000"/>
        <rFont val="WenQuanYi Zen Hei"/>
        <family val="2"/>
      </rPr>
      <t>計算過程</t>
    </r>
    <r>
      <rPr>
        <sz val="9"/>
        <color rgb="FF000000"/>
        <rFont val="ＭＳ 明朝"/>
        <family val="1"/>
        <charset val="128"/>
      </rPr>
      <t>!$B$109</t>
    </r>
  </si>
  <si>
    <t>申込可能期間の開始日</t>
  </si>
  <si>
    <r>
      <rPr>
        <sz val="9"/>
        <color rgb="FF000000"/>
        <rFont val="WenQuanYi Zen Hei"/>
        <family val="2"/>
      </rPr>
      <t>計算</t>
    </r>
    <r>
      <rPr>
        <sz val="9"/>
        <color rgb="FF000000"/>
        <rFont val="ＭＳ 明朝"/>
        <family val="1"/>
        <charset val="128"/>
      </rPr>
      <t>_</t>
    </r>
    <r>
      <rPr>
        <sz val="9"/>
        <color rgb="FF000000"/>
        <rFont val="WenQuanYi Zen Hei"/>
        <family val="2"/>
      </rPr>
      <t>申込可能終了</t>
    </r>
  </si>
  <si>
    <r>
      <rPr>
        <sz val="9"/>
        <color rgb="FF000000"/>
        <rFont val="WenQuanYi Zen Hei"/>
        <family val="2"/>
      </rPr>
      <t>計算過程</t>
    </r>
    <r>
      <rPr>
        <sz val="9"/>
        <color rgb="FF000000"/>
        <rFont val="ＭＳ 明朝"/>
        <family val="1"/>
        <charset val="128"/>
      </rPr>
      <t>!$B$110</t>
    </r>
  </si>
  <si>
    <t>申込可能期間の終了日</t>
  </si>
  <si>
    <r>
      <rPr>
        <sz val="9"/>
        <color rgb="FF000000"/>
        <rFont val="WenQuanYi Zen Hei"/>
        <family val="2"/>
      </rPr>
      <t>計算</t>
    </r>
    <r>
      <rPr>
        <sz val="9"/>
        <color rgb="FF000000"/>
        <rFont val="ＭＳ 明朝"/>
        <family val="1"/>
        <charset val="128"/>
      </rPr>
      <t>_</t>
    </r>
    <r>
      <rPr>
        <sz val="9"/>
        <color rgb="FF000000"/>
        <rFont val="WenQuanYi Zen Hei"/>
        <family val="2"/>
      </rPr>
      <t>必要回数</t>
    </r>
  </si>
  <si>
    <r>
      <rPr>
        <sz val="9"/>
        <color rgb="FF000000"/>
        <rFont val="WenQuanYi Zen Hei"/>
        <family val="2"/>
      </rPr>
      <t>計算過程</t>
    </r>
    <r>
      <rPr>
        <sz val="9"/>
        <color rgb="FF000000"/>
        <rFont val="ＭＳ 明朝"/>
        <family val="1"/>
        <charset val="128"/>
      </rPr>
      <t>!$B$111</t>
    </r>
  </si>
  <si>
    <r>
      <rPr>
        <sz val="9"/>
        <color rgb="FF000000"/>
        <rFont val="ＭＳ 明朝"/>
        <family val="1"/>
        <charset val="128"/>
      </rPr>
      <t>30%</t>
    </r>
    <r>
      <rPr>
        <sz val="9"/>
        <color rgb="FF000000"/>
        <rFont val="WenQuanYi Zen Hei"/>
        <family val="2"/>
      </rPr>
      <t>以内となる償還回数</t>
    </r>
    <r>
      <rPr>
        <sz val="9"/>
        <color rgb="FF000000"/>
        <rFont val="ＭＳ 明朝"/>
        <family val="1"/>
        <charset val="128"/>
      </rPr>
      <t>(</t>
    </r>
    <r>
      <rPr>
        <sz val="9"/>
        <color rgb="FF000000"/>
        <rFont val="WenQuanYi Zen Hei"/>
        <family val="2"/>
      </rPr>
      <t>今回の申込額のまま</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</si>
  <si>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上限額万円</t>
    </r>
    <r>
      <rPr>
        <sz val="9"/>
        <color rgb="FF000000"/>
        <rFont val="ＭＳ 明朝"/>
        <family val="1"/>
        <charset val="128"/>
      </rPr>
      <t>_</t>
    </r>
    <r>
      <rPr>
        <sz val="9"/>
        <color rgb="FF000000"/>
        <rFont val="WenQuanYi Zen Hei"/>
        <family val="2"/>
      </rPr>
      <t>現回数</t>
    </r>
  </si>
  <si>
    <r>
      <rPr>
        <sz val="9"/>
        <color rgb="FF000000"/>
        <rFont val="WenQuanYi Zen Hei"/>
        <family val="2"/>
      </rPr>
      <t>計算過程</t>
    </r>
    <r>
      <rPr>
        <sz val="9"/>
        <color rgb="FF000000"/>
        <rFont val="ＭＳ 明朝"/>
        <family val="1"/>
        <charset val="128"/>
      </rPr>
      <t>!$B$112</t>
    </r>
  </si>
  <si>
    <r>
      <rPr>
        <sz val="9"/>
        <color rgb="FF000000"/>
        <rFont val="ＭＳ 明朝"/>
        <family val="1"/>
        <charset val="128"/>
      </rPr>
      <t>30%</t>
    </r>
    <r>
      <rPr>
        <sz val="9"/>
        <color rgb="FF000000"/>
        <rFont val="WenQuanYi Zen Hei"/>
        <family val="2"/>
      </rPr>
      <t>以内となる申込額</t>
    </r>
    <r>
      <rPr>
        <sz val="9"/>
        <color rgb="FF000000"/>
        <rFont val="ＭＳ 明朝"/>
        <family val="1"/>
        <charset val="128"/>
      </rPr>
      <t>(</t>
    </r>
    <r>
      <rPr>
        <sz val="9"/>
        <color rgb="FF000000"/>
        <rFont val="WenQuanYi Zen Hei"/>
        <family val="2"/>
      </rPr>
      <t>万円・現在の償還回数のまま</t>
    </r>
    <r>
      <rPr>
        <sz val="9"/>
        <color rgb="FF000000"/>
        <rFont val="ＭＳ 明朝"/>
        <family val="1"/>
        <charset val="128"/>
      </rPr>
      <t>)</t>
    </r>
  </si>
  <si>
    <r>
      <rPr>
        <sz val="9"/>
        <color rgb="FF000000"/>
        <rFont val="WenQuanYi Zen Hei"/>
        <family val="2"/>
      </rPr>
      <t>判定</t>
    </r>
    <r>
      <rPr>
        <sz val="9"/>
        <color rgb="FF000000"/>
        <rFont val="ＭＳ 明朝"/>
        <family val="1"/>
        <charset val="128"/>
      </rPr>
      <t>_NG</t>
    </r>
    <r>
      <rPr>
        <sz val="9"/>
        <color rgb="FF000000"/>
        <rFont val="WenQuanYi Zen Hei"/>
        <family val="2"/>
      </rPr>
      <t>件数</t>
    </r>
  </si>
  <si>
    <r>
      <rPr>
        <sz val="9"/>
        <color rgb="FF000000"/>
        <rFont val="WenQuanYi Zen Hei"/>
        <family val="2"/>
      </rPr>
      <t>計算過程</t>
    </r>
    <r>
      <rPr>
        <sz val="9"/>
        <color rgb="FF000000"/>
        <rFont val="ＭＳ 明朝"/>
        <family val="1"/>
        <charset val="128"/>
      </rPr>
      <t>!$B$156</t>
    </r>
  </si>
  <si>
    <r>
      <rPr>
        <sz val="9"/>
        <color rgb="FF000000"/>
        <rFont val="ＭＳ 明朝"/>
        <family val="1"/>
        <charset val="128"/>
      </rPr>
      <t>×</t>
    </r>
    <r>
      <rPr>
        <sz val="9"/>
        <color rgb="FF000000"/>
        <rFont val="WenQuanYi Zen Hei"/>
        <family val="2"/>
      </rPr>
      <t>の件数</t>
    </r>
  </si>
  <si>
    <r>
      <rPr>
        <sz val="9"/>
        <color rgb="FF000000"/>
        <rFont val="WenQuanYi Zen Hei"/>
        <family val="2"/>
      </rPr>
      <t>判定</t>
    </r>
    <r>
      <rPr>
        <sz val="9"/>
        <color rgb="FF000000"/>
        <rFont val="ＭＳ 明朝"/>
        <family val="1"/>
        <charset val="128"/>
      </rPr>
      <t>_</t>
    </r>
    <r>
      <rPr>
        <sz val="9"/>
        <color rgb="FF000000"/>
        <rFont val="WenQuanYi Zen Hei"/>
        <family val="2"/>
      </rPr>
      <t>要確認件数</t>
    </r>
  </si>
  <si>
    <r>
      <rPr>
        <sz val="9"/>
        <color rgb="FF000000"/>
        <rFont val="WenQuanYi Zen Hei"/>
        <family val="2"/>
      </rPr>
      <t>計算過程</t>
    </r>
    <r>
      <rPr>
        <sz val="9"/>
        <color rgb="FF000000"/>
        <rFont val="ＭＳ 明朝"/>
        <family val="1"/>
        <charset val="128"/>
      </rPr>
      <t>!$B$157</t>
    </r>
  </si>
  <si>
    <t>△の件数</t>
  </si>
  <si>
    <r>
      <rPr>
        <sz val="9"/>
        <color rgb="FF000000"/>
        <rFont val="WenQuanYi Zen Hei"/>
        <family val="2"/>
      </rPr>
      <t>判定</t>
    </r>
    <r>
      <rPr>
        <sz val="9"/>
        <color rgb="FF000000"/>
        <rFont val="ＭＳ 明朝"/>
        <family val="1"/>
        <charset val="128"/>
      </rPr>
      <t>_</t>
    </r>
    <r>
      <rPr>
        <sz val="9"/>
        <color rgb="FF000000"/>
        <rFont val="WenQuanYi Zen Hei"/>
        <family val="2"/>
      </rPr>
      <t>不足項目</t>
    </r>
    <r>
      <rPr>
        <sz val="9"/>
        <color rgb="FF000000"/>
        <rFont val="ＭＳ 明朝"/>
        <family val="1"/>
        <charset val="128"/>
      </rPr>
      <t>_</t>
    </r>
    <r>
      <rPr>
        <sz val="9"/>
        <color rgb="FF000000"/>
        <rFont val="WenQuanYi Zen Hei"/>
        <family val="2"/>
      </rPr>
      <t>素</t>
    </r>
  </si>
  <si>
    <r>
      <rPr>
        <sz val="9"/>
        <color rgb="FF000000"/>
        <rFont val="WenQuanYi Zen Hei"/>
        <family val="2"/>
      </rPr>
      <t>計算過程</t>
    </r>
    <r>
      <rPr>
        <sz val="9"/>
        <color rgb="FF000000"/>
        <rFont val="ＭＳ 明朝"/>
        <family val="1"/>
        <charset val="128"/>
      </rPr>
      <t>!$B$158</t>
    </r>
  </si>
  <si>
    <r>
      <rPr>
        <sz val="9"/>
        <color rgb="FF000000"/>
        <rFont val="WenQuanYi Zen Hei"/>
        <family val="2"/>
      </rPr>
      <t>入力不足の項目</t>
    </r>
    <r>
      <rPr>
        <sz val="9"/>
        <color rgb="FF000000"/>
        <rFont val="ＭＳ 明朝"/>
        <family val="1"/>
        <charset val="128"/>
      </rPr>
      <t>(</t>
    </r>
    <r>
      <rPr>
        <sz val="9"/>
        <color rgb="FF000000"/>
        <rFont val="WenQuanYi Zen Hei"/>
        <family val="2"/>
      </rPr>
      <t>末尾に区切りあり</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</si>
  <si>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不足項目</t>
    </r>
  </si>
  <si>
    <r>
      <rPr>
        <sz val="9"/>
        <color rgb="FF000000"/>
        <rFont val="WenQuanYi Zen Hei"/>
        <family val="2"/>
      </rPr>
      <t>計算過程</t>
    </r>
    <r>
      <rPr>
        <sz val="9"/>
        <color rgb="FF000000"/>
        <rFont val="ＭＳ 明朝"/>
        <family val="1"/>
        <charset val="128"/>
      </rPr>
      <t>!$B$159</t>
    </r>
  </si>
  <si>
    <t>入力不足の項目</t>
  </si>
  <si>
    <r>
      <rPr>
        <sz val="9"/>
        <color rgb="FF000000"/>
        <rFont val="WenQuanYi Zen Hei"/>
        <family val="2"/>
      </rPr>
      <t>判定</t>
    </r>
    <r>
      <rPr>
        <sz val="9"/>
        <color rgb="FF000000"/>
        <rFont val="ＭＳ 明朝"/>
        <family val="1"/>
        <charset val="128"/>
      </rPr>
      <t>_</t>
    </r>
    <r>
      <rPr>
        <sz val="9"/>
        <color rgb="FF000000"/>
        <rFont val="WenQuanYi Zen Hei"/>
        <family val="2"/>
      </rPr>
      <t>総合</t>
    </r>
  </si>
  <si>
    <r>
      <rPr>
        <sz val="9"/>
        <color rgb="FF000000"/>
        <rFont val="WenQuanYi Zen Hei"/>
        <family val="2"/>
      </rPr>
      <t>計算過程</t>
    </r>
    <r>
      <rPr>
        <sz val="9"/>
        <color rgb="FF000000"/>
        <rFont val="ＭＳ 明朝"/>
        <family val="1"/>
        <charset val="128"/>
      </rPr>
      <t>!$B$160</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</si>
  <si>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普通特別</t>
    </r>
  </si>
  <si>
    <r>
      <rPr>
        <sz val="9"/>
        <color rgb="FF000000"/>
        <rFont val="WenQuanYi Zen Hei"/>
        <family val="2"/>
      </rPr>
      <t>計算過程</t>
    </r>
    <r>
      <rPr>
        <sz val="9"/>
        <color rgb="FF000000"/>
        <rFont val="ＭＳ 明朝"/>
        <family val="1"/>
        <charset val="128"/>
      </rPr>
      <t>!$B$162</t>
    </r>
  </si>
  <si>
    <r>
      <rPr>
        <sz val="9"/>
        <color rgb="FF000000"/>
        <rFont val="WenQuanYi Zen Hei"/>
        <family val="2"/>
      </rPr>
      <t>利率</t>
    </r>
    <r>
      <rPr>
        <sz val="9"/>
        <color rgb="FF000000"/>
        <rFont val="ＭＳ 明朝"/>
        <family val="1"/>
        <charset val="128"/>
      </rPr>
      <t>(</t>
    </r>
    <r>
      <rPr>
        <sz val="9"/>
        <color rgb="FF000000"/>
        <rFont val="WenQuanYi Zen Hei"/>
        <family val="2"/>
      </rPr>
      <t>普通・特別</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</si>
  <si>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災害</t>
    </r>
  </si>
  <si>
    <r>
      <rPr>
        <sz val="9"/>
        <color rgb="FF000000"/>
        <rFont val="WenQuanYi Zen Hei"/>
        <family val="2"/>
      </rPr>
      <t>計算過程</t>
    </r>
    <r>
      <rPr>
        <sz val="9"/>
        <color rgb="FF000000"/>
        <rFont val="ＭＳ 明朝"/>
        <family val="1"/>
        <charset val="128"/>
      </rPr>
      <t>!$B$163</t>
    </r>
  </si>
  <si>
    <r>
      <rPr>
        <sz val="9"/>
        <color rgb="FF000000"/>
        <rFont val="WenQuanYi Zen Hei"/>
        <family val="2"/>
      </rPr>
      <t>利率</t>
    </r>
    <r>
      <rPr>
        <sz val="9"/>
        <color rgb="FF000000"/>
        <rFont val="ＭＳ 明朝"/>
        <family val="1"/>
        <charset val="128"/>
      </rPr>
      <t>(</t>
    </r>
    <r>
      <rPr>
        <sz val="9"/>
        <color rgb="FF000000"/>
        <rFont val="WenQuanYi Zen Hei"/>
        <family val="2"/>
      </rPr>
      <t>災害</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</si>
  <si>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</si>
  <si>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!$B$164</t>
    </r>
  </si>
  <si>
    <r>
      <rPr>
        <sz val="9"/>
        <color rgb="FF000000"/>
        <rFont val="WenQuanYi Zen Hei"/>
        <family val="2"/>
      </rPr>
      <t>利率</t>
    </r>
    <r>
      <rPr>
        <sz val="9"/>
        <color rgb="FF000000"/>
        <rFont val="ＭＳ 明朝"/>
        <family val="1"/>
        <charset val="128"/>
      </rPr>
      <t>(</t>
    </r>
    <r>
      <rPr>
        <sz val="9"/>
        <color rgb="FF000000"/>
        <rFont val="WenQuanYi Zen Hei"/>
        <family val="2"/>
      </rPr>
      <t>在宅介護対応住宅</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</si>
  <si>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借用証書金額万円</t>
    </r>
  </si>
  <si>
    <r>
      <rPr>
        <sz val="9"/>
        <color rgb="FF000000"/>
        <rFont val="WenQuanYi Zen Hei"/>
        <family val="2"/>
      </rPr>
      <t>計算過程</t>
    </r>
    <r>
      <rPr>
        <sz val="9"/>
        <color rgb="FF000000"/>
        <rFont val="ＭＳ 明朝"/>
        <family val="1"/>
        <charset val="128"/>
      </rPr>
      <t>!$B$165</t>
    </r>
  </si>
  <si>
    <r>
      <rPr>
        <sz val="9"/>
        <color rgb="FF000000"/>
        <rFont val="WenQuanYi Zen Hei"/>
        <family val="2"/>
      </rPr>
      <t>借用証書の金額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</si>
  <si>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</si>
  <si>
    <r>
      <rPr>
        <sz val="9"/>
        <color rgb="FF000000"/>
        <rFont val="WenQuanYi Zen Hei"/>
        <family val="2"/>
      </rPr>
      <t>計算過程</t>
    </r>
    <r>
      <rPr>
        <sz val="9"/>
        <color rgb="FF000000"/>
        <rFont val="ＭＳ 明朝"/>
        <family val="1"/>
        <charset val="128"/>
      </rPr>
      <t>!$B$114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</si>
  <si>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貸付区分の選択</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</si>
  <si>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</si>
  <si>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!$B$115</t>
    </r>
  </si>
  <si>
    <t>画面に出す説明文</t>
  </si>
  <si>
    <r>
      <rPr>
        <sz val="9"/>
        <color rgb="FF000000"/>
        <rFont val="WenQuanYi Zen Hei"/>
        <family val="2"/>
      </rPr>
      <t>判定</t>
    </r>
    <r>
      <rPr>
        <sz val="9"/>
        <color rgb="FF000000"/>
        <rFont val="ＭＳ 明朝"/>
        <family val="1"/>
        <charset val="128"/>
      </rPr>
      <t>_</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</si>
  <si>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!$B$116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</si>
  <si>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給料月額の入力</t>
    </r>
  </si>
  <si>
    <r>
      <rPr>
        <sz val="9"/>
        <color rgb="FF000000"/>
        <rFont val="WenQuanYi Zen Hei"/>
        <family val="2"/>
      </rPr>
      <t>判定</t>
    </r>
    <r>
      <rPr>
        <sz val="9"/>
        <color rgb="FF000000"/>
        <rFont val="ＭＳ 明朝"/>
        <family val="1"/>
        <charset val="128"/>
      </rPr>
      <t>_</t>
    </r>
    <r>
      <rPr>
        <sz val="9"/>
        <color rgb="FF000000"/>
        <rFont val="WenQuanYi Zen Hei"/>
        <family val="2"/>
      </rPr>
      <t>給料月額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</si>
  <si>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!$B$117</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</si>
  <si>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</si>
  <si>
    <r>
      <rPr>
        <sz val="9"/>
        <color rgb="FF000000"/>
        <rFont val="WenQuanYi Zen Hei"/>
        <family val="2"/>
      </rPr>
      <t>計算過程</t>
    </r>
    <r>
      <rPr>
        <sz val="9"/>
        <color rgb="FF000000"/>
        <rFont val="ＭＳ 明朝"/>
        <family val="1"/>
        <charset val="128"/>
      </rPr>
      <t>!$B$118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</si>
  <si>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借受資格</t>
    </r>
    <r>
      <rPr>
        <sz val="9"/>
        <color rgb="FF000000"/>
        <rFont val="ＭＳ 明朝"/>
        <family val="1"/>
        <charset val="128"/>
      </rPr>
      <t>(</t>
    </r>
    <r>
      <rPr>
        <sz val="9"/>
        <color rgb="FF000000"/>
        <rFont val="WenQuanYi Zen Hei"/>
        <family val="2"/>
      </rPr>
      <t>組合員期間</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</si>
  <si>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</si>
  <si>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!$B$119</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</si>
  <si>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</si>
  <si>
    <r>
      <rPr>
        <sz val="9"/>
        <color rgb="FF000000"/>
        <rFont val="WenQuanYi Zen Hei"/>
        <family val="2"/>
      </rPr>
      <t>計算過程</t>
    </r>
    <r>
      <rPr>
        <sz val="9"/>
        <color rgb="FF000000"/>
        <rFont val="ＭＳ 明朝"/>
        <family val="1"/>
        <charset val="128"/>
      </rPr>
      <t>!$B$120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</si>
  <si>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給与の差押さえ等の貸付制限</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</si>
  <si>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</si>
  <si>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!$B$121</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</si>
  <si>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</si>
  <si>
    <r>
      <rPr>
        <sz val="9"/>
        <color rgb="FF000000"/>
        <rFont val="WenQuanYi Zen Hei"/>
        <family val="2"/>
      </rPr>
      <t>計算過程</t>
    </r>
    <r>
      <rPr>
        <sz val="9"/>
        <color rgb="FF000000"/>
        <rFont val="ＭＳ 明朝"/>
        <family val="1"/>
        <charset val="128"/>
      </rPr>
      <t>!$B$122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</si>
  <si>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無給休職でないこと</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</si>
  <si>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</si>
  <si>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!$B$123</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</si>
  <si>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</si>
  <si>
    <r>
      <rPr>
        <sz val="9"/>
        <color rgb="FF000000"/>
        <rFont val="WenQuanYi Zen Hei"/>
        <family val="2"/>
      </rPr>
      <t>計算過程</t>
    </r>
    <r>
      <rPr>
        <sz val="9"/>
        <color rgb="FF000000"/>
        <rFont val="ＭＳ 明朝"/>
        <family val="1"/>
        <charset val="128"/>
      </rPr>
      <t>!$B$124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</si>
  <si>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借入状況の入力</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</si>
  <si>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</si>
  <si>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!$B$125</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</si>
  <si>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</si>
  <si>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!$B$126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</si>
  <si>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申込時期</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</si>
  <si>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</si>
  <si>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!$B$127</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</si>
  <si>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</si>
  <si>
    <r>
      <rPr>
        <sz val="9"/>
        <color rgb="FF000000"/>
        <rFont val="WenQuanYi Zen Hei"/>
        <family val="2"/>
      </rPr>
      <t>計算過程</t>
    </r>
    <r>
      <rPr>
        <sz val="9"/>
        <color rgb="FF000000"/>
        <rFont val="ＭＳ 明朝"/>
        <family val="1"/>
        <charset val="128"/>
      </rPr>
      <t>!$B$128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</si>
  <si>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修学月数</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</si>
  <si>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</si>
  <si>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!$B$129</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</si>
  <si>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</si>
  <si>
    <r>
      <rPr>
        <sz val="9"/>
        <color rgb="FF000000"/>
        <rFont val="WenQuanYi Zen Hei"/>
        <family val="2"/>
      </rPr>
      <t>計算過程</t>
    </r>
    <r>
      <rPr>
        <sz val="9"/>
        <color rgb="FF000000"/>
        <rFont val="ＭＳ 明朝"/>
        <family val="1"/>
        <charset val="128"/>
      </rPr>
      <t>!$B$130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</si>
  <si>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申込金額の下限・単位</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</si>
  <si>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</si>
  <si>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!$B$131</t>
    </r>
  </si>
  <si>
    <r>
      <rPr>
        <sz val="9"/>
        <color rgb="FF000000"/>
        <rFont val="WenQuanYi Zen Hei"/>
        <family val="2"/>
      </rPr>
      <t>判定</t>
    </r>
    <r>
      <rPr>
        <sz val="9"/>
        <color rgb="FF000000"/>
        <rFont val="ＭＳ 明朝"/>
        <family val="1"/>
        <charset val="128"/>
      </rPr>
      <t>_</t>
    </r>
    <r>
      <rPr>
        <sz val="9"/>
        <color rgb="FF000000"/>
        <rFont val="WenQuanYi Zen Hei"/>
        <family val="2"/>
      </rPr>
      <t>限度額</t>
    </r>
  </si>
  <si>
    <r>
      <rPr>
        <sz val="9"/>
        <color rgb="FF000000"/>
        <rFont val="WenQuanYi Zen Hei"/>
        <family val="2"/>
      </rPr>
      <t>計算過程</t>
    </r>
    <r>
      <rPr>
        <sz val="9"/>
        <color rgb="FF000000"/>
        <rFont val="ＭＳ 明朝"/>
        <family val="1"/>
        <charset val="128"/>
      </rPr>
      <t>!$B$132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</si>
  <si>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貸付限度額以内</t>
    </r>
  </si>
  <si>
    <r>
      <rPr>
        <sz val="9"/>
        <color rgb="FF000000"/>
        <rFont val="WenQuanYi Zen Hei"/>
        <family val="2"/>
      </rPr>
      <t>判定</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</si>
  <si>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!$B$133</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</si>
  <si>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</si>
  <si>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!$B$134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</si>
  <si>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償還回数</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</si>
  <si>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</si>
  <si>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!$B$135</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</si>
  <si>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</si>
  <si>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!$B$136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</si>
  <si>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毎月償還額の割合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</si>
  <si>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</si>
  <si>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!$B$137</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</si>
  <si>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</si>
  <si>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!$B$138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</si>
  <si>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年間償還額の割合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</si>
  <si>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</si>
  <si>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!$B$139</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</si>
  <si>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</si>
  <si>
    <r>
      <rPr>
        <sz val="9"/>
        <color rgb="FF000000"/>
        <rFont val="WenQuanYi Zen Hei"/>
        <family val="2"/>
      </rPr>
      <t>計算過程</t>
    </r>
    <r>
      <rPr>
        <sz val="9"/>
        <color rgb="FF000000"/>
        <rFont val="ＭＳ 明朝"/>
        <family val="1"/>
        <charset val="128"/>
      </rPr>
      <t>!$B$149</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</si>
  <si>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ボーナス併用償還の条件</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</si>
  <si>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</si>
  <si>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!$B$150</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</si>
  <si>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</si>
  <si>
    <r>
      <rPr>
        <sz val="9"/>
        <color rgb="FF000000"/>
        <rFont val="WenQuanYi Zen Hei"/>
        <family val="2"/>
      </rPr>
      <t>計算過程</t>
    </r>
    <r>
      <rPr>
        <sz val="9"/>
        <color rgb="FF000000"/>
        <rFont val="ＭＳ 明朝"/>
        <family val="1"/>
        <charset val="128"/>
      </rPr>
      <t>!$B$151</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</si>
  <si>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住宅書類の区分</t>
    </r>
    <r>
      <rPr>
        <sz val="9"/>
        <color rgb="FF000000"/>
        <rFont val="ＭＳ 明朝"/>
        <family val="1"/>
        <charset val="128"/>
      </rPr>
      <t>(</t>
    </r>
    <r>
      <rPr>
        <sz val="9"/>
        <color rgb="FF000000"/>
        <rFont val="WenQuanYi Zen Hei"/>
        <family val="2"/>
      </rPr>
      <t>災害住宅・災害再貸付</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</si>
  <si>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</si>
  <si>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!$B$152</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</si>
  <si>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</si>
  <si>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!$B$153</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</si>
  <si>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在宅介護対応住宅</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</si>
  <si>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</si>
  <si>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!$B$154</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</si>
  <si>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1</t>
    </r>
  </si>
  <si>
    <r>
      <rPr>
        <sz val="9"/>
        <color rgb="FF000000"/>
        <rFont val="WenQuanYi Zen Hei"/>
        <family val="2"/>
      </rPr>
      <t>計算過程</t>
    </r>
    <r>
      <rPr>
        <sz val="9"/>
        <color rgb="FF000000"/>
        <rFont val="ＭＳ 明朝"/>
        <family val="1"/>
        <charset val="128"/>
      </rPr>
      <t>!$B$140</t>
    </r>
  </si>
  <si>
    <r>
      <rPr>
        <sz val="9"/>
        <color rgb="FF000000"/>
        <rFont val="WenQuanYi Zen Hei"/>
        <family val="2"/>
      </rPr>
      <t>ボーナス条件</t>
    </r>
    <r>
      <rPr>
        <sz val="9"/>
        <color rgb="FF000000"/>
        <rFont val="ＭＳ 明朝"/>
        <family val="1"/>
        <charset val="128"/>
      </rPr>
      <t>1:</t>
    </r>
    <r>
      <rPr>
        <sz val="9"/>
        <color rgb="FF000000"/>
        <rFont val="WenQuanYi Zen Hei"/>
        <family val="2"/>
      </rPr>
      <t>住宅系の貸付</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</si>
  <si>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2</t>
    </r>
  </si>
  <si>
    <r>
      <rPr>
        <sz val="9"/>
        <color rgb="FF000000"/>
        <rFont val="WenQuanYi Zen Hei"/>
        <family val="2"/>
      </rPr>
      <t>計算過程</t>
    </r>
    <r>
      <rPr>
        <sz val="9"/>
        <color rgb="FF000000"/>
        <rFont val="ＭＳ 明朝"/>
        <family val="1"/>
        <charset val="128"/>
      </rPr>
      <t>!$B$141</t>
    </r>
  </si>
  <si>
    <r>
      <rPr>
        <sz val="9"/>
        <color rgb="FF000000"/>
        <rFont val="WenQuanYi Zen Hei"/>
        <family val="2"/>
      </rPr>
      <t>ボーナス条件</t>
    </r>
    <r>
      <rPr>
        <sz val="9"/>
        <color rgb="FF000000"/>
        <rFont val="ＭＳ 明朝"/>
        <family val="1"/>
        <charset val="128"/>
      </rPr>
      <t>2:</t>
    </r>
    <r>
      <rPr>
        <sz val="9"/>
        <color rgb="FF000000"/>
        <rFont val="WenQuanYi Zen Hei"/>
        <family val="2"/>
      </rPr>
      <t>申込額が下限以上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</si>
  <si>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3</t>
    </r>
  </si>
  <si>
    <r>
      <rPr>
        <sz val="9"/>
        <color rgb="FF000000"/>
        <rFont val="WenQuanYi Zen Hei"/>
        <family val="2"/>
      </rPr>
      <t>計算過程</t>
    </r>
    <r>
      <rPr>
        <sz val="9"/>
        <color rgb="FF000000"/>
        <rFont val="ＭＳ 明朝"/>
        <family val="1"/>
        <charset val="128"/>
      </rPr>
      <t>!$B$142</t>
    </r>
  </si>
  <si>
    <r>
      <rPr>
        <sz val="9"/>
        <color rgb="FF000000"/>
        <rFont val="WenQuanYi Zen Hei"/>
        <family val="2"/>
      </rPr>
      <t>ボーナス条件</t>
    </r>
    <r>
      <rPr>
        <sz val="9"/>
        <color rgb="FF000000"/>
        <rFont val="ＭＳ 明朝"/>
        <family val="1"/>
        <charset val="128"/>
      </rPr>
      <t>3:</t>
    </r>
    <r>
      <rPr>
        <sz val="9"/>
        <color rgb="FF000000"/>
        <rFont val="WenQuanYi Zen Hei"/>
        <family val="2"/>
      </rPr>
      <t>賞与分が下限以上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</si>
  <si>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4</t>
    </r>
  </si>
  <si>
    <r>
      <rPr>
        <sz val="9"/>
        <color rgb="FF000000"/>
        <rFont val="WenQuanYi Zen Hei"/>
        <family val="2"/>
      </rPr>
      <t>計算過程</t>
    </r>
    <r>
      <rPr>
        <sz val="9"/>
        <color rgb="FF000000"/>
        <rFont val="ＭＳ 明朝"/>
        <family val="1"/>
        <charset val="128"/>
      </rPr>
      <t>!$B$143</t>
    </r>
  </si>
  <si>
    <r>
      <rPr>
        <sz val="9"/>
        <color rgb="FF000000"/>
        <rFont val="WenQuanYi Zen Hei"/>
        <family val="2"/>
      </rPr>
      <t>ボーナス条件</t>
    </r>
    <r>
      <rPr>
        <sz val="9"/>
        <color rgb="FF000000"/>
        <rFont val="ＭＳ 明朝"/>
        <family val="1"/>
        <charset val="128"/>
      </rPr>
      <t>4:</t>
    </r>
    <r>
      <rPr>
        <sz val="9"/>
        <color rgb="FF000000"/>
        <rFont val="WenQuanYi Zen Hei"/>
        <family val="2"/>
      </rPr>
      <t>賞与分が貸付額の</t>
    </r>
    <r>
      <rPr>
        <sz val="9"/>
        <color rgb="FF000000"/>
        <rFont val="ＭＳ 明朝"/>
        <family val="1"/>
        <charset val="128"/>
      </rPr>
      <t>1/2</t>
    </r>
    <r>
      <rPr>
        <sz val="9"/>
        <color rgb="FF000000"/>
        <rFont val="WenQuanYi Zen Hei"/>
        <family val="2"/>
      </rPr>
      <t>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</si>
  <si>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5</t>
    </r>
  </si>
  <si>
    <r>
      <rPr>
        <sz val="9"/>
        <color rgb="FF000000"/>
        <rFont val="WenQuanYi Zen Hei"/>
        <family val="2"/>
      </rPr>
      <t>計算過程</t>
    </r>
    <r>
      <rPr>
        <sz val="9"/>
        <color rgb="FF000000"/>
        <rFont val="ＭＳ 明朝"/>
        <family val="1"/>
        <charset val="128"/>
      </rPr>
      <t>!$B$144</t>
    </r>
  </si>
  <si>
    <r>
      <rPr>
        <sz val="9"/>
        <color rgb="FF000000"/>
        <rFont val="WenQuanYi Zen Hei"/>
        <family val="2"/>
      </rPr>
      <t>ボーナス条件</t>
    </r>
    <r>
      <rPr>
        <sz val="9"/>
        <color rgb="FF000000"/>
        <rFont val="ＭＳ 明朝"/>
        <family val="1"/>
        <charset val="128"/>
      </rPr>
      <t>5:</t>
    </r>
    <r>
      <rPr>
        <sz val="9"/>
        <color rgb="FF000000"/>
        <rFont val="WenQuanYi Zen Hei"/>
        <family val="2"/>
      </rPr>
      <t>賞与分が単位どおり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</si>
  <si>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6</t>
    </r>
  </si>
  <si>
    <r>
      <rPr>
        <sz val="9"/>
        <color rgb="FF000000"/>
        <rFont val="WenQuanYi Zen Hei"/>
        <family val="2"/>
      </rPr>
      <t>計算過程</t>
    </r>
    <r>
      <rPr>
        <sz val="9"/>
        <color rgb="FF000000"/>
        <rFont val="ＭＳ 明朝"/>
        <family val="1"/>
        <charset val="128"/>
      </rPr>
      <t>!$B$145</t>
    </r>
  </si>
  <si>
    <r>
      <rPr>
        <sz val="9"/>
        <color rgb="FF000000"/>
        <rFont val="WenQuanYi Zen Hei"/>
        <family val="2"/>
      </rPr>
      <t>ボーナス条件</t>
    </r>
    <r>
      <rPr>
        <sz val="9"/>
        <color rgb="FF000000"/>
        <rFont val="ＭＳ 明朝"/>
        <family val="1"/>
        <charset val="128"/>
      </rPr>
      <t>6:</t>
    </r>
    <r>
      <rPr>
        <sz val="9"/>
        <color rgb="FF000000"/>
        <rFont val="WenQuanYi Zen Hei"/>
        <family val="2"/>
      </rPr>
      <t>賞与回数が</t>
    </r>
    <r>
      <rPr>
        <sz val="9"/>
        <color rgb="FF000000"/>
        <rFont val="ＭＳ 明朝"/>
        <family val="1"/>
        <charset val="128"/>
      </rPr>
      <t>1</t>
    </r>
    <r>
      <rPr>
        <sz val="9"/>
        <color rgb="FF000000"/>
        <rFont val="WenQuanYi Zen Hei"/>
        <family val="2"/>
      </rPr>
      <t>回以上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</si>
  <si>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7</t>
    </r>
  </si>
  <si>
    <r>
      <rPr>
        <sz val="9"/>
        <color rgb="FF000000"/>
        <rFont val="WenQuanYi Zen Hei"/>
        <family val="2"/>
      </rPr>
      <t>計算過程</t>
    </r>
    <r>
      <rPr>
        <sz val="9"/>
        <color rgb="FF000000"/>
        <rFont val="ＭＳ 明朝"/>
        <family val="1"/>
        <charset val="128"/>
      </rPr>
      <t>!$B$146</t>
    </r>
  </si>
  <si>
    <r>
      <rPr>
        <sz val="9"/>
        <color rgb="FF000000"/>
        <rFont val="WenQuanYi Zen Hei"/>
        <family val="2"/>
      </rPr>
      <t>ボーナス条件</t>
    </r>
    <r>
      <rPr>
        <sz val="9"/>
        <color rgb="FF000000"/>
        <rFont val="ＭＳ 明朝"/>
        <family val="1"/>
        <charset val="128"/>
      </rPr>
      <t>7:</t>
    </r>
    <r>
      <rPr>
        <sz val="9"/>
        <color rgb="FF000000"/>
        <rFont val="WenQuanYi Zen Hei"/>
        <family val="2"/>
      </rPr>
      <t>賞与回数が上限以内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</si>
  <si>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8</t>
    </r>
  </si>
  <si>
    <r>
      <rPr>
        <sz val="9"/>
        <color rgb="FF000000"/>
        <rFont val="WenQuanYi Zen Hei"/>
        <family val="2"/>
      </rPr>
      <t>計算過程</t>
    </r>
    <r>
      <rPr>
        <sz val="9"/>
        <color rgb="FF000000"/>
        <rFont val="ＭＳ 明朝"/>
        <family val="1"/>
        <charset val="128"/>
      </rPr>
      <t>!$B$147</t>
    </r>
  </si>
  <si>
    <r>
      <rPr>
        <sz val="9"/>
        <color rgb="FF000000"/>
        <rFont val="WenQuanYi Zen Hei"/>
        <family val="2"/>
      </rPr>
      <t>ボーナス条件</t>
    </r>
    <r>
      <rPr>
        <sz val="9"/>
        <color rgb="FF000000"/>
        <rFont val="ＭＳ 明朝"/>
        <family val="1"/>
        <charset val="128"/>
      </rPr>
      <t>8:</t>
    </r>
    <r>
      <rPr>
        <sz val="9"/>
        <color rgb="FF000000"/>
        <rFont val="WenQuanYi Zen Hei"/>
        <family val="2"/>
      </rPr>
      <t>賞与の期間が毎月償還の期間以内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</si>
  <si>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9</t>
    </r>
  </si>
  <si>
    <r>
      <rPr>
        <sz val="9"/>
        <color rgb="FF000000"/>
        <rFont val="WenQuanYi Zen Hei"/>
        <family val="2"/>
      </rPr>
      <t>計算過程</t>
    </r>
    <r>
      <rPr>
        <sz val="9"/>
        <color rgb="FF000000"/>
        <rFont val="ＭＳ 明朝"/>
        <family val="1"/>
        <charset val="128"/>
      </rPr>
      <t>!$B$148</t>
    </r>
  </si>
  <si>
    <r>
      <rPr>
        <sz val="9"/>
        <color rgb="FF000000"/>
        <rFont val="WenQuanYi Zen Hei"/>
        <family val="2"/>
      </rPr>
      <t>ボーナス条件</t>
    </r>
    <r>
      <rPr>
        <sz val="9"/>
        <color rgb="FF000000"/>
        <rFont val="ＭＳ 明朝"/>
        <family val="1"/>
        <charset val="128"/>
      </rPr>
      <t>9:1</t>
    </r>
    <r>
      <rPr>
        <sz val="9"/>
        <color rgb="FF000000"/>
        <rFont val="WenQuanYi Zen Hei"/>
        <family val="2"/>
      </rPr>
      <t>回の賞与額が給料月額以内</t>
    </r>
  </si>
  <si>
    <r>
      <rPr>
        <sz val="9"/>
        <color rgb="FF000000"/>
        <rFont val="WenQuanYi Zen Hei"/>
        <family val="2"/>
      </rPr>
      <t>設定</t>
    </r>
    <r>
      <rPr>
        <sz val="9"/>
        <color rgb="FF000000"/>
        <rFont val="ＭＳ 明朝"/>
        <family val="1"/>
        <charset val="128"/>
      </rPr>
      <t>_</t>
    </r>
    <r>
      <rPr>
        <sz val="9"/>
        <color rgb="FF000000"/>
        <rFont val="WenQuanYi Zen Hei"/>
        <family val="2"/>
      </rPr>
      <t>利率適用日</t>
    </r>
  </si>
  <si>
    <r>
      <rPr>
        <sz val="9"/>
        <color rgb="FF000000"/>
        <rFont val="WenQuanYi Zen Hei"/>
        <family val="2"/>
      </rPr>
      <t>マスタ</t>
    </r>
    <r>
      <rPr>
        <sz val="9"/>
        <color rgb="FF000000"/>
        <rFont val="ＭＳ 明朝"/>
        <family val="1"/>
        <charset val="128"/>
      </rPr>
      <t>!$I$4</t>
    </r>
  </si>
  <si>
    <r>
      <rPr>
        <sz val="9"/>
        <color rgb="FF000000"/>
        <rFont val="WenQuanYi Zen Hei"/>
        <family val="2"/>
      </rPr>
      <t>設定</t>
    </r>
    <r>
      <rPr>
        <sz val="9"/>
        <color rgb="FF000000"/>
        <rFont val="ＭＳ 明朝"/>
        <family val="1"/>
        <charset val="128"/>
      </rPr>
      <t>_</t>
    </r>
    <r>
      <rPr>
        <sz val="9"/>
        <color rgb="FF000000"/>
        <rFont val="WenQuanYi Zen Hei"/>
        <family val="2"/>
      </rPr>
      <t>利息端数方式</t>
    </r>
  </si>
  <si>
    <r>
      <rPr>
        <sz val="9"/>
        <color rgb="FF000000"/>
        <rFont val="WenQuanYi Zen Hei"/>
        <family val="2"/>
      </rPr>
      <t>マスタ</t>
    </r>
    <r>
      <rPr>
        <sz val="9"/>
        <color rgb="FF000000"/>
        <rFont val="ＭＳ 明朝"/>
        <family val="1"/>
        <charset val="128"/>
      </rPr>
      <t>!$I$5</t>
    </r>
  </si>
  <si>
    <r>
      <rPr>
        <sz val="9"/>
        <color rgb="FF000000"/>
        <rFont val="WenQuanYi Zen Hei"/>
        <family val="2"/>
      </rPr>
      <t>設定</t>
    </r>
    <r>
      <rPr>
        <sz val="9"/>
        <color rgb="FF000000"/>
        <rFont val="ＭＳ 明朝"/>
        <family val="1"/>
        <charset val="128"/>
      </rPr>
      <t>_</t>
    </r>
    <r>
      <rPr>
        <sz val="9"/>
        <color rgb="FF000000"/>
        <rFont val="WenQuanYi Zen Hei"/>
        <family val="2"/>
      </rPr>
      <t>月額端数方式</t>
    </r>
  </si>
  <si>
    <r>
      <rPr>
        <sz val="9"/>
        <color rgb="FF000000"/>
        <rFont val="WenQuanYi Zen Hei"/>
        <family val="2"/>
      </rPr>
      <t>マスタ</t>
    </r>
    <r>
      <rPr>
        <sz val="9"/>
        <color rgb="FF000000"/>
        <rFont val="ＭＳ 明朝"/>
        <family val="1"/>
        <charset val="128"/>
      </rPr>
      <t>!$I$6</t>
    </r>
  </si>
  <si>
    <r>
      <rPr>
        <sz val="9"/>
        <color rgb="FF000000"/>
        <rFont val="WenQuanYi Zen Hei"/>
        <family val="2"/>
      </rPr>
      <t>計算</t>
    </r>
    <r>
      <rPr>
        <sz val="9"/>
        <color rgb="FF000000"/>
        <rFont val="ＭＳ 明朝"/>
        <family val="1"/>
        <charset val="128"/>
      </rPr>
      <t>_</t>
    </r>
    <r>
      <rPr>
        <sz val="9"/>
        <color rgb="FF000000"/>
        <rFont val="WenQuanYi Zen Hei"/>
        <family val="2"/>
      </rPr>
      <t>利息端数番号</t>
    </r>
  </si>
  <si>
    <r>
      <rPr>
        <sz val="9"/>
        <color rgb="FF000000"/>
        <rFont val="WenQuanYi Zen Hei"/>
        <family val="2"/>
      </rPr>
      <t>計算過程</t>
    </r>
    <r>
      <rPr>
        <sz val="9"/>
        <color rgb="FF000000"/>
        <rFont val="ＭＳ 明朝"/>
        <family val="1"/>
        <charset val="128"/>
      </rPr>
      <t>!$B$72</t>
    </r>
  </si>
  <si>
    <t>利息の端数処理の番号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</si>
  <si>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月額端数番号</t>
    </r>
  </si>
  <si>
    <r>
      <rPr>
        <sz val="9"/>
        <color rgb="FF000000"/>
        <rFont val="WenQuanYi Zen Hei"/>
        <family val="2"/>
      </rPr>
      <t>計算過程</t>
    </r>
    <r>
      <rPr>
        <sz val="9"/>
        <color rgb="FF000000"/>
        <rFont val="ＭＳ 明朝"/>
        <family val="1"/>
        <charset val="128"/>
      </rPr>
      <t>!$B$73</t>
    </r>
  </si>
  <si>
    <t>毎月償還額の端数処理の番号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</si>
  <si>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基本整数</t>
    </r>
  </si>
  <si>
    <r>
      <rPr>
        <sz val="9"/>
        <color rgb="FF000000"/>
        <rFont val="WenQuanYi Zen Hei"/>
        <family val="2"/>
      </rPr>
      <t>計算過程</t>
    </r>
    <r>
      <rPr>
        <sz val="9"/>
        <color rgb="FF000000"/>
        <rFont val="ＭＳ 明朝"/>
        <family val="1"/>
        <charset val="128"/>
      </rPr>
      <t>!$B$76</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</si>
  <si>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基本部分・円未満処理後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</si>
  <si>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在宅介護整数</t>
    </r>
  </si>
  <si>
    <r>
      <rPr>
        <sz val="9"/>
        <color rgb="FF000000"/>
        <rFont val="WenQuanYi Zen Hei"/>
        <family val="2"/>
      </rPr>
      <t>計算過程</t>
    </r>
    <r>
      <rPr>
        <sz val="9"/>
        <color rgb="FF000000"/>
        <rFont val="ＭＳ 明朝"/>
        <family val="1"/>
        <charset val="128"/>
      </rPr>
      <t>!$B$77</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</si>
  <si>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在宅介護部分・円未満処理後</t>
    </r>
    <r>
      <rPr>
        <sz val="9"/>
        <color rgb="FF000000"/>
        <rFont val="ＭＳ 明朝"/>
        <family val="1"/>
        <charset val="128"/>
      </rPr>
      <t>)</t>
    </r>
  </si>
  <si>
    <t>マスタ</t>
  </si>
  <si>
    <r>
      <rPr>
        <i/>
        <sz val="10"/>
        <color rgb="FF595959"/>
        <rFont val="WenQuanYi Zen Hei"/>
        <family val="2"/>
      </rPr>
      <t>出典</t>
    </r>
    <r>
      <rPr>
        <i/>
        <sz val="10"/>
        <color rgb="FF595959"/>
        <rFont val="ＭＳ 明朝"/>
        <family val="1"/>
        <charset val="128"/>
      </rPr>
      <t>:</t>
    </r>
    <r>
      <rPr>
        <i/>
        <sz val="10"/>
        <color rgb="FF595959"/>
        <rFont val="WenQuanYi Zen Hei"/>
        <family val="2"/>
      </rPr>
      <t>広島市職員共済組合ハンドブック</t>
    </r>
    <r>
      <rPr>
        <i/>
        <sz val="10"/>
        <color rgb="FF595959"/>
        <rFont val="ＭＳ 明朝"/>
        <family val="1"/>
        <charset val="128"/>
      </rPr>
      <t>(</t>
    </r>
    <r>
      <rPr>
        <i/>
        <sz val="10"/>
        <color rgb="FF595959"/>
        <rFont val="WenQuanYi Zen Hei"/>
        <family val="2"/>
      </rPr>
      <t>令和</t>
    </r>
    <r>
      <rPr>
        <i/>
        <sz val="10"/>
        <color rgb="FF595959"/>
        <rFont val="ＭＳ 明朝"/>
        <family val="1"/>
        <charset val="128"/>
      </rPr>
      <t>8</t>
    </r>
    <r>
      <rPr>
        <i/>
        <sz val="10"/>
        <color rgb="FF595959"/>
        <rFont val="WenQuanYi Zen Hei"/>
        <family val="2"/>
      </rPr>
      <t>年度改訂版</t>
    </r>
    <r>
      <rPr>
        <i/>
        <sz val="10"/>
        <color rgb="FF595959"/>
        <rFont val="ＭＳ 明朝"/>
        <family val="1"/>
        <charset val="128"/>
      </rPr>
      <t>)40</t>
    </r>
    <r>
      <rPr>
        <i/>
        <sz val="10"/>
        <color rgb="FF595959"/>
        <rFont val="WenQuanYi Zen Hei"/>
        <family val="2"/>
      </rPr>
      <t>〜</t>
    </r>
    <r>
      <rPr>
        <i/>
        <sz val="10"/>
        <color rgb="FF595959"/>
        <rFont val="ＭＳ 明朝"/>
        <family val="1"/>
        <charset val="128"/>
      </rPr>
      <t>45</t>
    </r>
    <r>
      <rPr>
        <i/>
        <sz val="10"/>
        <color rgb="FF595959"/>
        <rFont val="WenQuanYi Zen Hei"/>
        <family val="2"/>
      </rPr>
      <t>ページ、貸付金借用証書、借入状況等申告書。利率等の改定はこのシートを修正する。</t>
    </r>
  </si>
  <si>
    <r>
      <rPr>
        <b/>
        <sz val="10"/>
        <color rgb="FF000000"/>
        <rFont val="ＭＳ 明朝"/>
        <family val="1"/>
        <charset val="128"/>
      </rPr>
      <t xml:space="preserve">1. </t>
    </r>
    <r>
      <rPr>
        <b/>
        <sz val="10"/>
        <color rgb="FF000000"/>
        <rFont val="WenQuanYi Zen Hei"/>
        <family val="2"/>
      </rPr>
      <t>利率・基準値</t>
    </r>
    <r>
      <rPr>
        <b/>
        <sz val="10"/>
        <color rgb="FF000000"/>
        <rFont val="ＭＳ 明朝"/>
        <family val="1"/>
        <charset val="128"/>
      </rPr>
      <t>(</t>
    </r>
    <r>
      <rPr>
        <b/>
        <sz val="10"/>
        <color rgb="FF000000"/>
        <rFont val="WenQuanYi Zen Hei"/>
        <family val="2"/>
      </rPr>
      <t>令和</t>
    </r>
    <r>
      <rPr>
        <b/>
        <sz val="10"/>
        <color rgb="FF000000"/>
        <rFont val="ＭＳ 明朝"/>
        <family val="1"/>
        <charset val="128"/>
      </rPr>
      <t>8</t>
    </r>
    <r>
      <rPr>
        <b/>
        <sz val="10"/>
        <color rgb="FF000000"/>
        <rFont val="WenQuanYi Zen Hei"/>
        <family val="2"/>
      </rPr>
      <t>年</t>
    </r>
    <r>
      <rPr>
        <b/>
        <sz val="10"/>
        <color rgb="FF000000"/>
        <rFont val="ＭＳ 明朝"/>
        <family val="1"/>
        <charset val="128"/>
      </rPr>
      <t>4</t>
    </r>
    <r>
      <rPr>
        <b/>
        <sz val="10"/>
        <color rgb="FF000000"/>
        <rFont val="WenQuanYi Zen Hei"/>
        <family val="2"/>
      </rPr>
      <t>月</t>
    </r>
    <r>
      <rPr>
        <b/>
        <sz val="10"/>
        <color rgb="FF000000"/>
        <rFont val="ＭＳ 明朝"/>
        <family val="1"/>
        <charset val="128"/>
      </rPr>
      <t>1</t>
    </r>
    <r>
      <rPr>
        <b/>
        <sz val="10"/>
        <color rgb="FF000000"/>
        <rFont val="WenQuanYi Zen Hei"/>
        <family val="2"/>
      </rPr>
      <t>日現在</t>
    </r>
    <r>
      <rPr>
        <b/>
        <sz val="10"/>
        <color rgb="FF000000"/>
        <rFont val="ＭＳ 明朝"/>
        <family val="1"/>
        <charset val="128"/>
      </rPr>
      <t>)</t>
    </r>
  </si>
  <si>
    <r>
      <rPr>
        <b/>
        <sz val="10"/>
        <color rgb="FF000000"/>
        <rFont val="ＭＳ 明朝"/>
        <family val="1"/>
        <charset val="128"/>
      </rPr>
      <t xml:space="preserve">1b. </t>
    </r>
    <r>
      <rPr>
        <b/>
        <sz val="10"/>
        <color rgb="FF000000"/>
        <rFont val="WenQuanYi Zen Hei"/>
        <family val="2"/>
      </rPr>
      <t>償還額の計算ルール</t>
    </r>
    <r>
      <rPr>
        <b/>
        <sz val="10"/>
        <color rgb="FF000000"/>
        <rFont val="ＭＳ 明朝"/>
        <family val="1"/>
        <charset val="128"/>
      </rPr>
      <t>(</t>
    </r>
    <r>
      <rPr>
        <b/>
        <sz val="10"/>
        <color rgb="FF000000"/>
        <rFont val="WenQuanYi Zen Hei"/>
        <family val="2"/>
      </rPr>
      <t>利率の表示・端数処理</t>
    </r>
    <r>
      <rPr>
        <b/>
        <sz val="10"/>
        <color rgb="FF000000"/>
        <rFont val="ＭＳ 明朝"/>
        <family val="1"/>
        <charset val="128"/>
      </rPr>
      <t>)</t>
    </r>
  </si>
  <si>
    <r>
      <rPr>
        <sz val="10"/>
        <color rgb="FF000000"/>
        <rFont val="WenQuanYi Zen Hei"/>
        <family val="2"/>
      </rPr>
      <t>普通貸付・特別貸付の利率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</si>
  <si>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p.41 </t>
    </r>
    <r>
      <rPr>
        <i/>
        <sz val="10"/>
        <color rgb="FF595959"/>
        <rFont val="WenQuanYi Zen Hei"/>
        <family val="2"/>
      </rPr>
      <t>変動利率</t>
    </r>
  </si>
  <si>
    <r>
      <rPr>
        <sz val="10"/>
        <color rgb="FF000000"/>
        <rFont val="WenQuanYi Zen Hei"/>
        <family val="2"/>
      </rPr>
      <t>利率の適用日</t>
    </r>
    <r>
      <rPr>
        <sz val="10"/>
        <color rgb="FF000000"/>
        <rFont val="ＭＳ 明朝"/>
        <family val="1"/>
        <charset val="128"/>
      </rPr>
      <t>(</t>
    </r>
    <r>
      <rPr>
        <sz val="10"/>
        <color rgb="FF000000"/>
        <rFont val="WenQuanYi Zen Hei"/>
        <family val="2"/>
      </rPr>
      <t>画面・使い方の表示用</t>
    </r>
    <r>
      <rPr>
        <sz val="10"/>
        <color rgb="FF000000"/>
        <rFont val="ＭＳ 明朝"/>
        <family val="1"/>
        <charset val="128"/>
      </rPr>
      <t>)</t>
    </r>
  </si>
  <si>
    <r>
      <rPr>
        <sz val="10"/>
        <color rgb="FF0000FF"/>
        <rFont val="WenQuanYi Zen Hei"/>
        <family val="2"/>
      </rPr>
      <t>令和</t>
    </r>
    <r>
      <rPr>
        <sz val="10"/>
        <color rgb="FF0000FF"/>
        <rFont val="ＭＳ 明朝"/>
        <family val="1"/>
        <charset val="128"/>
      </rPr>
      <t>8</t>
    </r>
    <r>
      <rPr>
        <sz val="10"/>
        <color rgb="FF0000FF"/>
        <rFont val="WenQuanYi Zen Hei"/>
        <family val="2"/>
      </rPr>
      <t>年</t>
    </r>
    <r>
      <rPr>
        <sz val="10"/>
        <color rgb="FF0000FF"/>
        <rFont val="ＭＳ 明朝"/>
        <family val="1"/>
        <charset val="128"/>
      </rPr>
      <t>4</t>
    </r>
    <r>
      <rPr>
        <sz val="10"/>
        <color rgb="FF0000FF"/>
        <rFont val="WenQuanYi Zen Hei"/>
        <family val="2"/>
      </rPr>
      <t>月</t>
    </r>
    <r>
      <rPr>
        <sz val="10"/>
        <color rgb="FF0000FF"/>
        <rFont val="ＭＳ 明朝"/>
        <family val="1"/>
        <charset val="128"/>
      </rPr>
      <t>1</t>
    </r>
    <r>
      <rPr>
        <sz val="10"/>
        <color rgb="FF0000FF"/>
        <rFont val="WenQuanYi Zen Hei"/>
        <family val="2"/>
      </rPr>
      <t>日現在</t>
    </r>
  </si>
  <si>
    <t>利率を改定したら、この文を新しい適用日に直す</t>
  </si>
  <si>
    <r>
      <rPr>
        <sz val="10"/>
        <color rgb="FF000000"/>
        <rFont val="WenQuanYi Zen Hei"/>
        <family val="2"/>
      </rPr>
      <t>住宅貸付の利率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</si>
  <si>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p.42 </t>
    </r>
    <r>
      <rPr>
        <i/>
        <sz val="10"/>
        <color rgb="FF595959"/>
        <rFont val="WenQuanYi Zen Hei"/>
        <family val="2"/>
      </rPr>
      <t>変動利率</t>
    </r>
  </si>
  <si>
    <t>利息の端数処理</t>
  </si>
  <si>
    <t>四捨五入</t>
  </si>
  <si>
    <r>
      <rPr>
        <i/>
        <sz val="10"/>
        <color rgb="FF595959"/>
        <rFont val="WenQuanYi Zen Hei"/>
        <family val="2"/>
      </rPr>
      <t>毎月の利息</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</si>
  <si>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災害貸付の利率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</si>
  <si>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p.45 </t>
    </r>
    <r>
      <rPr>
        <i/>
        <sz val="10"/>
        <color rgb="FF595959"/>
        <rFont val="WenQuanYi Zen Hei"/>
        <family val="2"/>
      </rPr>
      <t>変動利率</t>
    </r>
  </si>
  <si>
    <t>毎月償還額の端数処理</t>
  </si>
  <si>
    <r>
      <rPr>
        <i/>
        <sz val="10"/>
        <color rgb="FF595959"/>
        <rFont val="WenQuanYi Zen Hei"/>
        <family val="2"/>
      </rPr>
      <t>毎月償還額</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</si>
  <si>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在宅介護対応住宅</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の利率差</t>
    </r>
  </si>
  <si>
    <r>
      <rPr>
        <i/>
        <sz val="10"/>
        <color rgb="FF595959"/>
        <rFont val="WenQuanYi Zen Hei"/>
        <family val="2"/>
      </rPr>
      <t>住宅貸付の利率より年</t>
    </r>
    <r>
      <rPr>
        <i/>
        <sz val="10"/>
        <color rgb="FF595959"/>
        <rFont val="ＭＳ 明朝"/>
        <family val="1"/>
        <charset val="128"/>
      </rPr>
      <t>0.26%</t>
    </r>
    <r>
      <rPr>
        <i/>
        <sz val="10"/>
        <color rgb="FF595959"/>
        <rFont val="WenQuanYi Zen Hei"/>
        <family val="2"/>
      </rPr>
      <t>低い</t>
    </r>
    <r>
      <rPr>
        <i/>
        <sz val="10"/>
        <color rgb="FF595959"/>
        <rFont val="ＭＳ 明朝"/>
        <family val="1"/>
        <charset val="128"/>
      </rPr>
      <t>(</t>
    </r>
    <r>
      <rPr>
        <i/>
        <sz val="10"/>
        <color rgb="FF595959"/>
        <rFont val="WenQuanYi Zen Hei"/>
        <family val="2"/>
      </rPr>
      <t>借用証書では年</t>
    </r>
    <r>
      <rPr>
        <i/>
        <sz val="10"/>
        <color rgb="FF595959"/>
        <rFont val="ＭＳ 明朝"/>
        <family val="1"/>
        <charset val="128"/>
      </rPr>
      <t>1.00%)</t>
    </r>
  </si>
  <si>
    <r>
      <rPr>
        <sz val="10"/>
        <color rgb="FF000000"/>
        <rFont val="WenQuanYi Zen Hei"/>
        <family val="2"/>
      </rPr>
      <t>償還額割合の上限</t>
    </r>
    <r>
      <rPr>
        <sz val="10"/>
        <color rgb="FF000000"/>
        <rFont val="ＭＳ 明朝"/>
        <family val="1"/>
        <charset val="128"/>
      </rPr>
      <t>(</t>
    </r>
    <r>
      <rPr>
        <sz val="10"/>
        <color rgb="FF000000"/>
        <rFont val="WenQuanYi Zen Hei"/>
        <family val="2"/>
      </rPr>
      <t>給料月額・年収額</t>
    </r>
    <r>
      <rPr>
        <sz val="10"/>
        <color rgb="FF000000"/>
        <rFont val="ＭＳ 明朝"/>
        <family val="1"/>
        <charset val="128"/>
      </rPr>
      <t>)</t>
    </r>
  </si>
  <si>
    <r>
      <rPr>
        <i/>
        <sz val="10"/>
        <color rgb="FF595959"/>
        <rFont val="WenQuanYi Zen Hei"/>
        <family val="2"/>
      </rPr>
      <t>他の金融機関等を含む。</t>
    </r>
    <r>
      <rPr>
        <i/>
        <sz val="10"/>
        <color rgb="FF595959"/>
        <rFont val="ＭＳ 明朝"/>
        <family val="1"/>
        <charset val="128"/>
      </rPr>
      <t>30%</t>
    </r>
    <r>
      <rPr>
        <i/>
        <sz val="10"/>
        <color rgb="FF595959"/>
        <rFont val="WenQuanYi Zen Hei"/>
        <family val="2"/>
      </rPr>
      <t>超は貸付不可</t>
    </r>
  </si>
  <si>
    <t>年収額の算定に用いるボーナス月数</t>
  </si>
  <si>
    <r>
      <rPr>
        <i/>
        <sz val="10"/>
        <color rgb="FF595959"/>
        <rFont val="WenQuanYi Zen Hei"/>
        <family val="2"/>
      </rPr>
      <t>借入状況等申告書「｛Ｋ</t>
    </r>
    <r>
      <rPr>
        <i/>
        <sz val="10"/>
        <color rgb="FF595959"/>
        <rFont val="ＭＳ 明朝"/>
        <family val="1"/>
        <charset val="128"/>
      </rPr>
      <t>×12</t>
    </r>
    <r>
      <rPr>
        <i/>
        <sz val="10"/>
        <color rgb="FF595959"/>
        <rFont val="WenQuanYi Zen Hei"/>
        <family val="2"/>
      </rPr>
      <t>＋Ｋ</t>
    </r>
    <r>
      <rPr>
        <i/>
        <sz val="10"/>
        <color rgb="FF595959"/>
        <rFont val="ＭＳ 明朝"/>
        <family val="1"/>
        <charset val="128"/>
      </rPr>
      <t>×4</t>
    </r>
    <r>
      <rPr>
        <i/>
        <sz val="10"/>
        <color rgb="FF595959"/>
        <rFont val="WenQuanYi Zen Hei"/>
        <family val="2"/>
      </rPr>
      <t>｝」より</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</si>
  <si>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</si>
  <si>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全貸付共通</t>
    </r>
    <r>
      <rPr>
        <i/>
        <sz val="10"/>
        <color rgb="FF595959"/>
        <rFont val="ＭＳ 明朝"/>
        <family val="1"/>
        <charset val="128"/>
      </rPr>
      <t>(10</t>
    </r>
    <r>
      <rPr>
        <i/>
        <sz val="10"/>
        <color rgb="FF595959"/>
        <rFont val="WenQuanYi Zen Hei"/>
        <family val="2"/>
      </rPr>
      <t>万円以上</t>
    </r>
    <r>
      <rPr>
        <i/>
        <sz val="10"/>
        <color rgb="FF595959"/>
        <rFont val="ＭＳ 明朝"/>
        <family val="1"/>
        <charset val="128"/>
      </rPr>
      <t>)</t>
    </r>
  </si>
  <si>
    <r>
      <rPr>
        <sz val="10"/>
        <color rgb="FF000000"/>
        <rFont val="WenQuanYi Zen Hei"/>
        <family val="2"/>
      </rPr>
      <t>在宅介護対応住宅の加算限度額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</si>
  <si>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該当部分の金額に対し</t>
    </r>
    <r>
      <rPr>
        <i/>
        <sz val="10"/>
        <color rgb="FF595959"/>
        <rFont val="ＭＳ 明朝"/>
        <family val="1"/>
        <charset val="128"/>
      </rPr>
      <t>300</t>
    </r>
    <r>
      <rPr>
        <i/>
        <sz val="10"/>
        <color rgb="FF595959"/>
        <rFont val="WenQuanYi Zen Hei"/>
        <family val="2"/>
      </rPr>
      <t>万円を限度に加算</t>
    </r>
  </si>
  <si>
    <r>
      <rPr>
        <sz val="10"/>
        <color rgb="FF000000"/>
        <rFont val="WenQuanYi Zen Hei"/>
        <family val="2"/>
      </rPr>
      <t>ボーナス併用</t>
    </r>
    <r>
      <rPr>
        <sz val="10"/>
        <color rgb="FF000000"/>
        <rFont val="ＭＳ 明朝"/>
        <family val="1"/>
        <charset val="128"/>
      </rPr>
      <t>:</t>
    </r>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</si>
  <si>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申込金額が</t>
    </r>
    <r>
      <rPr>
        <i/>
        <sz val="10"/>
        <color rgb="FF595959"/>
        <rFont val="ＭＳ 明朝"/>
        <family val="1"/>
        <charset val="128"/>
      </rPr>
      <t>300</t>
    </r>
    <r>
      <rPr>
        <i/>
        <sz val="10"/>
        <color rgb="FF595959"/>
        <rFont val="WenQuanYi Zen Hei"/>
        <family val="2"/>
      </rPr>
      <t>万円以上の場合</t>
    </r>
  </si>
  <si>
    <r>
      <rPr>
        <sz val="10"/>
        <color rgb="FF000000"/>
        <rFont val="WenQuanYi Zen Hei"/>
        <family val="2"/>
      </rPr>
      <t>ボーナス償還分の下限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</si>
  <si>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100</t>
    </r>
    <r>
      <rPr>
        <i/>
        <sz val="10"/>
        <color rgb="FF595959"/>
        <rFont val="WenQuanYi Zen Hei"/>
        <family val="2"/>
      </rPr>
      <t>万円以上</t>
    </r>
  </si>
  <si>
    <r>
      <rPr>
        <sz val="10"/>
        <color rgb="FF000000"/>
        <rFont val="WenQuanYi Zen Hei"/>
        <family val="2"/>
      </rPr>
      <t>ボーナス償還分の上限</t>
    </r>
    <r>
      <rPr>
        <sz val="10"/>
        <color rgb="FF000000"/>
        <rFont val="ＭＳ 明朝"/>
        <family val="1"/>
        <charset val="128"/>
      </rPr>
      <t>(</t>
    </r>
    <r>
      <rPr>
        <sz val="10"/>
        <color rgb="FF000000"/>
        <rFont val="WenQuanYi Zen Hei"/>
        <family val="2"/>
      </rPr>
      <t>貸付金額に対する割合</t>
    </r>
    <r>
      <rPr>
        <sz val="10"/>
        <color rgb="FF000000"/>
        <rFont val="ＭＳ 明朝"/>
        <family val="1"/>
        <charset val="128"/>
      </rPr>
      <t>)</t>
    </r>
  </si>
  <si>
    <r>
      <rPr>
        <i/>
        <sz val="10"/>
        <color rgb="FF595959"/>
        <rFont val="WenQuanYi Zen Hei"/>
        <family val="2"/>
      </rPr>
      <t>貸付金額の</t>
    </r>
    <r>
      <rPr>
        <i/>
        <sz val="10"/>
        <color rgb="FF595959"/>
        <rFont val="ＭＳ 明朝"/>
        <family val="1"/>
        <charset val="128"/>
      </rPr>
      <t>1/2</t>
    </r>
    <r>
      <rPr>
        <i/>
        <sz val="10"/>
        <color rgb="FF595959"/>
        <rFont val="WenQuanYi Zen Hei"/>
        <family val="2"/>
      </rPr>
      <t>以内</t>
    </r>
  </si>
  <si>
    <r>
      <rPr>
        <sz val="10"/>
        <color rgb="FF000000"/>
        <rFont val="WenQuanYi Zen Hei"/>
        <family val="2"/>
      </rPr>
      <t>ボーナス償還分の単位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</si>
  <si>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t>
    </r>
  </si>
  <si>
    <r>
      <rPr>
        <sz val="10"/>
        <color rgb="FF000000"/>
        <rFont val="WenQuanYi Zen Hei"/>
        <family val="2"/>
      </rPr>
      <t>ボーナス償還回数の上限</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</si>
  <si>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10"/>
        <color rgb="FF595959"/>
        <rFont val="ＭＳ 明朝"/>
        <family val="1"/>
        <charset val="128"/>
      </rPr>
      <t>60</t>
    </r>
    <r>
      <rPr>
        <i/>
        <sz val="10"/>
        <color rgb="FF595959"/>
        <rFont val="WenQuanYi Zen Hei"/>
        <family val="2"/>
      </rPr>
      <t>回以内</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</si>
  <si>
    <r>
      <rPr>
        <sz val="10"/>
        <color rgb="FF000000"/>
        <rFont val="WenQuanYi Zen Hei"/>
        <family val="2"/>
      </rPr>
      <t>住宅貸付の借受に必要な組合員期間</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</si>
  <si>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組合員期間</t>
    </r>
    <r>
      <rPr>
        <i/>
        <sz val="10"/>
        <color rgb="FF595959"/>
        <rFont val="ＭＳ 明朝"/>
        <family val="1"/>
        <charset val="128"/>
      </rPr>
      <t>1</t>
    </r>
    <r>
      <rPr>
        <i/>
        <sz val="10"/>
        <color rgb="FF595959"/>
        <rFont val="WenQuanYi Zen Hei"/>
        <family val="2"/>
      </rPr>
      <t>年以上</t>
    </r>
    <r>
      <rPr>
        <i/>
        <sz val="10"/>
        <color rgb="FF595959"/>
        <rFont val="ＭＳ 明朝"/>
        <family val="1"/>
        <charset val="128"/>
      </rPr>
      <t>(</t>
    </r>
    <r>
      <rPr>
        <i/>
        <sz val="10"/>
        <color rgb="FF595959"/>
        <rFont val="WenQuanYi Zen Hei"/>
        <family val="2"/>
      </rPr>
      <t>災害住宅貸付は</t>
    </r>
    <r>
      <rPr>
        <i/>
        <sz val="10"/>
        <color rgb="FF595959"/>
        <rFont val="ＭＳ 明朝"/>
        <family val="1"/>
        <charset val="128"/>
      </rPr>
      <t>1</t>
    </r>
    <r>
      <rPr>
        <i/>
        <sz val="10"/>
        <color rgb="FF595959"/>
        <rFont val="WenQuanYi Zen Hei"/>
        <family val="2"/>
      </rPr>
      <t>年未満も可</t>
    </r>
    <r>
      <rPr>
        <i/>
        <sz val="10"/>
        <color rgb="FF595959"/>
        <rFont val="ＭＳ 明朝"/>
        <family val="1"/>
        <charset val="128"/>
      </rPr>
      <t>)</t>
    </r>
  </si>
  <si>
    <r>
      <rPr>
        <sz val="10"/>
        <color rgb="FF000000"/>
        <rFont val="WenQuanYi Zen Hei"/>
        <family val="2"/>
      </rPr>
      <t>修学貸付</t>
    </r>
    <r>
      <rPr>
        <sz val="10"/>
        <color rgb="FF000000"/>
        <rFont val="ＭＳ 明朝"/>
        <family val="1"/>
        <charset val="128"/>
      </rPr>
      <t>:1</t>
    </r>
    <r>
      <rPr>
        <sz val="10"/>
        <color rgb="FF000000"/>
        <rFont val="WenQuanYi Zen Hei"/>
        <family val="2"/>
      </rPr>
      <t>か月あたりの貸付額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</si>
  <si>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t>
    </r>
    <r>
      <rPr>
        <i/>
        <sz val="10"/>
        <color rgb="FF595959"/>
        <rFont val="WenQuanYi Zen Hei"/>
        <family val="2"/>
      </rPr>
      <t>か月につき</t>
    </r>
    <r>
      <rPr>
        <i/>
        <sz val="10"/>
        <color rgb="FF595959"/>
        <rFont val="ＭＳ 明朝"/>
        <family val="1"/>
        <charset val="128"/>
      </rPr>
      <t>15</t>
    </r>
    <r>
      <rPr>
        <i/>
        <sz val="10"/>
        <color rgb="FF595959"/>
        <rFont val="WenQuanYi Zen Hei"/>
        <family val="2"/>
      </rPr>
      <t>万円</t>
    </r>
    <r>
      <rPr>
        <i/>
        <sz val="10"/>
        <color rgb="FF595959"/>
        <rFont val="ＭＳ 明朝"/>
        <family val="1"/>
        <charset val="128"/>
      </rPr>
      <t>(</t>
    </r>
    <r>
      <rPr>
        <i/>
        <sz val="10"/>
        <color rgb="FF595959"/>
        <rFont val="WenQuanYi Zen Hei"/>
        <family val="2"/>
      </rPr>
      <t>学年単位、修業年限以内</t>
    </r>
    <r>
      <rPr>
        <i/>
        <sz val="10"/>
        <color rgb="FF595959"/>
        <rFont val="ＭＳ 明朝"/>
        <family val="1"/>
        <charset val="128"/>
      </rPr>
      <t>)</t>
    </r>
  </si>
  <si>
    <r>
      <rPr>
        <b/>
        <sz val="10"/>
        <color rgb="FF000000"/>
        <rFont val="ＭＳ 明朝"/>
        <family val="1"/>
        <charset val="128"/>
      </rPr>
      <t xml:space="preserve">2. </t>
    </r>
    <r>
      <rPr>
        <b/>
        <sz val="10"/>
        <color rgb="FF000000"/>
        <rFont val="WenQuanYi Zen Hei"/>
        <family val="2"/>
      </rPr>
      <t>貸付区分表</t>
    </r>
    <r>
      <rPr>
        <b/>
        <sz val="10"/>
        <color rgb="FF000000"/>
        <rFont val="ＭＳ 明朝"/>
        <family val="1"/>
        <charset val="128"/>
      </rPr>
      <t>(</t>
    </r>
    <r>
      <rPr>
        <b/>
        <sz val="10"/>
        <color rgb="FF000000"/>
        <rFont val="WenQuanYi Zen Hei"/>
        <family val="2"/>
      </rPr>
      <t>区分ごとの限度額・単位・償還回数・書類・日程のルール</t>
    </r>
    <r>
      <rPr>
        <b/>
        <sz val="10"/>
        <color rgb="FF000000"/>
        <rFont val="ＭＳ 明朝"/>
        <family val="1"/>
        <charset val="128"/>
      </rPr>
      <t>)</t>
    </r>
  </si>
  <si>
    <t>給料月数</t>
  </si>
  <si>
    <r>
      <rPr>
        <b/>
        <sz val="10"/>
        <color rgb="FF000000"/>
        <rFont val="WenQuanYi Zen Hei"/>
        <family val="2"/>
      </rPr>
      <t>上限額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</si>
  <si>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申込単位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</si>
  <si>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申込締切日</t>
    </r>
    <r>
      <rPr>
        <b/>
        <sz val="10"/>
        <color rgb="FF000000"/>
        <rFont val="ＭＳ 明朝"/>
        <family val="1"/>
        <charset val="128"/>
      </rPr>
      <t>(</t>
    </r>
    <r>
      <rPr>
        <b/>
        <sz val="10"/>
        <color rgb="FF000000"/>
        <rFont val="WenQuanYi Zen Hei"/>
        <family val="2"/>
      </rPr>
      <t>毎月○日</t>
    </r>
    <r>
      <rPr>
        <b/>
        <sz val="10"/>
        <color rgb="FF000000"/>
        <rFont val="ＭＳ 明朝"/>
        <family val="1"/>
        <charset val="128"/>
      </rPr>
      <t>)</t>
    </r>
  </si>
  <si>
    <r>
      <rPr>
        <b/>
        <sz val="10"/>
        <color rgb="FF000000"/>
        <rFont val="WenQuanYi Zen Hei"/>
        <family val="2"/>
      </rPr>
      <t>住宅書類の列</t>
    </r>
    <r>
      <rPr>
        <b/>
        <sz val="10"/>
        <color rgb="FF000000"/>
        <rFont val="ＭＳ 明朝"/>
        <family val="1"/>
        <charset val="128"/>
      </rPr>
      <t>No</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</si>
  <si>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基準日の何か月前から</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</si>
  <si>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基準日の何か月後まで</t>
    </r>
  </si>
  <si>
    <t>貸付金交付後の提出書類</t>
  </si>
  <si>
    <r>
      <rPr>
        <b/>
        <sz val="10"/>
        <color rgb="FF000000"/>
        <rFont val="WenQuanYi Zen Hei"/>
        <family val="2"/>
      </rPr>
      <t>交付後の提出期限</t>
    </r>
    <r>
      <rPr>
        <b/>
        <sz val="10"/>
        <color rgb="FF000000"/>
        <rFont val="ＭＳ 明朝"/>
        <family val="1"/>
        <charset val="128"/>
      </rPr>
      <t>(</t>
    </r>
    <r>
      <rPr>
        <b/>
        <sz val="10"/>
        <color rgb="FF000000"/>
        <rFont val="WenQuanYi Zen Hei"/>
        <family val="2"/>
      </rPr>
      <t>月</t>
    </r>
    <r>
      <rPr>
        <b/>
        <sz val="10"/>
        <color rgb="FF000000"/>
        <rFont val="ＭＳ 明朝"/>
        <family val="1"/>
        <charset val="128"/>
      </rPr>
      <t>)</t>
    </r>
  </si>
  <si>
    <r>
      <rPr>
        <b/>
        <sz val="10"/>
        <color rgb="FF000000"/>
        <rFont val="WenQuanYi Zen Hei"/>
        <family val="2"/>
      </rPr>
      <t>貸付決定</t>
    </r>
    <r>
      <rPr>
        <b/>
        <sz val="10"/>
        <color rgb="FF000000"/>
        <rFont val="ＭＳ 明朝"/>
        <family val="1"/>
        <charset val="128"/>
      </rPr>
      <t>(</t>
    </r>
    <r>
      <rPr>
        <b/>
        <sz val="10"/>
        <color rgb="FF000000"/>
        <rFont val="WenQuanYi Zen Hei"/>
        <family val="2"/>
      </rPr>
      <t>目安</t>
    </r>
    <r>
      <rPr>
        <b/>
        <sz val="10"/>
        <color rgb="FF000000"/>
        <rFont val="ＭＳ 明朝"/>
        <family val="1"/>
        <charset val="128"/>
      </rPr>
      <t>)</t>
    </r>
  </si>
  <si>
    <r>
      <rPr>
        <b/>
        <sz val="10"/>
        <color rgb="FF000000"/>
        <rFont val="WenQuanYi Zen Hei"/>
        <family val="2"/>
      </rPr>
      <t>普通貸付</t>
    </r>
    <r>
      <rPr>
        <b/>
        <sz val="10"/>
        <color rgb="FF000000"/>
        <rFont val="ＭＳ 明朝"/>
        <family val="1"/>
        <charset val="128"/>
      </rPr>
      <t>:</t>
    </r>
    <r>
      <rPr>
        <b/>
        <sz val="10"/>
        <color rgb="FF000000"/>
        <rFont val="WenQuanYi Zen Hei"/>
        <family val="2"/>
      </rPr>
      <t>自動車購入</t>
    </r>
  </si>
  <si>
    <t>月数</t>
  </si>
  <si>
    <t>通常</t>
  </si>
  <si>
    <r>
      <rPr>
        <sz val="10"/>
        <color rgb="FF0000FF"/>
        <rFont val="WenQuanYi Zen Hei"/>
        <family val="2"/>
      </rPr>
      <t>注文書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又は発注書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見積書は不可</t>
    </r>
    <r>
      <rPr>
        <sz val="10"/>
        <color rgb="FF0000FF"/>
        <rFont val="ＭＳ 明朝"/>
        <family val="1"/>
        <charset val="128"/>
      </rPr>
      <t>)</t>
    </r>
  </si>
  <si>
    <r>
      <rPr>
        <sz val="10"/>
        <color rgb="FF0000FF"/>
        <rFont val="WenQuanYi Zen Hei"/>
        <family val="2"/>
      </rPr>
      <t>自動車登録</t>
    </r>
    <r>
      <rPr>
        <sz val="10"/>
        <color rgb="FF0000FF"/>
        <rFont val="ＭＳ 明朝"/>
        <family val="1"/>
        <charset val="128"/>
      </rPr>
      <t>(</t>
    </r>
    <r>
      <rPr>
        <sz val="10"/>
        <color rgb="FF0000FF"/>
        <rFont val="WenQuanYi Zen Hei"/>
        <family val="2"/>
      </rPr>
      <t>名義変更</t>
    </r>
    <r>
      <rPr>
        <sz val="10"/>
        <color rgb="FF0000FF"/>
        <rFont val="ＭＳ 明朝"/>
        <family val="1"/>
        <charset val="128"/>
      </rPr>
      <t>)</t>
    </r>
    <r>
      <rPr>
        <sz val="10"/>
        <color rgb="FF0000FF"/>
        <rFont val="WenQuanYi Zen Hei"/>
        <family val="2"/>
      </rPr>
      <t>前で代金支払前</t>
    </r>
  </si>
  <si>
    <r>
      <rPr>
        <sz val="10"/>
        <color rgb="FF0000FF"/>
        <rFont val="WenQuanYi Zen Hei"/>
        <family val="2"/>
      </rPr>
      <t>自動車の登録</t>
    </r>
    <r>
      <rPr>
        <sz val="10"/>
        <color rgb="FF0000FF"/>
        <rFont val="ＭＳ 明朝"/>
        <family val="1"/>
        <charset val="128"/>
      </rPr>
      <t>(</t>
    </r>
    <r>
      <rPr>
        <sz val="10"/>
        <color rgb="FF0000FF"/>
        <rFont val="WenQuanYi Zen Hei"/>
        <family val="2"/>
      </rPr>
      <t>予定</t>
    </r>
    <r>
      <rPr>
        <sz val="10"/>
        <color rgb="FF0000FF"/>
        <rFont val="ＭＳ 明朝"/>
        <family val="1"/>
        <charset val="128"/>
      </rPr>
      <t>)</t>
    </r>
    <r>
      <rPr>
        <sz val="10"/>
        <color rgb="FF0000FF"/>
        <rFont val="WenQuanYi Zen Hei"/>
        <family val="2"/>
      </rPr>
      <t>日</t>
    </r>
  </si>
  <si>
    <r>
      <rPr>
        <sz val="10"/>
        <color rgb="FF0000FF"/>
        <rFont val="WenQuanYi Zen Hei"/>
        <family val="2"/>
      </rPr>
      <t>完了届</t>
    </r>
    <r>
      <rPr>
        <sz val="10"/>
        <color rgb="FF0000FF"/>
        <rFont val="ＭＳ 明朝"/>
        <family val="1"/>
        <charset val="128"/>
      </rPr>
      <t>(</t>
    </r>
    <r>
      <rPr>
        <sz val="10"/>
        <color rgb="FF0000FF"/>
        <rFont val="WenQuanYi Zen Hei"/>
        <family val="2"/>
      </rPr>
      <t>自動車検査証</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及び自動車検査証記録事項</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を添付</t>
    </r>
    <r>
      <rPr>
        <sz val="10"/>
        <color rgb="FF0000FF"/>
        <rFont val="ＭＳ 明朝"/>
        <family val="1"/>
        <charset val="128"/>
      </rPr>
      <t>)</t>
    </r>
  </si>
  <si>
    <t>交付日</t>
  </si>
  <si>
    <r>
      <rPr>
        <sz val="10"/>
        <color rgb="FF0000FF"/>
        <rFont val="WenQuanYi Zen Hei"/>
        <family val="2"/>
      </rPr>
      <t>締切日の同月</t>
    </r>
    <r>
      <rPr>
        <sz val="10"/>
        <color rgb="FF0000FF"/>
        <rFont val="ＭＳ 明朝"/>
        <family val="1"/>
        <charset val="128"/>
      </rPr>
      <t>10</t>
    </r>
    <r>
      <rPr>
        <sz val="10"/>
        <color rgb="FF0000FF"/>
        <rFont val="WenQuanYi Zen Hei"/>
        <family val="2"/>
      </rPr>
      <t>日頃</t>
    </r>
  </si>
  <si>
    <r>
      <rPr>
        <b/>
        <sz val="10"/>
        <color rgb="FF000000"/>
        <rFont val="WenQuanYi Zen Hei"/>
        <family val="2"/>
      </rPr>
      <t>普通貸付</t>
    </r>
    <r>
      <rPr>
        <b/>
        <sz val="10"/>
        <color rgb="FF000000"/>
        <rFont val="ＭＳ 明朝"/>
        <family val="1"/>
        <charset val="128"/>
      </rPr>
      <t>:</t>
    </r>
    <r>
      <rPr>
        <b/>
        <sz val="10"/>
        <color rgb="FF000000"/>
        <rFont val="WenQuanYi Zen Hei"/>
        <family val="2"/>
      </rPr>
      <t>出産</t>
    </r>
  </si>
  <si>
    <r>
      <rPr>
        <sz val="10"/>
        <color rgb="FF0000FF"/>
        <rFont val="WenQuanYi Zen Hei"/>
        <family val="2"/>
      </rPr>
      <t>母子手帳</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又は出産証明書</t>
    </r>
  </si>
  <si>
    <r>
      <rPr>
        <sz val="10"/>
        <color rgb="FF0000FF"/>
        <rFont val="WenQuanYi Zen Hei"/>
        <family val="2"/>
      </rPr>
      <t>出産日</t>
    </r>
    <r>
      <rPr>
        <sz val="10"/>
        <color rgb="FF0000FF"/>
        <rFont val="ＭＳ 明朝"/>
        <family val="1"/>
        <charset val="128"/>
      </rPr>
      <t>(</t>
    </r>
    <r>
      <rPr>
        <sz val="10"/>
        <color rgb="FF0000FF"/>
        <rFont val="WenQuanYi Zen Hei"/>
        <family val="2"/>
      </rPr>
      <t>又は予定日</t>
    </r>
    <r>
      <rPr>
        <sz val="10"/>
        <color rgb="FF0000FF"/>
        <rFont val="ＭＳ 明朝"/>
        <family val="1"/>
        <charset val="128"/>
      </rPr>
      <t>)</t>
    </r>
    <r>
      <rPr>
        <sz val="10"/>
        <color rgb="FF0000FF"/>
        <rFont val="WenQuanYi Zen Hei"/>
        <family val="2"/>
      </rPr>
      <t>の前後</t>
    </r>
    <r>
      <rPr>
        <sz val="10"/>
        <color rgb="FF0000FF"/>
        <rFont val="ＭＳ 明朝"/>
        <family val="1"/>
        <charset val="128"/>
      </rPr>
      <t>3</t>
    </r>
    <r>
      <rPr>
        <sz val="10"/>
        <color rgb="FF0000FF"/>
        <rFont val="WenQuanYi Zen Hei"/>
        <family val="2"/>
      </rPr>
      <t>か月以内</t>
    </r>
  </si>
  <si>
    <r>
      <rPr>
        <sz val="10"/>
        <color rgb="FF0000FF"/>
        <rFont val="WenQuanYi Zen Hei"/>
        <family val="2"/>
      </rPr>
      <t>出産日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</si>
  <si>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大学等</t>
    </r>
    <r>
      <rPr>
        <b/>
        <sz val="10"/>
        <color rgb="FF000000"/>
        <rFont val="ＭＳ 明朝"/>
        <family val="1"/>
        <charset val="128"/>
      </rPr>
      <t>)</t>
    </r>
  </si>
  <si>
    <r>
      <rPr>
        <sz val="10"/>
        <color rgb="FF0000FF"/>
        <rFont val="WenQuanYi Zen Hei"/>
        <family val="2"/>
      </rPr>
      <t>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</si>
  <si>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r>
      <rPr>
        <sz val="10"/>
        <color rgb="FF0000FF"/>
        <rFont val="WenQuanYi Zen Hei"/>
        <family val="2"/>
      </rPr>
      <t>合格の時から入学後</t>
    </r>
    <r>
      <rPr>
        <sz val="10"/>
        <color rgb="FF0000FF"/>
        <rFont val="ＭＳ 明朝"/>
        <family val="1"/>
        <charset val="128"/>
      </rPr>
      <t>2</t>
    </r>
    <r>
      <rPr>
        <sz val="10"/>
        <color rgb="FF0000FF"/>
        <rFont val="WenQuanYi Zen Hei"/>
        <family val="2"/>
      </rPr>
      <t>か月以内</t>
    </r>
  </si>
  <si>
    <t>入学日</t>
  </si>
  <si>
    <r>
      <rPr>
        <sz val="10"/>
        <color rgb="FF0000FF"/>
        <rFont val="WenQuanYi Zen Hei"/>
        <family val="2"/>
      </rPr>
      <t>在学証明書</t>
    </r>
    <r>
      <rPr>
        <sz val="10"/>
        <color rgb="FF0000FF"/>
        <rFont val="ＭＳ 明朝"/>
        <family val="1"/>
        <charset val="128"/>
      </rPr>
      <t>(</t>
    </r>
    <r>
      <rPr>
        <sz val="10"/>
        <color rgb="FF0000FF"/>
        <rFont val="WenQuanYi Zen Hei"/>
        <family val="2"/>
      </rPr>
      <t>入学後の申込みは貸付金交付後</t>
    </r>
    <r>
      <rPr>
        <sz val="10"/>
        <color rgb="FF0000FF"/>
        <rFont val="ＭＳ 明朝"/>
        <family val="1"/>
        <charset val="128"/>
      </rPr>
      <t>1</t>
    </r>
    <r>
      <rPr>
        <sz val="10"/>
        <color rgb="FF0000FF"/>
        <rFont val="WenQuanYi Zen Hei"/>
        <family val="2"/>
      </rPr>
      <t>か月以内</t>
    </r>
    <r>
      <rPr>
        <sz val="10"/>
        <color rgb="FF0000FF"/>
        <rFont val="ＭＳ 明朝"/>
        <family val="1"/>
        <charset val="128"/>
      </rPr>
      <t>)</t>
    </r>
  </si>
  <si>
    <t>入学</t>
  </si>
  <si>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高校</t>
    </r>
    <r>
      <rPr>
        <b/>
        <sz val="10"/>
        <color rgb="FF000000"/>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</si>
  <si>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修学</t>
    </r>
  </si>
  <si>
    <t>修学</t>
  </si>
  <si>
    <r>
      <rPr>
        <sz val="10"/>
        <color rgb="FF0000FF"/>
        <rFont val="WenQuanYi Zen Hei"/>
        <family val="2"/>
      </rPr>
      <t>在学証明書</t>
    </r>
    <r>
      <rPr>
        <sz val="10"/>
        <color rgb="FF0000FF"/>
        <rFont val="ＭＳ 明朝"/>
        <family val="1"/>
        <charset val="128"/>
      </rPr>
      <t>(</t>
    </r>
    <r>
      <rPr>
        <sz val="10"/>
        <color rgb="FF0000FF"/>
        <rFont val="WenQuanYi Zen Hei"/>
        <family val="2"/>
      </rPr>
      <t>写</t>
    </r>
    <r>
      <rPr>
        <sz val="10"/>
        <color rgb="FF0000FF"/>
        <rFont val="ＭＳ 明朝"/>
        <family val="1"/>
        <charset val="128"/>
      </rPr>
      <t>) ※</t>
    </r>
    <r>
      <rPr>
        <sz val="10"/>
        <color rgb="FF0000FF"/>
        <rFont val="WenQuanYi Zen Hei"/>
        <family val="2"/>
      </rPr>
      <t>入学前は合格通知書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</si>
  <si>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t>修学期間中</t>
  </si>
  <si>
    <t>修学期間の開始日</t>
  </si>
  <si>
    <t>新年度の在学証明書</t>
  </si>
  <si>
    <r>
      <rPr>
        <b/>
        <sz val="10"/>
        <color rgb="FF000000"/>
        <rFont val="WenQuanYi Zen Hei"/>
        <family val="2"/>
      </rPr>
      <t>特別貸付</t>
    </r>
    <r>
      <rPr>
        <b/>
        <sz val="10"/>
        <color rgb="FF000000"/>
        <rFont val="ＭＳ 明朝"/>
        <family val="1"/>
        <charset val="128"/>
      </rPr>
      <t>:</t>
    </r>
    <r>
      <rPr>
        <b/>
        <sz val="10"/>
        <color rgb="FF000000"/>
        <rFont val="WenQuanYi Zen Hei"/>
        <family val="2"/>
      </rPr>
      <t>結婚</t>
    </r>
  </si>
  <si>
    <r>
      <rPr>
        <sz val="10"/>
        <color rgb="FF0000FF"/>
        <rFont val="ＭＳ 明朝"/>
        <family val="1"/>
        <charset val="128"/>
      </rPr>
      <t>[</t>
    </r>
    <r>
      <rPr>
        <sz val="10"/>
        <color rgb="FF0000FF"/>
        <rFont val="WenQuanYi Zen Hei"/>
        <family val="2"/>
      </rPr>
      <t>婚姻前</t>
    </r>
    <r>
      <rPr>
        <sz val="10"/>
        <color rgb="FF0000FF"/>
        <rFont val="ＭＳ 明朝"/>
        <family val="1"/>
        <charset val="128"/>
      </rPr>
      <t>]</t>
    </r>
    <r>
      <rPr>
        <sz val="10"/>
        <color rgb="FF0000FF"/>
        <rFont val="WenQuanYi Zen Hei"/>
        <family val="2"/>
      </rPr>
      <t xml:space="preserve">案内状又は媒酌人等の証明 </t>
    </r>
    <r>
      <rPr>
        <sz val="10"/>
        <color rgb="FF0000FF"/>
        <rFont val="ＭＳ 明朝"/>
        <family val="1"/>
        <charset val="128"/>
      </rPr>
      <t>/ [</t>
    </r>
    <r>
      <rPr>
        <sz val="10"/>
        <color rgb="FF0000FF"/>
        <rFont val="WenQuanYi Zen Hei"/>
        <family val="2"/>
      </rPr>
      <t>婚姻後</t>
    </r>
    <r>
      <rPr>
        <sz val="10"/>
        <color rgb="FF0000FF"/>
        <rFont val="ＭＳ 明朝"/>
        <family val="1"/>
        <charset val="128"/>
      </rPr>
      <t>]</t>
    </r>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戸籍抄本等</t>
    </r>
    <r>
      <rPr>
        <sz val="10"/>
        <color rgb="FF0000FF"/>
        <rFont val="ＭＳ 明朝"/>
        <family val="1"/>
        <charset val="128"/>
      </rPr>
      <t>)</t>
    </r>
  </si>
  <si>
    <r>
      <rPr>
        <sz val="10"/>
        <color rgb="FF0000FF"/>
        <rFont val="WenQuanYi Zen Hei"/>
        <family val="2"/>
      </rPr>
      <t>婚姻前</t>
    </r>
    <r>
      <rPr>
        <sz val="10"/>
        <color rgb="FF0000FF"/>
        <rFont val="ＭＳ 明朝"/>
        <family val="1"/>
        <charset val="128"/>
      </rPr>
      <t>6</t>
    </r>
    <r>
      <rPr>
        <sz val="10"/>
        <color rgb="FF0000FF"/>
        <rFont val="WenQuanYi Zen Hei"/>
        <family val="2"/>
      </rPr>
      <t>か月以内・婚姻後</t>
    </r>
    <r>
      <rPr>
        <sz val="10"/>
        <color rgb="FF0000FF"/>
        <rFont val="ＭＳ 明朝"/>
        <family val="1"/>
        <charset val="128"/>
      </rPr>
      <t>3</t>
    </r>
    <r>
      <rPr>
        <sz val="10"/>
        <color rgb="FF0000FF"/>
        <rFont val="WenQuanYi Zen Hei"/>
        <family val="2"/>
      </rPr>
      <t>か月以内</t>
    </r>
  </si>
  <si>
    <r>
      <rPr>
        <sz val="10"/>
        <color rgb="FF0000FF"/>
        <rFont val="WenQuanYi Zen Hei"/>
        <family val="2"/>
      </rPr>
      <t>婚姻日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</si>
  <si>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t>
    </r>
    <r>
      <rPr>
        <sz val="10"/>
        <color rgb="FF0000FF"/>
        <rFont val="ＭＳ 明朝"/>
        <family val="1"/>
        <charset val="128"/>
      </rPr>
      <t>)</t>
    </r>
  </si>
  <si>
    <t>事由日</t>
  </si>
  <si>
    <r>
      <rPr>
        <b/>
        <sz val="10"/>
        <color rgb="FF000000"/>
        <rFont val="WenQuanYi Zen Hei"/>
        <family val="2"/>
      </rPr>
      <t>特別貸付</t>
    </r>
    <r>
      <rPr>
        <b/>
        <sz val="10"/>
        <color rgb="FF000000"/>
        <rFont val="ＭＳ 明朝"/>
        <family val="1"/>
        <charset val="128"/>
      </rPr>
      <t>:</t>
    </r>
    <r>
      <rPr>
        <b/>
        <sz val="10"/>
        <color rgb="FF000000"/>
        <rFont val="WenQuanYi Zen Hei"/>
        <family val="2"/>
      </rPr>
      <t>葬祭</t>
    </r>
  </si>
  <si>
    <r>
      <rPr>
        <sz val="10"/>
        <color rgb="FF0000FF"/>
        <rFont val="WenQuanYi Zen Hei"/>
        <family val="2"/>
      </rPr>
      <t>死亡診断書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又は埋火葬許可書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続柄の確認できるもの</t>
    </r>
    <r>
      <rPr>
        <sz val="10"/>
        <color rgb="FF0000FF"/>
        <rFont val="ＭＳ 明朝"/>
        <family val="1"/>
        <charset val="128"/>
      </rPr>
      <t>/</t>
    </r>
    <r>
      <rPr>
        <sz val="10"/>
        <color rgb="FF0000FF"/>
        <rFont val="WenQuanYi Zen Hei"/>
        <family val="2"/>
      </rPr>
      <t>請求書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等</t>
    </r>
  </si>
  <si>
    <r>
      <rPr>
        <sz val="10"/>
        <color rgb="FF0000FF"/>
        <rFont val="WenQuanYi Zen Hei"/>
        <family val="2"/>
      </rPr>
      <t>葬祭の日から</t>
    </r>
    <r>
      <rPr>
        <sz val="10"/>
        <color rgb="FF0000FF"/>
        <rFont val="ＭＳ 明朝"/>
        <family val="1"/>
        <charset val="128"/>
      </rPr>
      <t>3</t>
    </r>
    <r>
      <rPr>
        <sz val="10"/>
        <color rgb="FF0000FF"/>
        <rFont val="WenQuanYi Zen Hei"/>
        <family val="2"/>
      </rPr>
      <t>か月以内</t>
    </r>
  </si>
  <si>
    <t>葬祭日</t>
  </si>
  <si>
    <r>
      <rPr>
        <b/>
        <sz val="10"/>
        <color rgb="FF000000"/>
        <rFont val="WenQuanYi Zen Hei"/>
        <family val="2"/>
      </rPr>
      <t>特別貸付</t>
    </r>
    <r>
      <rPr>
        <b/>
        <sz val="10"/>
        <color rgb="FF000000"/>
        <rFont val="ＭＳ 明朝"/>
        <family val="1"/>
        <charset val="128"/>
      </rPr>
      <t>:</t>
    </r>
    <r>
      <rPr>
        <b/>
        <sz val="10"/>
        <color rgb="FF000000"/>
        <rFont val="WenQuanYi Zen Hei"/>
        <family val="2"/>
      </rPr>
      <t>医療</t>
    </r>
  </si>
  <si>
    <r>
      <rPr>
        <sz val="10"/>
        <color rgb="FF0000FF"/>
        <rFont val="WenQuanYi Zen Hei"/>
        <family val="2"/>
      </rPr>
      <t>診断書等</t>
    </r>
    <r>
      <rPr>
        <sz val="10"/>
        <color rgb="FF0000FF"/>
        <rFont val="ＭＳ 明朝"/>
        <family val="1"/>
        <charset val="128"/>
      </rPr>
      <t>(</t>
    </r>
    <r>
      <rPr>
        <sz val="10"/>
        <color rgb="FF0000FF"/>
        <rFont val="WenQuanYi Zen Hei"/>
        <family val="2"/>
      </rPr>
      <t>病名・術式・費用・療養期間等を明示したもの</t>
    </r>
    <r>
      <rPr>
        <sz val="10"/>
        <color rgb="FF0000FF"/>
        <rFont val="ＭＳ 明朝"/>
        <family val="1"/>
        <charset val="128"/>
      </rPr>
      <t>)</t>
    </r>
  </si>
  <si>
    <t>療養期間中</t>
  </si>
  <si>
    <t>療養開始日</t>
  </si>
  <si>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</si>
  <si>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t>住宅</t>
  </si>
  <si>
    <r>
      <rPr>
        <sz val="10"/>
        <color rgb="FF0000FF"/>
        <rFont val="ＭＳ 明朝"/>
        <family val="1"/>
        <charset val="128"/>
      </rPr>
      <t>(</t>
    </r>
    <r>
      <rPr>
        <sz val="10"/>
        <color rgb="FF0000FF"/>
        <rFont val="WenQuanYi Zen Hei"/>
        <family val="2"/>
      </rPr>
      <t>表</t>
    </r>
    <r>
      <rPr>
        <sz val="10"/>
        <color rgb="FF0000FF"/>
        <rFont val="ＭＳ 明朝"/>
        <family val="1"/>
        <charset val="128"/>
      </rPr>
      <t>1)</t>
    </r>
  </si>
  <si>
    <r>
      <rPr>
        <sz val="10"/>
        <color rgb="FF0000FF"/>
        <rFont val="WenQuanYi Zen Hei"/>
        <family val="2"/>
      </rPr>
      <t>物件購入</t>
    </r>
    <r>
      <rPr>
        <sz val="10"/>
        <color rgb="FF0000FF"/>
        <rFont val="ＭＳ 明朝"/>
        <family val="1"/>
        <charset val="128"/>
      </rPr>
      <t>(</t>
    </r>
    <r>
      <rPr>
        <sz val="10"/>
        <color rgb="FF0000FF"/>
        <rFont val="WenQuanYi Zen Hei"/>
        <family val="2"/>
      </rPr>
      <t>引渡し及び登記</t>
    </r>
    <r>
      <rPr>
        <sz val="10"/>
        <color rgb="FF0000FF"/>
        <rFont val="ＭＳ 明朝"/>
        <family val="1"/>
        <charset val="128"/>
      </rPr>
      <t>)</t>
    </r>
    <r>
      <rPr>
        <sz val="10"/>
        <color rgb="FF0000FF"/>
        <rFont val="WenQuanYi Zen Hei"/>
        <family val="2"/>
      </rPr>
      <t>前</t>
    </r>
  </si>
  <si>
    <t>引渡し予定日</t>
  </si>
  <si>
    <r>
      <rPr>
        <sz val="10"/>
        <color rgb="FF0000FF"/>
        <rFont val="WenQuanYi Zen Hei"/>
        <family val="2"/>
      </rPr>
      <t>ハンドブックには「締切日の同月</t>
    </r>
    <r>
      <rPr>
        <sz val="10"/>
        <color rgb="FF0000FF"/>
        <rFont val="ＭＳ 明朝"/>
        <family val="1"/>
        <charset val="128"/>
      </rPr>
      <t>10</t>
    </r>
    <r>
      <rPr>
        <sz val="10"/>
        <color rgb="FF0000FF"/>
        <rFont val="WenQuanYi Zen Hei"/>
        <family val="2"/>
      </rPr>
      <t>日頃」と記載</t>
    </r>
    <r>
      <rPr>
        <sz val="10"/>
        <color rgb="FF0000FF"/>
        <rFont val="ＭＳ 明朝"/>
        <family val="1"/>
        <charset val="128"/>
      </rPr>
      <t>(</t>
    </r>
    <r>
      <rPr>
        <sz val="10"/>
        <color rgb="FF0000FF"/>
        <rFont val="WenQuanYi Zen Hei"/>
        <family val="2"/>
      </rPr>
      <t>要確認</t>
    </r>
    <r>
      <rPr>
        <sz val="10"/>
        <color rgb="FF0000FF"/>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</si>
  <si>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</si>
  <si>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</si>
  <si>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土地購入・住宅の新築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</si>
  <si>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住宅の新築</t>
    </r>
  </si>
  <si>
    <t>工事完了前</t>
  </si>
  <si>
    <t>工事完了予定日</t>
  </si>
  <si>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住宅の増築・改築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</si>
  <si>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修理</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</si>
  <si>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災害家財</t>
    </r>
  </si>
  <si>
    <t>災害</t>
  </si>
  <si>
    <r>
      <rPr>
        <sz val="10"/>
        <color rgb="FF0000FF"/>
        <rFont val="WenQuanYi Zen Hei"/>
        <family val="2"/>
      </rPr>
      <t>り災証明書及び被害が確認できる写真</t>
    </r>
    <r>
      <rPr>
        <sz val="10"/>
        <color rgb="FF0000FF"/>
        <rFont val="ＭＳ 明朝"/>
        <family val="1"/>
        <charset val="128"/>
      </rPr>
      <t>(</t>
    </r>
    <r>
      <rPr>
        <sz val="10"/>
        <color rgb="FF0000FF"/>
        <rFont val="WenQuanYi Zen Hei"/>
        <family val="2"/>
      </rPr>
      <t>状況により他の書類</t>
    </r>
    <r>
      <rPr>
        <sz val="10"/>
        <color rgb="FF0000FF"/>
        <rFont val="ＭＳ 明朝"/>
        <family val="1"/>
        <charset val="128"/>
      </rPr>
      <t>)</t>
    </r>
  </si>
  <si>
    <r>
      <rPr>
        <sz val="10"/>
        <color rgb="FF0000FF"/>
        <rFont val="WenQuanYi Zen Hei"/>
        <family val="2"/>
      </rPr>
      <t>災害発生後</t>
    </r>
    <r>
      <rPr>
        <sz val="10"/>
        <color rgb="FF0000FF"/>
        <rFont val="ＭＳ 明朝"/>
        <family val="1"/>
        <charset val="128"/>
      </rPr>
      <t>6</t>
    </r>
    <r>
      <rPr>
        <sz val="10"/>
        <color rgb="FF0000FF"/>
        <rFont val="WenQuanYi Zen Hei"/>
        <family val="2"/>
      </rPr>
      <t>か月以内</t>
    </r>
  </si>
  <si>
    <t>災害発生日</t>
  </si>
  <si>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災害住宅</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</si>
  <si>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災害再貸付</t>
    </r>
  </si>
  <si>
    <t>再貸付</t>
  </si>
  <si>
    <r>
      <rPr>
        <b/>
        <sz val="10"/>
        <color rgb="FF000000"/>
        <rFont val="ＭＳ 明朝"/>
        <family val="1"/>
        <charset val="128"/>
      </rPr>
      <t xml:space="preserve">3. </t>
    </r>
    <r>
      <rPr>
        <b/>
        <sz val="10"/>
        <color rgb="FF000000"/>
        <rFont val="WenQuanYi Zen Hei"/>
        <family val="2"/>
      </rPr>
      <t>組合員期間別の月数・最低保障額</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</si>
  <si>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r>
      <rPr>
        <b/>
        <sz val="10"/>
        <color rgb="FF000000"/>
        <rFont val="WenQuanYi Zen Hei"/>
        <family val="2"/>
      </rPr>
      <t>組合員期間の下限</t>
    </r>
    <r>
      <rPr>
        <b/>
        <sz val="10"/>
        <color rgb="FF000000"/>
        <rFont val="ＭＳ 明朝"/>
        <family val="1"/>
        <charset val="128"/>
      </rPr>
      <t>(</t>
    </r>
    <r>
      <rPr>
        <b/>
        <sz val="10"/>
        <color rgb="FF000000"/>
        <rFont val="WenQuanYi Zen Hei"/>
        <family val="2"/>
      </rPr>
      <t>月数</t>
    </r>
    <r>
      <rPr>
        <b/>
        <sz val="10"/>
        <color rgb="FF000000"/>
        <rFont val="ＭＳ 明朝"/>
        <family val="1"/>
        <charset val="128"/>
      </rPr>
      <t>)</t>
    </r>
  </si>
  <si>
    <t>区分表示</t>
  </si>
  <si>
    <t>給料月額に乗じる月数</t>
  </si>
  <si>
    <r>
      <rPr>
        <b/>
        <sz val="10"/>
        <color rgb="FF000000"/>
        <rFont val="WenQuanYi Zen Hei"/>
        <family val="2"/>
      </rPr>
      <t>最低保障額</t>
    </r>
    <r>
      <rPr>
        <b/>
        <sz val="10"/>
        <color rgb="FF000000"/>
        <rFont val="ＭＳ 明朝"/>
        <family val="1"/>
        <charset val="128"/>
      </rPr>
      <t>(</t>
    </r>
    <r>
      <rPr>
        <b/>
        <sz val="10"/>
        <color rgb="FF000000"/>
        <rFont val="WenQuanYi Zen Hei"/>
        <family val="2"/>
      </rPr>
      <t>住宅</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</si>
  <si>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最低保障額</t>
    </r>
    <r>
      <rPr>
        <b/>
        <sz val="10"/>
        <color rgb="FF000000"/>
        <rFont val="ＭＳ 明朝"/>
        <family val="1"/>
        <charset val="128"/>
      </rPr>
      <t>(</t>
    </r>
    <r>
      <rPr>
        <b/>
        <sz val="10"/>
        <color rgb="FF000000"/>
        <rFont val="WenQuanYi Zen Hei"/>
        <family val="2"/>
      </rPr>
      <t>災害再貸付</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</si>
  <si>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6</t>
    </r>
    <r>
      <rPr>
        <sz val="10"/>
        <color rgb="FF000000"/>
        <rFont val="WenQuanYi Zen Hei"/>
        <family val="2"/>
      </rPr>
      <t>年未満</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</si>
  <si>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3</t>
    </r>
    <r>
      <rPr>
        <sz val="10"/>
        <color rgb="FF000000"/>
        <rFont val="WenQuanYi Zen Hei"/>
        <family val="2"/>
      </rPr>
      <t>年未満</t>
    </r>
    <r>
      <rPr>
        <sz val="10"/>
        <color rgb="FF000000"/>
        <rFont val="ＭＳ 明朝"/>
        <family val="1"/>
        <charset val="128"/>
      </rPr>
      <t>(</t>
    </r>
    <r>
      <rPr>
        <sz val="10"/>
        <color rgb="FF000000"/>
        <rFont val="WenQuanYi Zen Hei"/>
        <family val="2"/>
      </rPr>
      <t>災害は</t>
    </r>
    <r>
      <rPr>
        <sz val="10"/>
        <color rgb="FF000000"/>
        <rFont val="ＭＳ 明朝"/>
        <family val="1"/>
        <charset val="128"/>
      </rPr>
      <t>3</t>
    </r>
    <r>
      <rPr>
        <sz val="10"/>
        <color rgb="FF000000"/>
        <rFont val="WenQuanYi Zen Hei"/>
        <family val="2"/>
      </rPr>
      <t>年未満</t>
    </r>
    <r>
      <rPr>
        <sz val="10"/>
        <color rgb="FF000000"/>
        <rFont val="ＭＳ 明朝"/>
        <family val="1"/>
        <charset val="128"/>
      </rPr>
      <t>)</t>
    </r>
  </si>
  <si>
    <r>
      <rPr>
        <sz val="10"/>
        <color rgb="FF000000"/>
        <rFont val="ＭＳ 明朝"/>
        <family val="1"/>
        <charset val="128"/>
      </rPr>
      <t>6</t>
    </r>
    <r>
      <rPr>
        <sz val="10"/>
        <color rgb="FF000000"/>
        <rFont val="WenQuanYi Zen Hei"/>
        <family val="2"/>
      </rPr>
      <t>年以上</t>
    </r>
    <r>
      <rPr>
        <sz val="10"/>
        <color rgb="FF000000"/>
        <rFont val="ＭＳ 明朝"/>
        <family val="1"/>
        <charset val="128"/>
      </rPr>
      <t>11</t>
    </r>
    <r>
      <rPr>
        <sz val="10"/>
        <color rgb="FF000000"/>
        <rFont val="WenQuanYi Zen Hei"/>
        <family val="2"/>
      </rPr>
      <t>年未満</t>
    </r>
  </si>
  <si>
    <r>
      <rPr>
        <sz val="10"/>
        <color rgb="FF000000"/>
        <rFont val="ＭＳ 明朝"/>
        <family val="1"/>
        <charset val="128"/>
      </rPr>
      <t>3</t>
    </r>
    <r>
      <rPr>
        <sz val="10"/>
        <color rgb="FF000000"/>
        <rFont val="WenQuanYi Zen Hei"/>
        <family val="2"/>
      </rPr>
      <t>年以上</t>
    </r>
    <r>
      <rPr>
        <sz val="10"/>
        <color rgb="FF000000"/>
        <rFont val="ＭＳ 明朝"/>
        <family val="1"/>
        <charset val="128"/>
      </rPr>
      <t>7</t>
    </r>
    <r>
      <rPr>
        <sz val="10"/>
        <color rgb="FF000000"/>
        <rFont val="WenQuanYi Zen Hei"/>
        <family val="2"/>
      </rPr>
      <t>年未満</t>
    </r>
  </si>
  <si>
    <r>
      <rPr>
        <sz val="10"/>
        <color rgb="FF000000"/>
        <rFont val="ＭＳ 明朝"/>
        <family val="1"/>
        <charset val="128"/>
      </rPr>
      <t>11</t>
    </r>
    <r>
      <rPr>
        <sz val="10"/>
        <color rgb="FF000000"/>
        <rFont val="WenQuanYi Zen Hei"/>
        <family val="2"/>
      </rPr>
      <t>年以上</t>
    </r>
    <r>
      <rPr>
        <sz val="10"/>
        <color rgb="FF000000"/>
        <rFont val="ＭＳ 明朝"/>
        <family val="1"/>
        <charset val="128"/>
      </rPr>
      <t>16</t>
    </r>
    <r>
      <rPr>
        <sz val="10"/>
        <color rgb="FF000000"/>
        <rFont val="WenQuanYi Zen Hei"/>
        <family val="2"/>
      </rPr>
      <t>年未満</t>
    </r>
  </si>
  <si>
    <r>
      <rPr>
        <sz val="10"/>
        <color rgb="FF000000"/>
        <rFont val="ＭＳ 明朝"/>
        <family val="1"/>
        <charset val="128"/>
      </rPr>
      <t>7</t>
    </r>
    <r>
      <rPr>
        <sz val="10"/>
        <color rgb="FF000000"/>
        <rFont val="WenQuanYi Zen Hei"/>
        <family val="2"/>
      </rPr>
      <t>年以上</t>
    </r>
    <r>
      <rPr>
        <sz val="10"/>
        <color rgb="FF000000"/>
        <rFont val="ＭＳ 明朝"/>
        <family val="1"/>
        <charset val="128"/>
      </rPr>
      <t>12</t>
    </r>
    <r>
      <rPr>
        <sz val="10"/>
        <color rgb="FF000000"/>
        <rFont val="WenQuanYi Zen Hei"/>
        <family val="2"/>
      </rPr>
      <t>年未満</t>
    </r>
  </si>
  <si>
    <r>
      <rPr>
        <sz val="10"/>
        <color rgb="FF000000"/>
        <rFont val="ＭＳ 明朝"/>
        <family val="1"/>
        <charset val="128"/>
      </rPr>
      <t>16</t>
    </r>
    <r>
      <rPr>
        <sz val="10"/>
        <color rgb="FF000000"/>
        <rFont val="WenQuanYi Zen Hei"/>
        <family val="2"/>
      </rPr>
      <t>年以上</t>
    </r>
    <r>
      <rPr>
        <sz val="10"/>
        <color rgb="FF000000"/>
        <rFont val="ＭＳ 明朝"/>
        <family val="1"/>
        <charset val="128"/>
      </rPr>
      <t>20</t>
    </r>
    <r>
      <rPr>
        <sz val="10"/>
        <color rgb="FF000000"/>
        <rFont val="WenQuanYi Zen Hei"/>
        <family val="2"/>
      </rPr>
      <t>年未満</t>
    </r>
  </si>
  <si>
    <r>
      <rPr>
        <sz val="10"/>
        <color rgb="FF000000"/>
        <rFont val="ＭＳ 明朝"/>
        <family val="1"/>
        <charset val="128"/>
      </rPr>
      <t>12</t>
    </r>
    <r>
      <rPr>
        <sz val="10"/>
        <color rgb="FF000000"/>
        <rFont val="WenQuanYi Zen Hei"/>
        <family val="2"/>
      </rPr>
      <t>年以上</t>
    </r>
    <r>
      <rPr>
        <sz val="10"/>
        <color rgb="FF000000"/>
        <rFont val="ＭＳ 明朝"/>
        <family val="1"/>
        <charset val="128"/>
      </rPr>
      <t>17</t>
    </r>
    <r>
      <rPr>
        <sz val="10"/>
        <color rgb="FF000000"/>
        <rFont val="WenQuanYi Zen Hei"/>
        <family val="2"/>
      </rPr>
      <t>年未満</t>
    </r>
  </si>
  <si>
    <r>
      <rPr>
        <sz val="10"/>
        <color rgb="FF000000"/>
        <rFont val="ＭＳ 明朝"/>
        <family val="1"/>
        <charset val="128"/>
      </rPr>
      <t>20</t>
    </r>
    <r>
      <rPr>
        <sz val="10"/>
        <color rgb="FF000000"/>
        <rFont val="WenQuanYi Zen Hei"/>
        <family val="2"/>
      </rPr>
      <t>年以上</t>
    </r>
    <r>
      <rPr>
        <sz val="10"/>
        <color rgb="FF000000"/>
        <rFont val="ＭＳ 明朝"/>
        <family val="1"/>
        <charset val="128"/>
      </rPr>
      <t>25</t>
    </r>
    <r>
      <rPr>
        <sz val="10"/>
        <color rgb="FF000000"/>
        <rFont val="WenQuanYi Zen Hei"/>
        <family val="2"/>
      </rPr>
      <t>年未満</t>
    </r>
  </si>
  <si>
    <r>
      <rPr>
        <sz val="10"/>
        <color rgb="FF000000"/>
        <rFont val="ＭＳ 明朝"/>
        <family val="1"/>
        <charset val="128"/>
      </rPr>
      <t>17</t>
    </r>
    <r>
      <rPr>
        <sz val="10"/>
        <color rgb="FF000000"/>
        <rFont val="WenQuanYi Zen Hei"/>
        <family val="2"/>
      </rPr>
      <t>年以上</t>
    </r>
  </si>
  <si>
    <r>
      <rPr>
        <sz val="10"/>
        <color rgb="FF000000"/>
        <rFont val="ＭＳ 明朝"/>
        <family val="1"/>
        <charset val="128"/>
      </rPr>
      <t>25</t>
    </r>
    <r>
      <rPr>
        <sz val="10"/>
        <color rgb="FF000000"/>
        <rFont val="WenQuanYi Zen Hei"/>
        <family val="2"/>
      </rPr>
      <t>年以上</t>
    </r>
    <r>
      <rPr>
        <sz val="10"/>
        <color rgb="FF000000"/>
        <rFont val="ＭＳ 明朝"/>
        <family val="1"/>
        <charset val="128"/>
      </rPr>
      <t>30</t>
    </r>
    <r>
      <rPr>
        <sz val="10"/>
        <color rgb="FF000000"/>
        <rFont val="WenQuanYi Zen Hei"/>
        <family val="2"/>
      </rPr>
      <t>年未満</t>
    </r>
  </si>
  <si>
    <r>
      <rPr>
        <sz val="10"/>
        <color rgb="FF000000"/>
        <rFont val="ＭＳ 明朝"/>
        <family val="1"/>
        <charset val="128"/>
      </rPr>
      <t>30</t>
    </r>
    <r>
      <rPr>
        <sz val="10"/>
        <color rgb="FF000000"/>
        <rFont val="WenQuanYi Zen Hei"/>
        <family val="2"/>
      </rPr>
      <t>年以上</t>
    </r>
  </si>
  <si>
    <r>
      <rPr>
        <i/>
        <sz val="10"/>
        <color rgb="FF595959"/>
        <rFont val="WenQuanYi Zen Hei"/>
        <family val="2"/>
      </rPr>
      <t>上限</t>
    </r>
    <r>
      <rPr>
        <i/>
        <sz val="10"/>
        <color rgb="FF595959"/>
        <rFont val="ＭＳ 明朝"/>
        <family val="1"/>
        <charset val="128"/>
      </rPr>
      <t>:</t>
    </r>
    <r>
      <rPr>
        <i/>
        <sz val="10"/>
        <color rgb="FF595959"/>
        <rFont val="WenQuanYi Zen Hei"/>
        <family val="2"/>
      </rPr>
      <t xml:space="preserve">住宅貸付・災害住宅貸付 </t>
    </r>
    <r>
      <rPr>
        <i/>
        <sz val="10"/>
        <color rgb="FF595959"/>
        <rFont val="ＭＳ 明朝"/>
        <family val="1"/>
        <charset val="128"/>
      </rPr>
      <t>1,800</t>
    </r>
    <r>
      <rPr>
        <i/>
        <sz val="10"/>
        <color rgb="FF595959"/>
        <rFont val="WenQuanYi Zen Hei"/>
        <family val="2"/>
      </rPr>
      <t xml:space="preserve">万円 </t>
    </r>
    <r>
      <rPr>
        <i/>
        <sz val="10"/>
        <color rgb="FF595959"/>
        <rFont val="ＭＳ 明朝"/>
        <family val="1"/>
        <charset val="128"/>
      </rPr>
      <t xml:space="preserve">/ </t>
    </r>
    <r>
      <rPr>
        <i/>
        <sz val="10"/>
        <color rgb="FF595959"/>
        <rFont val="WenQuanYi Zen Hei"/>
        <family val="2"/>
      </rPr>
      <t xml:space="preserve">災害再貸付 </t>
    </r>
    <r>
      <rPr>
        <i/>
        <sz val="10"/>
        <color rgb="FF595959"/>
        <rFont val="ＭＳ 明朝"/>
        <family val="1"/>
        <charset val="128"/>
      </rPr>
      <t>1,900</t>
    </r>
    <r>
      <rPr>
        <i/>
        <sz val="10"/>
        <color rgb="FF595959"/>
        <rFont val="WenQuanYi Zen Hei"/>
        <family val="2"/>
      </rPr>
      <t>万円</t>
    </r>
    <r>
      <rPr>
        <i/>
        <sz val="10"/>
        <color rgb="FF595959"/>
        <rFont val="ＭＳ 明朝"/>
        <family val="1"/>
        <charset val="128"/>
      </rPr>
      <t>(</t>
    </r>
    <r>
      <rPr>
        <i/>
        <sz val="10"/>
        <color rgb="FF595959"/>
        <rFont val="WenQuanYi Zen Hei"/>
        <family val="2"/>
      </rPr>
      <t>区分表の上限額</t>
    </r>
    <r>
      <rPr>
        <i/>
        <sz val="10"/>
        <color rgb="FF595959"/>
        <rFont val="ＭＳ 明朝"/>
        <family val="1"/>
        <charset val="128"/>
      </rPr>
      <t>)</t>
    </r>
    <r>
      <rPr>
        <i/>
        <sz val="10"/>
        <color rgb="FF595959"/>
        <rFont val="WenQuanYi Zen Hei"/>
        <family val="2"/>
      </rPr>
      <t>。災害再貸付は「月数</t>
    </r>
    <r>
      <rPr>
        <i/>
        <sz val="10"/>
        <color rgb="FF595959"/>
        <rFont val="ＭＳ 明朝"/>
        <family val="1"/>
        <charset val="128"/>
      </rPr>
      <t>×2</t>
    </r>
    <r>
      <rPr>
        <i/>
        <sz val="10"/>
        <color rgb="FF595959"/>
        <rFont val="WenQuanYi Zen Hei"/>
        <family val="2"/>
      </rPr>
      <t>」と災害用最低保障額の高い方。組合員期間</t>
    </r>
    <r>
      <rPr>
        <i/>
        <sz val="10"/>
        <color rgb="FF595959"/>
        <rFont val="ＭＳ 明朝"/>
        <family val="1"/>
        <charset val="128"/>
      </rPr>
      <t>1</t>
    </r>
    <r>
      <rPr>
        <i/>
        <sz val="10"/>
        <color rgb="FF595959"/>
        <rFont val="WenQuanYi Zen Hei"/>
        <family val="2"/>
      </rPr>
      <t>年未満の災害住宅貸付は最下段の区分を適用</t>
    </r>
    <r>
      <rPr>
        <i/>
        <sz val="10"/>
        <color rgb="FF595959"/>
        <rFont val="ＭＳ 明朝"/>
        <family val="1"/>
        <charset val="128"/>
      </rPr>
      <t>(</t>
    </r>
    <r>
      <rPr>
        <i/>
        <sz val="10"/>
        <color rgb="FF595959"/>
        <rFont val="WenQuanYi Zen Hei"/>
        <family val="2"/>
      </rPr>
      <t>要確認</t>
    </r>
    <r>
      <rPr>
        <i/>
        <sz val="10"/>
        <color rgb="FF595959"/>
        <rFont val="ＭＳ 明朝"/>
        <family val="1"/>
        <charset val="128"/>
      </rPr>
      <t>)</t>
    </r>
    <r>
      <rPr>
        <i/>
        <sz val="10"/>
        <color rgb="FF595959"/>
        <rFont val="WenQuanYi Zen Hei"/>
        <family val="2"/>
      </rPr>
      <t>。</t>
    </r>
  </si>
  <si>
    <r>
      <rPr>
        <b/>
        <sz val="10"/>
        <color rgb="FF000000"/>
        <rFont val="ＭＳ 明朝"/>
        <family val="1"/>
        <charset val="128"/>
      </rPr>
      <t xml:space="preserve">4. </t>
    </r>
    <r>
      <rPr>
        <b/>
        <sz val="10"/>
        <color rgb="FF000000"/>
        <rFont val="WenQuanYi Zen Hei"/>
        <family val="2"/>
      </rPr>
      <t>住宅貸付 申込時の提出書類〔表</t>
    </r>
    <r>
      <rPr>
        <b/>
        <sz val="10"/>
        <color rgb="FF000000"/>
        <rFont val="ＭＳ 明朝"/>
        <family val="1"/>
        <charset val="128"/>
      </rPr>
      <t>1</t>
    </r>
    <r>
      <rPr>
        <b/>
        <sz val="10"/>
        <color rgb="FF000000"/>
        <rFont val="WenQuanYi Zen Hei"/>
        <family val="2"/>
      </rPr>
      <t>〕</t>
    </r>
    <r>
      <rPr>
        <b/>
        <sz val="10"/>
        <color rgb="FF000000"/>
        <rFont val="ＭＳ 明朝"/>
        <family val="1"/>
        <charset val="128"/>
      </rPr>
      <t>(○=</t>
    </r>
    <r>
      <rPr>
        <b/>
        <sz val="10"/>
        <color rgb="FF000000"/>
        <rFont val="WenQuanYi Zen Hei"/>
        <family val="2"/>
      </rPr>
      <t>必要。括弧内は注記。共通の</t>
    </r>
    <r>
      <rPr>
        <b/>
        <sz val="10"/>
        <color rgb="FF000000"/>
        <rFont val="ＭＳ 明朝"/>
        <family val="1"/>
        <charset val="128"/>
      </rPr>
      <t>5</t>
    </r>
    <r>
      <rPr>
        <b/>
        <sz val="10"/>
        <color rgb="FF000000"/>
        <rFont val="WenQuanYi Zen Hei"/>
        <family val="2"/>
      </rPr>
      <t>書類は下の「</t>
    </r>
    <r>
      <rPr>
        <b/>
        <sz val="10"/>
        <color rgb="FF000000"/>
        <rFont val="ＭＳ 明朝"/>
        <family val="1"/>
        <charset val="128"/>
      </rPr>
      <t>6</t>
    </r>
    <r>
      <rPr>
        <b/>
        <sz val="10"/>
        <color rgb="FF000000"/>
        <rFont val="WenQuanYi Zen Hei"/>
        <family val="2"/>
      </rPr>
      <t>」</t>
    </r>
    <r>
      <rPr>
        <b/>
        <sz val="10"/>
        <color rgb="FF000000"/>
        <rFont val="ＭＳ 明朝"/>
        <family val="1"/>
        <charset val="128"/>
      </rPr>
      <t>)</t>
    </r>
  </si>
  <si>
    <t>提出書類</t>
  </si>
  <si>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</si>
  <si>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</si>
  <si>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t>土地購入</t>
  </si>
  <si>
    <t>土地購入・住宅の新築</t>
  </si>
  <si>
    <t>住宅の新築</t>
  </si>
  <si>
    <t>住宅の増築・改築</t>
  </si>
  <si>
    <t>修理</t>
  </si>
  <si>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</si>
  <si>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t>○（所有者は売主名義）</t>
  </si>
  <si>
    <r>
      <rPr>
        <sz val="10"/>
        <color rgb="FF000000"/>
        <rFont val="WenQuanYi Zen Hei"/>
        <family val="2"/>
      </rPr>
      <t>【土地が農地の場合】転用許可書</t>
    </r>
    <r>
      <rPr>
        <sz val="10"/>
        <color rgb="FF000000"/>
        <rFont val="ＭＳ 明朝"/>
        <family val="1"/>
        <charset val="128"/>
      </rPr>
      <t>(</t>
    </r>
    <r>
      <rPr>
        <sz val="10"/>
        <color rgb="FF000000"/>
        <rFont val="WenQuanYi Zen Hei"/>
        <family val="2"/>
      </rPr>
      <t>写</t>
    </r>
    <r>
      <rPr>
        <sz val="10"/>
        <color rgb="FF000000"/>
        <rFont val="ＭＳ 明朝"/>
        <family val="1"/>
        <charset val="128"/>
      </rPr>
      <t>)</t>
    </r>
    <r>
      <rPr>
        <sz val="10"/>
        <color rgb="FF000000"/>
        <rFont val="WenQuanYi Zen Hei"/>
        <family val="2"/>
      </rPr>
      <t>又は転用受理書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</si>
  <si>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【土地建物が共有又は他の者の名義になっている場合】同意書</t>
  </si>
  <si>
    <t>工事見積書</t>
  </si>
  <si>
    <t>平面図</t>
  </si>
  <si>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</si>
  <si>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r>
      <rPr>
        <sz val="10"/>
        <color rgb="FF000000"/>
        <rFont val="WenQuanYi Zen Hei"/>
        <family val="2"/>
      </rPr>
      <t>建築確認済証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</si>
  <si>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○（建築基準法上、確認を要しないものを除く）</t>
  </si>
  <si>
    <r>
      <rPr>
        <sz val="10"/>
        <color rgb="FF000000"/>
        <rFont val="WenQuanYi Zen Hei"/>
        <family val="2"/>
      </rPr>
      <t>売買契約書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</si>
  <si>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対象物件の周辺地図</t>
  </si>
  <si>
    <r>
      <rPr>
        <b/>
        <sz val="10"/>
        <color rgb="FF000000"/>
        <rFont val="ＭＳ 明朝"/>
        <family val="1"/>
        <charset val="128"/>
      </rPr>
      <t xml:space="preserve">5. </t>
    </r>
    <r>
      <rPr>
        <b/>
        <sz val="10"/>
        <color rgb="FF000000"/>
        <rFont val="WenQuanYi Zen Hei"/>
        <family val="2"/>
      </rPr>
      <t>住宅貸付 貸付金交付後の提出書類〔表</t>
    </r>
    <r>
      <rPr>
        <b/>
        <sz val="10"/>
        <color rgb="FF000000"/>
        <rFont val="ＭＳ 明朝"/>
        <family val="1"/>
        <charset val="128"/>
      </rPr>
      <t>2</t>
    </r>
    <r>
      <rPr>
        <b/>
        <sz val="10"/>
        <color rgb="FF000000"/>
        <rFont val="WenQuanYi Zen Hei"/>
        <family val="2"/>
      </rPr>
      <t>〕</t>
    </r>
    <r>
      <rPr>
        <b/>
        <sz val="10"/>
        <color rgb="FF000000"/>
        <rFont val="ＭＳ 明朝"/>
        <family val="1"/>
        <charset val="128"/>
      </rPr>
      <t>(</t>
    </r>
    <r>
      <rPr>
        <b/>
        <sz val="10"/>
        <color rgb="FF000000"/>
        <rFont val="WenQuanYi Zen Hei"/>
        <family val="2"/>
      </rPr>
      <t>完了届に添付。交付後</t>
    </r>
    <r>
      <rPr>
        <b/>
        <sz val="10"/>
        <color rgb="FF000000"/>
        <rFont val="ＭＳ 明朝"/>
        <family val="1"/>
        <charset val="128"/>
      </rPr>
      <t>6</t>
    </r>
    <r>
      <rPr>
        <b/>
        <sz val="10"/>
        <color rgb="FF000000"/>
        <rFont val="WenQuanYi Zen Hei"/>
        <family val="2"/>
      </rPr>
      <t>か月以内</t>
    </r>
    <r>
      <rPr>
        <b/>
        <sz val="10"/>
        <color rgb="FF000000"/>
        <rFont val="ＭＳ 明朝"/>
        <family val="1"/>
        <charset val="128"/>
      </rPr>
      <t>)</t>
    </r>
  </si>
  <si>
    <r>
      <rPr>
        <sz val="10"/>
        <color rgb="FF000000"/>
        <rFont val="WenQuanYi Zen Hei"/>
        <family val="2"/>
      </rPr>
      <t>支払領収書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</si>
  <si>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</si>
  <si>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</si>
  <si>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住民票※個人番号</t>
    </r>
    <r>
      <rPr>
        <sz val="10"/>
        <color rgb="FF000000"/>
        <rFont val="ＭＳ 明朝"/>
        <family val="1"/>
        <charset val="128"/>
      </rPr>
      <t>(</t>
    </r>
    <r>
      <rPr>
        <sz val="10"/>
        <color rgb="FF000000"/>
        <rFont val="WenQuanYi Zen Hei"/>
        <family val="2"/>
      </rPr>
      <t>マイナンバー</t>
    </r>
    <r>
      <rPr>
        <sz val="10"/>
        <color rgb="FF000000"/>
        <rFont val="ＭＳ 明朝"/>
        <family val="1"/>
        <charset val="128"/>
      </rPr>
      <t>)</t>
    </r>
    <r>
      <rPr>
        <sz val="10"/>
        <color rgb="FF000000"/>
        <rFont val="WenQuanYi Zen Hei"/>
        <family val="2"/>
      </rPr>
      <t>の記載のないもの・提出日前</t>
    </r>
    <r>
      <rPr>
        <sz val="10"/>
        <color rgb="FF000000"/>
        <rFont val="ＭＳ 明朝"/>
        <family val="1"/>
        <charset val="128"/>
      </rPr>
      <t>3</t>
    </r>
    <r>
      <rPr>
        <sz val="10"/>
        <color rgb="FF000000"/>
        <rFont val="WenQuanYi Zen Hei"/>
        <family val="2"/>
      </rPr>
      <t>か月以内・コピー不可</t>
    </r>
  </si>
  <si>
    <r>
      <rPr>
        <sz val="10"/>
        <color rgb="FF000000"/>
        <rFont val="WenQuanYi Zen Hei"/>
        <family val="2"/>
      </rPr>
      <t>竣工検査済証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</si>
  <si>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○（申込時に建築確認済証を添付した場合のみ）</t>
  </si>
  <si>
    <r>
      <rPr>
        <b/>
        <sz val="10"/>
        <color rgb="FF000000"/>
        <rFont val="ＭＳ 明朝"/>
        <family val="1"/>
        <charset val="128"/>
      </rPr>
      <t xml:space="preserve">6. </t>
    </r>
    <r>
      <rPr>
        <b/>
        <sz val="10"/>
        <color rgb="FF000000"/>
        <rFont val="WenQuanYi Zen Hei"/>
        <family val="2"/>
      </rPr>
      <t>全区分共通の提出書類</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</si>
  <si>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住宅貸付以外</t>
    </r>
    <r>
      <rPr>
        <b/>
        <sz val="10"/>
        <color rgb="FF000000"/>
        <rFont val="ＭＳ 明朝"/>
        <family val="1"/>
        <charset val="128"/>
      </rPr>
      <t>)</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</si>
  <si>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</si>
  <si>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t>貸付申込書</t>
  </si>
  <si>
    <r>
      <rPr>
        <sz val="10"/>
        <color rgb="FF0000FF"/>
        <rFont val="WenQuanYi Zen Hei"/>
        <family val="2"/>
      </rPr>
      <t>貸付申込書</t>
    </r>
    <r>
      <rPr>
        <sz val="10"/>
        <color rgb="FF0000FF"/>
        <rFont val="ＭＳ 明朝"/>
        <family val="1"/>
        <charset val="128"/>
      </rPr>
      <t>(</t>
    </r>
    <r>
      <rPr>
        <sz val="10"/>
        <color rgb="FF0000FF"/>
        <rFont val="WenQuanYi Zen Hei"/>
        <family val="2"/>
      </rPr>
      <t>住宅</t>
    </r>
    <r>
      <rPr>
        <sz val="10"/>
        <color rgb="FF0000FF"/>
        <rFont val="ＭＳ 明朝"/>
        <family val="1"/>
        <charset val="128"/>
      </rPr>
      <t>)</t>
    </r>
  </si>
  <si>
    <r>
      <rPr>
        <sz val="10"/>
        <color rgb="FF0000FF"/>
        <rFont val="WenQuanYi Zen Hei"/>
        <family val="2"/>
      </rPr>
      <t>貸付金借用証書</t>
    </r>
    <r>
      <rPr>
        <sz val="10"/>
        <color rgb="FF0000FF"/>
        <rFont val="ＭＳ 明朝"/>
        <family val="1"/>
        <charset val="128"/>
      </rPr>
      <t>(</t>
    </r>
    <r>
      <rPr>
        <sz val="10"/>
        <color rgb="FF0000FF"/>
        <rFont val="WenQuanYi Zen Hei"/>
        <family val="2"/>
      </rPr>
      <t>様式第</t>
    </r>
    <r>
      <rPr>
        <sz val="10"/>
        <color rgb="FF0000FF"/>
        <rFont val="ＭＳ 明朝"/>
        <family val="1"/>
        <charset val="128"/>
      </rPr>
      <t>4</t>
    </r>
    <r>
      <rPr>
        <sz val="10"/>
        <color rgb="FF0000FF"/>
        <rFont val="WenQuanYi Zen Hei"/>
        <family val="2"/>
      </rPr>
      <t>号・共済組合で配布</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</si>
  <si>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</si>
  <si>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か月以内に発行されたもの・コピー不可</t>
    </r>
    <r>
      <rPr>
        <sz val="10"/>
        <color rgb="FF0000FF"/>
        <rFont val="ＭＳ 明朝"/>
        <family val="1"/>
        <charset val="128"/>
      </rPr>
      <t>)</t>
    </r>
  </si>
  <si>
    <r>
      <rPr>
        <sz val="10"/>
        <color rgb="FF0000FF"/>
        <rFont val="WenQuanYi Zen Hei"/>
        <family val="2"/>
      </rPr>
      <t>給与支払明細書</t>
    </r>
    <r>
      <rPr>
        <sz val="10"/>
        <color rgb="FF0000FF"/>
        <rFont val="ＭＳ 明朝"/>
        <family val="1"/>
        <charset val="128"/>
      </rPr>
      <t>(</t>
    </r>
    <r>
      <rPr>
        <sz val="10"/>
        <color rgb="FF0000FF"/>
        <rFont val="WenQuanYi Zen Hei"/>
        <family val="2"/>
      </rPr>
      <t>直近のもの</t>
    </r>
    <r>
      <rPr>
        <sz val="10"/>
        <color rgb="FF0000FF"/>
        <rFont val="ＭＳ 明朝"/>
        <family val="1"/>
        <charset val="128"/>
      </rPr>
      <t>)</t>
    </r>
  </si>
  <si>
    <r>
      <rPr>
        <sz val="10"/>
        <color rgb="FF0000FF"/>
        <rFont val="WenQuanYi Zen Hei"/>
        <family val="2"/>
      </rPr>
      <t>借入状況等申告書</t>
    </r>
    <r>
      <rPr>
        <sz val="10"/>
        <color rgb="FF0000FF"/>
        <rFont val="ＭＳ 明朝"/>
        <family val="1"/>
        <charset val="128"/>
      </rPr>
      <t>(</t>
    </r>
    <r>
      <rPr>
        <sz val="10"/>
        <color rgb="FF0000FF"/>
        <rFont val="WenQuanYi Zen Hei"/>
        <family val="2"/>
      </rPr>
      <t>他の金融機関等から借入がある場合は、借入状況及び毎月の弁済状況を確認できる書類〔住宅ローン申込書の写し、融資決定通知書の写し、償還表の写し等〕を添付</t>
    </r>
    <r>
      <rPr>
        <sz val="10"/>
        <color rgb="FF0000FF"/>
        <rFont val="ＭＳ 明朝"/>
        <family val="1"/>
        <charset val="128"/>
      </rPr>
      <t>)</t>
    </r>
  </si>
  <si>
    <r>
      <rPr>
        <b/>
        <sz val="10"/>
        <color rgb="FF000000"/>
        <rFont val="ＭＳ 明朝"/>
        <family val="1"/>
        <charset val="128"/>
      </rPr>
      <t xml:space="preserve">7. </t>
    </r>
    <r>
      <rPr>
        <b/>
        <sz val="10"/>
        <color rgb="FF000000"/>
        <rFont val="WenQuanYi Zen Hei"/>
        <family val="2"/>
      </rPr>
      <t>所属区分と提出先</t>
    </r>
  </si>
  <si>
    <r>
      <rPr>
        <sz val="10"/>
        <color rgb="FF0000FF"/>
        <rFont val="WenQuanYi Zen Hei"/>
        <family val="2"/>
      </rPr>
      <t>共済組合</t>
    </r>
    <r>
      <rPr>
        <sz val="10"/>
        <color rgb="FF0000FF"/>
        <rFont val="ＭＳ 明朝"/>
        <family val="1"/>
        <charset val="128"/>
      </rPr>
      <t>(</t>
    </r>
    <r>
      <rPr>
        <sz val="10"/>
        <color rgb="FF0000FF"/>
        <rFont val="WenQuanYi Zen Hei"/>
        <family val="2"/>
      </rPr>
      <t>庶務係</t>
    </r>
    <r>
      <rPr>
        <sz val="10"/>
        <color rgb="FF0000FF"/>
        <rFont val="ＭＳ 明朝"/>
        <family val="1"/>
        <charset val="128"/>
      </rPr>
      <t>)</t>
    </r>
    <r>
      <rPr>
        <sz val="10"/>
        <color rgb="FF0000FF"/>
        <rFont val="WenQuanYi Zen Hei"/>
        <family val="2"/>
      </rPr>
      <t>へ直接提出してください。</t>
    </r>
  </si>
  <si>
    <t>水道局</t>
  </si>
  <si>
    <t>水道局人事課給与係へ提出してください。</t>
  </si>
  <si>
    <r>
      <rPr>
        <sz val="10"/>
        <color rgb="FF0000FF"/>
        <rFont val="WenQuanYi Zen Hei"/>
        <family val="2"/>
      </rPr>
      <t>その他</t>
    </r>
    <r>
      <rPr>
        <sz val="10"/>
        <color rgb="FF0000FF"/>
        <rFont val="ＭＳ 明朝"/>
        <family val="1"/>
        <charset val="128"/>
      </rPr>
      <t>(</t>
    </r>
    <r>
      <rPr>
        <sz val="10"/>
        <color rgb="FF0000FF"/>
        <rFont val="WenQuanYi Zen Hei"/>
        <family val="2"/>
      </rPr>
      <t>消防局・病院機構・議会事務局・教育委員会</t>
    </r>
    <r>
      <rPr>
        <sz val="10"/>
        <color rgb="FF0000FF"/>
        <rFont val="ＭＳ 明朝"/>
        <family val="1"/>
        <charset val="128"/>
      </rPr>
      <t>(</t>
    </r>
    <r>
      <rPr>
        <sz val="10"/>
        <color rgb="FF0000FF"/>
        <rFont val="WenQuanYi Zen Hei"/>
        <family val="2"/>
      </rPr>
      <t>学校等を含む</t>
    </r>
    <r>
      <rPr>
        <sz val="10"/>
        <color rgb="FF0000FF"/>
        <rFont val="ＭＳ 明朝"/>
        <family val="1"/>
        <charset val="128"/>
      </rPr>
      <t>)</t>
    </r>
    <r>
      <rPr>
        <sz val="10"/>
        <color rgb="FF0000FF"/>
        <rFont val="WenQuanYi Zen Hei"/>
        <family val="2"/>
      </rPr>
      <t>・選挙管理委員会・人事委員会・監査事務局・農業委員会等</t>
    </r>
    <r>
      <rPr>
        <sz val="10"/>
        <color rgb="FF0000FF"/>
        <rFont val="ＭＳ 明朝"/>
        <family val="1"/>
        <charset val="128"/>
      </rPr>
      <t>)</t>
    </r>
  </si>
  <si>
    <t>各部局給与担当課長の給与等の確認を受けたうえで、共済組合へ提出してください。</t>
  </si>
  <si>
    <r>
      <rPr>
        <b/>
        <sz val="10"/>
        <color rgb="FF000000"/>
        <rFont val="ＭＳ 明朝"/>
        <family val="1"/>
        <charset val="128"/>
      </rPr>
      <t xml:space="preserve">8. </t>
    </r>
    <r>
      <rPr>
        <b/>
        <sz val="10"/>
        <color rgb="FF000000"/>
        <rFont val="WenQuanYi Zen Hei"/>
        <family val="2"/>
      </rPr>
      <t>休日・祝日</t>
    </r>
    <r>
      <rPr>
        <b/>
        <sz val="10"/>
        <color rgb="FF000000"/>
        <rFont val="ＭＳ 明朝"/>
        <family val="1"/>
        <charset val="128"/>
      </rPr>
      <t>(</t>
    </r>
    <r>
      <rPr>
        <b/>
        <sz val="10"/>
        <color rgb="FF000000"/>
        <rFont val="WenQuanYi Zen Hei"/>
        <family val="2"/>
      </rPr>
      <t>締切日・交付日の判定に使用。土日は自動判定。毎年追加してください</t>
    </r>
    <r>
      <rPr>
        <b/>
        <sz val="10"/>
        <color rgb="FF000000"/>
        <rFont val="ＭＳ 明朝"/>
        <family val="1"/>
        <charset val="128"/>
      </rPr>
      <t>)</t>
    </r>
  </si>
  <si>
    <t>名称</t>
  </si>
  <si>
    <t>スポーツの日</t>
  </si>
  <si>
    <r>
      <rPr>
        <i/>
        <sz val="10"/>
        <color rgb="FF595959"/>
        <rFont val="ＭＳ 明朝"/>
        <family val="1"/>
        <charset val="128"/>
      </rPr>
      <t>※2026</t>
    </r>
    <r>
      <rPr>
        <i/>
        <sz val="10"/>
        <color rgb="FF595959"/>
        <rFont val="WenQuanYi Zen Hei"/>
        <family val="2"/>
      </rPr>
      <t>〜</t>
    </r>
    <r>
      <rPr>
        <i/>
        <sz val="10"/>
        <color rgb="FF595959"/>
        <rFont val="ＭＳ 明朝"/>
        <family val="1"/>
        <charset val="128"/>
      </rPr>
      <t>2027</t>
    </r>
    <r>
      <rPr>
        <i/>
        <sz val="10"/>
        <color rgb="FF595959"/>
        <rFont val="WenQuanYi Zen Hei"/>
        <family val="2"/>
      </rPr>
      <t>年の暦から作成。内閣府の公表と庁の閉庁日で必ず確認してください。</t>
    </r>
  </si>
  <si>
    <t>文化の日</t>
  </si>
  <si>
    <t>勤労感謝の日</t>
  </si>
  <si>
    <r>
      <rPr>
        <sz val="10"/>
        <color rgb="FF0000FF"/>
        <rFont val="WenQuanYi Zen Hei"/>
        <family val="2"/>
      </rPr>
      <t>年末年始</t>
    </r>
    <r>
      <rPr>
        <sz val="10"/>
        <color rgb="FF0000FF"/>
        <rFont val="ＭＳ 明朝"/>
        <family val="1"/>
        <charset val="128"/>
      </rPr>
      <t>(</t>
    </r>
    <r>
      <rPr>
        <sz val="10"/>
        <color rgb="FF0000FF"/>
        <rFont val="WenQuanYi Zen Hei"/>
        <family val="2"/>
      </rPr>
      <t>閉庁</t>
    </r>
    <r>
      <rPr>
        <sz val="10"/>
        <color rgb="FF0000FF"/>
        <rFont val="ＭＳ 明朝"/>
        <family val="1"/>
        <charset val="128"/>
      </rPr>
      <t>)</t>
    </r>
  </si>
  <si>
    <t>元日</t>
  </si>
  <si>
    <t>成人の日</t>
  </si>
  <si>
    <t>建国記念の日</t>
  </si>
  <si>
    <t>天皇誕生日</t>
  </si>
  <si>
    <t>春分の日</t>
  </si>
  <si>
    <t>春分の日の振替休日</t>
  </si>
  <si>
    <t>昭和の日</t>
  </si>
  <si>
    <t>憲法記念日</t>
  </si>
  <si>
    <t>みどりの日</t>
  </si>
  <si>
    <t>こどもの日</t>
  </si>
  <si>
    <t>海の日</t>
  </si>
  <si>
    <t>山の日</t>
  </si>
  <si>
    <t>敬老の日</t>
  </si>
  <si>
    <t>秋分の日</t>
  </si>
  <si>
    <t>計算過程</t>
  </si>
  <si>
    <t>中間計算と書類判定。通常は変更しない。</t>
  </si>
  <si>
    <t>項目</t>
  </si>
  <si>
    <t>値</t>
  </si>
  <si>
    <t>計算の考え方</t>
  </si>
  <si>
    <r>
      <rPr>
        <b/>
        <sz val="10"/>
        <color rgb="FF000000"/>
        <rFont val="WenQuanYi Zen Hei"/>
        <family val="2"/>
      </rPr>
      <t>名前</t>
    </r>
    <r>
      <rPr>
        <b/>
        <sz val="10"/>
        <color rgb="FF000000"/>
        <rFont val="ＭＳ 明朝"/>
        <family val="1"/>
        <charset val="128"/>
      </rPr>
      <t>(</t>
    </r>
    <r>
      <rPr>
        <b/>
        <sz val="10"/>
        <color rgb="FF000000"/>
        <rFont val="WenQuanYi Zen Hei"/>
        <family val="2"/>
      </rPr>
      <t>数式で使う名前</t>
    </r>
    <r>
      <rPr>
        <b/>
        <sz val="10"/>
        <color rgb="FF000000"/>
        <rFont val="ＭＳ 明朝"/>
        <family val="1"/>
        <charset val="128"/>
      </rPr>
      <t>)</t>
    </r>
  </si>
  <si>
    <r>
      <rPr>
        <b/>
        <sz val="10"/>
        <color rgb="FF000000"/>
        <rFont val="ＭＳ 明朝"/>
        <family val="1"/>
        <charset val="128"/>
      </rPr>
      <t xml:space="preserve">0. </t>
    </r>
    <r>
      <rPr>
        <b/>
        <sz val="10"/>
        <color rgb="FF000000"/>
        <rFont val="WenQuanYi Zen Hei"/>
        <family val="2"/>
      </rPr>
      <t>定数</t>
    </r>
  </si>
  <si>
    <r>
      <rPr>
        <sz val="10"/>
        <color rgb="FF000000"/>
        <rFont val="WenQuanYi Zen Hei"/>
        <family val="2"/>
      </rPr>
      <t>定数</t>
    </r>
    <r>
      <rPr>
        <sz val="10"/>
        <color rgb="FF000000"/>
        <rFont val="ＭＳ 明朝"/>
        <family val="1"/>
        <charset val="128"/>
      </rPr>
      <t>:1</t>
    </r>
    <r>
      <rPr>
        <sz val="10"/>
        <color rgb="FF000000"/>
        <rFont val="WenQuanYi Zen Hei"/>
        <family val="2"/>
      </rPr>
      <t>万円</t>
    </r>
    <r>
      <rPr>
        <sz val="10"/>
        <color rgb="FF000000"/>
        <rFont val="ＭＳ 明朝"/>
        <family val="1"/>
        <charset val="128"/>
      </rPr>
      <t>=10000</t>
    </r>
    <r>
      <rPr>
        <sz val="10"/>
        <color rgb="FF000000"/>
        <rFont val="WenQuanYi Zen Hei"/>
        <family val="2"/>
      </rPr>
      <t>円</t>
    </r>
  </si>
  <si>
    <t>万円の金額を円に換算するときに使う</t>
  </si>
  <si>
    <r>
      <rPr>
        <sz val="9"/>
        <color rgb="FF595959"/>
        <rFont val="WenQuanYi Zen Hei"/>
        <family val="2"/>
      </rPr>
      <t>定数</t>
    </r>
    <r>
      <rPr>
        <sz val="9"/>
        <color rgb="FF595959"/>
        <rFont val="ＭＳ 明朝"/>
        <family val="1"/>
        <charset val="128"/>
      </rPr>
      <t>_</t>
    </r>
    <r>
      <rPr>
        <sz val="9"/>
        <color rgb="FF595959"/>
        <rFont val="WenQuanYi Zen Hei"/>
        <family val="2"/>
      </rPr>
      <t>万円</t>
    </r>
  </si>
  <si>
    <r>
      <rPr>
        <sz val="10"/>
        <color rgb="FF000000"/>
        <rFont val="WenQuanYi Zen Hei"/>
        <family val="2"/>
      </rPr>
      <t>定数</t>
    </r>
    <r>
      <rPr>
        <sz val="10"/>
        <color rgb="FF000000"/>
        <rFont val="ＭＳ 明朝"/>
        <family val="1"/>
        <charset val="128"/>
      </rPr>
      <t>:1</t>
    </r>
    <r>
      <rPr>
        <sz val="10"/>
        <color rgb="FF000000"/>
        <rFont val="WenQuanYi Zen Hei"/>
        <family val="2"/>
      </rPr>
      <t>年の月数</t>
    </r>
  </si>
  <si>
    <r>
      <rPr>
        <i/>
        <sz val="10"/>
        <color rgb="FF595959"/>
        <rFont val="WenQuanYi Zen Hei"/>
        <family val="2"/>
      </rPr>
      <t>利率の月利換算</t>
    </r>
    <r>
      <rPr>
        <i/>
        <sz val="10"/>
        <color rgb="FF595959"/>
        <rFont val="ＭＳ 明朝"/>
        <family val="1"/>
        <charset val="128"/>
      </rPr>
      <t>(</t>
    </r>
    <r>
      <rPr>
        <i/>
        <sz val="10"/>
        <color rgb="FF595959"/>
        <rFont val="WenQuanYi Zen Hei"/>
        <family val="2"/>
      </rPr>
      <t>年利</t>
    </r>
    <r>
      <rPr>
        <i/>
        <sz val="10"/>
        <color rgb="FF595959"/>
        <rFont val="ＭＳ 明朝"/>
        <family val="1"/>
        <charset val="128"/>
      </rPr>
      <t>÷12)</t>
    </r>
    <r>
      <rPr>
        <i/>
        <sz val="10"/>
        <color rgb="FF595959"/>
        <rFont val="WenQuanYi Zen Hei"/>
        <family val="2"/>
      </rPr>
      <t>、年間償還額などに使う</t>
    </r>
  </si>
  <si>
    <r>
      <rPr>
        <sz val="9"/>
        <color rgb="FF595959"/>
        <rFont val="WenQuanYi Zen Hei"/>
        <family val="2"/>
      </rPr>
      <t>定数</t>
    </r>
    <r>
      <rPr>
        <sz val="9"/>
        <color rgb="FF595959"/>
        <rFont val="ＭＳ 明朝"/>
        <family val="1"/>
        <charset val="128"/>
      </rPr>
      <t>_</t>
    </r>
    <r>
      <rPr>
        <sz val="9"/>
        <color rgb="FF595959"/>
        <rFont val="WenQuanYi Zen Hei"/>
        <family val="2"/>
      </rPr>
      <t>年月数</t>
    </r>
  </si>
  <si>
    <r>
      <rPr>
        <sz val="10"/>
        <color rgb="FF000000"/>
        <rFont val="WenQuanYi Zen Hei"/>
        <family val="2"/>
      </rPr>
      <t>定数</t>
    </r>
    <r>
      <rPr>
        <sz val="10"/>
        <color rgb="FF000000"/>
        <rFont val="ＭＳ 明朝"/>
        <family val="1"/>
        <charset val="128"/>
      </rPr>
      <t>:</t>
    </r>
    <r>
      <rPr>
        <sz val="10"/>
        <color rgb="FF000000"/>
        <rFont val="WenQuanYi Zen Hei"/>
        <family val="2"/>
      </rPr>
      <t>半年の月数</t>
    </r>
  </si>
  <si>
    <r>
      <rPr>
        <i/>
        <sz val="10"/>
        <color rgb="FF595959"/>
        <rFont val="WenQuanYi Zen Hei"/>
        <family val="2"/>
      </rPr>
      <t>ボーナス</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r>
      <rPr>
        <i/>
        <sz val="10"/>
        <color rgb="FF595959"/>
        <rFont val="WenQuanYi Zen Hei"/>
        <family val="2"/>
      </rPr>
      <t>の間隔</t>
    </r>
  </si>
  <si>
    <r>
      <rPr>
        <sz val="9"/>
        <color rgb="FF595959"/>
        <rFont val="WenQuanYi Zen Hei"/>
        <family val="2"/>
      </rPr>
      <t>定数</t>
    </r>
    <r>
      <rPr>
        <sz val="9"/>
        <color rgb="FF595959"/>
        <rFont val="ＭＳ 明朝"/>
        <family val="1"/>
        <charset val="128"/>
      </rPr>
      <t>_</t>
    </r>
    <r>
      <rPr>
        <sz val="9"/>
        <color rgb="FF595959"/>
        <rFont val="WenQuanYi Zen Hei"/>
        <family val="2"/>
      </rPr>
      <t>半年月数</t>
    </r>
  </si>
  <si>
    <r>
      <rPr>
        <sz val="10"/>
        <color rgb="FF000000"/>
        <rFont val="WenQuanYi Zen Hei"/>
        <family val="2"/>
      </rPr>
      <t>定数</t>
    </r>
    <r>
      <rPr>
        <sz val="10"/>
        <color rgb="FF000000"/>
        <rFont val="ＭＳ 明朝"/>
        <family val="1"/>
        <charset val="128"/>
      </rPr>
      <t>:</t>
    </r>
    <r>
      <rPr>
        <sz val="10"/>
        <color rgb="FF000000"/>
        <rFont val="WenQuanYi Zen Hei"/>
        <family val="2"/>
      </rPr>
      <t>年間のボーナス回数</t>
    </r>
  </si>
  <si>
    <r>
      <rPr>
        <i/>
        <sz val="10"/>
        <color rgb="FF595959"/>
        <rFont val="WenQuanYi Zen Hei"/>
        <family val="2"/>
      </rPr>
      <t>年間償還額</t>
    </r>
    <r>
      <rPr>
        <i/>
        <sz val="10"/>
        <color rgb="FF595959"/>
        <rFont val="ＭＳ 明朝"/>
        <family val="1"/>
        <charset val="128"/>
      </rPr>
      <t>=</t>
    </r>
    <r>
      <rPr>
        <i/>
        <sz val="10"/>
        <color rgb="FF595959"/>
        <rFont val="WenQuanYi Zen Hei"/>
        <family val="2"/>
      </rPr>
      <t>毎月</t>
    </r>
    <r>
      <rPr>
        <i/>
        <sz val="10"/>
        <color rgb="FF595959"/>
        <rFont val="ＭＳ 明朝"/>
        <family val="1"/>
        <charset val="128"/>
      </rPr>
      <t>×12+</t>
    </r>
    <r>
      <rPr>
        <i/>
        <sz val="10"/>
        <color rgb="FF595959"/>
        <rFont val="WenQuanYi Zen Hei"/>
        <family val="2"/>
      </rPr>
      <t>ボーナス</t>
    </r>
    <r>
      <rPr>
        <i/>
        <sz val="10"/>
        <color rgb="FF595959"/>
        <rFont val="ＭＳ 明朝"/>
        <family val="1"/>
        <charset val="128"/>
      </rPr>
      <t>×2</t>
    </r>
  </si>
  <si>
    <r>
      <rPr>
        <sz val="9"/>
        <color rgb="FF595959"/>
        <rFont val="WenQuanYi Zen Hei"/>
        <family val="2"/>
      </rPr>
      <t>定数</t>
    </r>
    <r>
      <rPr>
        <sz val="9"/>
        <color rgb="FF595959"/>
        <rFont val="ＭＳ 明朝"/>
        <family val="1"/>
        <charset val="128"/>
      </rPr>
      <t>_</t>
    </r>
    <r>
      <rPr>
        <sz val="9"/>
        <color rgb="FF595959"/>
        <rFont val="WenQuanYi Zen Hei"/>
        <family val="2"/>
      </rPr>
      <t>年賞与回数</t>
    </r>
  </si>
  <si>
    <r>
      <rPr>
        <sz val="10"/>
        <color rgb="FF000000"/>
        <rFont val="WenQuanYi Zen Hei"/>
        <family val="2"/>
      </rPr>
      <t>定数</t>
    </r>
    <r>
      <rPr>
        <sz val="10"/>
        <color rgb="FF000000"/>
        <rFont val="ＭＳ 明朝"/>
        <family val="1"/>
        <charset val="128"/>
      </rPr>
      <t>:</t>
    </r>
    <r>
      <rPr>
        <sz val="10"/>
        <color rgb="FF000000"/>
        <rFont val="WenQuanYi Zen Hei"/>
        <family val="2"/>
      </rPr>
      <t>比較の許容誤差</t>
    </r>
  </si>
  <si>
    <r>
      <rPr>
        <i/>
        <sz val="10"/>
        <color rgb="FF595959"/>
        <rFont val="WenQuanYi Zen Hei"/>
        <family val="2"/>
      </rPr>
      <t>割合が</t>
    </r>
    <r>
      <rPr>
        <i/>
        <sz val="10"/>
        <color rgb="FF595959"/>
        <rFont val="ＭＳ 明朝"/>
        <family val="1"/>
        <charset val="128"/>
      </rPr>
      <t>30%</t>
    </r>
    <r>
      <rPr>
        <i/>
        <sz val="10"/>
        <color rgb="FF595959"/>
        <rFont val="WenQuanYi Zen Hei"/>
        <family val="2"/>
      </rPr>
      <t>ちょうどのとき、小数の誤差で</t>
    </r>
    <r>
      <rPr>
        <i/>
        <sz val="10"/>
        <color rgb="FF595959"/>
        <rFont val="ＭＳ 明朝"/>
        <family val="1"/>
        <charset val="128"/>
      </rPr>
      <t>×</t>
    </r>
    <r>
      <rPr>
        <i/>
        <sz val="10"/>
        <color rgb="FF595959"/>
        <rFont val="WenQuanYi Zen Hei"/>
        <family val="2"/>
      </rPr>
      <t>にならないようにする</t>
    </r>
  </si>
  <si>
    <r>
      <rPr>
        <sz val="9"/>
        <color rgb="FF595959"/>
        <rFont val="WenQuanYi Zen Hei"/>
        <family val="2"/>
      </rPr>
      <t>定数</t>
    </r>
    <r>
      <rPr>
        <sz val="9"/>
        <color rgb="FF595959"/>
        <rFont val="ＭＳ 明朝"/>
        <family val="1"/>
        <charset val="128"/>
      </rPr>
      <t>_</t>
    </r>
    <r>
      <rPr>
        <sz val="9"/>
        <color rgb="FF595959"/>
        <rFont val="WenQuanYi Zen Hei"/>
        <family val="2"/>
      </rPr>
      <t>誤差</t>
    </r>
  </si>
  <si>
    <r>
      <rPr>
        <b/>
        <sz val="10"/>
        <color rgb="FF000000"/>
        <rFont val="ＭＳ 明朝"/>
        <family val="1"/>
        <charset val="128"/>
      </rPr>
      <t xml:space="preserve">A. </t>
    </r>
    <r>
      <rPr>
        <b/>
        <sz val="10"/>
        <color rgb="FF000000"/>
        <rFont val="WenQuanYi Zen Hei"/>
        <family val="2"/>
      </rPr>
      <t>貸付区分表</t>
    </r>
    <r>
      <rPr>
        <b/>
        <sz val="10"/>
        <color rgb="FF000000"/>
        <rFont val="ＭＳ 明朝"/>
        <family val="1"/>
        <charset val="128"/>
      </rPr>
      <t>(</t>
    </r>
    <r>
      <rPr>
        <b/>
        <sz val="10"/>
        <color rgb="FF000000"/>
        <rFont val="WenQuanYi Zen Hei"/>
        <family val="2"/>
      </rPr>
      <t>マスタ</t>
    </r>
    <r>
      <rPr>
        <b/>
        <sz val="10"/>
        <color rgb="FF000000"/>
        <rFont val="ＭＳ 明朝"/>
        <family val="1"/>
        <charset val="128"/>
      </rPr>
      <t>)</t>
    </r>
    <r>
      <rPr>
        <b/>
        <sz val="10"/>
        <color rgb="FF000000"/>
        <rFont val="WenQuanYi Zen Hei"/>
        <family val="2"/>
      </rPr>
      <t>から、選んだ貸付区分の設定を取り出す</t>
    </r>
  </si>
  <si>
    <r>
      <rPr>
        <i/>
        <sz val="10"/>
        <color rgb="FF595959"/>
        <rFont val="WenQuanYi Zen Hei"/>
        <family val="2"/>
      </rPr>
      <t>貸付区分の選択位置</t>
    </r>
    <r>
      <rPr>
        <i/>
        <sz val="10"/>
        <color rgb="FF595959"/>
        <rFont val="ＭＳ 明朝"/>
        <family val="1"/>
        <charset val="128"/>
      </rPr>
      <t>(</t>
    </r>
    <r>
      <rPr>
        <i/>
        <sz val="10"/>
        <color rgb="FF595959"/>
        <rFont val="WenQuanYi Zen Hei"/>
        <family val="2"/>
      </rPr>
      <t>未選択のときは</t>
    </r>
    <r>
      <rPr>
        <i/>
        <sz val="10"/>
        <color rgb="FF595959"/>
        <rFont val="ＭＳ 明朝"/>
        <family val="1"/>
        <charset val="128"/>
      </rPr>
      <t>1</t>
    </r>
    <r>
      <rPr>
        <i/>
        <sz val="10"/>
        <color rgb="FF595959"/>
        <rFont val="WenQuanYi Zen Hei"/>
        <family val="2"/>
      </rPr>
      <t>行目で仮計算し、判定は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</si>
  <si>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区分行</t>
    </r>
  </si>
  <si>
    <r>
      <rPr>
        <i/>
        <sz val="10"/>
        <color rgb="FF595959"/>
        <rFont val="WenQuanYi Zen Hei"/>
        <family val="2"/>
      </rPr>
      <t>区分群</t>
    </r>
    <r>
      <rPr>
        <i/>
        <sz val="10"/>
        <color rgb="FF595959"/>
        <rFont val="ＭＳ 明朝"/>
        <family val="1"/>
        <charset val="128"/>
      </rPr>
      <t>(</t>
    </r>
    <r>
      <rPr>
        <i/>
        <sz val="10"/>
        <color rgb="FF595959"/>
        <rFont val="WenQuanYi Zen Hei"/>
        <family val="2"/>
      </rPr>
      <t>普通貸付・特別貸付・住宅貸付・災害貸付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</si>
  <si>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区分群</t>
    </r>
  </si>
  <si>
    <r>
      <rPr>
        <i/>
        <sz val="10"/>
        <color rgb="FF595959"/>
        <rFont val="WenQuanYi Zen Hei"/>
        <family val="2"/>
      </rPr>
      <t>限度額の計算方式</t>
    </r>
    <r>
      <rPr>
        <i/>
        <sz val="10"/>
        <color rgb="FF595959"/>
        <rFont val="ＭＳ 明朝"/>
        <family val="1"/>
        <charset val="128"/>
      </rPr>
      <t>(</t>
    </r>
    <r>
      <rPr>
        <i/>
        <sz val="10"/>
        <color rgb="FF595959"/>
        <rFont val="WenQuanYi Zen Hei"/>
        <family val="2"/>
      </rPr>
      <t>月数・修学・住宅・再貸付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</si>
  <si>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限度額方式</t>
    </r>
  </si>
  <si>
    <r>
      <rPr>
        <sz val="10"/>
        <color rgb="FF000000"/>
        <rFont val="WenQuanYi Zen Hei"/>
        <family val="2"/>
      </rPr>
      <t>給料月数</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</si>
  <si>
    <t>月数方式で給料月額に掛ける月数</t>
  </si>
  <si>
    <r>
      <rPr>
        <sz val="9"/>
        <color rgb="FF595959"/>
        <rFont val="WenQuanYi Zen Hei"/>
        <family val="2"/>
      </rPr>
      <t>計算</t>
    </r>
    <r>
      <rPr>
        <sz val="9"/>
        <color rgb="FF595959"/>
        <rFont val="ＭＳ 明朝"/>
        <family val="1"/>
        <charset val="128"/>
      </rPr>
      <t>_</t>
    </r>
    <r>
      <rPr>
        <sz val="9"/>
        <color rgb="FF595959"/>
        <rFont val="WenQuanYi Zen Hei"/>
        <family val="2"/>
      </rPr>
      <t>給料月数</t>
    </r>
  </si>
  <si>
    <r>
      <rPr>
        <sz val="10"/>
        <color rgb="FF000000"/>
        <rFont val="WenQuanYi Zen Hei"/>
        <family val="2"/>
      </rPr>
      <t>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</si>
  <si>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貸付限度額の上限</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r>
      <rPr>
        <i/>
        <sz val="10"/>
        <color rgb="FF595959"/>
        <rFont val="WenQuanYi Zen Hei"/>
        <family val="2"/>
      </rPr>
      <t>。修学は上限なし</t>
    </r>
  </si>
  <si>
    <r>
      <rPr>
        <sz val="9"/>
        <color rgb="FF595959"/>
        <rFont val="WenQuanYi Zen Hei"/>
        <family val="2"/>
      </rPr>
      <t>計算</t>
    </r>
    <r>
      <rPr>
        <sz val="9"/>
        <color rgb="FF595959"/>
        <rFont val="ＭＳ 明朝"/>
        <family val="1"/>
        <charset val="128"/>
      </rPr>
      <t>_</t>
    </r>
    <r>
      <rPr>
        <sz val="9"/>
        <color rgb="FF595959"/>
        <rFont val="WenQuanYi Zen Hei"/>
        <family val="2"/>
      </rPr>
      <t>上限万円</t>
    </r>
  </si>
  <si>
    <r>
      <rPr>
        <sz val="10"/>
        <color rgb="FF000000"/>
        <rFont val="WenQuanYi Zen Hei"/>
        <family val="2"/>
      </rPr>
      <t>申込単位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</si>
  <si>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申込金額の単位</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</si>
  <si>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単位万円</t>
    </r>
  </si>
  <si>
    <r>
      <rPr>
        <sz val="9"/>
        <color rgb="FF595959"/>
        <rFont val="WenQuanYi Zen Hei"/>
        <family val="2"/>
      </rPr>
      <t>計算</t>
    </r>
    <r>
      <rPr>
        <sz val="9"/>
        <color rgb="FF595959"/>
        <rFont val="ＭＳ 明朝"/>
        <family val="1"/>
        <charset val="128"/>
      </rPr>
      <t>_</t>
    </r>
    <r>
      <rPr>
        <sz val="9"/>
        <color rgb="FF595959"/>
        <rFont val="WenQuanYi Zen Hei"/>
        <family val="2"/>
      </rPr>
      <t>回数上限</t>
    </r>
  </si>
  <si>
    <r>
      <rPr>
        <i/>
        <sz val="10"/>
        <color rgb="FF595959"/>
        <rFont val="WenQuanYi Zen Hei"/>
        <family val="2"/>
      </rPr>
      <t>利率の種類</t>
    </r>
    <r>
      <rPr>
        <i/>
        <sz val="10"/>
        <color rgb="FF595959"/>
        <rFont val="ＭＳ 明朝"/>
        <family val="1"/>
        <charset val="128"/>
      </rPr>
      <t>(</t>
    </r>
    <r>
      <rPr>
        <i/>
        <sz val="10"/>
        <color rgb="FF595959"/>
        <rFont val="WenQuanYi Zen Hei"/>
        <family val="2"/>
      </rPr>
      <t>通常・住宅・災害</t>
    </r>
    <r>
      <rPr>
        <i/>
        <sz val="10"/>
        <color rgb="FF595959"/>
        <rFont val="ＭＳ 明朝"/>
        <family val="1"/>
        <charset val="128"/>
      </rPr>
      <t>)</t>
    </r>
    <r>
      <rPr>
        <i/>
        <sz val="10"/>
        <color rgb="FF595959"/>
        <rFont val="WenQuanYi Zen Hei"/>
        <family val="2"/>
      </rPr>
      <t>。利率はマスタ「</t>
    </r>
    <r>
      <rPr>
        <i/>
        <sz val="10"/>
        <color rgb="FF595959"/>
        <rFont val="ＭＳ 明朝"/>
        <family val="1"/>
        <charset val="128"/>
      </rPr>
      <t>1</t>
    </r>
    <r>
      <rPr>
        <i/>
        <sz val="10"/>
        <color rgb="FF595959"/>
        <rFont val="WenQuanYi Zen Hei"/>
        <family val="2"/>
      </rPr>
      <t>」の値を使う</t>
    </r>
  </si>
  <si>
    <r>
      <rPr>
        <sz val="9"/>
        <color rgb="FF595959"/>
        <rFont val="WenQuanYi Zen Hei"/>
        <family val="2"/>
      </rPr>
      <t>計算</t>
    </r>
    <r>
      <rPr>
        <sz val="9"/>
        <color rgb="FF595959"/>
        <rFont val="ＭＳ 明朝"/>
        <family val="1"/>
        <charset val="128"/>
      </rPr>
      <t>_</t>
    </r>
    <r>
      <rPr>
        <sz val="9"/>
        <color rgb="FF595959"/>
        <rFont val="WenQuanYi Zen Hei"/>
        <family val="2"/>
      </rPr>
      <t>利率種別</t>
    </r>
  </si>
  <si>
    <r>
      <rPr>
        <sz val="10"/>
        <color rgb="FF000000"/>
        <rFont val="WenQuanYi Zen Hei"/>
        <family val="2"/>
      </rPr>
      <t>申込締切日</t>
    </r>
    <r>
      <rPr>
        <sz val="10"/>
        <color rgb="FF000000"/>
        <rFont val="ＭＳ 明朝"/>
        <family val="1"/>
        <charset val="128"/>
      </rPr>
      <t>(</t>
    </r>
    <r>
      <rPr>
        <sz val="10"/>
        <color rgb="FF000000"/>
        <rFont val="WenQuanYi Zen Hei"/>
        <family val="2"/>
      </rPr>
      <t>日</t>
    </r>
    <r>
      <rPr>
        <sz val="10"/>
        <color rgb="FF000000"/>
        <rFont val="ＭＳ 明朝"/>
        <family val="1"/>
        <charset val="128"/>
      </rPr>
      <t>)</t>
    </r>
  </si>
  <si>
    <r>
      <rPr>
        <i/>
        <sz val="10"/>
        <color rgb="FF595959"/>
        <rFont val="WenQuanYi Zen Hei"/>
        <family val="2"/>
      </rPr>
      <t>申込締切日</t>
    </r>
    <r>
      <rPr>
        <i/>
        <sz val="10"/>
        <color rgb="FF595959"/>
        <rFont val="ＭＳ 明朝"/>
        <family val="1"/>
        <charset val="128"/>
      </rPr>
      <t>(</t>
    </r>
    <r>
      <rPr>
        <i/>
        <sz val="10"/>
        <color rgb="FF595959"/>
        <rFont val="WenQuanYi Zen Hei"/>
        <family val="2"/>
      </rPr>
      <t>毎月○日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</si>
  <si>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締切日の日</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</si>
  <si>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住宅貸付</t>
    </r>
    <r>
      <rPr>
        <sz val="10"/>
        <color rgb="FF000000"/>
        <rFont val="ＭＳ 明朝"/>
        <family val="1"/>
        <charset val="128"/>
      </rPr>
      <t>)</t>
    </r>
  </si>
  <si>
    <r>
      <rPr>
        <i/>
        <sz val="10"/>
        <color rgb="FF595959"/>
        <rFont val="WenQuanYi Zen Hei"/>
        <family val="2"/>
      </rPr>
      <t>住宅貸付の提出書類表</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4</t>
    </r>
    <r>
      <rPr>
        <i/>
        <sz val="10"/>
        <color rgb="FF595959"/>
        <rFont val="WenQuanYi Zen Hei"/>
        <family val="2"/>
      </rPr>
      <t>・</t>
    </r>
    <r>
      <rPr>
        <i/>
        <sz val="10"/>
        <color rgb="FF595959"/>
        <rFont val="ＭＳ 明朝"/>
        <family val="1"/>
        <charset val="128"/>
      </rPr>
      <t>5)</t>
    </r>
    <r>
      <rPr>
        <i/>
        <sz val="10"/>
        <color rgb="FF595959"/>
        <rFont val="WenQuanYi Zen Hei"/>
        <family val="2"/>
      </rPr>
      <t>の列番号</t>
    </r>
  </si>
  <si>
    <r>
      <rPr>
        <sz val="9"/>
        <color rgb="FF595959"/>
        <rFont val="WenQuanYi Zen Hei"/>
        <family val="2"/>
      </rPr>
      <t>計算</t>
    </r>
    <r>
      <rPr>
        <sz val="9"/>
        <color rgb="FF595959"/>
        <rFont val="ＭＳ 明朝"/>
        <family val="1"/>
        <charset val="128"/>
      </rPr>
      <t>_</t>
    </r>
    <r>
      <rPr>
        <sz val="9"/>
        <color rgb="FF595959"/>
        <rFont val="WenQuanYi Zen Hei"/>
        <family val="2"/>
      </rPr>
      <t>住宅書類列</t>
    </r>
  </si>
  <si>
    <t>貸付事由ごとの添付書類</t>
  </si>
  <si>
    <r>
      <rPr>
        <sz val="9"/>
        <color rgb="FF595959"/>
        <rFont val="WenQuanYi Zen Hei"/>
        <family val="2"/>
      </rPr>
      <t>計算</t>
    </r>
    <r>
      <rPr>
        <sz val="9"/>
        <color rgb="FF595959"/>
        <rFont val="ＭＳ 明朝"/>
        <family val="1"/>
        <charset val="128"/>
      </rPr>
      <t>_</t>
    </r>
    <r>
      <rPr>
        <sz val="9"/>
        <color rgb="FF595959"/>
        <rFont val="WenQuanYi Zen Hei"/>
        <family val="2"/>
      </rPr>
      <t>事由書類</t>
    </r>
  </si>
  <si>
    <r>
      <rPr>
        <i/>
        <sz val="10"/>
        <color rgb="FF595959"/>
        <rFont val="WenQuanYi Zen Hei"/>
        <family val="2"/>
      </rPr>
      <t>申込できる時期</t>
    </r>
    <r>
      <rPr>
        <i/>
        <sz val="10"/>
        <color rgb="FF595959"/>
        <rFont val="ＭＳ 明朝"/>
        <family val="1"/>
        <charset val="128"/>
      </rPr>
      <t>(</t>
    </r>
    <r>
      <rPr>
        <i/>
        <sz val="10"/>
        <color rgb="FF595959"/>
        <rFont val="WenQuanYi Zen Hei"/>
        <family val="2"/>
      </rPr>
      <t>説明文</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</si>
  <si>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申込時期</t>
    </r>
  </si>
  <si>
    <r>
      <rPr>
        <i/>
        <sz val="10"/>
        <color rgb="FF595959"/>
        <rFont val="WenQuanYi Zen Hei"/>
        <family val="2"/>
      </rPr>
      <t>申込時期の基準になる日の名前</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</si>
  <si>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基準日名</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</si>
  <si>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基準日の何か月前</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</si>
  <si>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基準日の何か月前から申込できるか。空白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</si>
  <si>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前月数</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</si>
  <si>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基準日の何か月後</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</si>
  <si>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基準日の何か月後まで申込できるか。空白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</si>
  <si>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後月数</t>
    </r>
  </si>
  <si>
    <r>
      <rPr>
        <sz val="10"/>
        <color rgb="FF000000"/>
        <rFont val="WenQuanYi Zen Hei"/>
        <family val="2"/>
      </rPr>
      <t>交付後の提出書類</t>
    </r>
    <r>
      <rPr>
        <sz val="10"/>
        <color rgb="FF000000"/>
        <rFont val="ＭＳ 明朝"/>
        <family val="1"/>
        <charset val="128"/>
      </rPr>
      <t>(</t>
    </r>
    <r>
      <rPr>
        <sz val="10"/>
        <color rgb="FF000000"/>
        <rFont val="WenQuanYi Zen Hei"/>
        <family val="2"/>
      </rPr>
      <t>住宅以外</t>
    </r>
    <r>
      <rPr>
        <sz val="10"/>
        <color rgb="FF000000"/>
        <rFont val="ＭＳ 明朝"/>
        <family val="1"/>
        <charset val="128"/>
      </rPr>
      <t>)</t>
    </r>
  </si>
  <si>
    <t>貸付金交付後に提出する書類</t>
  </si>
  <si>
    <r>
      <rPr>
        <sz val="9"/>
        <color rgb="FF595959"/>
        <rFont val="WenQuanYi Zen Hei"/>
        <family val="2"/>
      </rPr>
      <t>計算</t>
    </r>
    <r>
      <rPr>
        <sz val="9"/>
        <color rgb="FF595959"/>
        <rFont val="ＭＳ 明朝"/>
        <family val="1"/>
        <charset val="128"/>
      </rPr>
      <t>_</t>
    </r>
    <r>
      <rPr>
        <sz val="9"/>
        <color rgb="FF595959"/>
        <rFont val="WenQuanYi Zen Hei"/>
        <family val="2"/>
      </rPr>
      <t>交付後書類</t>
    </r>
  </si>
  <si>
    <r>
      <rPr>
        <sz val="10"/>
        <color rgb="FF000000"/>
        <rFont val="WenQuanYi Zen Hei"/>
        <family val="2"/>
      </rPr>
      <t>交付後の提出期限</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</si>
  <si>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交付後の提出期限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</si>
  <si>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交付後期限月</t>
    </r>
  </si>
  <si>
    <r>
      <rPr>
        <i/>
        <sz val="10"/>
        <color rgb="FF595959"/>
        <rFont val="WenQuanYi Zen Hei"/>
        <family val="2"/>
      </rPr>
      <t>期限の起算</t>
    </r>
    <r>
      <rPr>
        <i/>
        <sz val="10"/>
        <color rgb="FF595959"/>
        <rFont val="ＭＳ 明朝"/>
        <family val="1"/>
        <charset val="128"/>
      </rPr>
      <t>(</t>
    </r>
    <r>
      <rPr>
        <i/>
        <sz val="10"/>
        <color rgb="FF595959"/>
        <rFont val="WenQuanYi Zen Hei"/>
        <family val="2"/>
      </rPr>
      <t>交付日・事由日・入学</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</si>
  <si>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期限起算</t>
    </r>
  </si>
  <si>
    <r>
      <rPr>
        <i/>
        <sz val="10"/>
        <color rgb="FF595959"/>
        <rFont val="WenQuanYi Zen Hei"/>
        <family val="2"/>
      </rPr>
      <t>貸付決定の時期</t>
    </r>
    <r>
      <rPr>
        <i/>
        <sz val="10"/>
        <color rgb="FF595959"/>
        <rFont val="ＭＳ 明朝"/>
        <family val="1"/>
        <charset val="128"/>
      </rPr>
      <t>(</t>
    </r>
    <r>
      <rPr>
        <i/>
        <sz val="10"/>
        <color rgb="FF595959"/>
        <rFont val="WenQuanYi Zen Hei"/>
        <family val="2"/>
      </rPr>
      <t>ハンドブックの記載</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</si>
  <si>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決定目安</t>
    </r>
  </si>
  <si>
    <r>
      <rPr>
        <b/>
        <sz val="10"/>
        <color rgb="FF000000"/>
        <rFont val="ＭＳ 明朝"/>
        <family val="1"/>
        <charset val="128"/>
      </rPr>
      <t xml:space="preserve">B. </t>
    </r>
    <r>
      <rPr>
        <b/>
        <sz val="10"/>
        <color rgb="FF000000"/>
        <rFont val="WenQuanYi Zen Hei"/>
        <family val="2"/>
      </rPr>
      <t>利率・組合員期間など</t>
    </r>
    <r>
      <rPr>
        <b/>
        <sz val="10"/>
        <color rgb="FF000000"/>
        <rFont val="ＭＳ 明朝"/>
        <family val="1"/>
        <charset val="128"/>
      </rPr>
      <t>(</t>
    </r>
    <r>
      <rPr>
        <b/>
        <sz val="10"/>
        <color rgb="FF000000"/>
        <rFont val="WenQuanYi Zen Hei"/>
        <family val="2"/>
      </rPr>
      <t>貸付区分と日付から決まる値</t>
    </r>
    <r>
      <rPr>
        <b/>
        <sz val="10"/>
        <color rgb="FF000000"/>
        <rFont val="ＭＳ 明朝"/>
        <family val="1"/>
        <charset val="128"/>
      </rPr>
      <t>)</t>
    </r>
  </si>
  <si>
    <r>
      <rPr>
        <sz val="10"/>
        <color rgb="FF000000"/>
        <rFont val="WenQuanYi Zen Hei"/>
        <family val="2"/>
      </rPr>
      <t>住宅系</t>
    </r>
    <r>
      <rPr>
        <sz val="10"/>
        <color rgb="FF000000"/>
        <rFont val="ＭＳ 明朝"/>
        <family val="1"/>
        <charset val="128"/>
      </rPr>
      <t>(</t>
    </r>
    <r>
      <rPr>
        <sz val="10"/>
        <color rgb="FF000000"/>
        <rFont val="WenQuanYi Zen Hei"/>
        <family val="2"/>
      </rPr>
      <t>住宅・災害住宅・災害再貸付</t>
    </r>
    <r>
      <rPr>
        <sz val="10"/>
        <color rgb="FF000000"/>
        <rFont val="ＭＳ 明朝"/>
        <family val="1"/>
        <charset val="128"/>
      </rPr>
      <t>)=1</t>
    </r>
  </si>
  <si>
    <r>
      <rPr>
        <i/>
        <sz val="10"/>
        <color rgb="FF595959"/>
        <rFont val="WenQuanYi Zen Hei"/>
        <family val="2"/>
      </rPr>
      <t>住宅・災害住宅・災害再貸付なら</t>
    </r>
    <r>
      <rPr>
        <i/>
        <sz val="10"/>
        <color rgb="FF595959"/>
        <rFont val="ＭＳ 明朝"/>
        <family val="1"/>
        <charset val="128"/>
      </rPr>
      <t>1(</t>
    </r>
    <r>
      <rPr>
        <i/>
        <sz val="10"/>
        <color rgb="FF595959"/>
        <rFont val="WenQuanYi Zen Hei"/>
        <family val="2"/>
      </rPr>
      <t>在宅介護対応の加算やボーナス併用が使える区分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</si>
  <si>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住宅系</t>
    </r>
  </si>
  <si>
    <r>
      <rPr>
        <i/>
        <sz val="10"/>
        <color rgb="FF595959"/>
        <rFont val="WenQuanYi Zen Hei"/>
        <family val="2"/>
      </rPr>
      <t>貸付区分に応じた年利</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1</t>
    </r>
    <r>
      <rPr>
        <i/>
        <sz val="10"/>
        <color rgb="FF595959"/>
        <rFont val="WenQuanYi Zen Hei"/>
        <family val="2"/>
      </rPr>
      <t>」</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</si>
  <si>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</si>
  <si>
    <r>
      <rPr>
        <sz val="10"/>
        <color rgb="FF000000"/>
        <rFont val="WenQuanYi Zen Hei"/>
        <family val="2"/>
      </rPr>
      <t>在宅介護対応</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</si>
  <si>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住宅貸付の利率</t>
    </r>
    <r>
      <rPr>
        <i/>
        <sz val="10"/>
        <color rgb="FF595959"/>
        <rFont val="ＭＳ 明朝"/>
        <family val="1"/>
        <charset val="128"/>
      </rPr>
      <t>-0.26%(</t>
    </r>
    <r>
      <rPr>
        <i/>
        <sz val="10"/>
        <color rgb="FF595959"/>
        <rFont val="WenQuanYi Zen Hei"/>
        <family val="2"/>
      </rPr>
      <t>災害貸付との併用は要確認</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</si>
  <si>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r>
      <rPr>
        <sz val="9"/>
        <color rgb="FF595959"/>
        <rFont val="ＭＳ 明朝"/>
        <family val="1"/>
        <charset val="128"/>
      </rPr>
      <t>_</t>
    </r>
    <r>
      <rPr>
        <sz val="9"/>
        <color rgb="FF595959"/>
        <rFont val="WenQuanYi Zen Hei"/>
        <family val="2"/>
      </rPr>
      <t>在宅介護</t>
    </r>
  </si>
  <si>
    <r>
      <rPr>
        <sz val="10"/>
        <color rgb="FF000000"/>
        <rFont val="WenQuanYi Zen Hei"/>
        <family val="2"/>
      </rPr>
      <t>組合員期間</t>
    </r>
    <r>
      <rPr>
        <sz val="10"/>
        <color rgb="FF000000"/>
        <rFont val="ＭＳ 明朝"/>
        <family val="1"/>
        <charset val="128"/>
      </rPr>
      <t>(</t>
    </r>
    <r>
      <rPr>
        <sz val="10"/>
        <color rgb="FF000000"/>
        <rFont val="WenQuanYi Zen Hei"/>
        <family val="2"/>
      </rPr>
      <t>月数</t>
    </r>
    <r>
      <rPr>
        <sz val="10"/>
        <color rgb="FF000000"/>
        <rFont val="ＭＳ 明朝"/>
        <family val="1"/>
        <charset val="128"/>
      </rPr>
      <t>)</t>
    </r>
  </si>
  <si>
    <t>資格取得日〜申込予定日</t>
  </si>
  <si>
    <r>
      <rPr>
        <sz val="9"/>
        <color rgb="FF595959"/>
        <rFont val="WenQuanYi Zen Hei"/>
        <family val="2"/>
      </rPr>
      <t>計算</t>
    </r>
    <r>
      <rPr>
        <sz val="9"/>
        <color rgb="FF595959"/>
        <rFont val="ＭＳ 明朝"/>
        <family val="1"/>
        <charset val="128"/>
      </rPr>
      <t>_</t>
    </r>
    <r>
      <rPr>
        <sz val="9"/>
        <color rgb="FF595959"/>
        <rFont val="WenQuanYi Zen Hei"/>
        <family val="2"/>
      </rPr>
      <t>組合員月数</t>
    </r>
  </si>
  <si>
    <r>
      <rPr>
        <sz val="10"/>
        <color rgb="FF000000"/>
        <rFont val="WenQuanYi Zen Hei"/>
        <family val="2"/>
      </rPr>
      <t>組合員期間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</si>
  <si>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t>画面に出す「○年○か月」</t>
  </si>
  <si>
    <r>
      <rPr>
        <sz val="9"/>
        <color rgb="FF595959"/>
        <rFont val="WenQuanYi Zen Hei"/>
        <family val="2"/>
      </rPr>
      <t>計算</t>
    </r>
    <r>
      <rPr>
        <sz val="9"/>
        <color rgb="FF595959"/>
        <rFont val="ＭＳ 明朝"/>
        <family val="1"/>
        <charset val="128"/>
      </rPr>
      <t>_</t>
    </r>
    <r>
      <rPr>
        <sz val="9"/>
        <color rgb="FF595959"/>
        <rFont val="WenQuanYi Zen Hei"/>
        <family val="2"/>
      </rPr>
      <t>組合員期間表示</t>
    </r>
  </si>
  <si>
    <r>
      <rPr>
        <i/>
        <sz val="10"/>
        <color rgb="FF595959"/>
        <rFont val="ＭＳ 明朝"/>
        <family val="1"/>
        <charset val="128"/>
      </rPr>
      <t>1</t>
    </r>
    <r>
      <rPr>
        <i/>
        <sz val="10"/>
        <color rgb="FF595959"/>
        <rFont val="WenQuanYi Zen Hei"/>
        <family val="2"/>
      </rPr>
      <t>年未満は最下段を適用</t>
    </r>
    <r>
      <rPr>
        <i/>
        <sz val="10"/>
        <color rgb="FF595959"/>
        <rFont val="ＭＳ 明朝"/>
        <family val="1"/>
        <charset val="128"/>
      </rPr>
      <t>(</t>
    </r>
    <r>
      <rPr>
        <i/>
        <sz val="10"/>
        <color rgb="FF595959"/>
        <rFont val="WenQuanYi Zen Hei"/>
        <family val="2"/>
      </rPr>
      <t>災害住宅貸付のみ貸付可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</si>
  <si>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月数表位置</t>
    </r>
  </si>
  <si>
    <r>
      <rPr>
        <sz val="9"/>
        <color rgb="FF595959"/>
        <rFont val="WenQuanYi Zen Hei"/>
        <family val="2"/>
      </rPr>
      <t>計算</t>
    </r>
    <r>
      <rPr>
        <sz val="9"/>
        <color rgb="FF595959"/>
        <rFont val="ＭＳ 明朝"/>
        <family val="1"/>
        <charset val="128"/>
      </rPr>
      <t>_</t>
    </r>
    <r>
      <rPr>
        <sz val="9"/>
        <color rgb="FF595959"/>
        <rFont val="WenQuanYi Zen Hei"/>
        <family val="2"/>
      </rPr>
      <t>最低保障位置</t>
    </r>
  </si>
  <si>
    <r>
      <rPr>
        <sz val="10"/>
        <color rgb="FF000000"/>
        <rFont val="WenQuanYi Zen Hei"/>
        <family val="2"/>
      </rPr>
      <t>住宅</t>
    </r>
    <r>
      <rPr>
        <sz val="10"/>
        <color rgb="FF000000"/>
        <rFont val="ＭＳ 明朝"/>
        <family val="1"/>
        <charset val="128"/>
      </rPr>
      <t>:</t>
    </r>
    <r>
      <rPr>
        <sz val="10"/>
        <color rgb="FF000000"/>
        <rFont val="WenQuanYi Zen Hei"/>
        <family val="2"/>
      </rPr>
      <t>給料月額に乗じる月数</t>
    </r>
  </si>
  <si>
    <r>
      <rPr>
        <sz val="9"/>
        <color rgb="FF595959"/>
        <rFont val="WenQuanYi Zen Hei"/>
        <family val="2"/>
      </rPr>
      <t>計算</t>
    </r>
    <r>
      <rPr>
        <sz val="9"/>
        <color rgb="FF595959"/>
        <rFont val="ＭＳ 明朝"/>
        <family val="1"/>
        <charset val="128"/>
      </rPr>
      <t>_</t>
    </r>
    <r>
      <rPr>
        <sz val="9"/>
        <color rgb="FF595959"/>
        <rFont val="WenQuanYi Zen Hei"/>
        <family val="2"/>
      </rPr>
      <t>住宅月数</t>
    </r>
  </si>
  <si>
    <r>
      <rPr>
        <sz val="10"/>
        <color rgb="FF000000"/>
        <rFont val="WenQuanYi Zen Hei"/>
        <family val="2"/>
      </rPr>
      <t>住宅</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</si>
  <si>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住宅万円</t>
    </r>
  </si>
  <si>
    <r>
      <rPr>
        <sz val="10"/>
        <color rgb="FF000000"/>
        <rFont val="WenQuanYi Zen Hei"/>
        <family val="2"/>
      </rPr>
      <t>災害再貸付</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</si>
  <si>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災害万円</t>
    </r>
  </si>
  <si>
    <r>
      <rPr>
        <b/>
        <sz val="10"/>
        <color rgb="FF000000"/>
        <rFont val="ＭＳ 明朝"/>
        <family val="1"/>
        <charset val="128"/>
      </rPr>
      <t xml:space="preserve">C. </t>
    </r>
    <r>
      <rPr>
        <b/>
        <sz val="10"/>
        <color rgb="FF000000"/>
        <rFont val="WenQuanYi Zen Hei"/>
        <family val="2"/>
      </rPr>
      <t>貸付限度額</t>
    </r>
    <r>
      <rPr>
        <b/>
        <sz val="10"/>
        <color rgb="FF000000"/>
        <rFont val="ＭＳ 明朝"/>
        <family val="1"/>
        <charset val="128"/>
      </rPr>
      <t>(</t>
    </r>
    <r>
      <rPr>
        <b/>
        <sz val="10"/>
        <color rgb="FF000000"/>
        <rFont val="WenQuanYi Zen Hei"/>
        <family val="2"/>
      </rPr>
      <t>制度上の上限</t>
    </r>
    <r>
      <rPr>
        <b/>
        <sz val="10"/>
        <color rgb="FF000000"/>
        <rFont val="ＭＳ 明朝"/>
        <family val="1"/>
        <charset val="128"/>
      </rPr>
      <t>)</t>
    </r>
  </si>
  <si>
    <r>
      <rPr>
        <sz val="10"/>
        <color rgb="FF000000"/>
        <rFont val="WenQuanYi Zen Hei"/>
        <family val="2"/>
      </rPr>
      <t>限度額</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</si>
  <si>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月数。ただし上限額まで</t>
    </r>
    <r>
      <rPr>
        <i/>
        <sz val="10"/>
        <color rgb="FF595959"/>
        <rFont val="ＭＳ 明朝"/>
        <family val="1"/>
        <charset val="128"/>
      </rPr>
      <t>(</t>
    </r>
    <r>
      <rPr>
        <i/>
        <sz val="10"/>
        <color rgb="FF595959"/>
        <rFont val="WenQuanYi Zen Hei"/>
        <family val="2"/>
      </rPr>
      <t>普通・特別・災害家財</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</si>
  <si>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月数方式</t>
    </r>
  </si>
  <si>
    <r>
      <rPr>
        <sz val="10"/>
        <color rgb="FF000000"/>
        <rFont val="WenQuanYi Zen Hei"/>
        <family val="2"/>
      </rPr>
      <t>限度額</t>
    </r>
    <r>
      <rPr>
        <sz val="10"/>
        <color rgb="FF000000"/>
        <rFont val="ＭＳ 明朝"/>
        <family val="1"/>
        <charset val="128"/>
      </rPr>
      <t>:</t>
    </r>
    <r>
      <rPr>
        <sz val="10"/>
        <color rgb="FF000000"/>
        <rFont val="WenQuanYi Zen Hei"/>
        <family val="2"/>
      </rPr>
      <t>修学方式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</si>
  <si>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1</t>
    </r>
    <r>
      <rPr>
        <i/>
        <sz val="10"/>
        <color rgb="FF595959"/>
        <rFont val="WenQuanYi Zen Hei"/>
        <family val="2"/>
      </rPr>
      <t xml:space="preserve">か月の貸付額 </t>
    </r>
    <r>
      <rPr>
        <i/>
        <sz val="10"/>
        <color rgb="FF595959"/>
        <rFont val="ＭＳ 明朝"/>
        <family val="1"/>
        <charset val="128"/>
      </rPr>
      <t xml:space="preserve">× </t>
    </r>
    <r>
      <rPr>
        <i/>
        <sz val="10"/>
        <color rgb="FF595959"/>
        <rFont val="WenQuanYi Zen Hei"/>
        <family val="2"/>
      </rPr>
      <t>修学月数</t>
    </r>
    <r>
      <rPr>
        <i/>
        <sz val="10"/>
        <color rgb="FF595959"/>
        <rFont val="ＭＳ 明朝"/>
        <family val="1"/>
        <charset val="128"/>
      </rPr>
      <t>(</t>
    </r>
    <r>
      <rPr>
        <i/>
        <sz val="10"/>
        <color rgb="FF595959"/>
        <rFont val="WenQuanYi Zen Hei"/>
        <family val="2"/>
      </rPr>
      <t>修学貸付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</si>
  <si>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修学方式</t>
    </r>
  </si>
  <si>
    <r>
      <rPr>
        <sz val="10"/>
        <color rgb="FF000000"/>
        <rFont val="WenQuanYi Zen Hei"/>
        <family val="2"/>
      </rPr>
      <t>限度額</t>
    </r>
    <r>
      <rPr>
        <sz val="10"/>
        <color rgb="FF000000"/>
        <rFont val="ＭＳ 明朝"/>
        <family val="1"/>
        <charset val="128"/>
      </rPr>
      <t>:</t>
    </r>
    <r>
      <rPr>
        <sz val="10"/>
        <color rgb="FF000000"/>
        <rFont val="WenQuanYi Zen Hei"/>
        <family val="2"/>
      </rPr>
      <t>住宅方式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</si>
  <si>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組合員期間別の月数」と「最低保障額」の高い方。ただし上限額まで</t>
    </r>
    <r>
      <rPr>
        <i/>
        <sz val="10"/>
        <color rgb="FF595959"/>
        <rFont val="ＭＳ 明朝"/>
        <family val="1"/>
        <charset val="128"/>
      </rPr>
      <t>(</t>
    </r>
    <r>
      <rPr>
        <i/>
        <sz val="10"/>
        <color rgb="FF595959"/>
        <rFont val="WenQuanYi Zen Hei"/>
        <family val="2"/>
      </rPr>
      <t>住宅・災害住宅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</si>
  <si>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住宅方式</t>
    </r>
  </si>
  <si>
    <r>
      <rPr>
        <sz val="10"/>
        <color rgb="FF000000"/>
        <rFont val="WenQuanYi Zen Hei"/>
        <family val="2"/>
      </rPr>
      <t>限度額</t>
    </r>
    <r>
      <rPr>
        <sz val="10"/>
        <color rgb="FF000000"/>
        <rFont val="ＭＳ 明朝"/>
        <family val="1"/>
        <charset val="128"/>
      </rPr>
      <t>:</t>
    </r>
    <r>
      <rPr>
        <sz val="10"/>
        <color rgb="FF000000"/>
        <rFont val="WenQuanYi Zen Hei"/>
        <family val="2"/>
      </rPr>
      <t>再貸付方式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</si>
  <si>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月数を</t>
    </r>
    <r>
      <rPr>
        <i/>
        <sz val="10"/>
        <color rgb="FF595959"/>
        <rFont val="ＭＳ 明朝"/>
        <family val="1"/>
        <charset val="128"/>
      </rPr>
      <t>2</t>
    </r>
    <r>
      <rPr>
        <i/>
        <sz val="10"/>
        <color rgb="FF595959"/>
        <rFont val="WenQuanYi Zen Hei"/>
        <family val="2"/>
      </rPr>
      <t>倍にした額と、災害用の最低保障額の高い方。ただし上限額まで</t>
    </r>
    <r>
      <rPr>
        <i/>
        <sz val="10"/>
        <color rgb="FF595959"/>
        <rFont val="ＭＳ 明朝"/>
        <family val="1"/>
        <charset val="128"/>
      </rPr>
      <t>(</t>
    </r>
    <r>
      <rPr>
        <i/>
        <sz val="10"/>
        <color rgb="FF595959"/>
        <rFont val="WenQuanYi Zen Hei"/>
        <family val="2"/>
      </rPr>
      <t>災害再貸付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</si>
  <si>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再貸付方式</t>
    </r>
  </si>
  <si>
    <r>
      <rPr>
        <sz val="10"/>
        <color rgb="FF000000"/>
        <rFont val="WenQuanYi Zen Hei"/>
        <family val="2"/>
      </rPr>
      <t>貸付限度額</t>
    </r>
    <r>
      <rPr>
        <sz val="10"/>
        <color rgb="FF000000"/>
        <rFont val="ＭＳ 明朝"/>
        <family val="1"/>
        <charset val="128"/>
      </rPr>
      <t>(</t>
    </r>
    <r>
      <rPr>
        <sz val="10"/>
        <color rgb="FF000000"/>
        <rFont val="WenQuanYi Zen Hei"/>
        <family val="2"/>
      </rPr>
      <t>基本・円</t>
    </r>
    <r>
      <rPr>
        <sz val="10"/>
        <color rgb="FF000000"/>
        <rFont val="ＭＳ 明朝"/>
        <family val="1"/>
        <charset val="128"/>
      </rPr>
      <t>)</t>
    </r>
  </si>
  <si>
    <r>
      <rPr>
        <i/>
        <sz val="10"/>
        <color rgb="FF595959"/>
        <rFont val="WenQuanYi Zen Hei"/>
        <family val="2"/>
      </rPr>
      <t>方式</t>
    </r>
    <r>
      <rPr>
        <i/>
        <sz val="10"/>
        <color rgb="FF595959"/>
        <rFont val="ＭＳ 明朝"/>
        <family val="1"/>
        <charset val="128"/>
      </rPr>
      <t>(</t>
    </r>
    <r>
      <rPr>
        <i/>
        <sz val="10"/>
        <color rgb="FF595959"/>
        <rFont val="WenQuanYi Zen Hei"/>
        <family val="2"/>
      </rPr>
      <t>月数</t>
    </r>
    <r>
      <rPr>
        <i/>
        <sz val="10"/>
        <color rgb="FF595959"/>
        <rFont val="ＭＳ 明朝"/>
        <family val="1"/>
        <charset val="128"/>
      </rPr>
      <t>/</t>
    </r>
    <r>
      <rPr>
        <i/>
        <sz val="10"/>
        <color rgb="FF595959"/>
        <rFont val="WenQuanYi Zen Hei"/>
        <family val="2"/>
      </rPr>
      <t>修学</t>
    </r>
    <r>
      <rPr>
        <i/>
        <sz val="10"/>
        <color rgb="FF595959"/>
        <rFont val="ＭＳ 明朝"/>
        <family val="1"/>
        <charset val="128"/>
      </rPr>
      <t>/</t>
    </r>
    <r>
      <rPr>
        <i/>
        <sz val="10"/>
        <color rgb="FF595959"/>
        <rFont val="WenQuanYi Zen Hei"/>
        <family val="2"/>
      </rPr>
      <t>住宅</t>
    </r>
    <r>
      <rPr>
        <i/>
        <sz val="10"/>
        <color rgb="FF595959"/>
        <rFont val="ＭＳ 明朝"/>
        <family val="1"/>
        <charset val="128"/>
      </rPr>
      <t>/</t>
    </r>
    <r>
      <rPr>
        <i/>
        <sz val="10"/>
        <color rgb="FF595959"/>
        <rFont val="WenQuanYi Zen Hei"/>
        <family val="2"/>
      </rPr>
      <t>再貸付</t>
    </r>
    <r>
      <rPr>
        <i/>
        <sz val="10"/>
        <color rgb="FF595959"/>
        <rFont val="ＭＳ 明朝"/>
        <family val="1"/>
        <charset val="128"/>
      </rPr>
      <t>)</t>
    </r>
    <r>
      <rPr>
        <i/>
        <sz val="10"/>
        <color rgb="FF595959"/>
        <rFont val="WenQuanYi Zen Hei"/>
        <family val="2"/>
      </rPr>
      <t>に応じて、上の</t>
    </r>
    <r>
      <rPr>
        <i/>
        <sz val="10"/>
        <color rgb="FF595959"/>
        <rFont val="ＭＳ 明朝"/>
        <family val="1"/>
        <charset val="128"/>
      </rPr>
      <t>4</t>
    </r>
    <r>
      <rPr>
        <i/>
        <sz val="10"/>
        <color rgb="FF595959"/>
        <rFont val="WenQuanYi Zen Hei"/>
        <family val="2"/>
      </rPr>
      <t>つのうち</t>
    </r>
    <r>
      <rPr>
        <i/>
        <sz val="10"/>
        <color rgb="FF595959"/>
        <rFont val="ＭＳ 明朝"/>
        <family val="1"/>
        <charset val="128"/>
      </rPr>
      <t>1</t>
    </r>
    <r>
      <rPr>
        <i/>
        <sz val="10"/>
        <color rgb="FF595959"/>
        <rFont val="WenQuanYi Zen Hei"/>
        <family val="2"/>
      </rPr>
      <t>つを採用</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</si>
  <si>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基本</t>
    </r>
  </si>
  <si>
    <r>
      <rPr>
        <sz val="10"/>
        <color rgb="FF000000"/>
        <rFont val="WenQuanYi Zen Hei"/>
        <family val="2"/>
      </rPr>
      <t>在宅介護対応住宅の加算限度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</si>
  <si>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入力した該当部分の金額</t>
    </r>
    <r>
      <rPr>
        <i/>
        <sz val="10"/>
        <color rgb="FF595959"/>
        <rFont val="ＭＳ 明朝"/>
        <family val="1"/>
        <charset val="128"/>
      </rPr>
      <t>(300</t>
    </r>
    <r>
      <rPr>
        <i/>
        <sz val="10"/>
        <color rgb="FF595959"/>
        <rFont val="WenQuanYi Zen Hei"/>
        <family val="2"/>
      </rPr>
      <t>万円まで</t>
    </r>
    <r>
      <rPr>
        <i/>
        <sz val="10"/>
        <color rgb="FF595959"/>
        <rFont val="ＭＳ 明朝"/>
        <family val="1"/>
        <charset val="128"/>
      </rPr>
      <t>)</t>
    </r>
    <r>
      <rPr>
        <i/>
        <sz val="10"/>
        <color rgb="FF595959"/>
        <rFont val="WenQuanYi Zen Hei"/>
        <family val="2"/>
      </rPr>
      <t>を限度額に加算</t>
    </r>
  </si>
  <si>
    <r>
      <rPr>
        <sz val="9"/>
        <color rgb="FF595959"/>
        <rFont val="WenQuanYi Zen Hei"/>
        <family val="2"/>
      </rPr>
      <t>計算</t>
    </r>
    <r>
      <rPr>
        <sz val="9"/>
        <color rgb="FF595959"/>
        <rFont val="ＭＳ 明朝"/>
        <family val="1"/>
        <charset val="128"/>
      </rPr>
      <t>_</t>
    </r>
    <r>
      <rPr>
        <sz val="9"/>
        <color rgb="FF595959"/>
        <rFont val="WenQuanYi Zen Hei"/>
        <family val="2"/>
      </rPr>
      <t>在宅介護加算</t>
    </r>
  </si>
  <si>
    <r>
      <rPr>
        <sz val="10"/>
        <color rgb="FF000000"/>
        <rFont val="WenQuanYi Zen Hei"/>
        <family val="2"/>
      </rPr>
      <t>貸付限度額</t>
    </r>
    <r>
      <rPr>
        <sz val="10"/>
        <color rgb="FF000000"/>
        <rFont val="ＭＳ 明朝"/>
        <family val="1"/>
        <charset val="128"/>
      </rPr>
      <t>(</t>
    </r>
    <r>
      <rPr>
        <sz val="10"/>
        <color rgb="FF000000"/>
        <rFont val="WenQuanYi Zen Hei"/>
        <family val="2"/>
      </rPr>
      <t>合計・円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</si>
  <si>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在宅介護対応の加算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</si>
  <si>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合計</t>
    </r>
  </si>
  <si>
    <r>
      <rPr>
        <sz val="10"/>
        <color rgb="FF000000"/>
        <rFont val="WenQuanYi Zen Hei"/>
        <family val="2"/>
      </rPr>
      <t>貸付限度額の計算内訳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</si>
  <si>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限度額内訳</t>
    </r>
  </si>
  <si>
    <r>
      <rPr>
        <sz val="10"/>
        <color rgb="FF000000"/>
        <rFont val="WenQuanYi Zen Hei"/>
        <family val="2"/>
      </rPr>
      <t>返済能力の計算内訳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</si>
  <si>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返済能力内訳</t>
    </r>
  </si>
  <si>
    <r>
      <rPr>
        <b/>
        <sz val="10"/>
        <color rgb="FF000000"/>
        <rFont val="ＭＳ 明朝"/>
        <family val="1"/>
        <charset val="128"/>
      </rPr>
      <t xml:space="preserve">D. </t>
    </r>
    <r>
      <rPr>
        <b/>
        <sz val="10"/>
        <color rgb="FF000000"/>
        <rFont val="WenQuanYi Zen Hei"/>
        <family val="2"/>
      </rPr>
      <t>返済能力から見た上限と、申込可能額</t>
    </r>
    <r>
      <rPr>
        <b/>
        <sz val="10"/>
        <color rgb="FF000000"/>
        <rFont val="ＭＳ 明朝"/>
        <family val="1"/>
        <charset val="128"/>
      </rPr>
      <t xml:space="preserve">(① </t>
    </r>
    <r>
      <rPr>
        <b/>
        <sz val="10"/>
        <color rgb="FF000000"/>
        <rFont val="WenQuanYi Zen Hei"/>
        <family val="2"/>
      </rPr>
      <t>と ② の小さい方</t>
    </r>
    <r>
      <rPr>
        <b/>
        <sz val="10"/>
        <color rgb="FF000000"/>
        <rFont val="ＭＳ 明朝"/>
        <family val="1"/>
        <charset val="128"/>
      </rPr>
      <t>)</t>
    </r>
  </si>
  <si>
    <r>
      <rPr>
        <sz val="10"/>
        <color rgb="FF000000"/>
        <rFont val="WenQuanYi Zen Hei"/>
        <family val="2"/>
      </rPr>
      <t>申込単位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</si>
  <si>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申込単位を円にしたもの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</si>
  <si>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単位円</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</si>
  <si>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</si>
  <si>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申込金額の下限を円にしたもの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</si>
  <si>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下限円</t>
    </r>
  </si>
  <si>
    <r>
      <rPr>
        <sz val="10"/>
        <color rgb="FF000000"/>
        <rFont val="WenQuanYi Zen Hei"/>
        <family val="2"/>
      </rPr>
      <t xml:space="preserve">他の借入等の毎月償還額 </t>
    </r>
    <r>
      <rPr>
        <sz val="10"/>
        <color rgb="FF000000"/>
        <rFont val="ＭＳ 明朝"/>
        <family val="1"/>
        <charset val="128"/>
      </rPr>
      <t>A+B+C</t>
    </r>
  </si>
  <si>
    <r>
      <rPr>
        <i/>
        <sz val="10"/>
        <color rgb="FF595959"/>
        <rFont val="WenQuanYi Zen Hei"/>
        <family val="2"/>
      </rPr>
      <t>借入状況等申告書の</t>
    </r>
    <r>
      <rPr>
        <i/>
        <sz val="10"/>
        <color rgb="FF595959"/>
        <rFont val="ＭＳ 明朝"/>
        <family val="1"/>
        <charset val="128"/>
      </rPr>
      <t>(A)+(B)+(C)</t>
    </r>
  </si>
  <si>
    <r>
      <rPr>
        <sz val="9"/>
        <color rgb="FF595959"/>
        <rFont val="WenQuanYi Zen Hei"/>
        <family val="2"/>
      </rPr>
      <t>計算</t>
    </r>
    <r>
      <rPr>
        <sz val="9"/>
        <color rgb="FF595959"/>
        <rFont val="ＭＳ 明朝"/>
        <family val="1"/>
        <charset val="128"/>
      </rPr>
      <t>_</t>
    </r>
    <r>
      <rPr>
        <sz val="9"/>
        <color rgb="FF595959"/>
        <rFont val="WenQuanYi Zen Hei"/>
        <family val="2"/>
      </rPr>
      <t>他借入月額</t>
    </r>
  </si>
  <si>
    <r>
      <rPr>
        <sz val="10"/>
        <color rgb="FF000000"/>
        <rFont val="WenQuanYi Zen Hei"/>
        <family val="2"/>
      </rPr>
      <t xml:space="preserve">他の借入等のボーナス償還額 </t>
    </r>
    <r>
      <rPr>
        <sz val="10"/>
        <color rgb="FF000000"/>
        <rFont val="ＭＳ 明朝"/>
        <family val="1"/>
        <charset val="128"/>
      </rPr>
      <t>F+G+H</t>
    </r>
  </si>
  <si>
    <r>
      <rPr>
        <i/>
        <sz val="10"/>
        <color rgb="FF595959"/>
        <rFont val="WenQuanYi Zen Hei"/>
        <family val="2"/>
      </rPr>
      <t>借入状況等申告書の</t>
    </r>
    <r>
      <rPr>
        <i/>
        <sz val="10"/>
        <color rgb="FF595959"/>
        <rFont val="ＭＳ 明朝"/>
        <family val="1"/>
        <charset val="128"/>
      </rPr>
      <t>(F)+(G)+(H)</t>
    </r>
  </si>
  <si>
    <r>
      <rPr>
        <sz val="9"/>
        <color rgb="FF595959"/>
        <rFont val="WenQuanYi Zen Hei"/>
        <family val="2"/>
      </rPr>
      <t>計算</t>
    </r>
    <r>
      <rPr>
        <sz val="9"/>
        <color rgb="FF595959"/>
        <rFont val="ＭＳ 明朝"/>
        <family val="1"/>
        <charset val="128"/>
      </rPr>
      <t>_</t>
    </r>
    <r>
      <rPr>
        <sz val="9"/>
        <color rgb="FF595959"/>
        <rFont val="WenQuanYi Zen Hei"/>
        <family val="2"/>
      </rPr>
      <t>他借入賞与</t>
    </r>
  </si>
  <si>
    <r>
      <rPr>
        <sz val="10"/>
        <color rgb="FF000000"/>
        <rFont val="WenQuanYi Zen Hei"/>
        <family val="2"/>
      </rPr>
      <t>毎月償還額</t>
    </r>
    <r>
      <rPr>
        <sz val="10"/>
        <color rgb="FF000000"/>
        <rFont val="ＭＳ 明朝"/>
        <family val="1"/>
        <charset val="128"/>
      </rPr>
      <t>(E)</t>
    </r>
    <r>
      <rPr>
        <sz val="10"/>
        <color rgb="FF000000"/>
        <rFont val="WenQuanYi Zen Hei"/>
        <family val="2"/>
      </rPr>
      <t>の上限</t>
    </r>
  </si>
  <si>
    <r>
      <rPr>
        <i/>
        <sz val="10"/>
        <color rgb="FF595959"/>
        <rFont val="WenQuanYi Zen Hei"/>
        <family val="2"/>
      </rPr>
      <t>①給料月額の</t>
    </r>
    <r>
      <rPr>
        <i/>
        <sz val="10"/>
        <color rgb="FF595959"/>
        <rFont val="ＭＳ 明朝"/>
        <family val="1"/>
        <charset val="128"/>
      </rPr>
      <t>30% ②</t>
    </r>
    <r>
      <rPr>
        <i/>
        <sz val="10"/>
        <color rgb="FF595959"/>
        <rFont val="WenQuanYi Zen Hei"/>
        <family val="2"/>
      </rPr>
      <t>年収額</t>
    </r>
    <r>
      <rPr>
        <i/>
        <sz val="10"/>
        <color rgb="FF595959"/>
        <rFont val="ＭＳ 明朝"/>
        <family val="1"/>
        <charset val="128"/>
      </rPr>
      <t>(</t>
    </r>
    <r>
      <rPr>
        <i/>
        <sz val="10"/>
        <color rgb="FF595959"/>
        <rFont val="WenQuanYi Zen Hei"/>
        <family val="2"/>
      </rPr>
      <t>給料月額</t>
    </r>
    <r>
      <rPr>
        <i/>
        <sz val="10"/>
        <color rgb="FF595959"/>
        <rFont val="ＭＳ 明朝"/>
        <family val="1"/>
        <charset val="128"/>
      </rPr>
      <t>×16)</t>
    </r>
    <r>
      <rPr>
        <i/>
        <sz val="10"/>
        <color rgb="FF595959"/>
        <rFont val="WenQuanYi Zen Hei"/>
        <family val="2"/>
      </rPr>
      <t>の</t>
    </r>
    <r>
      <rPr>
        <i/>
        <sz val="10"/>
        <color rgb="FF595959"/>
        <rFont val="ＭＳ 明朝"/>
        <family val="1"/>
        <charset val="128"/>
      </rPr>
      <t>30%</t>
    </r>
    <r>
      <rPr>
        <i/>
        <sz val="10"/>
        <color rgb="FF595959"/>
        <rFont val="WenQuanYi Zen Hei"/>
        <family val="2"/>
      </rPr>
      <t>から年間ボーナス償還を差し引いた月額、の小さい方</t>
    </r>
  </si>
  <si>
    <r>
      <rPr>
        <sz val="9"/>
        <color rgb="FF595959"/>
        <rFont val="WenQuanYi Zen Hei"/>
        <family val="2"/>
      </rPr>
      <t>計算</t>
    </r>
    <r>
      <rPr>
        <sz val="9"/>
        <color rgb="FF595959"/>
        <rFont val="ＭＳ 明朝"/>
        <family val="1"/>
        <charset val="128"/>
      </rPr>
      <t>_E</t>
    </r>
    <r>
      <rPr>
        <sz val="9"/>
        <color rgb="FF595959"/>
        <rFont val="WenQuanYi Zen Hei"/>
        <family val="2"/>
      </rPr>
      <t>上限</t>
    </r>
  </si>
  <si>
    <r>
      <rPr>
        <sz val="10"/>
        <color rgb="FF000000"/>
        <rFont val="WenQuanYi Zen Hei"/>
        <family val="2"/>
      </rPr>
      <t>今回の貸付の毎月償還額の上限</t>
    </r>
    <r>
      <rPr>
        <sz val="10"/>
        <color rgb="FF000000"/>
        <rFont val="ＭＳ 明朝"/>
        <family val="1"/>
        <charset val="128"/>
      </rPr>
      <t>(D)</t>
    </r>
  </si>
  <si>
    <r>
      <rPr>
        <sz val="9"/>
        <color rgb="FF595959"/>
        <rFont val="WenQuanYi Zen Hei"/>
        <family val="2"/>
      </rPr>
      <t>計算</t>
    </r>
    <r>
      <rPr>
        <sz val="9"/>
        <color rgb="FF595959"/>
        <rFont val="ＭＳ 明朝"/>
        <family val="1"/>
        <charset val="128"/>
      </rPr>
      <t>_D</t>
    </r>
    <r>
      <rPr>
        <sz val="9"/>
        <color rgb="FF595959"/>
        <rFont val="WenQuanYi Zen Hei"/>
        <family val="2"/>
      </rPr>
      <t>上限</t>
    </r>
  </si>
  <si>
    <t>償還回数未入力のときは上限回数で試算</t>
  </si>
  <si>
    <r>
      <rPr>
        <sz val="9"/>
        <color rgb="FF595959"/>
        <rFont val="WenQuanYi Zen Hei"/>
        <family val="2"/>
      </rPr>
      <t>計算</t>
    </r>
    <r>
      <rPr>
        <sz val="9"/>
        <color rgb="FF595959"/>
        <rFont val="ＭＳ 明朝"/>
        <family val="1"/>
        <charset val="128"/>
      </rPr>
      <t>_</t>
    </r>
    <r>
      <rPr>
        <sz val="9"/>
        <color rgb="FF595959"/>
        <rFont val="WenQuanYi Zen Hei"/>
        <family val="2"/>
      </rPr>
      <t>試算回数</t>
    </r>
  </si>
  <si>
    <r>
      <rPr>
        <sz val="10"/>
        <color rgb="FF000000"/>
        <rFont val="WenQuanYi Zen Hei"/>
        <family val="2"/>
      </rPr>
      <t>返済能力から見た借入上限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</si>
  <si>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毎月償還額の上限で元利均等返済できる元金</t>
    </r>
    <r>
      <rPr>
        <i/>
        <sz val="10"/>
        <color rgb="FF595959"/>
        <rFont val="ＭＳ 明朝"/>
        <family val="1"/>
        <charset val="128"/>
      </rPr>
      <t>(</t>
    </r>
    <r>
      <rPr>
        <i/>
        <sz val="10"/>
        <color rgb="FF595959"/>
        <rFont val="WenQuanYi Zen Hei"/>
        <family val="2"/>
      </rPr>
      <t>基本利率で試算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</si>
  <si>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返済能力上限</t>
    </r>
  </si>
  <si>
    <r>
      <rPr>
        <sz val="10"/>
        <color rgb="FF000000"/>
        <rFont val="WenQuanYi Zen Hei"/>
        <family val="2"/>
      </rPr>
      <t>①②の小さい方</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</si>
  <si>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合計</t>
    </r>
    <r>
      <rPr>
        <i/>
        <sz val="10"/>
        <color rgb="FF595959"/>
        <rFont val="ＭＳ 明朝"/>
        <family val="1"/>
        <charset val="128"/>
      </rPr>
      <t>)</t>
    </r>
    <r>
      <rPr>
        <i/>
        <sz val="10"/>
        <color rgb="FF595959"/>
        <rFont val="WenQuanYi Zen Hei"/>
        <family val="2"/>
      </rPr>
      <t>と ② 返済能力から見た上限の小さい方</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</si>
  <si>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小さい方</t>
    </r>
  </si>
  <si>
    <r>
      <rPr>
        <sz val="10"/>
        <color rgb="FF000000"/>
        <rFont val="WenQuanYi Zen Hei"/>
        <family val="2"/>
      </rPr>
      <t>申込単位で切り捨て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</si>
  <si>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万円単位などに切り捨て</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</si>
  <si>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切捨て後</t>
    </r>
  </si>
  <si>
    <r>
      <rPr>
        <sz val="10"/>
        <color rgb="FF000000"/>
        <rFont val="WenQuanYi Zen Hei"/>
        <family val="2"/>
      </rPr>
      <t>申込可能額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</si>
  <si>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下限</t>
    </r>
    <r>
      <rPr>
        <i/>
        <sz val="10"/>
        <color rgb="FF595959"/>
        <rFont val="ＭＳ 明朝"/>
        <family val="1"/>
        <charset val="128"/>
      </rPr>
      <t>(10</t>
    </r>
    <r>
      <rPr>
        <i/>
        <sz val="10"/>
        <color rgb="FF595959"/>
        <rFont val="WenQuanYi Zen Hei"/>
        <family val="2"/>
      </rPr>
      <t>万円</t>
    </r>
    <r>
      <rPr>
        <i/>
        <sz val="10"/>
        <color rgb="FF595959"/>
        <rFont val="ＭＳ 明朝"/>
        <family val="1"/>
        <charset val="128"/>
      </rPr>
      <t>)</t>
    </r>
    <r>
      <rPr>
        <i/>
        <sz val="10"/>
        <color rgb="FF595959"/>
        <rFont val="WenQuanYi Zen Hei"/>
        <family val="2"/>
      </rPr>
      <t>未満のときは</t>
    </r>
    <r>
      <rPr>
        <i/>
        <sz val="10"/>
        <color rgb="FF595959"/>
        <rFont val="ＭＳ 明朝"/>
        <family val="1"/>
        <charset val="128"/>
      </rPr>
      <t>0</t>
    </r>
    <r>
      <rPr>
        <i/>
        <sz val="10"/>
        <color rgb="FF595959"/>
        <rFont val="WenQuanYi Zen Hei"/>
        <family val="2"/>
      </rPr>
      <t>円</t>
    </r>
    <r>
      <rPr>
        <i/>
        <sz val="10"/>
        <color rgb="FF595959"/>
        <rFont val="ＭＳ 明朝"/>
        <family val="1"/>
        <charset val="128"/>
      </rPr>
      <t>(</t>
    </r>
    <r>
      <rPr>
        <i/>
        <sz val="10"/>
        <color rgb="FF595959"/>
        <rFont val="WenQuanYi Zen Hei"/>
        <family val="2"/>
      </rPr>
      <t>申込不可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</si>
  <si>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申込可能額</t>
    </r>
  </si>
  <si>
    <t>画面の「決まった要因」に出す文</t>
  </si>
  <si>
    <r>
      <rPr>
        <sz val="9"/>
        <color rgb="FF595959"/>
        <rFont val="WenQuanYi Zen Hei"/>
        <family val="2"/>
      </rPr>
      <t>計算</t>
    </r>
    <r>
      <rPr>
        <sz val="9"/>
        <color rgb="FF595959"/>
        <rFont val="ＭＳ 明朝"/>
        <family val="1"/>
        <charset val="128"/>
      </rPr>
      <t>_</t>
    </r>
    <r>
      <rPr>
        <sz val="9"/>
        <color rgb="FF595959"/>
        <rFont val="WenQuanYi Zen Hei"/>
        <family val="2"/>
      </rPr>
      <t>決定要因</t>
    </r>
  </si>
  <si>
    <r>
      <rPr>
        <b/>
        <sz val="10"/>
        <color rgb="FF000000"/>
        <rFont val="ＭＳ 明朝"/>
        <family val="1"/>
        <charset val="128"/>
      </rPr>
      <t xml:space="preserve">E. </t>
    </r>
    <r>
      <rPr>
        <b/>
        <sz val="10"/>
        <color rgb="FF000000"/>
        <rFont val="WenQuanYi Zen Hei"/>
        <family val="2"/>
      </rPr>
      <t>申込額・償還回数・毎月償還額・返済総額</t>
    </r>
  </si>
  <si>
    <r>
      <rPr>
        <sz val="10"/>
        <color rgb="FF000000"/>
        <rFont val="WenQuanYi Zen Hei"/>
        <family val="2"/>
      </rPr>
      <t>算定に用いる申込額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</si>
  <si>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申込希望金額が空欄のときは申込可能額で試算</t>
  </si>
  <si>
    <r>
      <rPr>
        <sz val="9"/>
        <color rgb="FF595959"/>
        <rFont val="WenQuanYi Zen Hei"/>
        <family val="2"/>
      </rPr>
      <t>計算</t>
    </r>
    <r>
      <rPr>
        <sz val="9"/>
        <color rgb="FF595959"/>
        <rFont val="ＭＳ 明朝"/>
        <family val="1"/>
        <charset val="128"/>
      </rPr>
      <t>_</t>
    </r>
    <r>
      <rPr>
        <sz val="9"/>
        <color rgb="FF595959"/>
        <rFont val="WenQuanYi Zen Hei"/>
        <family val="2"/>
      </rPr>
      <t>申込額</t>
    </r>
  </si>
  <si>
    <r>
      <rPr>
        <sz val="10"/>
        <color rgb="FF000000"/>
        <rFont val="WenQuanYi Zen Hei"/>
        <family val="2"/>
      </rPr>
      <t>うち在宅介護対応部分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</si>
  <si>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申込額のうち在宅介護対応の加算部分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</si>
  <si>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在宅介護</t>
    </r>
  </si>
  <si>
    <r>
      <rPr>
        <sz val="10"/>
        <color rgb="FF000000"/>
        <rFont val="WenQuanYi Zen Hei"/>
        <family val="2"/>
      </rPr>
      <t>うち基本部分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</si>
  <si>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申込額のうち基本部分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</si>
  <si>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基本</t>
    </r>
  </si>
  <si>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</si>
  <si>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基本部分に充てるものとして計算</t>
  </si>
  <si>
    <r>
      <rPr>
        <sz val="9"/>
        <color rgb="FF595959"/>
        <rFont val="WenQuanYi Zen Hei"/>
        <family val="2"/>
      </rPr>
      <t>計算</t>
    </r>
    <r>
      <rPr>
        <sz val="9"/>
        <color rgb="FF595959"/>
        <rFont val="ＭＳ 明朝"/>
        <family val="1"/>
        <charset val="128"/>
      </rPr>
      <t>_</t>
    </r>
    <r>
      <rPr>
        <sz val="9"/>
        <color rgb="FF595959"/>
        <rFont val="WenQuanYi Zen Hei"/>
        <family val="2"/>
      </rPr>
      <t>賞与元金</t>
    </r>
  </si>
  <si>
    <t>ボーナス償還の回数</t>
  </si>
  <si>
    <r>
      <rPr>
        <sz val="9"/>
        <color rgb="FF595959"/>
        <rFont val="WenQuanYi Zen Hei"/>
        <family val="2"/>
      </rPr>
      <t>計算</t>
    </r>
    <r>
      <rPr>
        <sz val="9"/>
        <color rgb="FF595959"/>
        <rFont val="ＭＳ 明朝"/>
        <family val="1"/>
        <charset val="128"/>
      </rPr>
      <t>_</t>
    </r>
    <r>
      <rPr>
        <sz val="9"/>
        <color rgb="FF595959"/>
        <rFont val="WenQuanYi Zen Hei"/>
        <family val="2"/>
      </rPr>
      <t>賞与回数</t>
    </r>
  </si>
  <si>
    <r>
      <rPr>
        <i/>
        <sz val="10"/>
        <color rgb="FF595959"/>
        <rFont val="WenQuanYi Zen Hei"/>
        <family val="2"/>
      </rPr>
      <t>希望の毎月償還額で返済し終わるまでの回数</t>
    </r>
    <r>
      <rPr>
        <i/>
        <sz val="10"/>
        <color rgb="FF595959"/>
        <rFont val="ＭＳ 明朝"/>
        <family val="1"/>
        <charset val="128"/>
      </rPr>
      <t>(</t>
    </r>
    <r>
      <rPr>
        <i/>
        <sz val="10"/>
        <color rgb="FF595959"/>
        <rFont val="WenQuanYi Zen Hei"/>
        <family val="2"/>
      </rPr>
      <t>切り上げ</t>
    </r>
    <r>
      <rPr>
        <i/>
        <sz val="10"/>
        <color rgb="FF595959"/>
        <rFont val="ＭＳ 明朝"/>
        <family val="1"/>
        <charset val="128"/>
      </rPr>
      <t>)</t>
    </r>
    <r>
      <rPr>
        <i/>
        <sz val="10"/>
        <color rgb="FF595959"/>
        <rFont val="WenQuanYi Zen Hei"/>
        <family val="2"/>
      </rPr>
      <t>。返済できないときは</t>
    </r>
    <r>
      <rPr>
        <i/>
        <sz val="10"/>
        <color rgb="FF595959"/>
        <rFont val="ＭＳ 明朝"/>
        <family val="1"/>
        <charset val="128"/>
      </rPr>
      <t>0</t>
    </r>
  </si>
  <si>
    <r>
      <rPr>
        <sz val="9"/>
        <color rgb="FF595959"/>
        <rFont val="WenQuanYi Zen Hei"/>
        <family val="2"/>
      </rPr>
      <t>計算</t>
    </r>
    <r>
      <rPr>
        <sz val="9"/>
        <color rgb="FF595959"/>
        <rFont val="ＭＳ 明朝"/>
        <family val="1"/>
        <charset val="128"/>
      </rPr>
      <t>_</t>
    </r>
    <r>
      <rPr>
        <sz val="9"/>
        <color rgb="FF595959"/>
        <rFont val="WenQuanYi Zen Hei"/>
        <family val="2"/>
      </rPr>
      <t>回数</t>
    </r>
    <r>
      <rPr>
        <sz val="9"/>
        <color rgb="FF595959"/>
        <rFont val="ＭＳ 明朝"/>
        <family val="1"/>
        <charset val="128"/>
      </rPr>
      <t>_</t>
    </r>
    <r>
      <rPr>
        <sz val="9"/>
        <color rgb="FF595959"/>
        <rFont val="WenQuanYi Zen Hei"/>
        <family val="2"/>
      </rPr>
      <t>月額から逆算</t>
    </r>
  </si>
  <si>
    <r>
      <rPr>
        <sz val="10"/>
        <color rgb="FF000000"/>
        <rFont val="WenQuanYi Zen Hei"/>
        <family val="2"/>
      </rPr>
      <t>毎月償還の回数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</si>
  <si>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回数を入力した場合はその回数、回数が空欄で毎月額を入力した場合は逆算した回数、両方空欄の場合は上限回数</t>
  </si>
  <si>
    <r>
      <rPr>
        <sz val="9"/>
        <color rgb="FF595959"/>
        <rFont val="WenQuanYi Zen Hei"/>
        <family val="2"/>
      </rPr>
      <t>計算</t>
    </r>
    <r>
      <rPr>
        <sz val="9"/>
        <color rgb="FF595959"/>
        <rFont val="ＭＳ 明朝"/>
        <family val="1"/>
        <charset val="128"/>
      </rPr>
      <t>_</t>
    </r>
    <r>
      <rPr>
        <sz val="9"/>
        <color rgb="FF595959"/>
        <rFont val="WenQuanYi Zen Hei"/>
        <family val="2"/>
      </rPr>
      <t>償還回数</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</si>
  <si>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マスタ「利息の端数処理」で選ぶ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</si>
  <si>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利息端数番号</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</si>
  <si>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マスタ「毎月償還額の端数処理」で選ぶ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</si>
  <si>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月額端数番号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</si>
  <si>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基本部分・円未満含む</t>
    </r>
    <r>
      <rPr>
        <sz val="10"/>
        <color rgb="FF000000"/>
        <rFont val="ＭＳ 明朝"/>
        <family val="1"/>
        <charset val="128"/>
      </rPr>
      <t>)</t>
    </r>
  </si>
  <si>
    <t>元利均等</t>
  </si>
  <si>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</si>
  <si>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在宅介護部分・円未満含む</t>
    </r>
    <r>
      <rPr>
        <sz val="10"/>
        <color rgb="FF000000"/>
        <rFont val="ＭＳ 明朝"/>
        <family val="1"/>
        <charset val="128"/>
      </rPr>
      <t>)</t>
    </r>
  </si>
  <si>
    <r>
      <rPr>
        <i/>
        <sz val="10"/>
        <color rgb="FF595959"/>
        <rFont val="WenQuanYi Zen Hei"/>
        <family val="2"/>
      </rPr>
      <t>元利均等の毎月償還額</t>
    </r>
    <r>
      <rPr>
        <i/>
        <sz val="10"/>
        <color rgb="FF595959"/>
        <rFont val="ＭＳ 明朝"/>
        <family val="1"/>
        <charset val="128"/>
      </rPr>
      <t>(</t>
    </r>
    <r>
      <rPr>
        <i/>
        <sz val="10"/>
        <color rgb="FF595959"/>
        <rFont val="WenQuanYi Zen Hei"/>
        <family val="2"/>
      </rPr>
      <t>在宅介護部分</t>
    </r>
    <r>
      <rPr>
        <i/>
        <sz val="10"/>
        <color rgb="FF595959"/>
        <rFont val="ＭＳ 明朝"/>
        <family val="1"/>
        <charset val="128"/>
      </rPr>
      <t>)</t>
    </r>
    <r>
      <rPr>
        <i/>
        <sz val="10"/>
        <color rgb="FF595959"/>
        <rFont val="WenQuanYi Zen Hei"/>
        <family val="2"/>
      </rPr>
      <t>。</t>
    </r>
    <r>
      <rPr>
        <i/>
        <sz val="10"/>
        <color rgb="FF595959"/>
        <rFont val="ＭＳ 明朝"/>
        <family val="1"/>
        <charset val="128"/>
      </rPr>
      <t>PMT</t>
    </r>
    <r>
      <rPr>
        <i/>
        <sz val="10"/>
        <color rgb="FF595959"/>
        <rFont val="WenQuanYi Zen Hei"/>
        <family val="2"/>
      </rPr>
      <t>関数</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</si>
  <si>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</si>
  <si>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基本部分・円未満処理後</t>
    </r>
    <r>
      <rPr>
        <sz val="10"/>
        <color rgb="FF000000"/>
        <rFont val="ＭＳ 明朝"/>
        <family val="1"/>
        <charset val="128"/>
      </rPr>
      <t>)</t>
    </r>
  </si>
  <si>
    <r>
      <rPr>
        <i/>
        <sz val="10"/>
        <color rgb="FF595959"/>
        <rFont val="ＭＳ 明朝"/>
        <family val="1"/>
        <charset val="128"/>
      </rPr>
      <t>PMT</t>
    </r>
    <r>
      <rPr>
        <i/>
        <sz val="10"/>
        <color rgb="FF595959"/>
        <rFont val="WenQuanYi Zen Hei"/>
        <family val="2"/>
      </rPr>
      <t>の結果を、設定した端数処理で円にしたもの</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</si>
  <si>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基本整数</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</si>
  <si>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在宅介護部分・円未満処理後</t>
    </r>
    <r>
      <rPr>
        <sz val="10"/>
        <color rgb="FF000000"/>
        <rFont val="ＭＳ 明朝"/>
        <family val="1"/>
        <charset val="128"/>
      </rPr>
      <t>)</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</si>
  <si>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在宅介護対応の加算部分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</si>
  <si>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在宅介護整数</t>
    </r>
  </si>
  <si>
    <r>
      <rPr>
        <sz val="10"/>
        <color rgb="FF000000"/>
        <rFont val="WenQuanYi Zen Hei"/>
        <family val="2"/>
      </rPr>
      <t>毎月償還額</t>
    </r>
    <r>
      <rPr>
        <sz val="10"/>
        <color rgb="FF000000"/>
        <rFont val="ＭＳ 明朝"/>
        <family val="1"/>
        <charset val="128"/>
      </rPr>
      <t>(D)</t>
    </r>
  </si>
  <si>
    <r>
      <rPr>
        <i/>
        <sz val="10"/>
        <color rgb="FF595959"/>
        <rFont val="WenQuanYi Zen Hei"/>
        <family val="2"/>
      </rPr>
      <t>画面に出す毎月償還額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</si>
  <si>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毎月償還額</t>
    </r>
  </si>
  <si>
    <r>
      <rPr>
        <sz val="10"/>
        <color rgb="FF000000"/>
        <rFont val="WenQuanYi Zen Hei"/>
        <family val="2"/>
      </rPr>
      <t>ボーナス償還の期間利率</t>
    </r>
    <r>
      <rPr>
        <sz val="10"/>
        <color rgb="FF000000"/>
        <rFont val="ＭＳ 明朝"/>
        <family val="1"/>
        <charset val="128"/>
      </rPr>
      <t>(</t>
    </r>
    <r>
      <rPr>
        <sz val="10"/>
        <color rgb="FF000000"/>
        <rFont val="WenQuanYi Zen Hei"/>
        <family val="2"/>
      </rPr>
      <t>半年</t>
    </r>
    <r>
      <rPr>
        <sz val="10"/>
        <color rgb="FF000000"/>
        <rFont val="ＭＳ 明朝"/>
        <family val="1"/>
        <charset val="128"/>
      </rPr>
      <t>)</t>
    </r>
  </si>
  <si>
    <t>月利を半年分に複利換算</t>
  </si>
  <si>
    <r>
      <rPr>
        <sz val="9"/>
        <color rgb="FF595959"/>
        <rFont val="WenQuanYi Zen Hei"/>
        <family val="2"/>
      </rPr>
      <t>計算</t>
    </r>
    <r>
      <rPr>
        <sz val="9"/>
        <color rgb="FF595959"/>
        <rFont val="ＭＳ 明朝"/>
        <family val="1"/>
        <charset val="128"/>
      </rPr>
      <t>_</t>
    </r>
    <r>
      <rPr>
        <sz val="9"/>
        <color rgb="FF595959"/>
        <rFont val="WenQuanYi Zen Hei"/>
        <family val="2"/>
      </rPr>
      <t>賞与期間利率</t>
    </r>
  </si>
  <si>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回・円未満含む</t>
    </r>
    <r>
      <rPr>
        <sz val="10"/>
        <color rgb="FF000000"/>
        <rFont val="ＭＳ 明朝"/>
        <family val="1"/>
        <charset val="128"/>
      </rPr>
      <t>)</t>
    </r>
  </si>
  <si>
    <r>
      <rPr>
        <i/>
        <sz val="10"/>
        <color rgb="FF595959"/>
        <rFont val="WenQuanYi Zen Hei"/>
        <family val="2"/>
      </rPr>
      <t>ボーナス</t>
    </r>
    <r>
      <rPr>
        <i/>
        <sz val="10"/>
        <color rgb="FF595959"/>
        <rFont val="ＭＳ 明朝"/>
        <family val="1"/>
        <charset val="128"/>
      </rPr>
      <t>1</t>
    </r>
    <r>
      <rPr>
        <i/>
        <sz val="10"/>
        <color rgb="FF595959"/>
        <rFont val="WenQuanYi Zen Hei"/>
        <family val="2"/>
      </rPr>
      <t>回の償還額</t>
    </r>
    <r>
      <rPr>
        <i/>
        <sz val="10"/>
        <color rgb="FF595959"/>
        <rFont val="ＭＳ 明朝"/>
        <family val="1"/>
        <charset val="128"/>
      </rPr>
      <t>(PMT</t>
    </r>
    <r>
      <rPr>
        <i/>
        <sz val="10"/>
        <color rgb="FF595959"/>
        <rFont val="WenQuanYi Zen Hei"/>
        <family val="2"/>
      </rPr>
      <t>関数</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</si>
  <si>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賞与額</t>
    </r>
    <r>
      <rPr>
        <sz val="9"/>
        <color rgb="FF595959"/>
        <rFont val="ＭＳ 明朝"/>
        <family val="1"/>
        <charset val="128"/>
      </rPr>
      <t>_</t>
    </r>
    <r>
      <rPr>
        <sz val="9"/>
        <color rgb="FF595959"/>
        <rFont val="WenQuanYi Zen Hei"/>
        <family val="2"/>
      </rPr>
      <t>円未満</t>
    </r>
  </si>
  <si>
    <r>
      <rPr>
        <sz val="10"/>
        <color rgb="FF000000"/>
        <rFont val="WenQuanYi Zen Hei"/>
        <family val="2"/>
      </rPr>
      <t>ボーナス償還額</t>
    </r>
    <r>
      <rPr>
        <sz val="10"/>
        <color rgb="FF000000"/>
        <rFont val="ＭＳ 明朝"/>
        <family val="1"/>
        <charset val="128"/>
      </rPr>
      <t>(I)</t>
    </r>
  </si>
  <si>
    <r>
      <rPr>
        <i/>
        <sz val="10"/>
        <color rgb="FF595959"/>
        <rFont val="WenQuanYi Zen Hei"/>
        <family val="2"/>
      </rPr>
      <t>画面に出すボーナス償還額</t>
    </r>
    <r>
      <rPr>
        <i/>
        <sz val="10"/>
        <color rgb="FF595959"/>
        <rFont val="ＭＳ 明朝"/>
        <family val="1"/>
        <charset val="128"/>
      </rPr>
      <t>(</t>
    </r>
    <r>
      <rPr>
        <i/>
        <sz val="10"/>
        <color rgb="FF595959"/>
        <rFont val="WenQuanYi Zen Hei"/>
        <family val="2"/>
      </rPr>
      <t>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</si>
  <si>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賞与償還額</t>
    </r>
  </si>
  <si>
    <r>
      <rPr>
        <sz val="10"/>
        <color rgb="FF000000"/>
        <rFont val="WenQuanYi Zen Hei"/>
        <family val="2"/>
      </rPr>
      <t>最終回の毎月償還額</t>
    </r>
    <r>
      <rPr>
        <sz val="10"/>
        <color rgb="FF000000"/>
        <rFont val="ＭＳ 明朝"/>
        <family val="1"/>
        <charset val="128"/>
      </rPr>
      <t>(</t>
    </r>
    <r>
      <rPr>
        <sz val="10"/>
        <color rgb="FF000000"/>
        <rFont val="WenQuanYi Zen Hei"/>
        <family val="2"/>
      </rPr>
      <t>端数調整後</t>
    </r>
    <r>
      <rPr>
        <sz val="10"/>
        <color rgb="FF000000"/>
        <rFont val="ＭＳ 明朝"/>
        <family val="1"/>
        <charset val="128"/>
      </rPr>
      <t>)</t>
    </r>
  </si>
  <si>
    <t>元金の端数を最終回で調整した額</t>
  </si>
  <si>
    <r>
      <rPr>
        <sz val="9"/>
        <color rgb="FF595959"/>
        <rFont val="WenQuanYi Zen Hei"/>
        <family val="2"/>
      </rPr>
      <t>計算</t>
    </r>
    <r>
      <rPr>
        <sz val="9"/>
        <color rgb="FF595959"/>
        <rFont val="ＭＳ 明朝"/>
        <family val="1"/>
        <charset val="128"/>
      </rPr>
      <t>_</t>
    </r>
    <r>
      <rPr>
        <sz val="9"/>
        <color rgb="FF595959"/>
        <rFont val="WenQuanYi Zen Hei"/>
        <family val="2"/>
      </rPr>
      <t>最終回償還額</t>
    </r>
  </si>
  <si>
    <r>
      <rPr>
        <sz val="10"/>
        <color rgb="FF000000"/>
        <rFont val="WenQuanYi Zen Hei"/>
        <family val="2"/>
      </rPr>
      <t>返済総額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</si>
  <si>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償還表の合計</t>
    </r>
    <r>
      <rPr>
        <i/>
        <sz val="10"/>
        <color rgb="FF595959"/>
        <rFont val="ＭＳ 明朝"/>
        <family val="1"/>
        <charset val="128"/>
      </rPr>
      <t>(</t>
    </r>
    <r>
      <rPr>
        <i/>
        <sz val="10"/>
        <color rgb="FF595959"/>
        <rFont val="WenQuanYi Zen Hei"/>
        <family val="2"/>
      </rPr>
      <t>最後の回の端数調整を含む</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</si>
  <si>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返済総額</t>
    </r>
  </si>
  <si>
    <r>
      <rPr>
        <sz val="10"/>
        <color rgb="FF000000"/>
        <rFont val="WenQuanYi Zen Hei"/>
        <family val="2"/>
      </rPr>
      <t>利息総額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</si>
  <si>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返済総額 − 申込額</t>
  </si>
  <si>
    <r>
      <rPr>
        <sz val="9"/>
        <color rgb="FF595959"/>
        <rFont val="WenQuanYi Zen Hei"/>
        <family val="2"/>
      </rPr>
      <t>計算</t>
    </r>
    <r>
      <rPr>
        <sz val="9"/>
        <color rgb="FF595959"/>
        <rFont val="ＭＳ 明朝"/>
        <family val="1"/>
        <charset val="128"/>
      </rPr>
      <t>_</t>
    </r>
    <r>
      <rPr>
        <sz val="9"/>
        <color rgb="FF595959"/>
        <rFont val="WenQuanYi Zen Hei"/>
        <family val="2"/>
      </rPr>
      <t>利息総額</t>
    </r>
  </si>
  <si>
    <r>
      <rPr>
        <b/>
        <sz val="10"/>
        <color rgb="FF000000"/>
        <rFont val="ＭＳ 明朝"/>
        <family val="1"/>
        <charset val="128"/>
      </rPr>
      <t xml:space="preserve">F. </t>
    </r>
    <r>
      <rPr>
        <b/>
        <sz val="10"/>
        <color rgb="FF000000"/>
        <rFont val="WenQuanYi Zen Hei"/>
        <family val="2"/>
      </rPr>
      <t>借入状況等申告書の計算</t>
    </r>
    <r>
      <rPr>
        <b/>
        <sz val="10"/>
        <color rgb="FF000000"/>
        <rFont val="ＭＳ 明朝"/>
        <family val="1"/>
        <charset val="128"/>
      </rPr>
      <t>(E÷K</t>
    </r>
    <r>
      <rPr>
        <b/>
        <sz val="10"/>
        <color rgb="FF000000"/>
        <rFont val="WenQuanYi Zen Hei"/>
        <family val="2"/>
      </rPr>
      <t>、</t>
    </r>
    <r>
      <rPr>
        <b/>
        <sz val="10"/>
        <color rgb="FF000000"/>
        <rFont val="ＭＳ 明朝"/>
        <family val="1"/>
        <charset val="128"/>
      </rPr>
      <t xml:space="preserve">L÷M </t>
    </r>
    <r>
      <rPr>
        <b/>
        <sz val="10"/>
        <color rgb="FF000000"/>
        <rFont val="WenQuanYi Zen Hei"/>
        <family val="2"/>
      </rPr>
      <t>の</t>
    </r>
    <r>
      <rPr>
        <b/>
        <sz val="10"/>
        <color rgb="FF000000"/>
        <rFont val="ＭＳ 明朝"/>
        <family val="1"/>
        <charset val="128"/>
      </rPr>
      <t>30%</t>
    </r>
    <r>
      <rPr>
        <b/>
        <sz val="10"/>
        <color rgb="FF000000"/>
        <rFont val="WenQuanYi Zen Hei"/>
        <family val="2"/>
      </rPr>
      <t>チェック</t>
    </r>
    <r>
      <rPr>
        <b/>
        <sz val="10"/>
        <color rgb="FF000000"/>
        <rFont val="ＭＳ 明朝"/>
        <family val="1"/>
        <charset val="128"/>
      </rPr>
      <t>)</t>
    </r>
  </si>
  <si>
    <r>
      <rPr>
        <i/>
        <sz val="10"/>
        <color rgb="FF595959"/>
        <rFont val="WenQuanYi Zen Hei"/>
        <family val="2"/>
      </rPr>
      <t>借入状況等申告書の</t>
    </r>
    <r>
      <rPr>
        <i/>
        <sz val="10"/>
        <color rgb="FF595959"/>
        <rFont val="ＭＳ 明朝"/>
        <family val="1"/>
        <charset val="128"/>
      </rPr>
      <t>(E)</t>
    </r>
  </si>
  <si>
    <r>
      <rPr>
        <sz val="9"/>
        <color rgb="FF595959"/>
        <rFont val="WenQuanYi Zen Hei"/>
        <family val="2"/>
      </rPr>
      <t>計算</t>
    </r>
    <r>
      <rPr>
        <sz val="9"/>
        <color rgb="FF595959"/>
        <rFont val="ＭＳ 明朝"/>
        <family val="1"/>
        <charset val="128"/>
      </rPr>
      <t>_E</t>
    </r>
    <r>
      <rPr>
        <sz val="9"/>
        <color rgb="FF595959"/>
        <rFont val="WenQuanYi Zen Hei"/>
        <family val="2"/>
      </rPr>
      <t>毎月償還計</t>
    </r>
  </si>
  <si>
    <r>
      <rPr>
        <i/>
        <sz val="10"/>
        <color rgb="FF595959"/>
        <rFont val="WenQuanYi Zen Hei"/>
        <family val="2"/>
      </rPr>
      <t>借入状況等申告書の</t>
    </r>
    <r>
      <rPr>
        <i/>
        <sz val="10"/>
        <color rgb="FF595959"/>
        <rFont val="ＭＳ 明朝"/>
        <family val="1"/>
        <charset val="128"/>
      </rPr>
      <t>(J)</t>
    </r>
  </si>
  <si>
    <r>
      <rPr>
        <sz val="9"/>
        <color rgb="FF595959"/>
        <rFont val="WenQuanYi Zen Hei"/>
        <family val="2"/>
      </rPr>
      <t>計算</t>
    </r>
    <r>
      <rPr>
        <sz val="9"/>
        <color rgb="FF595959"/>
        <rFont val="ＭＳ 明朝"/>
        <family val="1"/>
        <charset val="128"/>
      </rPr>
      <t>_J</t>
    </r>
    <r>
      <rPr>
        <sz val="9"/>
        <color rgb="FF595959"/>
        <rFont val="WenQuanYi Zen Hei"/>
        <family val="2"/>
      </rPr>
      <t>賞与償還計</t>
    </r>
  </si>
  <si>
    <r>
      <rPr>
        <i/>
        <sz val="10"/>
        <color rgb="FF595959"/>
        <rFont val="WenQuanYi Zen Hei"/>
        <family val="2"/>
      </rPr>
      <t>借入状況等申告書の</t>
    </r>
    <r>
      <rPr>
        <i/>
        <sz val="10"/>
        <color rgb="FF595959"/>
        <rFont val="ＭＳ 明朝"/>
        <family val="1"/>
        <charset val="128"/>
      </rPr>
      <t>(K)</t>
    </r>
  </si>
  <si>
    <r>
      <rPr>
        <sz val="9"/>
        <color rgb="FF595959"/>
        <rFont val="WenQuanYi Zen Hei"/>
        <family val="2"/>
      </rPr>
      <t>計算</t>
    </r>
    <r>
      <rPr>
        <sz val="9"/>
        <color rgb="FF595959"/>
        <rFont val="ＭＳ 明朝"/>
        <family val="1"/>
        <charset val="128"/>
      </rPr>
      <t>_K</t>
    </r>
    <r>
      <rPr>
        <sz val="9"/>
        <color rgb="FF595959"/>
        <rFont val="WenQuanYi Zen Hei"/>
        <family val="2"/>
      </rPr>
      <t>給料月額</t>
    </r>
  </si>
  <si>
    <r>
      <rPr>
        <sz val="10"/>
        <color rgb="FF000000"/>
        <rFont val="WenQuanYi Zen Hei"/>
        <family val="2"/>
      </rPr>
      <t>毎月償還額の割合</t>
    </r>
    <r>
      <rPr>
        <sz val="10"/>
        <color rgb="FF000000"/>
        <rFont val="ＭＳ 明朝"/>
        <family val="1"/>
        <charset val="128"/>
      </rPr>
      <t>(E÷K)</t>
    </r>
  </si>
  <si>
    <r>
      <rPr>
        <i/>
        <sz val="10"/>
        <color rgb="FF595959"/>
        <rFont val="WenQuanYi Zen Hei"/>
        <family val="2"/>
      </rPr>
      <t>毎月償還額の割合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</si>
  <si>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月額割合</t>
    </r>
  </si>
  <si>
    <r>
      <rPr>
        <i/>
        <sz val="10"/>
        <color rgb="FF595959"/>
        <rFont val="WenQuanYi Zen Hei"/>
        <family val="2"/>
      </rPr>
      <t>借入状況等申告書の</t>
    </r>
    <r>
      <rPr>
        <i/>
        <sz val="10"/>
        <color rgb="FF595959"/>
        <rFont val="ＭＳ 明朝"/>
        <family val="1"/>
        <charset val="128"/>
      </rPr>
      <t>(L)=E×12+J×2</t>
    </r>
  </si>
  <si>
    <r>
      <rPr>
        <sz val="9"/>
        <color rgb="FF595959"/>
        <rFont val="WenQuanYi Zen Hei"/>
        <family val="2"/>
      </rPr>
      <t>計算</t>
    </r>
    <r>
      <rPr>
        <sz val="9"/>
        <color rgb="FF595959"/>
        <rFont val="ＭＳ 明朝"/>
        <family val="1"/>
        <charset val="128"/>
      </rPr>
      <t>_L</t>
    </r>
    <r>
      <rPr>
        <sz val="9"/>
        <color rgb="FF595959"/>
        <rFont val="WenQuanYi Zen Hei"/>
        <family val="2"/>
      </rPr>
      <t>年間償還額</t>
    </r>
  </si>
  <si>
    <r>
      <rPr>
        <i/>
        <sz val="10"/>
        <color rgb="FF595959"/>
        <rFont val="WenQuanYi Zen Hei"/>
        <family val="2"/>
      </rPr>
      <t>借入状況等申告書の</t>
    </r>
    <r>
      <rPr>
        <i/>
        <sz val="10"/>
        <color rgb="FF595959"/>
        <rFont val="ＭＳ 明朝"/>
        <family val="1"/>
        <charset val="128"/>
      </rPr>
      <t>(M)=K×(12+4)</t>
    </r>
  </si>
  <si>
    <r>
      <rPr>
        <sz val="9"/>
        <color rgb="FF595959"/>
        <rFont val="WenQuanYi Zen Hei"/>
        <family val="2"/>
      </rPr>
      <t>計算</t>
    </r>
    <r>
      <rPr>
        <sz val="9"/>
        <color rgb="FF595959"/>
        <rFont val="ＭＳ 明朝"/>
        <family val="1"/>
        <charset val="128"/>
      </rPr>
      <t>_M</t>
    </r>
    <r>
      <rPr>
        <sz val="9"/>
        <color rgb="FF595959"/>
        <rFont val="WenQuanYi Zen Hei"/>
        <family val="2"/>
      </rPr>
      <t>年収額</t>
    </r>
  </si>
  <si>
    <r>
      <rPr>
        <sz val="10"/>
        <color rgb="FF000000"/>
        <rFont val="WenQuanYi Zen Hei"/>
        <family val="2"/>
      </rPr>
      <t>年間償還額の割合</t>
    </r>
    <r>
      <rPr>
        <sz val="10"/>
        <color rgb="FF000000"/>
        <rFont val="ＭＳ 明朝"/>
        <family val="1"/>
        <charset val="128"/>
      </rPr>
      <t>(L÷M)</t>
    </r>
  </si>
  <si>
    <r>
      <rPr>
        <i/>
        <sz val="10"/>
        <color rgb="FF595959"/>
        <rFont val="WenQuanYi Zen Hei"/>
        <family val="2"/>
      </rPr>
      <t>年間償還額の割合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</si>
  <si>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年額割合</t>
    </r>
  </si>
  <si>
    <r>
      <rPr>
        <b/>
        <sz val="10"/>
        <color rgb="FF000000"/>
        <rFont val="ＭＳ 明朝"/>
        <family val="1"/>
        <charset val="128"/>
      </rPr>
      <t xml:space="preserve">G. </t>
    </r>
    <r>
      <rPr>
        <b/>
        <sz val="10"/>
        <color rgb="FF000000"/>
        <rFont val="WenQuanYi Zen Hei"/>
        <family val="2"/>
      </rPr>
      <t>日程</t>
    </r>
    <r>
      <rPr>
        <b/>
        <sz val="10"/>
        <color rgb="FF000000"/>
        <rFont val="ＭＳ 明朝"/>
        <family val="1"/>
        <charset val="128"/>
      </rPr>
      <t>(</t>
    </r>
    <r>
      <rPr>
        <b/>
        <sz val="10"/>
        <color rgb="FF000000"/>
        <rFont val="WenQuanYi Zen Hei"/>
        <family val="2"/>
      </rPr>
      <t>締切日・交付日・償還開始</t>
    </r>
    <r>
      <rPr>
        <b/>
        <sz val="10"/>
        <color rgb="FF000000"/>
        <rFont val="ＭＳ 明朝"/>
        <family val="1"/>
        <charset val="128"/>
      </rPr>
      <t>/</t>
    </r>
    <r>
      <rPr>
        <b/>
        <sz val="10"/>
        <color rgb="FF000000"/>
        <rFont val="WenQuanYi Zen Hei"/>
        <family val="2"/>
      </rPr>
      <t>終了・交付後の提出期限</t>
    </r>
    <r>
      <rPr>
        <b/>
        <sz val="10"/>
        <color rgb="FF000000"/>
        <rFont val="ＭＳ 明朝"/>
        <family val="1"/>
        <charset val="128"/>
      </rPr>
      <t>)</t>
    </r>
  </si>
  <si>
    <t>休日・祝日の場合は翌開庁日</t>
  </si>
  <si>
    <r>
      <rPr>
        <sz val="9"/>
        <color rgb="FF595959"/>
        <rFont val="WenQuanYi Zen Hei"/>
        <family val="2"/>
      </rPr>
      <t>計算</t>
    </r>
    <r>
      <rPr>
        <sz val="9"/>
        <color rgb="FF595959"/>
        <rFont val="ＭＳ 明朝"/>
        <family val="1"/>
        <charset val="128"/>
      </rPr>
      <t>_</t>
    </r>
    <r>
      <rPr>
        <sz val="9"/>
        <color rgb="FF595959"/>
        <rFont val="WenQuanYi Zen Hei"/>
        <family val="2"/>
      </rPr>
      <t>今月締切</t>
    </r>
  </si>
  <si>
    <r>
      <rPr>
        <sz val="9"/>
        <color rgb="FF595959"/>
        <rFont val="WenQuanYi Zen Hei"/>
        <family val="2"/>
      </rPr>
      <t>計算</t>
    </r>
    <r>
      <rPr>
        <sz val="9"/>
        <color rgb="FF595959"/>
        <rFont val="ＭＳ 明朝"/>
        <family val="1"/>
        <charset val="128"/>
      </rPr>
      <t>_</t>
    </r>
    <r>
      <rPr>
        <sz val="9"/>
        <color rgb="FF595959"/>
        <rFont val="WenQuanYi Zen Hei"/>
        <family val="2"/>
      </rPr>
      <t>翌月締切</t>
    </r>
  </si>
  <si>
    <r>
      <rPr>
        <sz val="10"/>
        <color rgb="FF000000"/>
        <rFont val="WenQuanYi Zen Hei"/>
        <family val="2"/>
      </rPr>
      <t>申込締切日</t>
    </r>
    <r>
      <rPr>
        <sz val="10"/>
        <color rgb="FF000000"/>
        <rFont val="ＭＳ 明朝"/>
        <family val="1"/>
        <charset val="128"/>
      </rPr>
      <t>(</t>
    </r>
    <r>
      <rPr>
        <sz val="10"/>
        <color rgb="FF000000"/>
        <rFont val="WenQuanYi Zen Hei"/>
        <family val="2"/>
      </rPr>
      <t>申込予定日に対する</t>
    </r>
    <r>
      <rPr>
        <sz val="10"/>
        <color rgb="FF000000"/>
        <rFont val="ＭＳ 明朝"/>
        <family val="1"/>
        <charset val="128"/>
      </rPr>
      <t>)</t>
    </r>
  </si>
  <si>
    <t>申込予定日が今月の締切日を過ぎていれば翌月の締切日</t>
  </si>
  <si>
    <r>
      <rPr>
        <sz val="9"/>
        <color rgb="FF595959"/>
        <rFont val="WenQuanYi Zen Hei"/>
        <family val="2"/>
      </rPr>
      <t>計算</t>
    </r>
    <r>
      <rPr>
        <sz val="9"/>
        <color rgb="FF595959"/>
        <rFont val="ＭＳ 明朝"/>
        <family val="1"/>
        <charset val="128"/>
      </rPr>
      <t>_</t>
    </r>
    <r>
      <rPr>
        <sz val="9"/>
        <color rgb="FF595959"/>
        <rFont val="WenQuanYi Zen Hei"/>
        <family val="2"/>
      </rPr>
      <t>申込締切日</t>
    </r>
  </si>
  <si>
    <r>
      <rPr>
        <i/>
        <sz val="10"/>
        <color rgb="FF595959"/>
        <rFont val="WenQuanYi Zen Hei"/>
        <family val="2"/>
      </rPr>
      <t>締切日の同月末日</t>
    </r>
    <r>
      <rPr>
        <i/>
        <sz val="10"/>
        <color rgb="FF595959"/>
        <rFont val="ＭＳ 明朝"/>
        <family val="1"/>
        <charset val="128"/>
      </rPr>
      <t>(</t>
    </r>
    <r>
      <rPr>
        <i/>
        <sz val="10"/>
        <color rgb="FF595959"/>
        <rFont val="WenQuanYi Zen Hei"/>
        <family val="2"/>
      </rPr>
      <t>休日・祝日の場合は前日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</si>
  <si>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交付日</t>
    </r>
  </si>
  <si>
    <r>
      <rPr>
        <sz val="9"/>
        <color rgb="FF595959"/>
        <rFont val="WenQuanYi Zen Hei"/>
        <family val="2"/>
      </rPr>
      <t>計算</t>
    </r>
    <r>
      <rPr>
        <sz val="9"/>
        <color rgb="FF595959"/>
        <rFont val="ＭＳ 明朝"/>
        <family val="1"/>
        <charset val="128"/>
      </rPr>
      <t>_</t>
    </r>
    <r>
      <rPr>
        <sz val="9"/>
        <color rgb="FF595959"/>
        <rFont val="WenQuanYi Zen Hei"/>
        <family val="2"/>
      </rPr>
      <t>償還開始</t>
    </r>
  </si>
  <si>
    <t>償還開始から、償還回数分あとの月</t>
  </si>
  <si>
    <r>
      <rPr>
        <sz val="9"/>
        <color rgb="FF595959"/>
        <rFont val="WenQuanYi Zen Hei"/>
        <family val="2"/>
      </rPr>
      <t>計算</t>
    </r>
    <r>
      <rPr>
        <sz val="9"/>
        <color rgb="FF595959"/>
        <rFont val="ＭＳ 明朝"/>
        <family val="1"/>
        <charset val="128"/>
      </rPr>
      <t>_</t>
    </r>
    <r>
      <rPr>
        <sz val="9"/>
        <color rgb="FF595959"/>
        <rFont val="WenQuanYi Zen Hei"/>
        <family val="2"/>
      </rPr>
      <t>償還終了</t>
    </r>
  </si>
  <si>
    <r>
      <rPr>
        <sz val="10"/>
        <color rgb="FF000000"/>
        <rFont val="WenQuanYi Zen Hei"/>
        <family val="2"/>
      </rPr>
      <t>償還期間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</si>
  <si>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償還期間表示</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</si>
  <si>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交付日から</t>
    </r>
  </si>
  <si>
    <r>
      <rPr>
        <i/>
        <sz val="10"/>
        <color rgb="FF595959"/>
        <rFont val="WenQuanYi Zen Hei"/>
        <family val="2"/>
      </rPr>
      <t xml:space="preserve">貸付金交付日 </t>
    </r>
    <r>
      <rPr>
        <i/>
        <sz val="10"/>
        <color rgb="FF595959"/>
        <rFont val="ＭＳ 明朝"/>
        <family val="1"/>
        <charset val="128"/>
      </rPr>
      <t xml:space="preserve">+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</si>
  <si>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交付日起算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</si>
  <si>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事由発生日から</t>
    </r>
  </si>
  <si>
    <r>
      <rPr>
        <i/>
        <sz val="10"/>
        <color rgb="FF595959"/>
        <rFont val="WenQuanYi Zen Hei"/>
        <family val="2"/>
      </rPr>
      <t>事由発生日</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 xml:space="preserve">) +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</si>
  <si>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事由日起算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</si>
  <si>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入学</t>
    </r>
  </si>
  <si>
    <t>入学後に申込んだときは交付日から、入学前に申込んだときは入学日から</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</si>
  <si>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入学</t>
    </r>
  </si>
  <si>
    <t>交付日・事由日・入学のどれで起算するかは、マスタ区分表の「期限の起算」で決まる</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</si>
  <si>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</si>
  <si>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適用</t>
    </r>
    <r>
      <rPr>
        <sz val="10"/>
        <color rgb="FF000000"/>
        <rFont val="ＭＳ 明朝"/>
        <family val="1"/>
        <charset val="128"/>
      </rPr>
      <t>)</t>
    </r>
  </si>
  <si>
    <t>災害住宅・災害再貸付は『住宅書類の区分』の選択で決定</t>
  </si>
  <si>
    <r>
      <rPr>
        <sz val="9"/>
        <color rgb="FF595959"/>
        <rFont val="WenQuanYi Zen Hei"/>
        <family val="2"/>
      </rPr>
      <t>計算</t>
    </r>
    <r>
      <rPr>
        <sz val="9"/>
        <color rgb="FF595959"/>
        <rFont val="ＭＳ 明朝"/>
        <family val="1"/>
        <charset val="128"/>
      </rPr>
      <t>_</t>
    </r>
    <r>
      <rPr>
        <sz val="9"/>
        <color rgb="FF595959"/>
        <rFont val="WenQuanYi Zen Hei"/>
        <family val="2"/>
      </rPr>
      <t>住宅書類列適用</t>
    </r>
  </si>
  <si>
    <r>
      <rPr>
        <b/>
        <sz val="10"/>
        <color rgb="FF000000"/>
        <rFont val="ＭＳ 明朝"/>
        <family val="1"/>
        <charset val="128"/>
      </rPr>
      <t xml:space="preserve">H. </t>
    </r>
    <r>
      <rPr>
        <b/>
        <sz val="10"/>
        <color rgb="FF000000"/>
        <rFont val="WenQuanYi Zen Hei"/>
        <family val="2"/>
      </rPr>
      <t>判定の補助</t>
    </r>
    <r>
      <rPr>
        <b/>
        <sz val="10"/>
        <color rgb="FF000000"/>
        <rFont val="ＭＳ 明朝"/>
        <family val="1"/>
        <charset val="128"/>
      </rPr>
      <t>(</t>
    </r>
    <r>
      <rPr>
        <b/>
        <sz val="10"/>
        <color rgb="FF000000"/>
        <rFont val="WenQuanYi Zen Hei"/>
        <family val="2"/>
      </rPr>
      <t>他の借入の合計、申込可能期間、</t>
    </r>
    <r>
      <rPr>
        <b/>
        <sz val="10"/>
        <color rgb="FF000000"/>
        <rFont val="ＭＳ 明朝"/>
        <family val="1"/>
        <charset val="128"/>
      </rPr>
      <t>30%</t>
    </r>
    <r>
      <rPr>
        <b/>
        <sz val="10"/>
        <color rgb="FF000000"/>
        <rFont val="WenQuanYi Zen Hei"/>
        <family val="2"/>
      </rPr>
      <t>に収まる回数・金額</t>
    </r>
    <r>
      <rPr>
        <b/>
        <sz val="10"/>
        <color rgb="FF000000"/>
        <rFont val="ＭＳ 明朝"/>
        <family val="1"/>
        <charset val="128"/>
      </rPr>
      <t>)</t>
    </r>
  </si>
  <si>
    <r>
      <rPr>
        <sz val="10"/>
        <color rgb="FF000000"/>
        <rFont val="WenQuanYi Zen Hei"/>
        <family val="2"/>
      </rPr>
      <t>他の金融機関等の償還額の合計</t>
    </r>
    <r>
      <rPr>
        <sz val="10"/>
        <color rgb="FF000000"/>
        <rFont val="ＭＳ 明朝"/>
        <family val="1"/>
        <charset val="128"/>
      </rPr>
      <t>(A+B+F+G)</t>
    </r>
  </si>
  <si>
    <t>他の金融機関等の償還額の合計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</si>
  <si>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他機関償還計</t>
    </r>
  </si>
  <si>
    <r>
      <rPr>
        <sz val="10"/>
        <color rgb="FF000000"/>
        <rFont val="WenQuanYi Zen Hei"/>
        <family val="2"/>
      </rPr>
      <t>共済組合の既貸付の償還額の合計</t>
    </r>
    <r>
      <rPr>
        <sz val="10"/>
        <color rgb="FF000000"/>
        <rFont val="ＭＳ 明朝"/>
        <family val="1"/>
        <charset val="128"/>
      </rPr>
      <t>(C+H)</t>
    </r>
  </si>
  <si>
    <t>共済組合の既貸付の償還額の合計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</si>
  <si>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共済既貸付償還計</t>
    </r>
  </si>
  <si>
    <t>申込できる期間の開始日</t>
  </si>
  <si>
    <r>
      <rPr>
        <sz val="9"/>
        <color rgb="FF595959"/>
        <rFont val="WenQuanYi Zen Hei"/>
        <family val="2"/>
      </rPr>
      <t>計算</t>
    </r>
    <r>
      <rPr>
        <sz val="9"/>
        <color rgb="FF595959"/>
        <rFont val="ＭＳ 明朝"/>
        <family val="1"/>
        <charset val="128"/>
      </rPr>
      <t>_</t>
    </r>
    <r>
      <rPr>
        <sz val="9"/>
        <color rgb="FF595959"/>
        <rFont val="WenQuanYi Zen Hei"/>
        <family val="2"/>
      </rPr>
      <t>申込可能開始</t>
    </r>
  </si>
  <si>
    <t>申込できる期間の終了日</t>
  </si>
  <si>
    <r>
      <rPr>
        <sz val="9"/>
        <color rgb="FF595959"/>
        <rFont val="WenQuanYi Zen Hei"/>
        <family val="2"/>
      </rPr>
      <t>計算</t>
    </r>
    <r>
      <rPr>
        <sz val="9"/>
        <color rgb="FF595959"/>
        <rFont val="ＭＳ 明朝"/>
        <family val="1"/>
        <charset val="128"/>
      </rPr>
      <t>_</t>
    </r>
    <r>
      <rPr>
        <sz val="9"/>
        <color rgb="FF595959"/>
        <rFont val="WenQuanYi Zen Hei"/>
        <family val="2"/>
      </rPr>
      <t>申込可能終了</t>
    </r>
  </si>
  <si>
    <r>
      <rPr>
        <sz val="10"/>
        <color rgb="FF000000"/>
        <rFont val="ＭＳ 明朝"/>
        <family val="1"/>
        <charset val="128"/>
      </rPr>
      <t>30%</t>
    </r>
    <r>
      <rPr>
        <sz val="10"/>
        <color rgb="FF000000"/>
        <rFont val="WenQuanYi Zen Hei"/>
        <family val="2"/>
      </rPr>
      <t>以内となる償還回数</t>
    </r>
    <r>
      <rPr>
        <sz val="10"/>
        <color rgb="FF000000"/>
        <rFont val="ＭＳ 明朝"/>
        <family val="1"/>
        <charset val="128"/>
      </rPr>
      <t>(</t>
    </r>
    <r>
      <rPr>
        <sz val="10"/>
        <color rgb="FF000000"/>
        <rFont val="WenQuanYi Zen Hei"/>
        <family val="2"/>
      </rPr>
      <t>今回の申込額のまま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</si>
  <si>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以内に収まる最小の償還回数</t>
    </r>
    <r>
      <rPr>
        <i/>
        <sz val="10"/>
        <color rgb="FF595959"/>
        <rFont val="ＭＳ 明朝"/>
        <family val="1"/>
        <charset val="128"/>
      </rPr>
      <t>(</t>
    </r>
    <r>
      <rPr>
        <i/>
        <sz val="10"/>
        <color rgb="FF595959"/>
        <rFont val="WenQuanYi Zen Hei"/>
        <family val="2"/>
      </rPr>
      <t>今の申込額のまま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</si>
  <si>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必要回数</t>
    </r>
  </si>
  <si>
    <r>
      <rPr>
        <sz val="10"/>
        <color rgb="FF000000"/>
        <rFont val="ＭＳ 明朝"/>
        <family val="1"/>
        <charset val="128"/>
      </rPr>
      <t>30%</t>
    </r>
    <r>
      <rPr>
        <sz val="10"/>
        <color rgb="FF000000"/>
        <rFont val="WenQuanYi Zen Hei"/>
        <family val="2"/>
      </rPr>
      <t>以内となる申込額</t>
    </r>
    <r>
      <rPr>
        <sz val="10"/>
        <color rgb="FF000000"/>
        <rFont val="ＭＳ 明朝"/>
        <family val="1"/>
        <charset val="128"/>
      </rPr>
      <t>(</t>
    </r>
    <r>
      <rPr>
        <sz val="10"/>
        <color rgb="FF000000"/>
        <rFont val="WenQuanYi Zen Hei"/>
        <family val="2"/>
      </rPr>
      <t>万円・現在の償還回数のまま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</si>
  <si>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以内に収まる最大の申込額</t>
    </r>
    <r>
      <rPr>
        <i/>
        <sz val="10"/>
        <color rgb="FF595959"/>
        <rFont val="ＭＳ 明朝"/>
        <family val="1"/>
        <charset val="128"/>
      </rPr>
      <t>(</t>
    </r>
    <r>
      <rPr>
        <i/>
        <sz val="10"/>
        <color rgb="FF595959"/>
        <rFont val="WenQuanYi Zen Hei"/>
        <family val="2"/>
      </rPr>
      <t>今の償還回数のまま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</si>
  <si>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上限額万円</t>
    </r>
    <r>
      <rPr>
        <sz val="9"/>
        <color rgb="FF595959"/>
        <rFont val="ＭＳ 明朝"/>
        <family val="1"/>
        <charset val="128"/>
      </rPr>
      <t>_</t>
    </r>
    <r>
      <rPr>
        <sz val="9"/>
        <color rgb="FF595959"/>
        <rFont val="WenQuanYi Zen Hei"/>
        <family val="2"/>
      </rPr>
      <t>現回数</t>
    </r>
  </si>
  <si>
    <r>
      <rPr>
        <b/>
        <sz val="10"/>
        <color rgb="FF000000"/>
        <rFont val="ＭＳ 明朝"/>
        <family val="1"/>
        <charset val="128"/>
      </rPr>
      <t xml:space="preserve">I. </t>
    </r>
    <r>
      <rPr>
        <b/>
        <sz val="10"/>
        <color rgb="FF000000"/>
        <rFont val="WenQuanYi Zen Hei"/>
        <family val="2"/>
      </rPr>
      <t>判定</t>
    </r>
    <r>
      <rPr>
        <b/>
        <sz val="10"/>
        <color rgb="FF000000"/>
        <rFont val="ＭＳ 明朝"/>
        <family val="1"/>
        <charset val="128"/>
      </rPr>
      <t xml:space="preserve">(○=1 ×=0 △=2 </t>
    </r>
    <r>
      <rPr>
        <b/>
        <sz val="10"/>
        <color rgb="FF000000"/>
        <rFont val="WenQuanYi Zen Hei"/>
        <family val="2"/>
      </rPr>
      <t>対象外</t>
    </r>
    <r>
      <rPr>
        <b/>
        <sz val="10"/>
        <color rgb="FF000000"/>
        <rFont val="ＭＳ 明朝"/>
        <family val="1"/>
        <charset val="128"/>
      </rPr>
      <t>=3)</t>
    </r>
    <r>
      <rPr>
        <b/>
        <sz val="10"/>
        <color rgb="FF000000"/>
        <rFont val="WenQuanYi Zen Hei"/>
        <family val="2"/>
      </rPr>
      <t>と、画面に出す説明文</t>
    </r>
    <r>
      <rPr>
        <b/>
        <sz val="10"/>
        <color rgb="FF000000"/>
        <rFont val="ＭＳ 明朝"/>
        <family val="1"/>
        <charset val="128"/>
      </rPr>
      <t>(_</t>
    </r>
    <r>
      <rPr>
        <b/>
        <sz val="10"/>
        <color rgb="FF000000"/>
        <rFont val="WenQuanYi Zen Hei"/>
        <family val="2"/>
      </rPr>
      <t>説明</t>
    </r>
    <r>
      <rPr>
        <b/>
        <sz val="10"/>
        <color rgb="FF000000"/>
        <rFont val="ＭＳ 明朝"/>
        <family val="1"/>
        <charset val="128"/>
      </rPr>
      <t>)</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</si>
  <si>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貸付区分の選択</t>
    </r>
  </si>
  <si>
    <r>
      <rPr>
        <i/>
        <sz val="10"/>
        <color rgb="FF595959"/>
        <rFont val="ＭＳ 明朝"/>
        <family val="1"/>
        <charset val="128"/>
      </rPr>
      <t>1=</t>
    </r>
    <r>
      <rPr>
        <i/>
        <sz val="10"/>
        <color rgb="FF595959"/>
        <rFont val="WenQuanYi Zen Hei"/>
        <family val="2"/>
      </rPr>
      <t xml:space="preserve">適合 </t>
    </r>
    <r>
      <rPr>
        <i/>
        <sz val="10"/>
        <color rgb="FF595959"/>
        <rFont val="ＭＳ 明朝"/>
        <family val="1"/>
        <charset val="128"/>
      </rPr>
      <t>0=</t>
    </r>
    <r>
      <rPr>
        <i/>
        <sz val="10"/>
        <color rgb="FF595959"/>
        <rFont val="WenQuanYi Zen Hei"/>
        <family val="2"/>
      </rPr>
      <t xml:space="preserve">不適合 </t>
    </r>
    <r>
      <rPr>
        <i/>
        <sz val="10"/>
        <color rgb="FF595959"/>
        <rFont val="ＭＳ 明朝"/>
        <family val="1"/>
        <charset val="128"/>
      </rPr>
      <t>2=</t>
    </r>
    <r>
      <rPr>
        <i/>
        <sz val="10"/>
        <color rgb="FF595959"/>
        <rFont val="WenQuanYi Zen Hei"/>
        <family val="2"/>
      </rPr>
      <t xml:space="preserve">要確認 </t>
    </r>
    <r>
      <rPr>
        <i/>
        <sz val="10"/>
        <color rgb="FF595959"/>
        <rFont val="ＭＳ 明朝"/>
        <family val="1"/>
        <charset val="128"/>
      </rPr>
      <t>3=</t>
    </r>
    <r>
      <rPr>
        <i/>
        <sz val="10"/>
        <color rgb="FF595959"/>
        <rFont val="WenQuanYi Zen Hei"/>
        <family val="2"/>
      </rPr>
      <t>対象外</t>
    </r>
  </si>
  <si>
    <r>
      <rPr>
        <sz val="9"/>
        <color rgb="FF595959"/>
        <rFont val="WenQuanYi Zen Hei"/>
        <family val="2"/>
      </rPr>
      <t>判定</t>
    </r>
    <r>
      <rPr>
        <sz val="9"/>
        <color rgb="FF595959"/>
        <rFont val="ＭＳ 明朝"/>
        <family val="1"/>
        <charset val="128"/>
      </rPr>
      <t>_</t>
    </r>
    <r>
      <rPr>
        <sz val="9"/>
        <color rgb="FF595959"/>
        <rFont val="WenQuanYi Zen Hei"/>
        <family val="2"/>
      </rPr>
      <t>貸付区分</t>
    </r>
  </si>
  <si>
    <t>画面の「判定の内訳」に出す説明文</t>
  </si>
  <si>
    <r>
      <rPr>
        <sz val="9"/>
        <color rgb="FF595959"/>
        <rFont val="WenQuanYi Zen Hei"/>
        <family val="2"/>
      </rPr>
      <t>判定</t>
    </r>
    <r>
      <rPr>
        <sz val="9"/>
        <color rgb="FF595959"/>
        <rFont val="ＭＳ 明朝"/>
        <family val="1"/>
        <charset val="128"/>
      </rPr>
      <t>_</t>
    </r>
    <r>
      <rPr>
        <sz val="9"/>
        <color rgb="FF595959"/>
        <rFont val="WenQuanYi Zen Hei"/>
        <family val="2"/>
      </rPr>
      <t>貸付区分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</si>
  <si>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給料月額の入力</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</si>
  <si>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</si>
  <si>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</si>
  <si>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</si>
  <si>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</si>
  <si>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</si>
  <si>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給与の差押さえ等の貸付制限</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</si>
  <si>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</si>
  <si>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</si>
  <si>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無給休職でないこと</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</si>
  <si>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</si>
  <si>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</si>
  <si>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借入状況の入力</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</si>
  <si>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</si>
  <si>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</si>
  <si>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</si>
  <si>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</si>
  <si>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</si>
  <si>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</si>
  <si>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</si>
  <si>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</si>
  <si>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申込金額の下限・単位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</si>
  <si>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</si>
  <si>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</si>
  <si>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貸付限度額以内</t>
    </r>
  </si>
  <si>
    <r>
      <rPr>
        <sz val="9"/>
        <color rgb="FF595959"/>
        <rFont val="WenQuanYi Zen Hei"/>
        <family val="2"/>
      </rPr>
      <t>判定</t>
    </r>
    <r>
      <rPr>
        <sz val="9"/>
        <color rgb="FF595959"/>
        <rFont val="ＭＳ 明朝"/>
        <family val="1"/>
        <charset val="128"/>
      </rPr>
      <t>_</t>
    </r>
    <r>
      <rPr>
        <sz val="9"/>
        <color rgb="FF595959"/>
        <rFont val="WenQuanYi Zen Hei"/>
        <family val="2"/>
      </rPr>
      <t>限度額</t>
    </r>
  </si>
  <si>
    <r>
      <rPr>
        <sz val="9"/>
        <color rgb="FF595959"/>
        <rFont val="WenQuanYi Zen Hei"/>
        <family val="2"/>
      </rPr>
      <t>判定</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</si>
  <si>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</si>
  <si>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</si>
  <si>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</si>
  <si>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毎月償還額の割合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</si>
  <si>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</si>
  <si>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</si>
  <si>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年間償還額の割合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</si>
  <si>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</si>
  <si>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r>
      <rPr>
        <sz val="9"/>
        <color rgb="FF595959"/>
        <rFont val="ＭＳ 明朝"/>
        <family val="1"/>
        <charset val="128"/>
      </rPr>
      <t>_</t>
    </r>
    <r>
      <rPr>
        <sz val="9"/>
        <color rgb="FF595959"/>
        <rFont val="WenQuanYi Zen Hei"/>
        <family val="2"/>
      </rPr>
      <t>説明</t>
    </r>
  </si>
  <si>
    <r>
      <rPr>
        <sz val="10"/>
        <color rgb="FF000000"/>
        <rFont val="WenQuanYi Zen Hei"/>
        <family val="2"/>
      </rPr>
      <t>ボーナス条件</t>
    </r>
    <r>
      <rPr>
        <sz val="10"/>
        <color rgb="FF000000"/>
        <rFont val="ＭＳ 明朝"/>
        <family val="1"/>
        <charset val="128"/>
      </rPr>
      <t>1:</t>
    </r>
    <r>
      <rPr>
        <sz val="10"/>
        <color rgb="FF000000"/>
        <rFont val="WenQuanYi Zen Hei"/>
        <family val="2"/>
      </rPr>
      <t>住宅系の貸付</t>
    </r>
  </si>
  <si>
    <t>住宅・災害住宅・災害再貸付のみ</t>
  </si>
  <si>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1</t>
    </r>
  </si>
  <si>
    <r>
      <rPr>
        <sz val="10"/>
        <color rgb="FF000000"/>
        <rFont val="WenQuanYi Zen Hei"/>
        <family val="2"/>
      </rPr>
      <t>ボーナス条件</t>
    </r>
    <r>
      <rPr>
        <sz val="10"/>
        <color rgb="FF000000"/>
        <rFont val="ＭＳ 明朝"/>
        <family val="1"/>
        <charset val="128"/>
      </rPr>
      <t>2:</t>
    </r>
    <r>
      <rPr>
        <sz val="10"/>
        <color rgb="FF000000"/>
        <rFont val="WenQuanYi Zen Hei"/>
        <family val="2"/>
      </rPr>
      <t>申込額が下限以上</t>
    </r>
  </si>
  <si>
    <r>
      <rPr>
        <i/>
        <sz val="10"/>
        <color rgb="FF595959"/>
        <rFont val="WenQuanYi Zen Hei"/>
        <family val="2"/>
      </rPr>
      <t>申込金額</t>
    </r>
    <r>
      <rPr>
        <i/>
        <sz val="10"/>
        <color rgb="FF595959"/>
        <rFont val="ＭＳ 明朝"/>
        <family val="1"/>
        <charset val="128"/>
      </rPr>
      <t>300</t>
    </r>
    <r>
      <rPr>
        <i/>
        <sz val="10"/>
        <color rgb="FF595959"/>
        <rFont val="WenQuanYi Zen Hei"/>
        <family val="2"/>
      </rPr>
      <t>万円以上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</si>
  <si>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2</t>
    </r>
  </si>
  <si>
    <r>
      <rPr>
        <sz val="10"/>
        <color rgb="FF000000"/>
        <rFont val="WenQuanYi Zen Hei"/>
        <family val="2"/>
      </rPr>
      <t>ボーナス条件</t>
    </r>
    <r>
      <rPr>
        <sz val="10"/>
        <color rgb="FF000000"/>
        <rFont val="ＭＳ 明朝"/>
        <family val="1"/>
        <charset val="128"/>
      </rPr>
      <t>3:</t>
    </r>
    <r>
      <rPr>
        <sz val="10"/>
        <color rgb="FF000000"/>
        <rFont val="WenQuanYi Zen Hei"/>
        <family val="2"/>
      </rPr>
      <t>賞与分が下限以上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</si>
  <si>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3</t>
    </r>
  </si>
  <si>
    <r>
      <rPr>
        <sz val="10"/>
        <color rgb="FF000000"/>
        <rFont val="WenQuanYi Zen Hei"/>
        <family val="2"/>
      </rPr>
      <t>ボーナス条件</t>
    </r>
    <r>
      <rPr>
        <sz val="10"/>
        <color rgb="FF000000"/>
        <rFont val="ＭＳ 明朝"/>
        <family val="1"/>
        <charset val="128"/>
      </rPr>
      <t>4:</t>
    </r>
    <r>
      <rPr>
        <sz val="10"/>
        <color rgb="FF000000"/>
        <rFont val="WenQuanYi Zen Hei"/>
        <family val="2"/>
      </rPr>
      <t>賞与分が貸付額の</t>
    </r>
    <r>
      <rPr>
        <sz val="10"/>
        <color rgb="FF000000"/>
        <rFont val="ＭＳ 明朝"/>
        <family val="1"/>
        <charset val="128"/>
      </rPr>
      <t>1/2</t>
    </r>
    <r>
      <rPr>
        <sz val="10"/>
        <color rgb="FF000000"/>
        <rFont val="WenQuanYi Zen Hei"/>
        <family val="2"/>
      </rPr>
      <t>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</si>
  <si>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4</t>
    </r>
  </si>
  <si>
    <r>
      <rPr>
        <sz val="10"/>
        <color rgb="FF000000"/>
        <rFont val="WenQuanYi Zen Hei"/>
        <family val="2"/>
      </rPr>
      <t>ボーナス条件</t>
    </r>
    <r>
      <rPr>
        <sz val="10"/>
        <color rgb="FF000000"/>
        <rFont val="ＭＳ 明朝"/>
        <family val="1"/>
        <charset val="128"/>
      </rPr>
      <t>5:</t>
    </r>
    <r>
      <rPr>
        <sz val="10"/>
        <color rgb="FF000000"/>
        <rFont val="WenQuanYi Zen Hei"/>
        <family val="2"/>
      </rPr>
      <t>賞与分が単位どおり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</si>
  <si>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5</t>
    </r>
  </si>
  <si>
    <r>
      <rPr>
        <sz val="10"/>
        <color rgb="FF000000"/>
        <rFont val="WenQuanYi Zen Hei"/>
        <family val="2"/>
      </rPr>
      <t>ボーナス条件</t>
    </r>
    <r>
      <rPr>
        <sz val="10"/>
        <color rgb="FF000000"/>
        <rFont val="ＭＳ 明朝"/>
        <family val="1"/>
        <charset val="128"/>
      </rPr>
      <t>6:</t>
    </r>
    <r>
      <rPr>
        <sz val="10"/>
        <color rgb="FF000000"/>
        <rFont val="WenQuanYi Zen Hei"/>
        <family val="2"/>
      </rPr>
      <t>賞与回数が</t>
    </r>
    <r>
      <rPr>
        <sz val="10"/>
        <color rgb="FF000000"/>
        <rFont val="ＭＳ 明朝"/>
        <family val="1"/>
        <charset val="128"/>
      </rPr>
      <t>1</t>
    </r>
    <r>
      <rPr>
        <sz val="10"/>
        <color rgb="FF000000"/>
        <rFont val="WenQuanYi Zen Hei"/>
        <family val="2"/>
      </rPr>
      <t>回以上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</si>
  <si>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6</t>
    </r>
  </si>
  <si>
    <r>
      <rPr>
        <sz val="10"/>
        <color rgb="FF000000"/>
        <rFont val="WenQuanYi Zen Hei"/>
        <family val="2"/>
      </rPr>
      <t>ボーナス条件</t>
    </r>
    <r>
      <rPr>
        <sz val="10"/>
        <color rgb="FF000000"/>
        <rFont val="ＭＳ 明朝"/>
        <family val="1"/>
        <charset val="128"/>
      </rPr>
      <t>7:</t>
    </r>
    <r>
      <rPr>
        <sz val="10"/>
        <color rgb="FF000000"/>
        <rFont val="WenQuanYi Zen Hei"/>
        <family val="2"/>
      </rPr>
      <t>賞与回数が上限以内</t>
    </r>
  </si>
  <si>
    <r>
      <rPr>
        <i/>
        <sz val="10"/>
        <color rgb="FF595959"/>
        <rFont val="ＭＳ 明朝"/>
        <family val="1"/>
        <charset val="128"/>
      </rPr>
      <t>60</t>
    </r>
    <r>
      <rPr>
        <i/>
        <sz val="10"/>
        <color rgb="FF595959"/>
        <rFont val="WenQuanYi Zen Hei"/>
        <family val="2"/>
      </rPr>
      <t>回以内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</si>
  <si>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7</t>
    </r>
  </si>
  <si>
    <r>
      <rPr>
        <sz val="10"/>
        <color rgb="FF000000"/>
        <rFont val="WenQuanYi Zen Hei"/>
        <family val="2"/>
      </rPr>
      <t>ボーナス条件</t>
    </r>
    <r>
      <rPr>
        <sz val="10"/>
        <color rgb="FF000000"/>
        <rFont val="ＭＳ 明朝"/>
        <family val="1"/>
        <charset val="128"/>
      </rPr>
      <t>8:</t>
    </r>
    <r>
      <rPr>
        <sz val="10"/>
        <color rgb="FF000000"/>
        <rFont val="WenQuanYi Zen Hei"/>
        <family val="2"/>
      </rPr>
      <t>賞与の期間が毎月償還の期間以内</t>
    </r>
  </si>
  <si>
    <r>
      <rPr>
        <i/>
        <sz val="10"/>
        <color rgb="FF595959"/>
        <rFont val="WenQuanYi Zen Hei"/>
        <family val="2"/>
      </rPr>
      <t>賞与は年</t>
    </r>
    <r>
      <rPr>
        <i/>
        <sz val="10"/>
        <color rgb="FF595959"/>
        <rFont val="ＭＳ 明朝"/>
        <family val="1"/>
        <charset val="128"/>
      </rPr>
      <t>2</t>
    </r>
    <r>
      <rPr>
        <i/>
        <sz val="10"/>
        <color rgb="FF595959"/>
        <rFont val="WenQuanYi Zen Hei"/>
        <family val="2"/>
      </rPr>
      <t>回</t>
    </r>
    <r>
      <rPr>
        <i/>
        <sz val="10"/>
        <color rgb="FF595959"/>
        <rFont val="ＭＳ 明朝"/>
        <family val="1"/>
        <charset val="128"/>
      </rPr>
      <t>(6</t>
    </r>
    <r>
      <rPr>
        <i/>
        <sz val="10"/>
        <color rgb="FF595959"/>
        <rFont val="WenQuanYi Zen Hei"/>
        <family val="2"/>
      </rPr>
      <t>か月ごと</t>
    </r>
    <r>
      <rPr>
        <i/>
        <sz val="10"/>
        <color rgb="FF595959"/>
        <rFont val="ＭＳ 明朝"/>
        <family val="1"/>
        <charset val="128"/>
      </rPr>
      <t>)</t>
    </r>
    <r>
      <rPr>
        <i/>
        <sz val="10"/>
        <color rgb="FF595959"/>
        <rFont val="WenQuanYi Zen Hei"/>
        <family val="2"/>
      </rPr>
      <t>なので、回数</t>
    </r>
    <r>
      <rPr>
        <i/>
        <sz val="10"/>
        <color rgb="FF595959"/>
        <rFont val="ＭＳ 明朝"/>
        <family val="1"/>
        <charset val="128"/>
      </rPr>
      <t>×6</t>
    </r>
    <r>
      <rPr>
        <i/>
        <sz val="10"/>
        <color rgb="FF595959"/>
        <rFont val="WenQuanYi Zen Hei"/>
        <family val="2"/>
      </rPr>
      <t>か月が毎月償還の回数以内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</si>
  <si>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8</t>
    </r>
  </si>
  <si>
    <r>
      <rPr>
        <sz val="10"/>
        <color rgb="FF000000"/>
        <rFont val="WenQuanYi Zen Hei"/>
        <family val="2"/>
      </rPr>
      <t>ボーナス条件</t>
    </r>
    <r>
      <rPr>
        <sz val="10"/>
        <color rgb="FF000000"/>
        <rFont val="ＭＳ 明朝"/>
        <family val="1"/>
        <charset val="128"/>
      </rPr>
      <t>9:1</t>
    </r>
    <r>
      <rPr>
        <sz val="10"/>
        <color rgb="FF000000"/>
        <rFont val="WenQuanYi Zen Hei"/>
        <family val="2"/>
      </rPr>
      <t>回の賞与額が給料月額以内</t>
    </r>
  </si>
  <si>
    <r>
      <rPr>
        <i/>
        <sz val="10"/>
        <color rgb="FF595959"/>
        <rFont val="ＭＳ 明朝"/>
        <family val="1"/>
        <charset val="128"/>
      </rPr>
      <t>1</t>
    </r>
    <r>
      <rPr>
        <i/>
        <sz val="10"/>
        <color rgb="FF595959"/>
        <rFont val="WenQuanYi Zen Hei"/>
        <family val="2"/>
      </rPr>
      <t>回の償還額が給料月額の</t>
    </r>
    <r>
      <rPr>
        <i/>
        <sz val="10"/>
        <color rgb="FF595959"/>
        <rFont val="ＭＳ 明朝"/>
        <family val="1"/>
        <charset val="128"/>
      </rPr>
      <t>1</t>
    </r>
    <r>
      <rPr>
        <i/>
        <sz val="10"/>
        <color rgb="FF595959"/>
        <rFont val="WenQuanYi Zen Hei"/>
        <family val="2"/>
      </rPr>
      <t>か月分以内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</si>
  <si>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9</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</si>
  <si>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ボーナス併用償還の条件</t>
    </r>
  </si>
  <si>
    <r>
      <rPr>
        <i/>
        <sz val="10"/>
        <color rgb="FF595959"/>
        <rFont val="WenQuanYi Zen Hei"/>
        <family val="2"/>
      </rPr>
      <t>併用なし</t>
    </r>
    <r>
      <rPr>
        <i/>
        <sz val="10"/>
        <color rgb="FF595959"/>
        <rFont val="ＭＳ 明朝"/>
        <family val="1"/>
        <charset val="128"/>
      </rPr>
      <t xml:space="preserve">=3 / </t>
    </r>
    <r>
      <rPr>
        <i/>
        <sz val="10"/>
        <color rgb="FF595959"/>
        <rFont val="WenQuanYi Zen Hei"/>
        <family val="2"/>
      </rPr>
      <t>条件</t>
    </r>
    <r>
      <rPr>
        <i/>
        <sz val="10"/>
        <color rgb="FF595959"/>
        <rFont val="ＭＳ 明朝"/>
        <family val="1"/>
        <charset val="128"/>
      </rPr>
      <t>1</t>
    </r>
    <r>
      <rPr>
        <i/>
        <sz val="10"/>
        <color rgb="FF595959"/>
        <rFont val="WenQuanYi Zen Hei"/>
        <family val="2"/>
      </rPr>
      <t>〜</t>
    </r>
    <r>
      <rPr>
        <i/>
        <sz val="10"/>
        <color rgb="FF595959"/>
        <rFont val="ＭＳ 明朝"/>
        <family val="1"/>
        <charset val="128"/>
      </rPr>
      <t>9</t>
    </r>
    <r>
      <rPr>
        <i/>
        <sz val="10"/>
        <color rgb="FF595959"/>
        <rFont val="WenQuanYi Zen Hei"/>
        <family val="2"/>
      </rPr>
      <t>がすべて○</t>
    </r>
    <r>
      <rPr>
        <i/>
        <sz val="10"/>
        <color rgb="FF595959"/>
        <rFont val="ＭＳ 明朝"/>
        <family val="1"/>
        <charset val="128"/>
      </rPr>
      <t xml:space="preserve">=1 / </t>
    </r>
    <r>
      <rPr>
        <i/>
        <sz val="10"/>
        <color rgb="FF595959"/>
        <rFont val="WenQuanYi Zen Hei"/>
        <family val="2"/>
      </rPr>
      <t>どれかが</t>
    </r>
    <r>
      <rPr>
        <i/>
        <sz val="10"/>
        <color rgb="FF595959"/>
        <rFont val="ＭＳ 明朝"/>
        <family val="1"/>
        <charset val="128"/>
      </rPr>
      <t>×=0</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</si>
  <si>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</si>
  <si>
    <r>
      <rPr>
        <i/>
        <sz val="10"/>
        <color rgb="FF595959"/>
        <rFont val="ＭＳ 明朝"/>
        <family val="1"/>
        <charset val="128"/>
      </rPr>
      <t>×</t>
    </r>
    <r>
      <rPr>
        <i/>
        <sz val="10"/>
        <color rgb="FF595959"/>
        <rFont val="WenQuanYi Zen Hei"/>
        <family val="2"/>
      </rPr>
      <t>のとき、最初に満たさない条件を表示</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</si>
  <si>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</si>
  <si>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住宅書類の区分</t>
    </r>
    <r>
      <rPr>
        <sz val="10"/>
        <color rgb="FF000000"/>
        <rFont val="ＭＳ 明朝"/>
        <family val="1"/>
        <charset val="128"/>
      </rPr>
      <t>(</t>
    </r>
    <r>
      <rPr>
        <sz val="10"/>
        <color rgb="FF000000"/>
        <rFont val="WenQuanYi Zen Hei"/>
        <family val="2"/>
      </rPr>
      <t>災害住宅・災害再貸付</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</si>
  <si>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</si>
  <si>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</si>
  <si>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在宅介護対応住宅</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</si>
  <si>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</si>
  <si>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r>
      <rPr>
        <sz val="9"/>
        <color rgb="FF595959"/>
        <rFont val="ＭＳ 明朝"/>
        <family val="1"/>
        <charset val="128"/>
      </rPr>
      <t>_</t>
    </r>
    <r>
      <rPr>
        <sz val="9"/>
        <color rgb="FF595959"/>
        <rFont val="WenQuanYi Zen Hei"/>
        <family val="2"/>
      </rPr>
      <t>説明</t>
    </r>
  </si>
  <si>
    <r>
      <rPr>
        <b/>
        <sz val="10"/>
        <color rgb="FF000000"/>
        <rFont val="ＭＳ 明朝"/>
        <family val="1"/>
        <charset val="128"/>
      </rPr>
      <t xml:space="preserve">J. </t>
    </r>
    <r>
      <rPr>
        <b/>
        <sz val="10"/>
        <color rgb="FF000000"/>
        <rFont val="WenQuanYi Zen Hei"/>
        <family val="2"/>
      </rPr>
      <t>判定のまとめ</t>
    </r>
  </si>
  <si>
    <r>
      <rPr>
        <sz val="10"/>
        <color rgb="FF000000"/>
        <rFont val="ＭＳ 明朝"/>
        <family val="1"/>
        <charset val="128"/>
      </rPr>
      <t>×</t>
    </r>
    <r>
      <rPr>
        <sz val="10"/>
        <color rgb="FF000000"/>
        <rFont val="WenQuanYi Zen Hei"/>
        <family val="2"/>
      </rPr>
      <t>の件数</t>
    </r>
  </si>
  <si>
    <r>
      <rPr>
        <i/>
        <sz val="10"/>
        <color rgb="FF595959"/>
        <rFont val="WenQuanYi Zen Hei"/>
        <family val="2"/>
      </rPr>
      <t>判定が</t>
    </r>
    <r>
      <rPr>
        <i/>
        <sz val="10"/>
        <color rgb="FF595959"/>
        <rFont val="ＭＳ 明朝"/>
        <family val="1"/>
        <charset val="128"/>
      </rPr>
      <t>0(×)</t>
    </r>
    <r>
      <rPr>
        <i/>
        <sz val="10"/>
        <color rgb="FF595959"/>
        <rFont val="WenQuanYi Zen Hei"/>
        <family val="2"/>
      </rPr>
      <t>の件数</t>
    </r>
  </si>
  <si>
    <r>
      <rPr>
        <sz val="9"/>
        <color rgb="FF595959"/>
        <rFont val="WenQuanYi Zen Hei"/>
        <family val="2"/>
      </rPr>
      <t>判定</t>
    </r>
    <r>
      <rPr>
        <sz val="9"/>
        <color rgb="FF595959"/>
        <rFont val="ＭＳ 明朝"/>
        <family val="1"/>
        <charset val="128"/>
      </rPr>
      <t>_NG</t>
    </r>
    <r>
      <rPr>
        <sz val="9"/>
        <color rgb="FF595959"/>
        <rFont val="WenQuanYi Zen Hei"/>
        <family val="2"/>
      </rPr>
      <t>件数</t>
    </r>
  </si>
  <si>
    <r>
      <rPr>
        <i/>
        <sz val="10"/>
        <color rgb="FF595959"/>
        <rFont val="WenQuanYi Zen Hei"/>
        <family val="2"/>
      </rPr>
      <t>判定が</t>
    </r>
    <r>
      <rPr>
        <i/>
        <sz val="10"/>
        <color rgb="FF595959"/>
        <rFont val="ＭＳ 明朝"/>
        <family val="1"/>
        <charset val="128"/>
      </rPr>
      <t>2(△)</t>
    </r>
    <r>
      <rPr>
        <i/>
        <sz val="10"/>
        <color rgb="FF595959"/>
        <rFont val="WenQuanYi Zen Hei"/>
        <family val="2"/>
      </rPr>
      <t>の件数</t>
    </r>
  </si>
  <si>
    <r>
      <rPr>
        <sz val="9"/>
        <color rgb="FF595959"/>
        <rFont val="WenQuanYi Zen Hei"/>
        <family val="2"/>
      </rPr>
      <t>判定</t>
    </r>
    <r>
      <rPr>
        <sz val="9"/>
        <color rgb="FF595959"/>
        <rFont val="ＭＳ 明朝"/>
        <family val="1"/>
        <charset val="128"/>
      </rPr>
      <t>_</t>
    </r>
    <r>
      <rPr>
        <sz val="9"/>
        <color rgb="FF595959"/>
        <rFont val="WenQuanYi Zen Hei"/>
        <family val="2"/>
      </rPr>
      <t>要確認件数</t>
    </r>
  </si>
  <si>
    <r>
      <rPr>
        <sz val="10"/>
        <color rgb="FF000000"/>
        <rFont val="WenQuanYi Zen Hei"/>
        <family val="2"/>
      </rPr>
      <t>入力不足の項目</t>
    </r>
    <r>
      <rPr>
        <sz val="10"/>
        <color rgb="FF000000"/>
        <rFont val="ＭＳ 明朝"/>
        <family val="1"/>
        <charset val="128"/>
      </rPr>
      <t>(</t>
    </r>
    <r>
      <rPr>
        <sz val="10"/>
        <color rgb="FF000000"/>
        <rFont val="WenQuanYi Zen Hei"/>
        <family val="2"/>
      </rPr>
      <t>末尾に区切りあり</t>
    </r>
    <r>
      <rPr>
        <sz val="10"/>
        <color rgb="FF000000"/>
        <rFont val="ＭＳ 明朝"/>
        <family val="1"/>
        <charset val="128"/>
      </rPr>
      <t>)</t>
    </r>
  </si>
  <si>
    <t>未入力の項目を「、」でつないだ文字列</t>
  </si>
  <si>
    <r>
      <rPr>
        <sz val="9"/>
        <color rgb="FF595959"/>
        <rFont val="WenQuanYi Zen Hei"/>
        <family val="2"/>
      </rPr>
      <t>判定</t>
    </r>
    <r>
      <rPr>
        <sz val="9"/>
        <color rgb="FF595959"/>
        <rFont val="ＭＳ 明朝"/>
        <family val="1"/>
        <charset val="128"/>
      </rPr>
      <t>_</t>
    </r>
    <r>
      <rPr>
        <sz val="9"/>
        <color rgb="FF595959"/>
        <rFont val="WenQuanYi Zen Hei"/>
        <family val="2"/>
      </rPr>
      <t>不足項目</t>
    </r>
    <r>
      <rPr>
        <sz val="9"/>
        <color rgb="FF595959"/>
        <rFont val="ＭＳ 明朝"/>
        <family val="1"/>
        <charset val="128"/>
      </rPr>
      <t>_</t>
    </r>
    <r>
      <rPr>
        <sz val="9"/>
        <color rgb="FF595959"/>
        <rFont val="WenQuanYi Zen Hei"/>
        <family val="2"/>
      </rPr>
      <t>素</t>
    </r>
  </si>
  <si>
    <r>
      <rPr>
        <i/>
        <sz val="10"/>
        <color rgb="FF595959"/>
        <rFont val="WenQuanYi Zen Hei"/>
        <family val="2"/>
      </rPr>
      <t>未入力の項目</t>
    </r>
    <r>
      <rPr>
        <i/>
        <sz val="10"/>
        <color rgb="FF595959"/>
        <rFont val="ＭＳ 明朝"/>
        <family val="1"/>
        <charset val="128"/>
      </rPr>
      <t>(</t>
    </r>
    <r>
      <rPr>
        <i/>
        <sz val="10"/>
        <color rgb="FF595959"/>
        <rFont val="WenQuanYi Zen Hei"/>
        <family val="2"/>
      </rPr>
      <t>最後の「、」を除く</t>
    </r>
    <r>
      <rPr>
        <i/>
        <sz val="10"/>
        <color rgb="FF595959"/>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</si>
  <si>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不足項目</t>
    </r>
  </si>
  <si>
    <t>画面の総合判定に出す文</t>
  </si>
  <si>
    <r>
      <rPr>
        <sz val="9"/>
        <color rgb="FF595959"/>
        <rFont val="WenQuanYi Zen Hei"/>
        <family val="2"/>
      </rPr>
      <t>判定</t>
    </r>
    <r>
      <rPr>
        <sz val="9"/>
        <color rgb="FF595959"/>
        <rFont val="ＭＳ 明朝"/>
        <family val="1"/>
        <charset val="128"/>
      </rPr>
      <t>_</t>
    </r>
    <r>
      <rPr>
        <sz val="9"/>
        <color rgb="FF595959"/>
        <rFont val="WenQuanYi Zen Hei"/>
        <family val="2"/>
      </rPr>
      <t>総合</t>
    </r>
  </si>
  <si>
    <r>
      <rPr>
        <b/>
        <sz val="10"/>
        <color rgb="FF000000"/>
        <rFont val="ＭＳ 明朝"/>
        <family val="1"/>
        <charset val="128"/>
      </rPr>
      <t>K. Word</t>
    </r>
    <r>
      <rPr>
        <b/>
        <sz val="10"/>
        <color rgb="FF000000"/>
        <rFont val="WenQuanYi Zen Hei"/>
        <family val="2"/>
      </rPr>
      <t>出力用</t>
    </r>
    <r>
      <rPr>
        <b/>
        <sz val="10"/>
        <color rgb="FF000000"/>
        <rFont val="ＭＳ 明朝"/>
        <family val="1"/>
        <charset val="128"/>
      </rPr>
      <t>(</t>
    </r>
    <r>
      <rPr>
        <b/>
        <sz val="10"/>
        <color rgb="FF000000"/>
        <rFont val="WenQuanYi Zen Hei"/>
        <family val="2"/>
      </rPr>
      <t>借用証書の利率の全角表記・金額</t>
    </r>
    <r>
      <rPr>
        <b/>
        <sz val="10"/>
        <color rgb="FF000000"/>
        <rFont val="ＭＳ 明朝"/>
        <family val="1"/>
        <charset val="128"/>
      </rPr>
      <t>)</t>
    </r>
  </si>
  <si>
    <r>
      <rPr>
        <sz val="10"/>
        <color rgb="FF000000"/>
        <rFont val="WenQuanYi Zen Hei"/>
        <family val="2"/>
      </rPr>
      <t>利率</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の全角表記</t>
    </r>
  </si>
  <si>
    <r>
      <rPr>
        <i/>
        <sz val="10"/>
        <color rgb="FF595959"/>
        <rFont val="WenQuanYi Zen Hei"/>
        <family val="2"/>
      </rPr>
      <t>借用証書の利率を全角にしたもの</t>
    </r>
    <r>
      <rPr>
        <i/>
        <sz val="10"/>
        <color rgb="FF595959"/>
        <rFont val="ＭＳ 明朝"/>
        <family val="1"/>
        <charset val="128"/>
      </rPr>
      <t>(</t>
    </r>
    <r>
      <rPr>
        <i/>
        <sz val="10"/>
        <color rgb="FF595959"/>
        <rFont val="WenQuanYi Zen Hei"/>
        <family val="2"/>
      </rPr>
      <t>例 １．２６</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</si>
  <si>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普通特別</t>
    </r>
  </si>
  <si>
    <r>
      <rPr>
        <sz val="10"/>
        <color rgb="FF000000"/>
        <rFont val="WenQuanYi Zen Hei"/>
        <family val="2"/>
      </rPr>
      <t>利率</t>
    </r>
    <r>
      <rPr>
        <sz val="10"/>
        <color rgb="FF000000"/>
        <rFont val="ＭＳ 明朝"/>
        <family val="1"/>
        <charset val="128"/>
      </rPr>
      <t>(</t>
    </r>
    <r>
      <rPr>
        <sz val="10"/>
        <color rgb="FF000000"/>
        <rFont val="WenQuanYi Zen Hei"/>
        <family val="2"/>
      </rPr>
      <t>災害</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</si>
  <si>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災害</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</si>
  <si>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災害</t>
    </r>
  </si>
  <si>
    <r>
      <rPr>
        <sz val="10"/>
        <color rgb="FF000000"/>
        <rFont val="WenQuanYi Zen Hei"/>
        <family val="2"/>
      </rPr>
      <t>利率</t>
    </r>
    <r>
      <rPr>
        <sz val="10"/>
        <color rgb="FF000000"/>
        <rFont val="ＭＳ 明朝"/>
        <family val="1"/>
        <charset val="128"/>
      </rPr>
      <t>(</t>
    </r>
    <r>
      <rPr>
        <sz val="10"/>
        <color rgb="FF000000"/>
        <rFont val="WenQuanYi Zen Hei"/>
        <family val="2"/>
      </rPr>
      <t>在宅介護対応住宅</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</si>
  <si>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</si>
  <si>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在宅介護</t>
    </r>
  </si>
  <si>
    <r>
      <rPr>
        <sz val="10"/>
        <color rgb="FF000000"/>
        <rFont val="WenQuanYi Zen Hei"/>
        <family val="2"/>
      </rPr>
      <t>借用証書の金額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</si>
  <si>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借用証書の金額欄に入れる万円の額</t>
  </si>
  <si>
    <r>
      <rPr>
        <sz val="9"/>
        <color rgb="FF595959"/>
        <rFont val="WenQuanYi Zen Hei"/>
        <family val="2"/>
      </rPr>
      <t>計算</t>
    </r>
    <r>
      <rPr>
        <sz val="9"/>
        <color rgb="FF595959"/>
        <rFont val="ＭＳ 明朝"/>
        <family val="1"/>
        <charset val="128"/>
      </rPr>
      <t>_</t>
    </r>
    <r>
      <rPr>
        <sz val="9"/>
        <color rgb="FF595959"/>
        <rFont val="WenQuanYi Zen Hei"/>
        <family val="2"/>
      </rPr>
      <t>借用証書金額万円</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</si>
  <si>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</si>
  <si>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必要</t>
    </r>
    <r>
      <rPr>
        <b/>
        <sz val="10"/>
        <color rgb="FF000000"/>
        <rFont val="ＭＳ 明朝"/>
        <family val="1"/>
        <charset val="128"/>
      </rPr>
      <t>=1</t>
    </r>
  </si>
  <si>
    <t>連番</t>
  </si>
  <si>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</si>
  <si>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</si>
  <si>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</si>
  <si>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4"/>
        <color rgb="FF000000"/>
        <rFont val="ＭＳ 明朝"/>
        <family val="1"/>
        <charset val="128"/>
      </rPr>
      <t>Word</t>
    </r>
    <r>
      <rPr>
        <b/>
        <sz val="14"/>
        <color rgb="FF000000"/>
        <rFont val="WenQuanYi Zen Hei"/>
        <family val="2"/>
      </rPr>
      <t>差込データ</t>
    </r>
  </si>
  <si>
    <r>
      <rPr>
        <sz val="9"/>
        <color rgb="FF595959"/>
        <rFont val="WenQuanYi Zen Hei"/>
        <family val="2"/>
      </rPr>
      <t>ボタンのマクロが、この表の値を</t>
    </r>
    <r>
      <rPr>
        <sz val="9"/>
        <color rgb="FF595959"/>
        <rFont val="ＭＳ 明朝"/>
        <family val="1"/>
        <charset val="128"/>
      </rPr>
      <t>Word</t>
    </r>
    <r>
      <rPr>
        <sz val="9"/>
        <color rgb="FF595959"/>
        <rFont val="WenQuanYi Zen Hei"/>
        <family val="2"/>
      </rPr>
      <t xml:space="preserve">テンプレート内の </t>
    </r>
    <r>
      <rPr>
        <sz val="9"/>
        <color rgb="FF595959"/>
        <rFont val="ＭＳ 明朝"/>
        <family val="1"/>
        <charset val="128"/>
      </rPr>
      <t>{{</t>
    </r>
    <r>
      <rPr>
        <sz val="9"/>
        <color rgb="FF595959"/>
        <rFont val="WenQuanYi Zen Hei"/>
        <family val="2"/>
      </rPr>
      <t>項目</t>
    </r>
    <r>
      <rPr>
        <sz val="9"/>
        <color rgb="FF595959"/>
        <rFont val="ＭＳ 明朝"/>
        <family val="1"/>
        <charset val="128"/>
      </rPr>
      <t xml:space="preserve">}} </t>
    </r>
    <r>
      <rPr>
        <sz val="9"/>
        <color rgb="FF595959"/>
        <rFont val="WenQuanYi Zen Hei"/>
        <family val="2"/>
      </rPr>
      <t>に差し込みます。通常は変更しない。</t>
    </r>
  </si>
  <si>
    <t>帳票</t>
  </si>
  <si>
    <t>差し込み項目</t>
  </si>
  <si>
    <t>借用証書</t>
  </si>
  <si>
    <r>
      <rPr>
        <sz val="10"/>
        <color rgb="FF000000"/>
        <rFont val="ＭＳ 明朝"/>
        <family val="1"/>
        <charset val="128"/>
      </rPr>
      <t>{{</t>
    </r>
    <r>
      <rPr>
        <sz val="10"/>
        <color rgb="FF000000"/>
        <rFont val="WenQuanYi Zen Hei"/>
        <family val="2"/>
      </rPr>
      <t>金額千</t>
    </r>
    <r>
      <rPr>
        <sz val="10"/>
        <color rgb="FF000000"/>
        <rFont val="ＭＳ 明朝"/>
        <family val="1"/>
        <charset val="128"/>
      </rPr>
      <t>}}</t>
    </r>
  </si>
  <si>
    <r>
      <rPr>
        <sz val="10"/>
        <color rgb="FF000000"/>
        <rFont val="ＭＳ 明朝"/>
        <family val="1"/>
        <charset val="128"/>
      </rPr>
      <t>{{</t>
    </r>
    <r>
      <rPr>
        <sz val="10"/>
        <color rgb="FF000000"/>
        <rFont val="WenQuanYi Zen Hei"/>
        <family val="2"/>
      </rPr>
      <t>金額百</t>
    </r>
    <r>
      <rPr>
        <sz val="10"/>
        <color rgb="FF000000"/>
        <rFont val="ＭＳ 明朝"/>
        <family val="1"/>
        <charset val="128"/>
      </rPr>
      <t>}}</t>
    </r>
  </si>
  <si>
    <r>
      <rPr>
        <sz val="10"/>
        <color rgb="FF000000"/>
        <rFont val="ＭＳ 明朝"/>
        <family val="1"/>
        <charset val="128"/>
      </rPr>
      <t>{{</t>
    </r>
    <r>
      <rPr>
        <sz val="10"/>
        <color rgb="FF000000"/>
        <rFont val="WenQuanYi Zen Hei"/>
        <family val="2"/>
      </rPr>
      <t>金額十</t>
    </r>
    <r>
      <rPr>
        <sz val="10"/>
        <color rgb="FF000000"/>
        <rFont val="ＭＳ 明朝"/>
        <family val="1"/>
        <charset val="128"/>
      </rPr>
      <t>}}</t>
    </r>
  </si>
  <si>
    <r>
      <rPr>
        <sz val="10"/>
        <color rgb="FF000000"/>
        <rFont val="ＭＳ 明朝"/>
        <family val="1"/>
        <charset val="128"/>
      </rPr>
      <t>{{</t>
    </r>
    <r>
      <rPr>
        <sz val="10"/>
        <color rgb="FF000000"/>
        <rFont val="WenQuanYi Zen Hei"/>
        <family val="2"/>
      </rPr>
      <t>金額一</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</si>
  <si>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</si>
  <si>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
    </r>
  </si>
  <si>
    <r>
      <rPr>
        <sz val="10"/>
        <color rgb="FF000000"/>
        <rFont val="ＭＳ 明朝"/>
        <family val="1"/>
        <charset val="128"/>
      </rPr>
      <t>{{</t>
    </r>
    <r>
      <rPr>
        <sz val="10"/>
        <color rgb="FF000000"/>
        <rFont val="WenQuanYi Zen Hei"/>
        <family val="2"/>
      </rPr>
      <t>種別住宅災害</t>
    </r>
    <r>
      <rPr>
        <sz val="10"/>
        <color rgb="FF000000"/>
        <rFont val="ＭＳ 明朝"/>
        <family val="1"/>
        <charset val="128"/>
      </rPr>
      <t>}}</t>
    </r>
  </si>
  <si>
    <r>
      <rPr>
        <sz val="10"/>
        <color rgb="FF000000"/>
        <rFont val="ＭＳ 明朝"/>
        <family val="1"/>
        <charset val="128"/>
      </rPr>
      <t>{{</t>
    </r>
    <r>
      <rPr>
        <sz val="10"/>
        <color rgb="FF000000"/>
        <rFont val="WenQuanYi Zen Hei"/>
        <family val="2"/>
      </rPr>
      <t>種別在宅</t>
    </r>
    <r>
      <rPr>
        <sz val="10"/>
        <color rgb="FF000000"/>
        <rFont val="ＭＳ 明朝"/>
        <family val="1"/>
        <charset val="128"/>
      </rPr>
      <t>}}</t>
    </r>
  </si>
  <si>
    <r>
      <rPr>
        <sz val="10"/>
        <color rgb="FF000000"/>
        <rFont val="ＭＳ 明朝"/>
        <family val="1"/>
        <charset val="128"/>
      </rPr>
      <t>{{</t>
    </r>
    <r>
      <rPr>
        <sz val="10"/>
        <color rgb="FF000000"/>
        <rFont val="WenQuanYi Zen Hei"/>
        <family val="2"/>
      </rPr>
      <t>種別普通特別</t>
    </r>
    <r>
      <rPr>
        <sz val="10"/>
        <color rgb="FF000000"/>
        <rFont val="ＭＳ 明朝"/>
        <family val="1"/>
        <charset val="128"/>
      </rPr>
      <t>}}</t>
    </r>
  </si>
  <si>
    <r>
      <rPr>
        <sz val="10"/>
        <color rgb="FF000000"/>
        <rFont val="ＭＳ 明朝"/>
        <family val="1"/>
        <charset val="128"/>
      </rPr>
      <t>{{</t>
    </r>
    <r>
      <rPr>
        <sz val="10"/>
        <color rgb="FF000000"/>
        <rFont val="WenQuanYi Zen Hei"/>
        <family val="2"/>
      </rPr>
      <t>利率普通</t>
    </r>
    <r>
      <rPr>
        <sz val="10"/>
        <color rgb="FF000000"/>
        <rFont val="ＭＳ 明朝"/>
        <family val="1"/>
        <charset val="128"/>
      </rPr>
      <t>}}</t>
    </r>
  </si>
  <si>
    <r>
      <rPr>
        <sz val="10"/>
        <color rgb="FF000000"/>
        <rFont val="ＭＳ 明朝"/>
        <family val="1"/>
        <charset val="128"/>
      </rPr>
      <t>{{</t>
    </r>
    <r>
      <rPr>
        <sz val="10"/>
        <color rgb="FF000000"/>
        <rFont val="WenQuanYi Zen Hei"/>
        <family val="2"/>
      </rPr>
      <t>利率災害</t>
    </r>
    <r>
      <rPr>
        <sz val="10"/>
        <color rgb="FF000000"/>
        <rFont val="ＭＳ 明朝"/>
        <family val="1"/>
        <charset val="128"/>
      </rPr>
      <t>}}</t>
    </r>
  </si>
  <si>
    <r>
      <rPr>
        <sz val="10"/>
        <color rgb="FF000000"/>
        <rFont val="ＭＳ 明朝"/>
        <family val="1"/>
        <charset val="128"/>
      </rPr>
      <t>{{</t>
    </r>
    <r>
      <rPr>
        <sz val="10"/>
        <color rgb="FF000000"/>
        <rFont val="WenQuanYi Zen Hei"/>
        <family val="2"/>
      </rPr>
      <t>利率在宅</t>
    </r>
    <r>
      <rPr>
        <sz val="10"/>
        <color rgb="FF000000"/>
        <rFont val="ＭＳ 明朝"/>
        <family val="1"/>
        <charset val="128"/>
      </rPr>
      <t>}}</t>
    </r>
  </si>
  <si>
    <t>添書</t>
  </si>
  <si>
    <r>
      <rPr>
        <sz val="10"/>
        <color rgb="FF000000"/>
        <rFont val="ＭＳ 明朝"/>
        <family val="1"/>
        <charset val="128"/>
      </rPr>
      <t>{{</t>
    </r>
    <r>
      <rPr>
        <sz val="10"/>
        <color rgb="FF000000"/>
        <rFont val="WenQuanYi Zen Hei"/>
        <family val="2"/>
      </rPr>
      <t>日付</t>
    </r>
    <r>
      <rPr>
        <sz val="10"/>
        <color rgb="FF000000"/>
        <rFont val="ＭＳ 明朝"/>
        <family val="1"/>
        <charset val="128"/>
      </rPr>
      <t>}}</t>
    </r>
  </si>
  <si>
    <r>
      <rPr>
        <sz val="10"/>
        <color rgb="FF000000"/>
        <rFont val="ＭＳ 明朝"/>
        <family val="1"/>
        <charset val="128"/>
      </rPr>
      <t>{{</t>
    </r>
    <r>
      <rPr>
        <sz val="10"/>
        <color rgb="FF000000"/>
        <rFont val="WenQuanYi Zen Hei"/>
        <family val="2"/>
      </rPr>
      <t>宛名</t>
    </r>
    <r>
      <rPr>
        <sz val="10"/>
        <color rgb="FF000000"/>
        <rFont val="ＭＳ 明朝"/>
        <family val="1"/>
        <charset val="128"/>
      </rPr>
      <t>}}</t>
    </r>
  </si>
  <si>
    <r>
      <rPr>
        <sz val="10"/>
        <color rgb="FF000000"/>
        <rFont val="ＭＳ 明朝"/>
        <family val="1"/>
        <charset val="128"/>
      </rPr>
      <t>{{</t>
    </r>
    <r>
      <rPr>
        <sz val="10"/>
        <color rgb="FF000000"/>
        <rFont val="WenQuanYi Zen Hei"/>
        <family val="2"/>
      </rPr>
      <t>件名</t>
    </r>
    <r>
      <rPr>
        <sz val="10"/>
        <color rgb="FF000000"/>
        <rFont val="ＭＳ 明朝"/>
        <family val="1"/>
        <charset val="128"/>
      </rPr>
      <t>}}</t>
    </r>
  </si>
  <si>
    <r>
      <rPr>
        <sz val="10"/>
        <color rgb="FF000000"/>
        <rFont val="ＭＳ 明朝"/>
        <family val="1"/>
        <charset val="128"/>
      </rPr>
      <t>{{</t>
    </r>
    <r>
      <rPr>
        <sz val="10"/>
        <color rgb="FF000000"/>
        <rFont val="WenQuanYi Zen Hei"/>
        <family val="2"/>
      </rPr>
      <t>貸付区分</t>
    </r>
    <r>
      <rPr>
        <sz val="10"/>
        <color rgb="FF000000"/>
        <rFont val="ＭＳ 明朝"/>
        <family val="1"/>
        <charset val="128"/>
      </rPr>
      <t>}}</t>
    </r>
  </si>
  <si>
    <r>
      <rPr>
        <sz val="10"/>
        <color rgb="FF000000"/>
        <rFont val="ＭＳ 明朝"/>
        <family val="1"/>
        <charset val="128"/>
      </rPr>
      <t>{{</t>
    </r>
    <r>
      <rPr>
        <sz val="10"/>
        <color rgb="FF000000"/>
        <rFont val="WenQuanYi Zen Hei"/>
        <family val="2"/>
      </rPr>
      <t>申込金額</t>
    </r>
    <r>
      <rPr>
        <sz val="10"/>
        <color rgb="FF000000"/>
        <rFont val="ＭＳ 明朝"/>
        <family val="1"/>
        <charset val="128"/>
      </rPr>
      <t>}}</t>
    </r>
  </si>
  <si>
    <r>
      <rPr>
        <sz val="10"/>
        <color rgb="FF000000"/>
        <rFont val="ＭＳ 明朝"/>
        <family val="1"/>
        <charset val="128"/>
      </rPr>
      <t>{{</t>
    </r>
    <r>
      <rPr>
        <sz val="10"/>
        <color rgb="FF000000"/>
        <rFont val="WenQuanYi Zen Hei"/>
        <family val="2"/>
      </rPr>
      <t>適用利率</t>
    </r>
    <r>
      <rPr>
        <sz val="10"/>
        <color rgb="FF000000"/>
        <rFont val="ＭＳ 明朝"/>
        <family val="1"/>
        <charset val="128"/>
      </rPr>
      <t>}}</t>
    </r>
  </si>
  <si>
    <r>
      <rPr>
        <sz val="10"/>
        <color rgb="FF000000"/>
        <rFont val="ＭＳ 明朝"/>
        <family val="1"/>
        <charset val="128"/>
      </rPr>
      <t>{{</t>
    </r>
    <r>
      <rPr>
        <sz val="10"/>
        <color rgb="FF000000"/>
        <rFont val="WenQuanYi Zen Hei"/>
        <family val="2"/>
      </rPr>
      <t>償還</t>
    </r>
    <r>
      <rPr>
        <sz val="10"/>
        <color rgb="FF000000"/>
        <rFont val="ＭＳ 明朝"/>
        <family val="1"/>
        <charset val="128"/>
      </rPr>
      <t>}}</t>
    </r>
  </si>
  <si>
    <r>
      <rPr>
        <sz val="10"/>
        <color rgb="FF000000"/>
        <rFont val="ＭＳ 明朝"/>
        <family val="1"/>
        <charset val="128"/>
      </rPr>
      <t>{{</t>
    </r>
    <r>
      <rPr>
        <sz val="10"/>
        <color rgb="FF000000"/>
        <rFont val="WenQuanYi Zen Hei"/>
        <family val="2"/>
      </rPr>
      <t>毎月償還額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</si>
  <si>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償還開始</t>
    </r>
    <r>
      <rPr>
        <sz val="10"/>
        <color rgb="FF000000"/>
        <rFont val="ＭＳ 明朝"/>
        <family val="1"/>
        <charset val="128"/>
      </rPr>
      <t>}}</t>
    </r>
  </si>
  <si>
    <r>
      <rPr>
        <sz val="10"/>
        <color rgb="FF000000"/>
        <rFont val="ＭＳ 明朝"/>
        <family val="1"/>
        <charset val="128"/>
      </rPr>
      <t>{{</t>
    </r>
    <r>
      <rPr>
        <sz val="10"/>
        <color rgb="FF000000"/>
        <rFont val="WenQuanYi Zen Hei"/>
        <family val="2"/>
      </rPr>
      <t>締切日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</si>
  <si>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提出先</t>
    </r>
    <r>
      <rPr>
        <sz val="10"/>
        <color rgb="FF000000"/>
        <rFont val="ＭＳ 明朝"/>
        <family val="1"/>
        <charset val="128"/>
      </rPr>
      <t>}}</t>
    </r>
  </si>
  <si>
    <r>
      <rPr>
        <sz val="10"/>
        <color rgb="FF000000"/>
        <rFont val="ＭＳ 明朝"/>
        <family val="1"/>
        <charset val="128"/>
      </rPr>
      <t>{{</t>
    </r>
    <r>
      <rPr>
        <sz val="10"/>
        <color rgb="FF000000"/>
        <rFont val="WenQuanYi Zen Hei"/>
        <family val="2"/>
      </rPr>
      <t>交付予定日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</si>
  <si>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</si>
  <si>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</si>
  <si>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交付後期限</t>
    </r>
    <r>
      <rPr>
        <sz val="10"/>
        <color rgb="FF000000"/>
        <rFont val="ＭＳ 明朝"/>
        <family val="1"/>
        <charset val="128"/>
      </rPr>
      <t>}}</t>
    </r>
  </si>
  <si>
    <r>
      <rPr>
        <sz val="10"/>
        <color rgb="FF000000"/>
        <rFont val="ＭＳ 明朝"/>
        <family val="1"/>
        <charset val="128"/>
      </rPr>
      <t>{{</t>
    </r>
    <r>
      <rPr>
        <sz val="10"/>
        <color rgb="FF000000"/>
        <rFont val="WenQuanYi Zen Hei"/>
        <family val="2"/>
      </rPr>
      <t>償還回数</t>
    </r>
    <r>
      <rPr>
        <sz val="10"/>
        <color rgb="FF000000"/>
        <rFont val="ＭＳ 明朝"/>
        <family val="1"/>
        <charset val="128"/>
      </rPr>
      <t>}}</t>
    </r>
  </si>
  <si>
    <r>
      <rPr>
        <sz val="10"/>
        <color rgb="FF000000"/>
        <rFont val="ＭＳ 明朝"/>
        <family val="1"/>
        <charset val="128"/>
      </rPr>
      <t>{{</t>
    </r>
    <r>
      <rPr>
        <sz val="10"/>
        <color rgb="FF000000"/>
        <rFont val="WenQuanYi Zen Hei"/>
        <family val="2"/>
      </rPr>
      <t>一回の償還額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</si>
  <si>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事由自動車</t>
    </r>
    <r>
      <rPr>
        <sz val="10"/>
        <color rgb="FF000000"/>
        <rFont val="ＭＳ 明朝"/>
        <family val="1"/>
        <charset val="128"/>
      </rPr>
      <t>}}</t>
    </r>
  </si>
  <si>
    <r>
      <rPr>
        <sz val="10"/>
        <color rgb="FF000000"/>
        <rFont val="ＭＳ 明朝"/>
        <family val="1"/>
        <charset val="128"/>
      </rPr>
      <t>{{</t>
    </r>
    <r>
      <rPr>
        <sz val="10"/>
        <color rgb="FF000000"/>
        <rFont val="WenQuanYi Zen Hei"/>
        <family val="2"/>
      </rPr>
      <t>事由出産</t>
    </r>
    <r>
      <rPr>
        <sz val="10"/>
        <color rgb="FF000000"/>
        <rFont val="ＭＳ 明朝"/>
        <family val="1"/>
        <charset val="128"/>
      </rPr>
      <t>}}</t>
    </r>
  </si>
  <si>
    <r>
      <rPr>
        <sz val="10"/>
        <color rgb="FF000000"/>
        <rFont val="ＭＳ 明朝"/>
        <family val="1"/>
        <charset val="128"/>
      </rPr>
      <t>{{</t>
    </r>
    <r>
      <rPr>
        <sz val="10"/>
        <color rgb="FF000000"/>
        <rFont val="WenQuanYi Zen Hei"/>
        <family val="2"/>
      </rPr>
      <t>事由医療</t>
    </r>
    <r>
      <rPr>
        <sz val="10"/>
        <color rgb="FF000000"/>
        <rFont val="ＭＳ 明朝"/>
        <family val="1"/>
        <charset val="128"/>
      </rPr>
      <t>}}</t>
    </r>
  </si>
  <si>
    <r>
      <rPr>
        <sz val="10"/>
        <color rgb="FF000000"/>
        <rFont val="ＭＳ 明朝"/>
        <family val="1"/>
        <charset val="128"/>
      </rPr>
      <t>{{</t>
    </r>
    <r>
      <rPr>
        <sz val="10"/>
        <color rgb="FF000000"/>
        <rFont val="WenQuanYi Zen Hei"/>
        <family val="2"/>
      </rPr>
      <t>事由入学</t>
    </r>
    <r>
      <rPr>
        <sz val="10"/>
        <color rgb="FF000000"/>
        <rFont val="ＭＳ 明朝"/>
        <family val="1"/>
        <charset val="128"/>
      </rPr>
      <t>}}</t>
    </r>
  </si>
  <si>
    <r>
      <rPr>
        <sz val="10"/>
        <color rgb="FF000000"/>
        <rFont val="ＭＳ 明朝"/>
        <family val="1"/>
        <charset val="128"/>
      </rPr>
      <t>{{</t>
    </r>
    <r>
      <rPr>
        <sz val="10"/>
        <color rgb="FF000000"/>
        <rFont val="WenQuanYi Zen Hei"/>
        <family val="2"/>
      </rPr>
      <t>事由結婚</t>
    </r>
    <r>
      <rPr>
        <sz val="10"/>
        <color rgb="FF000000"/>
        <rFont val="ＭＳ 明朝"/>
        <family val="1"/>
        <charset val="128"/>
      </rPr>
      <t>}}</t>
    </r>
  </si>
  <si>
    <r>
      <rPr>
        <sz val="10"/>
        <color rgb="FF000000"/>
        <rFont val="ＭＳ 明朝"/>
        <family val="1"/>
        <charset val="128"/>
      </rPr>
      <t>{{</t>
    </r>
    <r>
      <rPr>
        <sz val="10"/>
        <color rgb="FF000000"/>
        <rFont val="WenQuanYi Zen Hei"/>
        <family val="2"/>
      </rPr>
      <t>事由葬祭</t>
    </r>
    <r>
      <rPr>
        <sz val="10"/>
        <color rgb="FF000000"/>
        <rFont val="ＭＳ 明朝"/>
        <family val="1"/>
        <charset val="128"/>
      </rPr>
      <t>}}</t>
    </r>
  </si>
  <si>
    <r>
      <rPr>
        <sz val="10"/>
        <color rgb="FF000000"/>
        <rFont val="ＭＳ 明朝"/>
        <family val="1"/>
        <charset val="128"/>
      </rPr>
      <t>{{</t>
    </r>
    <r>
      <rPr>
        <sz val="10"/>
        <color rgb="FF000000"/>
        <rFont val="WenQuanYi Zen Hei"/>
        <family val="2"/>
      </rPr>
      <t>事由修学</t>
    </r>
    <r>
      <rPr>
        <sz val="10"/>
        <color rgb="FF000000"/>
        <rFont val="ＭＳ 明朝"/>
        <family val="1"/>
        <charset val="128"/>
      </rPr>
      <t>}}</t>
    </r>
  </si>
  <si>
    <r>
      <rPr>
        <sz val="10"/>
        <color rgb="FF000000"/>
        <rFont val="ＭＳ 明朝"/>
        <family val="1"/>
        <charset val="128"/>
      </rPr>
      <t>{{</t>
    </r>
    <r>
      <rPr>
        <sz val="10"/>
        <color rgb="FF000000"/>
        <rFont val="WenQuanYi Zen Hei"/>
        <family val="2"/>
      </rPr>
      <t>登録予定日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</si>
  <si>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事由日</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</si>
  <si>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TEL}}</t>
    </r>
  </si>
  <si>
    <r>
      <rPr>
        <sz val="10"/>
        <color rgb="FF000000"/>
        <rFont val="ＭＳ 明朝"/>
        <family val="1"/>
        <charset val="128"/>
      </rPr>
      <t>{{</t>
    </r>
    <r>
      <rPr>
        <sz val="10"/>
        <color rgb="FF000000"/>
        <rFont val="WenQuanYi Zen Hei"/>
        <family val="2"/>
      </rPr>
      <t>職名</t>
    </r>
    <r>
      <rPr>
        <sz val="10"/>
        <color rgb="FF000000"/>
        <rFont val="ＭＳ 明朝"/>
        <family val="1"/>
        <charset val="128"/>
      </rPr>
      <t>}}</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</si>
  <si>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1}}</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</si>
  <si>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2}}</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</si>
  <si>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3}}</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</si>
  <si>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4}}</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</si>
  <si>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5}}</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</si>
  <si>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6}}</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</si>
  <si>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7}}</t>
    </r>
  </si>
  <si>
    <r>
      <rPr>
        <sz val="10"/>
        <color rgb="FF000000"/>
        <rFont val="ＭＳ 明朝"/>
        <family val="1"/>
        <charset val="128"/>
      </rPr>
      <t>{{</t>
    </r>
    <r>
      <rPr>
        <sz val="10"/>
        <color rgb="FF000000"/>
        <rFont val="WenQuanYi Zen Hei"/>
        <family val="2"/>
      </rPr>
      <t>ふりがな</t>
    </r>
    <r>
      <rPr>
        <sz val="10"/>
        <color rgb="FF000000"/>
        <rFont val="ＭＳ 明朝"/>
        <family val="1"/>
        <charset val="128"/>
      </rPr>
      <t>}}</t>
    </r>
  </si>
  <si>
    <r>
      <rPr>
        <sz val="10"/>
        <color rgb="FF000000"/>
        <rFont val="ＭＳ 明朝"/>
        <family val="1"/>
        <charset val="128"/>
      </rPr>
      <t>{{</t>
    </r>
    <r>
      <rPr>
        <sz val="10"/>
        <color rgb="FF000000"/>
        <rFont val="WenQuanYi Zen Hei"/>
        <family val="2"/>
      </rPr>
      <t>氏名</t>
    </r>
    <r>
      <rPr>
        <sz val="10"/>
        <color rgb="FF000000"/>
        <rFont val="ＭＳ 明朝"/>
        <family val="1"/>
        <charset val="128"/>
      </rPr>
      <t>}}</t>
    </r>
  </si>
  <si>
    <r>
      <rPr>
        <sz val="10"/>
        <color rgb="FF000000"/>
        <rFont val="ＭＳ 明朝"/>
        <family val="1"/>
        <charset val="128"/>
      </rPr>
      <t>{{</t>
    </r>
    <r>
      <rPr>
        <sz val="10"/>
        <color rgb="FF000000"/>
        <rFont val="WenQuanYi Zen Hei"/>
        <family val="2"/>
      </rPr>
      <t>生年</t>
    </r>
    <r>
      <rPr>
        <sz val="10"/>
        <color rgb="FF000000"/>
        <rFont val="ＭＳ 明朝"/>
        <family val="1"/>
        <charset val="128"/>
      </rPr>
      <t>S}}</t>
    </r>
  </si>
  <si>
    <r>
      <rPr>
        <sz val="10"/>
        <color rgb="FF000000"/>
        <rFont val="ＭＳ 明朝"/>
        <family val="1"/>
        <charset val="128"/>
      </rPr>
      <t>{{</t>
    </r>
    <r>
      <rPr>
        <sz val="10"/>
        <color rgb="FF000000"/>
        <rFont val="WenQuanYi Zen Hei"/>
        <family val="2"/>
      </rPr>
      <t>生年</t>
    </r>
    <r>
      <rPr>
        <sz val="10"/>
        <color rgb="FF000000"/>
        <rFont val="ＭＳ 明朝"/>
        <family val="1"/>
        <charset val="128"/>
      </rPr>
      <t>H}}</t>
    </r>
  </si>
  <si>
    <r>
      <rPr>
        <sz val="10"/>
        <color rgb="FF000000"/>
        <rFont val="ＭＳ 明朝"/>
        <family val="1"/>
        <charset val="128"/>
      </rPr>
      <t>{{</t>
    </r>
    <r>
      <rPr>
        <sz val="10"/>
        <color rgb="FF000000"/>
        <rFont val="WenQuanYi Zen Hei"/>
        <family val="2"/>
      </rPr>
      <t>生年月日</t>
    </r>
    <r>
      <rPr>
        <sz val="10"/>
        <color rgb="FF000000"/>
        <rFont val="ＭＳ 明朝"/>
        <family val="1"/>
        <charset val="128"/>
      </rPr>
      <t>}}</t>
    </r>
  </si>
  <si>
    <r>
      <rPr>
        <sz val="10"/>
        <color rgb="FF000000"/>
        <rFont val="ＭＳ 明朝"/>
        <family val="1"/>
        <charset val="128"/>
      </rPr>
      <t>{{</t>
    </r>
    <r>
      <rPr>
        <sz val="10"/>
        <color rgb="FF000000"/>
        <rFont val="WenQuanYi Zen Hei"/>
        <family val="2"/>
      </rPr>
      <t>加入</t>
    </r>
    <r>
      <rPr>
        <sz val="10"/>
        <color rgb="FF000000"/>
        <rFont val="ＭＳ 明朝"/>
        <family val="1"/>
        <charset val="128"/>
      </rPr>
      <t>S}}</t>
    </r>
  </si>
  <si>
    <r>
      <rPr>
        <sz val="10"/>
        <color rgb="FF000000"/>
        <rFont val="ＭＳ 明朝"/>
        <family val="1"/>
        <charset val="128"/>
      </rPr>
      <t>{{</t>
    </r>
    <r>
      <rPr>
        <sz val="10"/>
        <color rgb="FF000000"/>
        <rFont val="WenQuanYi Zen Hei"/>
        <family val="2"/>
      </rPr>
      <t>加入</t>
    </r>
    <r>
      <rPr>
        <sz val="10"/>
        <color rgb="FF000000"/>
        <rFont val="ＭＳ 明朝"/>
        <family val="1"/>
        <charset val="128"/>
      </rPr>
      <t>H}}</t>
    </r>
  </si>
  <si>
    <r>
      <rPr>
        <sz val="10"/>
        <color rgb="FF000000"/>
        <rFont val="ＭＳ 明朝"/>
        <family val="1"/>
        <charset val="128"/>
      </rPr>
      <t>{{</t>
    </r>
    <r>
      <rPr>
        <sz val="10"/>
        <color rgb="FF000000"/>
        <rFont val="WenQuanYi Zen Hei"/>
        <family val="2"/>
      </rPr>
      <t>加入</t>
    </r>
    <r>
      <rPr>
        <sz val="10"/>
        <color rgb="FF000000"/>
        <rFont val="ＭＳ 明朝"/>
        <family val="1"/>
        <charset val="128"/>
      </rPr>
      <t>R}}</t>
    </r>
  </si>
  <si>
    <r>
      <rPr>
        <sz val="10"/>
        <color rgb="FF000000"/>
        <rFont val="ＭＳ 明朝"/>
        <family val="1"/>
        <charset val="128"/>
      </rPr>
      <t>{{</t>
    </r>
    <r>
      <rPr>
        <sz val="10"/>
        <color rgb="FF000000"/>
        <rFont val="WenQuanYi Zen Hei"/>
        <family val="2"/>
      </rPr>
      <t>加入年月</t>
    </r>
    <r>
      <rPr>
        <sz val="10"/>
        <color rgb="FF000000"/>
        <rFont val="ＭＳ 明朝"/>
        <family val="1"/>
        <charset val="128"/>
      </rPr>
      <t>}}</t>
    </r>
  </si>
  <si>
    <r>
      <rPr>
        <sz val="10"/>
        <color rgb="FF000000"/>
        <rFont val="ＭＳ 明朝"/>
        <family val="1"/>
        <charset val="128"/>
      </rPr>
      <t>{{</t>
    </r>
    <r>
      <rPr>
        <sz val="10"/>
        <color rgb="FF000000"/>
        <rFont val="WenQuanYi Zen Hei"/>
        <family val="2"/>
      </rPr>
      <t>給料月額</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</si>
  <si>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TEL}}</t>
    </r>
  </si>
  <si>
    <r>
      <rPr>
        <sz val="10"/>
        <color rgb="FF000000"/>
        <rFont val="ＭＳ 明朝"/>
        <family val="1"/>
        <charset val="128"/>
      </rPr>
      <t>{{</t>
    </r>
    <r>
      <rPr>
        <sz val="10"/>
        <color rgb="FF000000"/>
        <rFont val="WenQuanYi Zen Hei"/>
        <family val="2"/>
      </rPr>
      <t>金融機関</t>
    </r>
    <r>
      <rPr>
        <sz val="10"/>
        <color rgb="FF000000"/>
        <rFont val="ＭＳ 明朝"/>
        <family val="1"/>
        <charset val="128"/>
      </rPr>
      <t>}}</t>
    </r>
  </si>
  <si>
    <r>
      <rPr>
        <sz val="10"/>
        <color rgb="FF000000"/>
        <rFont val="ＭＳ 明朝"/>
        <family val="1"/>
        <charset val="128"/>
      </rPr>
      <t>{{</t>
    </r>
    <r>
      <rPr>
        <sz val="10"/>
        <color rgb="FF000000"/>
        <rFont val="WenQuanYi Zen Hei"/>
        <family val="2"/>
      </rPr>
      <t>支店</t>
    </r>
    <r>
      <rPr>
        <sz val="10"/>
        <color rgb="FF000000"/>
        <rFont val="ＭＳ 明朝"/>
        <family val="1"/>
        <charset val="128"/>
      </rPr>
      <t>}}</t>
    </r>
  </si>
  <si>
    <r>
      <rPr>
        <sz val="10"/>
        <color rgb="FF000000"/>
        <rFont val="ＭＳ 明朝"/>
        <family val="1"/>
        <charset val="128"/>
      </rPr>
      <t>{{</t>
    </r>
    <r>
      <rPr>
        <sz val="10"/>
        <color rgb="FF000000"/>
        <rFont val="WenQuanYi Zen Hei"/>
        <family val="2"/>
      </rPr>
      <t>口座</t>
    </r>
    <r>
      <rPr>
        <sz val="10"/>
        <color rgb="FF000000"/>
        <rFont val="ＭＳ 明朝"/>
        <family val="1"/>
        <charset val="128"/>
      </rPr>
      <t>1}}</t>
    </r>
  </si>
  <si>
    <r>
      <rPr>
        <sz val="10"/>
        <color rgb="FF000000"/>
        <rFont val="ＭＳ 明朝"/>
        <family val="1"/>
        <charset val="128"/>
      </rPr>
      <t>{{</t>
    </r>
    <r>
      <rPr>
        <sz val="10"/>
        <color rgb="FF000000"/>
        <rFont val="WenQuanYi Zen Hei"/>
        <family val="2"/>
      </rPr>
      <t>口座</t>
    </r>
    <r>
      <rPr>
        <sz val="10"/>
        <color rgb="FF000000"/>
        <rFont val="ＭＳ 明朝"/>
        <family val="1"/>
        <charset val="128"/>
      </rPr>
      <t>2}}</t>
    </r>
  </si>
  <si>
    <r>
      <rPr>
        <sz val="10"/>
        <color rgb="FF000000"/>
        <rFont val="ＭＳ 明朝"/>
        <family val="1"/>
        <charset val="128"/>
      </rPr>
      <t>{{</t>
    </r>
    <r>
      <rPr>
        <sz val="10"/>
        <color rgb="FF000000"/>
        <rFont val="WenQuanYi Zen Hei"/>
        <family val="2"/>
      </rPr>
      <t>口座</t>
    </r>
    <r>
      <rPr>
        <sz val="10"/>
        <color rgb="FF000000"/>
        <rFont val="ＭＳ 明朝"/>
        <family val="1"/>
        <charset val="128"/>
      </rPr>
      <t>3}}</t>
    </r>
  </si>
  <si>
    <r>
      <rPr>
        <sz val="10"/>
        <color rgb="FF000000"/>
        <rFont val="ＭＳ 明朝"/>
        <family val="1"/>
        <charset val="128"/>
      </rPr>
      <t>{{</t>
    </r>
    <r>
      <rPr>
        <sz val="10"/>
        <color rgb="FF000000"/>
        <rFont val="WenQuanYi Zen Hei"/>
        <family val="2"/>
      </rPr>
      <t>口座</t>
    </r>
    <r>
      <rPr>
        <sz val="10"/>
        <color rgb="FF000000"/>
        <rFont val="ＭＳ 明朝"/>
        <family val="1"/>
        <charset val="128"/>
      </rPr>
      <t>4}}</t>
    </r>
  </si>
  <si>
    <r>
      <rPr>
        <sz val="10"/>
        <color rgb="FF000000"/>
        <rFont val="ＭＳ 明朝"/>
        <family val="1"/>
        <charset val="128"/>
      </rPr>
      <t>{{</t>
    </r>
    <r>
      <rPr>
        <sz val="10"/>
        <color rgb="FF000000"/>
        <rFont val="WenQuanYi Zen Hei"/>
        <family val="2"/>
      </rPr>
      <t>口座</t>
    </r>
    <r>
      <rPr>
        <sz val="10"/>
        <color rgb="FF000000"/>
        <rFont val="ＭＳ 明朝"/>
        <family val="1"/>
        <charset val="128"/>
      </rPr>
      <t>5}}</t>
    </r>
  </si>
  <si>
    <r>
      <rPr>
        <sz val="10"/>
        <color rgb="FF000000"/>
        <rFont val="ＭＳ 明朝"/>
        <family val="1"/>
        <charset val="128"/>
      </rPr>
      <t>{{</t>
    </r>
    <r>
      <rPr>
        <sz val="10"/>
        <color rgb="FF000000"/>
        <rFont val="WenQuanYi Zen Hei"/>
        <family val="2"/>
      </rPr>
      <t>口座</t>
    </r>
    <r>
      <rPr>
        <sz val="10"/>
        <color rgb="FF000000"/>
        <rFont val="ＭＳ 明朝"/>
        <family val="1"/>
        <charset val="128"/>
      </rPr>
      <t>6}}</t>
    </r>
  </si>
  <si>
    <r>
      <rPr>
        <sz val="10"/>
        <color rgb="FF000000"/>
        <rFont val="ＭＳ 明朝"/>
        <family val="1"/>
        <charset val="128"/>
      </rPr>
      <t>{{</t>
    </r>
    <r>
      <rPr>
        <sz val="10"/>
        <color rgb="FF000000"/>
        <rFont val="WenQuanYi Zen Hei"/>
        <family val="2"/>
      </rPr>
      <t>口座</t>
    </r>
    <r>
      <rPr>
        <sz val="10"/>
        <color rgb="FF000000"/>
        <rFont val="ＭＳ 明朝"/>
        <family val="1"/>
        <charset val="128"/>
      </rPr>
      <t>7}}</t>
    </r>
  </si>
  <si>
    <r>
      <rPr>
        <sz val="10"/>
        <color rgb="FF000000"/>
        <rFont val="ＭＳ 明朝"/>
        <family val="1"/>
        <charset val="128"/>
      </rPr>
      <t>{{</t>
    </r>
    <r>
      <rPr>
        <sz val="10"/>
        <color rgb="FF000000"/>
        <rFont val="WenQuanYi Zen Hei"/>
        <family val="2"/>
      </rPr>
      <t>現在住宅</t>
    </r>
    <r>
      <rPr>
        <sz val="10"/>
        <color rgb="FF000000"/>
        <rFont val="ＭＳ 明朝"/>
        <family val="1"/>
        <charset val="128"/>
      </rPr>
      <t>}}</t>
    </r>
  </si>
  <si>
    <r>
      <rPr>
        <sz val="10"/>
        <color rgb="FF000000"/>
        <rFont val="ＭＳ 明朝"/>
        <family val="1"/>
        <charset val="128"/>
      </rPr>
      <t>{{</t>
    </r>
    <r>
      <rPr>
        <sz val="10"/>
        <color rgb="FF000000"/>
        <rFont val="WenQuanYi Zen Hei"/>
        <family val="2"/>
      </rPr>
      <t>現在特別</t>
    </r>
    <r>
      <rPr>
        <sz val="10"/>
        <color rgb="FF000000"/>
        <rFont val="ＭＳ 明朝"/>
        <family val="1"/>
        <charset val="128"/>
      </rPr>
      <t>}}</t>
    </r>
  </si>
  <si>
    <r>
      <rPr>
        <sz val="10"/>
        <color rgb="FF000000"/>
        <rFont val="ＭＳ 明朝"/>
        <family val="1"/>
        <charset val="128"/>
      </rPr>
      <t>{{</t>
    </r>
    <r>
      <rPr>
        <sz val="10"/>
        <color rgb="FF000000"/>
        <rFont val="WenQuanYi Zen Hei"/>
        <family val="2"/>
      </rPr>
      <t>現在普通</t>
    </r>
    <r>
      <rPr>
        <sz val="10"/>
        <color rgb="FF000000"/>
        <rFont val="ＭＳ 明朝"/>
        <family val="1"/>
        <charset val="128"/>
      </rPr>
      <t>}}</t>
    </r>
  </si>
  <si>
    <r>
      <rPr>
        <sz val="10"/>
        <color rgb="FF000000"/>
        <rFont val="ＭＳ 明朝"/>
        <family val="1"/>
        <charset val="128"/>
      </rPr>
      <t>{{</t>
    </r>
    <r>
      <rPr>
        <sz val="10"/>
        <color rgb="FF000000"/>
        <rFont val="WenQuanYi Zen Hei"/>
        <family val="2"/>
      </rPr>
      <t>現在災害</t>
    </r>
    <r>
      <rPr>
        <sz val="10"/>
        <color rgb="FF000000"/>
        <rFont val="ＭＳ 明朝"/>
        <family val="1"/>
        <charset val="128"/>
      </rPr>
      <t>}}</t>
    </r>
  </si>
  <si>
    <r>
      <rPr>
        <sz val="10"/>
        <color rgb="FF000000"/>
        <rFont val="ＭＳ 明朝"/>
        <family val="1"/>
        <charset val="128"/>
      </rPr>
      <t>{{</t>
    </r>
    <r>
      <rPr>
        <sz val="10"/>
        <color rgb="FF000000"/>
        <rFont val="WenQuanYi Zen Hei"/>
        <family val="2"/>
      </rPr>
      <t>現在なし</t>
    </r>
    <r>
      <rPr>
        <sz val="10"/>
        <color rgb="FF000000"/>
        <rFont val="ＭＳ 明朝"/>
        <family val="1"/>
        <charset val="128"/>
      </rPr>
      <t>}}</t>
    </r>
  </si>
  <si>
    <r>
      <rPr>
        <sz val="10"/>
        <color rgb="FF000000"/>
        <rFont val="ＭＳ 明朝"/>
        <family val="1"/>
        <charset val="128"/>
      </rPr>
      <t>{{</t>
    </r>
    <r>
      <rPr>
        <sz val="10"/>
        <color rgb="FF000000"/>
        <rFont val="WenQuanYi Zen Hei"/>
        <family val="2"/>
      </rPr>
      <t>同時住宅</t>
    </r>
    <r>
      <rPr>
        <sz val="10"/>
        <color rgb="FF000000"/>
        <rFont val="ＭＳ 明朝"/>
        <family val="1"/>
        <charset val="128"/>
      </rPr>
      <t>}}</t>
    </r>
  </si>
  <si>
    <r>
      <rPr>
        <sz val="10"/>
        <color rgb="FF000000"/>
        <rFont val="ＭＳ 明朝"/>
        <family val="1"/>
        <charset val="128"/>
      </rPr>
      <t>{{</t>
    </r>
    <r>
      <rPr>
        <sz val="10"/>
        <color rgb="FF000000"/>
        <rFont val="WenQuanYi Zen Hei"/>
        <family val="2"/>
      </rPr>
      <t>同時特別</t>
    </r>
    <r>
      <rPr>
        <sz val="10"/>
        <color rgb="FF000000"/>
        <rFont val="ＭＳ 明朝"/>
        <family val="1"/>
        <charset val="128"/>
      </rPr>
      <t>}}</t>
    </r>
  </si>
  <si>
    <r>
      <rPr>
        <sz val="10"/>
        <color rgb="FF000000"/>
        <rFont val="ＭＳ 明朝"/>
        <family val="1"/>
        <charset val="128"/>
      </rPr>
      <t>{{</t>
    </r>
    <r>
      <rPr>
        <sz val="10"/>
        <color rgb="FF000000"/>
        <rFont val="WenQuanYi Zen Hei"/>
        <family val="2"/>
      </rPr>
      <t>同時普通</t>
    </r>
    <r>
      <rPr>
        <sz val="10"/>
        <color rgb="FF000000"/>
        <rFont val="ＭＳ 明朝"/>
        <family val="1"/>
        <charset val="128"/>
      </rPr>
      <t>}}</t>
    </r>
  </si>
  <si>
    <r>
      <rPr>
        <sz val="10"/>
        <color rgb="FF000000"/>
        <rFont val="ＭＳ 明朝"/>
        <family val="1"/>
        <charset val="128"/>
      </rPr>
      <t>{{</t>
    </r>
    <r>
      <rPr>
        <sz val="10"/>
        <color rgb="FF000000"/>
        <rFont val="WenQuanYi Zen Hei"/>
        <family val="2"/>
      </rPr>
      <t>同時災害</t>
    </r>
    <r>
      <rPr>
        <sz val="10"/>
        <color rgb="FF000000"/>
        <rFont val="ＭＳ 明朝"/>
        <family val="1"/>
        <charset val="128"/>
      </rPr>
      <t>}}</t>
    </r>
  </si>
  <si>
    <r>
      <rPr>
        <sz val="10"/>
        <color rgb="FF000000"/>
        <rFont val="ＭＳ 明朝"/>
        <family val="1"/>
        <charset val="128"/>
      </rPr>
      <t>{{</t>
    </r>
    <r>
      <rPr>
        <sz val="10"/>
        <color rgb="FF000000"/>
        <rFont val="WenQuanYi Zen Hei"/>
        <family val="2"/>
      </rPr>
      <t>同時なし</t>
    </r>
    <r>
      <rPr>
        <sz val="10"/>
        <color rgb="FF000000"/>
        <rFont val="ＭＳ 明朝"/>
        <family val="1"/>
        <charset val="128"/>
      </rPr>
      <t>}}</t>
    </r>
  </si>
  <si>
    <r>
      <rPr>
        <sz val="10"/>
        <color rgb="FF000000"/>
        <rFont val="ＭＳ 明朝"/>
        <family val="1"/>
        <charset val="128"/>
      </rPr>
      <t>{{</t>
    </r>
    <r>
      <rPr>
        <sz val="10"/>
        <color rgb="FF000000"/>
        <rFont val="WenQuanYi Zen Hei"/>
        <family val="2"/>
      </rPr>
      <t>申込日</t>
    </r>
    <r>
      <rPr>
        <sz val="10"/>
        <color rgb="FF000000"/>
        <rFont val="ＭＳ 明朝"/>
        <family val="1"/>
        <charset val="128"/>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</si>
</sst>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76" formatCode="yyyy/mm/dd"/>
    <numFmt numFmtId="177" formatCode="#,##0&quot;円&quot;"/>
    <numFmt numFmtId="178" formatCode="#,##0&quot;回&quot;"/>
    <numFmt numFmtId="179" formatCode="0&quot;か月&quot;"/>
    <numFmt numFmtId="180" formatCode="#,##0&quot;万円&quot;"/>
    <numFmt numFmtId="181" formatCode="0.0%"/>
    <numFmt numFmtId="182" formatCode="yyyy/mm/dd\(aaa\)"/>
    <numFmt numFmtId="183" formatCode="\\#,##0;[Red]&quot;\-&quot;#,##0"/>
    <numFmt numFmtId="184" formatCode="yy/m/d"/>
    <numFmt numFmtId="185" formatCode="&quot;(Ａ)&quot;* #,##0"/>
    <numFmt numFmtId="186" formatCode="&quot;(Ｆ)&quot;* #,##0"/>
    <numFmt numFmtId="187" formatCode="&quot;(Ｂ)&quot;* #,##0"/>
    <numFmt numFmtId="188" formatCode="&quot;(Ｇ)&quot;* #,##0"/>
    <numFmt numFmtId="189" formatCode="&quot;(Ｃ)&quot;* #,##0"/>
    <numFmt numFmtId="190" formatCode="&quot;(Ｈ)&quot;* #,##0"/>
    <numFmt numFmtId="191" formatCode="&quot;(Ｄ)&quot;* #,##0"/>
    <numFmt numFmtId="192" formatCode="&quot;(Ｉ)&quot;* #,##0"/>
    <numFmt numFmtId="193" formatCode="0.0&quot;％&quot;"/>
    <numFmt numFmtId="194" formatCode="0.0000%"/>
    <numFmt numFmtId="195" formatCode="0&quot;か月以上&quot;"/>
    <numFmt numFmtId="196" formatCode="0&quot;か月分&quot;"/>
    <numFmt numFmtId="197" formatCode="0.0000000"/>
  </numFmts>
  <fonts count="79">
    <font>
      <sz val="11"/>
      <name val="ＭＳ 明朝"/>
      <family val="1"/>
      <charset val="128"/>
    </font>
    <font>
      <sz val="11"/>
      <color rgb="FF000000"/>
      <name val="ＭＳ 明朝"/>
      <family val="3"/>
      <charset val="128"/>
    </font>
    <font>
      <sz val="11"/>
      <color rgb="FFFFFFFF"/>
      <name val="ＭＳ 明朝"/>
      <family val="3"/>
      <charset val="128"/>
    </font>
    <font>
      <sz val="11"/>
      <color rgb="FF993300"/>
      <name val="ＭＳ 明朝"/>
      <family val="3"/>
      <charset val="128"/>
    </font>
    <font>
      <b/>
      <sz val="18"/>
      <color rgb="FF003366"/>
      <name val="ＭＳ 明朝"/>
      <family val="3"/>
      <charset val="128"/>
    </font>
    <font>
      <b/>
      <sz val="11"/>
      <color rgb="FFFFFFFF"/>
      <name val="ＭＳ 明朝"/>
      <family val="3"/>
      <charset val="128"/>
    </font>
    <font>
      <sz val="11"/>
      <color rgb="FFFF9900"/>
      <name val="ＭＳ 明朝"/>
      <family val="3"/>
      <charset val="128"/>
    </font>
    <font>
      <sz val="11"/>
      <color rgb="FF333399"/>
      <name val="ＭＳ 明朝"/>
      <family val="3"/>
      <charset val="128"/>
    </font>
    <font>
      <b/>
      <sz val="11"/>
      <color rgb="FF333333"/>
      <name val="ＭＳ 明朝"/>
      <family val="3"/>
      <charset val="128"/>
    </font>
    <font>
      <sz val="11"/>
      <color rgb="FF800080"/>
      <name val="ＭＳ 明朝"/>
      <family val="3"/>
      <charset val="128"/>
    </font>
    <font>
      <sz val="11"/>
      <color rgb="FF008000"/>
      <name val="ＭＳ 明朝"/>
      <family val="3"/>
      <charset val="128"/>
    </font>
    <font>
      <b/>
      <sz val="15"/>
      <color rgb="FF003366"/>
      <name val="ＭＳ 明朝"/>
      <family val="3"/>
      <charset val="128"/>
    </font>
    <font>
      <b/>
      <sz val="13"/>
      <color rgb="FF003366"/>
      <name val="ＭＳ 明朝"/>
      <family val="3"/>
      <charset val="128"/>
    </font>
    <font>
      <b/>
      <sz val="11"/>
      <color rgb="FF003366"/>
      <name val="ＭＳ 明朝"/>
      <family val="3"/>
      <charset val="128"/>
    </font>
    <font>
      <b/>
      <sz val="11"/>
      <color rgb="FFFF9900"/>
      <name val="ＭＳ 明朝"/>
      <family val="3"/>
      <charset val="128"/>
    </font>
    <font>
      <i/>
      <sz val="11"/>
      <color rgb="FF808080"/>
      <name val="ＭＳ 明朝"/>
      <family val="3"/>
      <charset val="128"/>
    </font>
    <font>
      <sz val="11"/>
      <color rgb="FFFF0000"/>
      <name val="ＭＳ 明朝"/>
      <family val="3"/>
      <charset val="128"/>
    </font>
    <font>
      <b/>
      <sz val="11"/>
      <color rgb="FF000000"/>
      <name val="ＭＳ 明朝"/>
      <family val="3"/>
      <charset val="128"/>
    </font>
    <font>
      <b/>
      <sz val="14"/>
      <color rgb="FF000000"/>
      <name val="ＭＳ 明朝"/>
      <family val="2"/>
    </font>
    <font>
      <b/>
      <sz val="10"/>
      <color rgb="FF000000"/>
      <name val="ＭＳ 明朝"/>
      <family val="2"/>
    </font>
    <font>
      <sz val="10"/>
      <color rgb="FF000000"/>
      <name val="ＭＳ 明朝"/>
      <family val="2"/>
    </font>
    <font>
      <sz val="10"/>
      <color rgb="FF000000"/>
      <name val="ＭＳ 明朝"/>
      <family val="1"/>
      <charset val="128"/>
    </font>
    <font>
      <b/>
      <sz val="10"/>
      <color rgb="FF000000"/>
      <name val="ＭＳ 明朝"/>
      <family val="1"/>
      <charset val="128"/>
    </font>
    <font>
      <b/>
      <sz val="14"/>
      <color rgb="FF000000"/>
      <name val="ＭＳ 明朝"/>
      <family val="1"/>
      <charset val="128"/>
    </font>
    <font>
      <sz val="10"/>
      <color rgb="FF595959"/>
      <name val="ＭＳ 明朝"/>
      <family val="2"/>
    </font>
    <font>
      <i/>
      <sz val="10"/>
      <color rgb="FF595959"/>
      <name val="ＭＳ 明朝"/>
      <family val="2"/>
    </font>
    <font>
      <i/>
      <sz val="9"/>
      <color rgb="FF595959"/>
      <name val="ＭＳ 明朝"/>
      <family val="2"/>
    </font>
    <font>
      <i/>
      <sz val="9"/>
      <color rgb="FF595959"/>
      <name val="ＭＳ 明朝"/>
      <family val="1"/>
      <charset val="128"/>
    </font>
    <font>
      <sz val="10"/>
      <color rgb="FF0000FF"/>
      <name val="ＭＳ 明朝"/>
      <family val="2"/>
    </font>
    <font>
      <sz val="10"/>
      <color rgb="FF0000FF"/>
      <name val="ＭＳ 明朝"/>
      <family val="1"/>
      <charset val="128"/>
    </font>
    <font>
      <b/>
      <sz val="12"/>
      <color rgb="FF000000"/>
      <name val="ＭＳ 明朝"/>
      <family val="2"/>
    </font>
    <font>
      <b/>
      <sz val="12"/>
      <color rgb="FF000000"/>
      <name val="ＭＳ 明朝"/>
      <family val="1"/>
      <charset val="128"/>
    </font>
    <font>
      <sz val="9"/>
      <color rgb="FF000000"/>
      <name val="ＭＳ 明朝"/>
      <family val="2"/>
    </font>
    <font>
      <sz val="9"/>
      <color rgb="FF595959"/>
      <name val="ＭＳ 明朝"/>
      <family val="2"/>
    </font>
    <font>
      <sz val="9"/>
      <color rgb="FF595959"/>
      <name val="ＭＳ 明朝"/>
      <family val="1"/>
      <charset val="128"/>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sz val="9"/>
      <name val="ＭＳ 明朝"/>
      <family val="1"/>
      <charset val="128"/>
    </font>
    <font>
      <b/>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u/>
      <sz val="8"/>
      <name val="ＭＳ 明朝"/>
      <family val="2"/>
    </font>
    <font>
      <u/>
      <sz val="8"/>
      <name val="ＭＳ 明朝"/>
      <family val="2"/>
      <charset val="1"/>
    </font>
    <font>
      <b/>
      <sz val="13"/>
      <color rgb="FF000000"/>
      <name val="ＭＳ 明朝"/>
      <family val="2"/>
    </font>
    <font>
      <b/>
      <sz val="13"/>
      <color rgb="FF000000"/>
      <name val="ＭＳ 明朝"/>
      <family val="1"/>
      <charset val="128"/>
    </font>
    <font>
      <i/>
      <sz val="8"/>
      <color rgb="FF595959"/>
      <name val="ＭＳ 明朝"/>
      <family val="2"/>
    </font>
    <font>
      <i/>
      <sz val="8"/>
      <color rgb="FF595959"/>
      <name val="ＭＳ 明朝"/>
      <family val="1"/>
      <charset val="128"/>
    </font>
    <font>
      <b/>
      <sz val="11"/>
      <color rgb="FF000000"/>
      <name val="ＭＳ 明朝"/>
      <family val="2"/>
    </font>
    <font>
      <b/>
      <sz val="10"/>
      <color rgb="FF0000FF"/>
      <name val="ＭＳ 明朝"/>
      <family val="1"/>
      <charset val="128"/>
    </font>
    <font>
      <u/>
      <sz val="10"/>
      <color rgb="FF0563C1"/>
      <name val="ＭＳ 明朝"/>
      <family val="2"/>
    </font>
    <font>
      <u/>
      <sz val="10"/>
      <color rgb="FF0563C1"/>
      <name val="ＭＳ 明朝"/>
      <family val="1"/>
      <charset val="128"/>
    </font>
    <font>
      <sz val="9"/>
      <color rgb="FF000000"/>
      <name val="ＭＳ 明朝"/>
      <family val="1"/>
      <charset val="128"/>
    </font>
    <font>
      <i/>
      <sz val="10"/>
      <color rgb="FF595959"/>
      <name val="ＭＳ 明朝"/>
      <family val="1"/>
      <charset val="128"/>
    </font>
    <font>
      <sz val="11"/>
      <name val="ＭＳ 明朝"/>
      <family val="1"/>
      <charset val="128"/>
    </font>
    <font>
      <sz val="10"/>
      <color rgb="FF000000"/>
      <name val="WenQuanYi Zen Hei"/>
      <family val="2"/>
    </font>
    <font>
      <b/>
      <sz val="10"/>
      <color rgb="FF000000"/>
      <name val="WenQuanYi Zen Hei"/>
      <family val="2"/>
    </font>
    <font>
      <b/>
      <sz val="14"/>
      <color rgb="FF000000"/>
      <name val="WenQuanYi Zen Hei"/>
      <family val="2"/>
    </font>
    <font>
      <i/>
      <sz val="9"/>
      <color rgb="FF595959"/>
      <name val="WenQuanYi Zen Hei"/>
      <family val="2"/>
    </font>
    <font>
      <sz val="10"/>
      <color rgb="FF0000FF"/>
      <name val="WenQuanYi Zen Hei"/>
      <family val="2"/>
    </font>
    <font>
      <sz val="9"/>
      <color rgb="FF595959"/>
      <name val="WenQuanYi Zen Hei"/>
      <family val="2"/>
    </font>
    <font>
      <sz val="9"/>
      <name val="WenQuanYi Zen Hei"/>
      <family val="2"/>
    </font>
    <font>
      <sz val="8"/>
      <name val="WenQuanYi Zen Hei"/>
      <family val="2"/>
    </font>
    <font>
      <sz val="7"/>
      <name val="WenQuanYi Zen Hei"/>
      <family val="2"/>
    </font>
    <font>
      <u/>
      <sz val="8"/>
      <name val="WenQuanYi Zen Hei"/>
      <family val="2"/>
    </font>
    <font>
      <b/>
      <sz val="13"/>
      <color rgb="FF000000"/>
      <name val="WenQuanYi Zen Hei"/>
      <family val="2"/>
    </font>
    <font>
      <i/>
      <sz val="8"/>
      <color rgb="FF595959"/>
      <name val="WenQuanYi Zen Hei"/>
      <family val="2"/>
    </font>
    <font>
      <sz val="9"/>
      <color rgb="FF000000"/>
      <name val="WenQuanYi Zen Hei"/>
      <family val="2"/>
    </font>
    <font>
      <i/>
      <sz val="10"/>
      <color rgb="FF595959"/>
      <name val="WenQuanYi Zen Hei"/>
      <family val="2"/>
    </font>
    <font>
      <sz val="11"/>
      <color rgb="FF000000"/>
      <name val="Calibri"/>
      <family val="2"/>
    </font>
  </fonts>
  <fills count="28">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
      <patternFill patternType="solid">
        <fgColor rgb="FFFFFF00"/>
        <bgColor rgb="FFFFFFCC"/>
      </patternFill>
    </fill>
  </fills>
  <borders count="71">
    <border>
      <left/>
      <right/>
      <top/>
      <bottom/>
      <diagonal/>
    </border>
    <border>
      <left style="double">
        <color rgb="FF333333"/>
      </left>
      <right style="double">
        <color rgb="FF333333"/>
      </right>
      <top style="double">
        <color rgb="FF333333"/>
      </top>
      <bottom style="double">
        <color rgb="FF333333"/>
      </bottom>
      <diagonal/>
    </border>
    <border>
      <left style="thin">
        <color rgb="FFC0C0C0"/>
      </left>
      <right style="thin">
        <color rgb="FFC0C0C0"/>
      </right>
      <top style="thin">
        <color rgb="FFC0C0C0"/>
      </top>
      <bottom style="thin">
        <color rgb="FFC0C0C0"/>
      </bottom>
      <diagonal/>
    </border>
    <border>
      <left/>
      <right/>
      <top/>
      <bottom style="double">
        <color rgb="FFFF9900"/>
      </bottom>
      <diagonal/>
    </border>
    <border>
      <left style="thin">
        <color rgb="FF808080"/>
      </left>
      <right style="thin">
        <color rgb="FF808080"/>
      </right>
      <top style="thin">
        <color rgb="FF808080"/>
      </top>
      <bottom style="thin">
        <color rgb="FF808080"/>
      </bottom>
      <diagonal/>
    </border>
    <border>
      <left style="thin">
        <color rgb="FF333333"/>
      </left>
      <right style="thin">
        <color rgb="FF333333"/>
      </right>
      <top style="thin">
        <color rgb="FF333333"/>
      </top>
      <bottom style="thin">
        <color rgb="FF333333"/>
      </bottom>
      <diagonal/>
    </border>
    <border>
      <left/>
      <right/>
      <top/>
      <bottom style="thick">
        <color rgb="FF333399"/>
      </bottom>
      <diagonal/>
    </border>
    <border>
      <left/>
      <right/>
      <top/>
      <bottom style="thick">
        <color rgb="FFC0C0C0"/>
      </bottom>
      <diagonal/>
    </border>
    <border>
      <left/>
      <right/>
      <top/>
      <bottom style="medium">
        <color rgb="FF0066CC"/>
      </bottom>
      <diagonal/>
    </border>
    <border>
      <left/>
      <right/>
      <top style="thin">
        <color rgb="FF333399"/>
      </top>
      <bottom style="double">
        <color rgb="FF333399"/>
      </bottom>
      <diagonal/>
    </border>
    <border>
      <left style="thin">
        <color rgb="FFBFBFBF"/>
      </left>
      <right style="thin">
        <color rgb="FFBFBFBF"/>
      </right>
      <top style="thin">
        <color rgb="FFBFBFBF"/>
      </top>
      <bottom style="thin">
        <color rgb="FFBFBFB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medium">
        <color auto="1"/>
      </right>
      <top/>
      <bottom style="thin">
        <color auto="1"/>
      </bottom>
      <diagonal/>
    </border>
    <border>
      <left style="medium">
        <color auto="1"/>
      </left>
      <right style="hair">
        <color auto="1"/>
      </right>
      <top/>
      <bottom style="hair">
        <color auto="1"/>
      </bottom>
      <diagonal/>
    </border>
    <border>
      <left style="hair">
        <color auto="1"/>
      </left>
      <right style="thin">
        <color auto="1"/>
      </right>
      <top/>
      <bottom style="hair">
        <color auto="1"/>
      </bottom>
      <diagonal/>
    </border>
    <border>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right style="hair">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medium">
        <color auto="1"/>
      </right>
      <top style="thin">
        <color auto="1"/>
      </top>
      <bottom/>
      <diagonal/>
    </border>
    <border>
      <left style="medium">
        <color auto="1"/>
      </left>
      <right style="thin">
        <color auto="1"/>
      </right>
      <top style="thin">
        <color auto="1"/>
      </top>
      <bottom style="hair">
        <color auto="1"/>
      </bottom>
      <diagonal/>
    </border>
    <border>
      <left/>
      <right/>
      <top style="thin">
        <color auto="1"/>
      </top>
      <bottom style="hair">
        <color auto="1"/>
      </bottom>
      <diagonal/>
    </border>
    <border>
      <left style="thin">
        <color auto="1"/>
      </left>
      <right style="medium">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diagonal/>
    </border>
    <border>
      <left/>
      <right style="hair">
        <color auto="1"/>
      </right>
      <top style="hair">
        <color auto="1"/>
      </top>
      <bottom/>
      <diagonal/>
    </border>
    <border>
      <left style="hair">
        <color auto="1"/>
      </left>
      <right style="hair">
        <color auto="1"/>
      </right>
      <top style="hair">
        <color auto="1"/>
      </top>
      <bottom/>
      <diagonal/>
    </border>
    <border>
      <left style="thin">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right style="medium">
        <color auto="1"/>
      </right>
      <top/>
      <bottom style="thin">
        <color auto="1"/>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diagonal/>
    </border>
    <border>
      <left style="thin">
        <color auto="1"/>
      </left>
      <right style="thin">
        <color auto="1"/>
      </right>
      <top style="thin">
        <color auto="1"/>
      </top>
      <bottom style="hair">
        <color auto="1"/>
      </bottom>
      <diagonal/>
    </border>
    <border>
      <left style="hair">
        <color auto="1"/>
      </left>
      <right/>
      <top/>
      <bottom style="hair">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right style="thin">
        <color auto="1"/>
      </right>
      <top style="thin">
        <color auto="1"/>
      </top>
      <bottom style="hair">
        <color auto="1"/>
      </bottom>
      <diagonal/>
    </border>
    <border>
      <left style="hair">
        <color auto="1"/>
      </left>
      <right style="hair">
        <color auto="1"/>
      </right>
      <top/>
      <bottom style="hair">
        <color auto="1"/>
      </bottom>
      <diagonal/>
    </border>
    <border>
      <left/>
      <right style="thin">
        <color auto="1"/>
      </right>
      <top style="hair">
        <color auto="1"/>
      </top>
      <bottom style="thin">
        <color auto="1"/>
      </bottom>
      <diagonal/>
    </border>
    <border>
      <left style="thin">
        <color rgb="FFBFBFBF"/>
      </left>
      <right/>
      <top style="thin">
        <color rgb="FFBFBFBF"/>
      </top>
      <bottom style="thin">
        <color rgb="FFBFBFBF"/>
      </bottom>
      <diagonal/>
    </border>
  </borders>
  <cellStyleXfs count="42">
    <xf numFmtId="0" fontId="0" fillId="0" borderId="0"/>
    <xf numFmtId="0" fontId="1" fillId="2" borderId="0"/>
    <xf numFmtId="0" fontId="1" fillId="3" borderId="0"/>
    <xf numFmtId="0" fontId="1" fillId="4" borderId="0"/>
    <xf numFmtId="0" fontId="1" fillId="5" borderId="0"/>
    <xf numFmtId="0" fontId="1" fillId="6" borderId="0"/>
    <xf numFmtId="0" fontId="1" fillId="7" borderId="0"/>
    <xf numFmtId="0" fontId="1" fillId="8" borderId="0"/>
    <xf numFmtId="0" fontId="1" fillId="9" borderId="0"/>
    <xf numFmtId="0" fontId="1" fillId="10" borderId="0"/>
    <xf numFmtId="0" fontId="1" fillId="5" borderId="0"/>
    <xf numFmtId="0" fontId="1" fillId="8" borderId="0"/>
    <xf numFmtId="0" fontId="1" fillId="11" borderId="0"/>
    <xf numFmtId="0" fontId="2" fillId="12" borderId="0"/>
    <xf numFmtId="0" fontId="2" fillId="9" borderId="0"/>
    <xf numFmtId="0" fontId="2" fillId="10" borderId="0"/>
    <xf numFmtId="0" fontId="2" fillId="13" borderId="0"/>
    <xf numFmtId="0" fontId="2" fillId="14" borderId="0"/>
    <xf numFmtId="0" fontId="2" fillId="15" borderId="0"/>
    <xf numFmtId="0" fontId="3" fillId="16" borderId="0"/>
    <xf numFmtId="0" fontId="2" fillId="17" borderId="0"/>
    <xf numFmtId="0" fontId="2" fillId="18" borderId="0"/>
    <xf numFmtId="0" fontId="2" fillId="19" borderId="0"/>
    <xf numFmtId="0" fontId="2" fillId="13" borderId="0"/>
    <xf numFmtId="0" fontId="2" fillId="14" borderId="0"/>
    <xf numFmtId="0" fontId="2" fillId="20" borderId="0"/>
    <xf numFmtId="0" fontId="4" fillId="0" borderId="0"/>
    <xf numFmtId="0" fontId="5" fillId="21" borderId="1"/>
    <xf numFmtId="0" fontId="63" fillId="22" borderId="2"/>
    <xf numFmtId="0" fontId="6" fillId="0" borderId="3"/>
    <xf numFmtId="0" fontId="7" fillId="7" borderId="4"/>
    <xf numFmtId="0" fontId="8" fillId="23" borderId="5"/>
    <xf numFmtId="0" fontId="9" fillId="3" borderId="0"/>
    <xf numFmtId="0" fontId="10" fillId="4" borderId="0"/>
    <xf numFmtId="0" fontId="11" fillId="0" borderId="6"/>
    <xf numFmtId="0" fontId="12" fillId="0" borderId="7"/>
    <xf numFmtId="0" fontId="13" fillId="0" borderId="8"/>
    <xf numFmtId="0" fontId="13" fillId="0" borderId="0"/>
    <xf numFmtId="0" fontId="14" fillId="23" borderId="4"/>
    <xf numFmtId="0" fontId="15" fillId="0" borderId="0"/>
    <xf numFmtId="0" fontId="16" fillId="0" borderId="0"/>
    <xf numFmtId="0" fontId="17" fillId="0" borderId="9"/>
  </cellStyleXfs>
  <cellXfs count="250">
    <xf numFmtId="0" fontId="0" fillId="0" borderId="0" xfId="0"/>
    <xf numFmtId="183" fontId="40" fillId="0" borderId="23" xfId="13" applyNumberFormat="1" applyFont="1" applyFill="1" applyBorder="1" applyAlignment="1">
      <alignment horizontal="distributed" vertical="center" indent="1"/>
    </xf>
    <xf numFmtId="183" fontId="40" fillId="0" borderId="22" xfId="13" applyNumberFormat="1" applyFont="1" applyFill="1" applyBorder="1" applyAlignment="1">
      <alignment horizontal="center" vertical="center"/>
    </xf>
    <xf numFmtId="183" fontId="40" fillId="0" borderId="21" xfId="13" applyNumberFormat="1" applyFont="1" applyFill="1" applyBorder="1" applyAlignment="1">
      <alignment horizontal="distributed" vertical="center" indent="1"/>
    </xf>
    <xf numFmtId="183" fontId="40" fillId="0" borderId="20" xfId="13" applyNumberFormat="1" applyFont="1" applyFill="1" applyBorder="1" applyAlignment="1">
      <alignment horizontal="center" vertical="center"/>
    </xf>
    <xf numFmtId="183" fontId="40" fillId="0" borderId="19" xfId="13" applyNumberFormat="1" applyFont="1" applyFill="1" applyBorder="1" applyAlignment="1">
      <alignment horizontal="distributed" vertical="center" indent="1"/>
    </xf>
    <xf numFmtId="183" fontId="40" fillId="0" borderId="18" xfId="13" applyNumberFormat="1" applyFont="1" applyFill="1" applyBorder="1" applyAlignment="1">
      <alignment horizontal="center" vertical="center"/>
    </xf>
    <xf numFmtId="183" fontId="40" fillId="0" borderId="17" xfId="13" applyNumberFormat="1" applyFont="1" applyFill="1" applyBorder="1" applyAlignment="1">
      <alignment horizontal="center" vertical="center"/>
    </xf>
    <xf numFmtId="183" fontId="40" fillId="0" borderId="16" xfId="13" applyNumberFormat="1" applyFont="1" applyFill="1" applyBorder="1" applyAlignment="1">
      <alignment horizontal="left" vertical="center" wrapText="1"/>
    </xf>
    <xf numFmtId="0" fontId="37" fillId="0" borderId="0" xfId="0" applyFont="1" applyBorder="1" applyAlignment="1">
      <alignment horizontal="center" vertical="center"/>
    </xf>
    <xf numFmtId="0" fontId="26" fillId="0" borderId="0" xfId="0" applyFont="1" applyBorder="1" applyAlignment="1">
      <alignment vertical="center" wrapText="1"/>
    </xf>
    <xf numFmtId="0" fontId="20" fillId="0" borderId="10" xfId="0" applyFont="1" applyBorder="1" applyAlignment="1">
      <alignment vertical="center" wrapText="1"/>
    </xf>
    <xf numFmtId="0" fontId="20" fillId="0" borderId="0" xfId="0" applyFont="1" applyBorder="1" applyAlignment="1">
      <alignment vertical="top" wrapText="1"/>
    </xf>
    <xf numFmtId="0" fontId="30" fillId="0" borderId="10" xfId="0" applyFont="1" applyBorder="1" applyAlignment="1">
      <alignment horizontal="center" vertical="center"/>
    </xf>
    <xf numFmtId="0" fontId="22" fillId="25" borderId="0" xfId="0" applyFont="1" applyFill="1" applyBorder="1" applyAlignment="1">
      <alignment horizontal="left" vertical="center"/>
    </xf>
    <xf numFmtId="0" fontId="18" fillId="0" borderId="0" xfId="0" applyFont="1" applyAlignment="1">
      <alignment vertical="center"/>
    </xf>
    <xf numFmtId="0" fontId="19" fillId="24" borderId="10" xfId="0" applyFont="1" applyFill="1" applyBorder="1" applyAlignment="1">
      <alignment vertical="top" wrapText="1"/>
    </xf>
    <xf numFmtId="0" fontId="20" fillId="0" borderId="10" xfId="0" applyFont="1" applyBorder="1" applyAlignment="1">
      <alignment vertical="top" wrapText="1"/>
    </xf>
    <xf numFmtId="0" fontId="22" fillId="24" borderId="10" xfId="0" applyFont="1" applyFill="1" applyBorder="1" applyAlignment="1">
      <alignment vertical="top" wrapText="1"/>
    </xf>
    <xf numFmtId="0" fontId="21" fillId="0" borderId="10" xfId="0" applyFont="1" applyBorder="1" applyAlignment="1">
      <alignment vertical="top" wrapText="1"/>
    </xf>
    <xf numFmtId="0" fontId="24" fillId="0" borderId="0" xfId="0" applyFont="1" applyAlignment="1">
      <alignment vertical="center"/>
    </xf>
    <xf numFmtId="0" fontId="25" fillId="0" borderId="0" xfId="0" applyFont="1" applyAlignment="1">
      <alignment vertical="center"/>
    </xf>
    <xf numFmtId="0" fontId="26" fillId="0" borderId="0" xfId="0" applyFont="1" applyAlignment="1">
      <alignment vertical="center"/>
    </xf>
    <xf numFmtId="0" fontId="20" fillId="24" borderId="10" xfId="0" applyFont="1" applyFill="1" applyBorder="1" applyAlignment="1">
      <alignment vertical="center"/>
    </xf>
    <xf numFmtId="0" fontId="28" fillId="26" borderId="10" xfId="0" applyFont="1" applyFill="1" applyBorder="1" applyAlignment="1">
      <alignment horizontal="left" vertical="center"/>
    </xf>
    <xf numFmtId="0" fontId="27" fillId="0" borderId="0" xfId="0" applyFont="1" applyAlignment="1">
      <alignment vertical="center" wrapText="1"/>
    </xf>
    <xf numFmtId="0" fontId="19" fillId="24" borderId="10" xfId="0" applyFont="1" applyFill="1" applyBorder="1" applyAlignment="1">
      <alignment vertical="center"/>
    </xf>
    <xf numFmtId="0" fontId="30" fillId="0" borderId="10" xfId="0" applyFont="1" applyBorder="1" applyAlignment="1">
      <alignment horizontal="right" vertical="center"/>
    </xf>
    <xf numFmtId="0" fontId="21" fillId="0" borderId="10" xfId="0" applyFont="1" applyBorder="1" applyAlignment="1">
      <alignment horizontal="left" vertical="center"/>
    </xf>
    <xf numFmtId="10" fontId="21" fillId="0" borderId="10" xfId="0" applyNumberFormat="1" applyFont="1" applyBorder="1" applyAlignment="1">
      <alignment horizontal="right" vertical="center"/>
    </xf>
    <xf numFmtId="176" fontId="29" fillId="26" borderId="10" xfId="0" applyNumberFormat="1" applyFont="1" applyFill="1" applyBorder="1" applyAlignment="1">
      <alignment horizontal="right" vertical="center"/>
    </xf>
    <xf numFmtId="177" fontId="21" fillId="0" borderId="10" xfId="0" applyNumberFormat="1" applyFont="1" applyBorder="1" applyAlignment="1">
      <alignment horizontal="right" vertical="center"/>
    </xf>
    <xf numFmtId="0" fontId="26" fillId="0" borderId="0" xfId="0" applyFont="1" applyAlignment="1">
      <alignment vertical="center" wrapText="1"/>
    </xf>
    <xf numFmtId="177" fontId="29" fillId="26" borderId="10" xfId="0" applyNumberFormat="1" applyFont="1" applyFill="1" applyBorder="1" applyAlignment="1">
      <alignment horizontal="right" vertical="center"/>
    </xf>
    <xf numFmtId="177" fontId="31" fillId="0" borderId="10" xfId="0" applyNumberFormat="1" applyFont="1" applyBorder="1" applyAlignment="1">
      <alignment horizontal="right" vertical="center"/>
    </xf>
    <xf numFmtId="0" fontId="28" fillId="26" borderId="10" xfId="0" applyFont="1" applyFill="1" applyBorder="1" applyAlignment="1">
      <alignment horizontal="center" vertical="center"/>
    </xf>
    <xf numFmtId="178" fontId="21" fillId="0" borderId="10" xfId="0" applyNumberFormat="1" applyFont="1" applyBorder="1" applyAlignment="1">
      <alignment horizontal="right" vertical="center"/>
    </xf>
    <xf numFmtId="179" fontId="29" fillId="26" borderId="10" xfId="0" applyNumberFormat="1" applyFont="1" applyFill="1" applyBorder="1" applyAlignment="1">
      <alignment horizontal="right" vertical="center"/>
    </xf>
    <xf numFmtId="177" fontId="22" fillId="0" borderId="10" xfId="0" applyNumberFormat="1" applyFont="1" applyBorder="1" applyAlignment="1">
      <alignment horizontal="right" vertical="center"/>
    </xf>
    <xf numFmtId="180" fontId="29" fillId="26" borderId="10" xfId="0" applyNumberFormat="1" applyFont="1" applyFill="1" applyBorder="1" applyAlignment="1">
      <alignment horizontal="right" vertical="center"/>
    </xf>
    <xf numFmtId="178" fontId="29" fillId="26" borderId="10" xfId="0" applyNumberFormat="1" applyFont="1" applyFill="1" applyBorder="1" applyAlignment="1">
      <alignment horizontal="right" vertical="center"/>
    </xf>
    <xf numFmtId="55" fontId="21" fillId="0" borderId="10" xfId="0" applyNumberFormat="1" applyFont="1" applyBorder="1" applyAlignment="1">
      <alignment horizontal="right" vertical="center"/>
    </xf>
    <xf numFmtId="0" fontId="29" fillId="26" borderId="10" xfId="0" applyFont="1" applyFill="1" applyBorder="1" applyAlignment="1">
      <alignment horizontal="left" vertical="center"/>
    </xf>
    <xf numFmtId="181" fontId="22" fillId="0" borderId="10" xfId="0" applyNumberFormat="1" applyFont="1" applyBorder="1" applyAlignment="1">
      <alignment horizontal="right" vertical="center"/>
    </xf>
    <xf numFmtId="0" fontId="22" fillId="0" borderId="10" xfId="0" applyFont="1" applyBorder="1" applyAlignment="1">
      <alignment horizontal="center" vertical="center"/>
    </xf>
    <xf numFmtId="0" fontId="32" fillId="0" borderId="10" xfId="0" applyFont="1" applyBorder="1" applyAlignment="1">
      <alignment vertical="center" wrapText="1"/>
    </xf>
    <xf numFmtId="182" fontId="21" fillId="0" borderId="10" xfId="0" applyNumberFormat="1" applyFont="1" applyBorder="1" applyAlignment="1">
      <alignment horizontal="right" vertical="center"/>
    </xf>
    <xf numFmtId="0" fontId="20" fillId="0" borderId="10" xfId="0" applyFont="1" applyBorder="1" applyAlignment="1">
      <alignment vertical="center" wrapText="1"/>
    </xf>
    <xf numFmtId="0" fontId="19" fillId="24" borderId="10" xfId="0" applyFont="1" applyFill="1" applyBorder="1" applyAlignment="1">
      <alignment horizontal="center" vertical="center"/>
    </xf>
    <xf numFmtId="0" fontId="32" fillId="0" borderId="10" xfId="0" applyFont="1" applyBorder="1" applyAlignment="1">
      <alignment vertical="center"/>
    </xf>
    <xf numFmtId="0" fontId="33" fillId="0" borderId="0" xfId="0" applyFont="1" applyAlignment="1">
      <alignment vertical="center"/>
    </xf>
    <xf numFmtId="49" fontId="29" fillId="26" borderId="10" xfId="0" applyNumberFormat="1" applyFont="1" applyFill="1" applyBorder="1" applyAlignment="1">
      <alignment horizontal="left" vertical="center"/>
    </xf>
    <xf numFmtId="176" fontId="29" fillId="26" borderId="10" xfId="0" applyNumberFormat="1" applyFont="1" applyFill="1" applyBorder="1" applyAlignment="1">
      <alignment horizontal="left" vertical="center"/>
    </xf>
    <xf numFmtId="0" fontId="20" fillId="0" borderId="10" xfId="0" applyFont="1" applyBorder="1" applyAlignment="1">
      <alignment vertical="center"/>
    </xf>
    <xf numFmtId="0" fontId="29" fillId="26" borderId="10" xfId="0" applyFont="1" applyFill="1" applyBorder="1" applyAlignment="1">
      <alignment horizontal="center" vertical="center"/>
    </xf>
    <xf numFmtId="0" fontId="21" fillId="0" borderId="10" xfId="0" applyFont="1" applyBorder="1" applyAlignment="1">
      <alignment horizontal="center" vertical="center"/>
    </xf>
    <xf numFmtId="183" fontId="0" fillId="0" borderId="0" xfId="13" applyNumberFormat="1" applyFont="1" applyFill="1" applyAlignment="1"/>
    <xf numFmtId="183" fontId="35" fillId="0" borderId="0" xfId="13" applyNumberFormat="1" applyFont="1" applyFill="1" applyAlignment="1"/>
    <xf numFmtId="183" fontId="36" fillId="0" borderId="0" xfId="13" applyNumberFormat="1" applyFont="1" applyFill="1" applyAlignment="1">
      <alignment vertical="center"/>
    </xf>
    <xf numFmtId="183" fontId="37" fillId="0" borderId="0" xfId="13" applyNumberFormat="1" applyFont="1" applyFill="1" applyAlignment="1">
      <alignment horizontal="right"/>
    </xf>
    <xf numFmtId="0" fontId="38" fillId="0" borderId="0" xfId="0" applyFont="1" applyAlignment="1">
      <alignment horizontal="left" vertical="center"/>
    </xf>
    <xf numFmtId="0" fontId="36" fillId="0" borderId="0" xfId="0" applyFont="1" applyAlignment="1">
      <alignment horizontal="center" vertical="center"/>
    </xf>
    <xf numFmtId="0" fontId="38" fillId="0" borderId="11" xfId="0" applyFont="1" applyBorder="1" applyAlignment="1">
      <alignment vertical="center"/>
    </xf>
    <xf numFmtId="183" fontId="39" fillId="0" borderId="12" xfId="13" applyNumberFormat="1" applyFont="1" applyFill="1" applyBorder="1" applyAlignment="1"/>
    <xf numFmtId="0" fontId="39" fillId="0" borderId="12" xfId="0" applyFont="1" applyBorder="1" applyAlignment="1">
      <alignment vertical="center"/>
    </xf>
    <xf numFmtId="183" fontId="39" fillId="0" borderId="13" xfId="13" applyNumberFormat="1" applyFont="1" applyFill="1" applyBorder="1" applyAlignment="1"/>
    <xf numFmtId="0" fontId="39" fillId="0" borderId="14" xfId="0" applyFont="1" applyBorder="1" applyAlignment="1">
      <alignment vertical="center"/>
    </xf>
    <xf numFmtId="183" fontId="39" fillId="0" borderId="0" xfId="13" applyNumberFormat="1" applyFont="1" applyFill="1" applyAlignment="1"/>
    <xf numFmtId="0" fontId="39" fillId="0" borderId="0" xfId="0" applyFont="1" applyAlignment="1">
      <alignment vertical="center"/>
    </xf>
    <xf numFmtId="183" fontId="39" fillId="0" borderId="15" xfId="13" applyNumberFormat="1" applyFont="1" applyFill="1" applyBorder="1" applyAlignment="1"/>
    <xf numFmtId="183" fontId="0" fillId="0" borderId="0" xfId="13" applyNumberFormat="1" applyFont="1" applyFill="1" applyAlignment="1">
      <alignment vertical="center"/>
    </xf>
    <xf numFmtId="0" fontId="41" fillId="0" borderId="14" xfId="13" applyFont="1" applyFill="1" applyBorder="1" applyAlignment="1">
      <alignment horizontal="center" vertical="center" shrinkToFit="1"/>
    </xf>
    <xf numFmtId="0" fontId="41" fillId="0" borderId="0" xfId="13" applyFont="1" applyFill="1" applyAlignment="1">
      <alignment horizontal="center" vertical="center" shrinkToFit="1"/>
    </xf>
    <xf numFmtId="183" fontId="41" fillId="0" borderId="0" xfId="13" applyNumberFormat="1" applyFont="1" applyFill="1" applyAlignment="1">
      <alignment horizontal="center" vertical="center"/>
    </xf>
    <xf numFmtId="183" fontId="41" fillId="0" borderId="15" xfId="13" applyNumberFormat="1" applyFont="1" applyFill="1" applyBorder="1" applyAlignment="1">
      <alignment horizontal="center" vertical="center"/>
    </xf>
    <xf numFmtId="183" fontId="40" fillId="0" borderId="14" xfId="13" applyNumberFormat="1" applyFont="1" applyFill="1" applyBorder="1" applyAlignment="1">
      <alignment vertical="center"/>
    </xf>
    <xf numFmtId="183" fontId="42" fillId="0" borderId="0" xfId="13" applyNumberFormat="1" applyFont="1" applyFill="1" applyAlignment="1">
      <alignment vertical="center"/>
    </xf>
    <xf numFmtId="183" fontId="42" fillId="0" borderId="15" xfId="13" applyNumberFormat="1" applyFont="1" applyFill="1" applyBorder="1" applyAlignment="1">
      <alignment vertical="center"/>
    </xf>
    <xf numFmtId="183" fontId="0" fillId="0" borderId="0" xfId="13" applyNumberFormat="1" applyFont="1" applyFill="1" applyAlignment="1">
      <alignment horizontal="distributed" vertical="center"/>
    </xf>
    <xf numFmtId="183" fontId="0" fillId="0" borderId="14" xfId="13" applyNumberFormat="1" applyFont="1" applyFill="1" applyBorder="1" applyAlignment="1">
      <alignment vertical="center"/>
    </xf>
    <xf numFmtId="183" fontId="47" fillId="0" borderId="0" xfId="13" applyNumberFormat="1" applyFont="1" applyFill="1" applyAlignment="1">
      <alignment vertical="center"/>
    </xf>
    <xf numFmtId="183" fontId="0" fillId="0" borderId="15" xfId="13" applyNumberFormat="1" applyFont="1" applyFill="1" applyBorder="1" applyAlignment="1">
      <alignment vertical="center"/>
    </xf>
    <xf numFmtId="183" fontId="38" fillId="0" borderId="14" xfId="13" applyNumberFormat="1" applyFont="1" applyFill="1" applyBorder="1" applyAlignment="1"/>
    <xf numFmtId="183" fontId="48" fillId="0" borderId="0" xfId="13" applyNumberFormat="1" applyFont="1" applyFill="1" applyAlignment="1"/>
    <xf numFmtId="183" fontId="42" fillId="0" borderId="0" xfId="13" applyNumberFormat="1" applyFont="1" applyFill="1" applyAlignment="1"/>
    <xf numFmtId="183" fontId="41" fillId="0" borderId="0" xfId="13" applyNumberFormat="1" applyFont="1" applyFill="1" applyAlignment="1"/>
    <xf numFmtId="183" fontId="48" fillId="0" borderId="0" xfId="13" applyNumberFormat="1" applyFont="1" applyFill="1" applyAlignment="1">
      <alignment horizontal="left" vertical="center"/>
    </xf>
    <xf numFmtId="183" fontId="49" fillId="0" borderId="0" xfId="13" applyNumberFormat="1" applyFont="1" applyFill="1" applyAlignment="1"/>
    <xf numFmtId="183" fontId="38" fillId="0" borderId="0" xfId="13" applyNumberFormat="1" applyFont="1" applyFill="1" applyAlignment="1"/>
    <xf numFmtId="183" fontId="39" fillId="0" borderId="14" xfId="13" applyNumberFormat="1" applyFont="1" applyFill="1" applyBorder="1" applyAlignment="1"/>
    <xf numFmtId="183" fontId="43" fillId="0" borderId="46" xfId="13" applyNumberFormat="1" applyFont="1" applyFill="1" applyBorder="1" applyAlignment="1"/>
    <xf numFmtId="183" fontId="39" fillId="0" borderId="47" xfId="13" applyNumberFormat="1" applyFont="1" applyFill="1" applyBorder="1" applyAlignment="1"/>
    <xf numFmtId="183" fontId="39" fillId="0" borderId="48" xfId="13" applyNumberFormat="1" applyFont="1" applyFill="1" applyBorder="1" applyAlignment="1"/>
    <xf numFmtId="183" fontId="39" fillId="0" borderId="49" xfId="13" applyNumberFormat="1" applyFont="1" applyFill="1" applyBorder="1" applyAlignment="1"/>
    <xf numFmtId="183" fontId="38" fillId="0" borderId="0" xfId="13" applyNumberFormat="1" applyFont="1" applyFill="1" applyAlignment="1">
      <alignment vertical="center"/>
    </xf>
    <xf numFmtId="183" fontId="39" fillId="0" borderId="0" xfId="13" applyNumberFormat="1" applyFont="1" applyFill="1" applyAlignment="1">
      <alignment vertical="center"/>
    </xf>
    <xf numFmtId="183" fontId="39" fillId="0" borderId="55" xfId="13" applyNumberFormat="1" applyFont="1" applyFill="1" applyBorder="1" applyAlignment="1">
      <alignment vertical="center"/>
    </xf>
    <xf numFmtId="0" fontId="40" fillId="0" borderId="0" xfId="0" applyFont="1" applyAlignment="1">
      <alignment vertical="center"/>
    </xf>
    <xf numFmtId="183" fontId="0" fillId="0" borderId="0" xfId="13" applyNumberFormat="1" applyFont="1" applyFill="1" applyAlignment="1">
      <alignment horizontal="center" vertical="center"/>
    </xf>
    <xf numFmtId="0" fontId="36" fillId="0" borderId="0" xfId="0" applyFont="1" applyAlignment="1">
      <alignment horizontal="distributed" vertical="center" indent="7"/>
    </xf>
    <xf numFmtId="0" fontId="53" fillId="0" borderId="0" xfId="0" applyFont="1" applyAlignment="1">
      <alignment vertical="center"/>
    </xf>
    <xf numFmtId="0" fontId="20" fillId="0" borderId="0" xfId="0" applyFont="1" applyAlignment="1">
      <alignment vertical="center"/>
    </xf>
    <xf numFmtId="0" fontId="55" fillId="0" borderId="0" xfId="0" applyFont="1" applyAlignment="1">
      <alignment vertical="top" wrapText="1"/>
    </xf>
    <xf numFmtId="0" fontId="0" fillId="24" borderId="10" xfId="0" applyFill="1" applyBorder="1"/>
    <xf numFmtId="3" fontId="22" fillId="24" borderId="10" xfId="0" applyNumberFormat="1" applyFont="1" applyFill="1" applyBorder="1" applyAlignment="1">
      <alignment vertical="center"/>
    </xf>
    <xf numFmtId="0" fontId="19" fillId="25" borderId="10" xfId="0" applyFont="1" applyFill="1" applyBorder="1" applyAlignment="1">
      <alignment horizontal="center" vertical="center" wrapText="1"/>
    </xf>
    <xf numFmtId="0" fontId="20" fillId="0" borderId="10" xfId="0" applyFont="1" applyBorder="1" applyAlignment="1">
      <alignment horizontal="center" vertical="center"/>
    </xf>
    <xf numFmtId="3" fontId="21" fillId="0" borderId="10" xfId="0" applyNumberFormat="1" applyFont="1" applyBorder="1" applyAlignment="1">
      <alignment vertical="center"/>
    </xf>
    <xf numFmtId="55" fontId="21" fillId="0" borderId="10" xfId="0" applyNumberFormat="1" applyFont="1" applyBorder="1" applyAlignment="1">
      <alignment horizontal="center" vertical="center"/>
    </xf>
    <xf numFmtId="0" fontId="57" fillId="0" borderId="0" xfId="0" applyFont="1" applyAlignment="1">
      <alignment vertical="center"/>
    </xf>
    <xf numFmtId="178" fontId="22" fillId="25" borderId="10" xfId="0" applyNumberFormat="1" applyFont="1" applyFill="1" applyBorder="1" applyAlignment="1">
      <alignment horizontal="center" vertical="center"/>
    </xf>
    <xf numFmtId="180" fontId="58" fillId="24" borderId="10" xfId="0" applyNumberFormat="1" applyFont="1" applyFill="1" applyBorder="1" applyAlignment="1">
      <alignment vertical="center"/>
    </xf>
    <xf numFmtId="0" fontId="20" fillId="24" borderId="10" xfId="0" applyFont="1" applyFill="1" applyBorder="1" applyAlignment="1">
      <alignment vertical="top" wrapText="1"/>
    </xf>
    <xf numFmtId="0" fontId="59" fillId="0" borderId="10" xfId="0" applyFont="1" applyBorder="1" applyAlignment="1">
      <alignment vertical="top" wrapText="1"/>
    </xf>
    <xf numFmtId="0" fontId="21" fillId="24" borderId="10" xfId="0" applyFont="1" applyFill="1" applyBorder="1" applyAlignment="1">
      <alignment vertical="top" wrapText="1"/>
    </xf>
    <xf numFmtId="0" fontId="60" fillId="0" borderId="10" xfId="0" applyFont="1" applyBorder="1" applyAlignment="1">
      <alignment vertical="top" wrapText="1"/>
    </xf>
    <xf numFmtId="0" fontId="20" fillId="26" borderId="10" xfId="0" applyFont="1" applyFill="1" applyBorder="1" applyAlignment="1">
      <alignment vertical="center"/>
    </xf>
    <xf numFmtId="0" fontId="28" fillId="0" borderId="10" xfId="0" applyFont="1" applyBorder="1" applyAlignment="1">
      <alignment vertical="center"/>
    </xf>
    <xf numFmtId="194" fontId="21" fillId="0" borderId="10" xfId="0" applyNumberFormat="1" applyFont="1" applyBorder="1" applyAlignment="1">
      <alignment horizontal="right" vertical="center"/>
    </xf>
    <xf numFmtId="4" fontId="21" fillId="0" borderId="10" xfId="0" applyNumberFormat="1" applyFont="1" applyBorder="1" applyAlignment="1">
      <alignment horizontal="right" vertical="center"/>
    </xf>
    <xf numFmtId="0" fontId="21" fillId="24" borderId="10" xfId="0" applyFont="1" applyFill="1" applyBorder="1" applyAlignment="1">
      <alignment vertical="center"/>
    </xf>
    <xf numFmtId="0" fontId="22" fillId="0" borderId="10" xfId="0" applyFont="1" applyBorder="1" applyAlignment="1">
      <alignment horizontal="right" vertical="center"/>
    </xf>
    <xf numFmtId="0" fontId="61" fillId="0" borderId="10" xfId="0" applyFont="1" applyBorder="1" applyAlignment="1">
      <alignment vertical="center"/>
    </xf>
    <xf numFmtId="10" fontId="29" fillId="26" borderId="10" xfId="0" applyNumberFormat="1" applyFont="1" applyFill="1" applyBorder="1" applyAlignment="1">
      <alignment vertical="center"/>
    </xf>
    <xf numFmtId="0" fontId="28" fillId="26" borderId="10" xfId="0" applyFont="1" applyFill="1" applyBorder="1" applyAlignment="1">
      <alignment vertical="center"/>
    </xf>
    <xf numFmtId="181" fontId="29" fillId="26" borderId="10" xfId="0" applyNumberFormat="1" applyFont="1" applyFill="1" applyBorder="1" applyAlignment="1">
      <alignment vertical="center"/>
    </xf>
    <xf numFmtId="179" fontId="29" fillId="26" borderId="10" xfId="0" applyNumberFormat="1" applyFont="1" applyFill="1" applyBorder="1" applyAlignment="1">
      <alignment vertical="center"/>
    </xf>
    <xf numFmtId="180" fontId="29" fillId="26" borderId="10" xfId="0" applyNumberFormat="1" applyFont="1" applyFill="1" applyBorder="1" applyAlignment="1">
      <alignment vertical="center"/>
    </xf>
    <xf numFmtId="0" fontId="62" fillId="0" borderId="0" xfId="0" applyFont="1" applyAlignment="1">
      <alignment vertical="center"/>
    </xf>
    <xf numFmtId="178" fontId="29" fillId="26" borderId="10" xfId="0" applyNumberFormat="1" applyFont="1" applyFill="1" applyBorder="1" applyAlignment="1">
      <alignment vertical="center"/>
    </xf>
    <xf numFmtId="0" fontId="19" fillId="24" borderId="10" xfId="0" applyFont="1" applyFill="1" applyBorder="1" applyAlignment="1">
      <alignment horizontal="center" vertical="center" wrapText="1"/>
    </xf>
    <xf numFmtId="0" fontId="19" fillId="0" borderId="10" xfId="0" applyFont="1" applyBorder="1" applyAlignment="1">
      <alignment vertical="center"/>
    </xf>
    <xf numFmtId="0" fontId="28" fillId="0" borderId="10" xfId="0" applyFont="1" applyBorder="1" applyAlignment="1">
      <alignment vertical="center" wrapText="1"/>
    </xf>
    <xf numFmtId="0" fontId="29" fillId="0" borderId="10" xfId="0" applyFont="1" applyBorder="1" applyAlignment="1">
      <alignment vertical="center" wrapText="1"/>
    </xf>
    <xf numFmtId="195" fontId="29" fillId="0" borderId="10" xfId="0" applyNumberFormat="1" applyFont="1" applyBorder="1" applyAlignment="1">
      <alignment vertical="center"/>
    </xf>
    <xf numFmtId="0" fontId="21" fillId="0" borderId="10" xfId="0" applyFont="1" applyBorder="1" applyAlignment="1">
      <alignment vertical="center"/>
    </xf>
    <xf numFmtId="196" fontId="29" fillId="0" borderId="10" xfId="0" applyNumberFormat="1" applyFont="1" applyBorder="1" applyAlignment="1">
      <alignment vertical="center"/>
    </xf>
    <xf numFmtId="0" fontId="21" fillId="0" borderId="10" xfId="0" applyFont="1" applyBorder="1" applyAlignment="1">
      <alignment vertical="center" wrapText="1"/>
    </xf>
    <xf numFmtId="180" fontId="29" fillId="0" borderId="10" xfId="0" applyNumberFormat="1" applyFont="1" applyBorder="1" applyAlignment="1">
      <alignment vertical="center"/>
    </xf>
    <xf numFmtId="0" fontId="28" fillId="0" borderId="10" xfId="0" applyFont="1" applyBorder="1" applyAlignment="1">
      <alignment horizontal="center" vertical="center" wrapText="1"/>
    </xf>
    <xf numFmtId="0" fontId="29" fillId="0" borderId="10" xfId="0" applyFont="1" applyBorder="1" applyAlignment="1">
      <alignment horizontal="center" vertical="center" wrapText="1"/>
    </xf>
    <xf numFmtId="0" fontId="19" fillId="24" borderId="10" xfId="0" applyFont="1" applyFill="1" applyBorder="1" applyAlignment="1">
      <alignment vertical="center" wrapText="1"/>
    </xf>
    <xf numFmtId="176" fontId="29" fillId="0" borderId="10" xfId="0" applyNumberFormat="1" applyFont="1" applyBorder="1" applyAlignment="1">
      <alignment horizontal="left" vertical="center"/>
    </xf>
    <xf numFmtId="176" fontId="21" fillId="26" borderId="10" xfId="0" applyNumberFormat="1" applyFont="1" applyFill="1" applyBorder="1" applyAlignment="1">
      <alignment vertical="center"/>
    </xf>
    <xf numFmtId="0" fontId="22" fillId="25" borderId="10" xfId="0" applyFont="1" applyFill="1" applyBorder="1" applyAlignment="1">
      <alignment vertical="center"/>
    </xf>
    <xf numFmtId="0" fontId="0" fillId="25" borderId="10" xfId="0" applyFill="1" applyBorder="1"/>
    <xf numFmtId="3" fontId="21" fillId="0" borderId="10" xfId="0" applyNumberFormat="1" applyFont="1" applyBorder="1" applyAlignment="1">
      <alignment horizontal="right" vertical="center"/>
    </xf>
    <xf numFmtId="1" fontId="21" fillId="0" borderId="10" xfId="0" applyNumberFormat="1" applyFont="1" applyBorder="1" applyAlignment="1">
      <alignment horizontal="right" vertical="center"/>
    </xf>
    <xf numFmtId="197" fontId="21" fillId="0" borderId="10" xfId="0" applyNumberFormat="1" applyFont="1" applyBorder="1" applyAlignment="1">
      <alignment horizontal="right" vertical="center"/>
    </xf>
    <xf numFmtId="0" fontId="20" fillId="0" borderId="10" xfId="0" applyFont="1" applyBorder="1" applyAlignment="1">
      <alignment horizontal="right" vertical="center"/>
    </xf>
    <xf numFmtId="176" fontId="21" fillId="0" borderId="10" xfId="0" applyNumberFormat="1" applyFont="1" applyBorder="1" applyAlignment="1">
      <alignment horizontal="right" vertical="center"/>
    </xf>
    <xf numFmtId="0" fontId="23" fillId="0" borderId="0" xfId="0" applyFont="1" applyAlignment="1">
      <alignment vertical="center"/>
    </xf>
    <xf numFmtId="0" fontId="19" fillId="25" borderId="10" xfId="0" applyFont="1" applyFill="1" applyBorder="1" applyAlignment="1">
      <alignment vertical="center"/>
    </xf>
    <xf numFmtId="3" fontId="21" fillId="0" borderId="10" xfId="0" applyNumberFormat="1" applyFont="1" applyBorder="1" applyAlignment="1">
      <alignment vertical="top" wrapText="1"/>
    </xf>
    <xf numFmtId="183" fontId="40" fillId="0" borderId="24" xfId="13" applyNumberFormat="1" applyFont="1" applyFill="1" applyBorder="1" applyAlignment="1">
      <alignment horizontal="center" vertical="center"/>
    </xf>
    <xf numFmtId="0" fontId="40" fillId="0" borderId="25" xfId="13" applyFont="1" applyFill="1" applyBorder="1" applyAlignment="1">
      <alignment horizontal="center" vertical="center" shrinkToFit="1"/>
    </xf>
    <xf numFmtId="183" fontId="40" fillId="0" borderId="26" xfId="13" applyNumberFormat="1" applyFont="1" applyFill="1" applyBorder="1" applyAlignment="1">
      <alignment horizontal="center" vertical="center"/>
    </xf>
    <xf numFmtId="183" fontId="40" fillId="0" borderId="27" xfId="13" applyNumberFormat="1" applyFont="1" applyFill="1" applyBorder="1" applyAlignment="1">
      <alignment horizontal="distributed" vertical="center" indent="1"/>
    </xf>
    <xf numFmtId="183" fontId="40" fillId="0" borderId="28" xfId="13" applyNumberFormat="1" applyFont="1" applyFill="1" applyBorder="1" applyAlignment="1">
      <alignment horizontal="distributed" vertical="center" indent="1"/>
    </xf>
    <xf numFmtId="183" fontId="39" fillId="0" borderId="29" xfId="13" applyNumberFormat="1" applyFont="1" applyFill="1" applyBorder="1" applyAlignment="1">
      <alignment horizontal="center" vertical="center"/>
    </xf>
    <xf numFmtId="183" fontId="40" fillId="0" borderId="30" xfId="13" applyNumberFormat="1" applyFont="1" applyFill="1" applyBorder="1" applyAlignment="1">
      <alignment horizontal="distributed" vertical="center"/>
    </xf>
    <xf numFmtId="183" fontId="40" fillId="0" borderId="31" xfId="13" applyNumberFormat="1" applyFont="1" applyFill="1" applyBorder="1" applyAlignment="1">
      <alignment horizontal="center" vertical="center"/>
    </xf>
    <xf numFmtId="183" fontId="40" fillId="0" borderId="32" xfId="13" applyNumberFormat="1" applyFont="1" applyFill="1" applyBorder="1" applyAlignment="1">
      <alignment horizontal="distributed" vertical="center"/>
    </xf>
    <xf numFmtId="183" fontId="40" fillId="0" borderId="33" xfId="13" applyNumberFormat="1" applyFont="1" applyFill="1" applyBorder="1" applyAlignment="1">
      <alignment horizontal="distributed" vertical="center"/>
    </xf>
    <xf numFmtId="183" fontId="40" fillId="0" borderId="23" xfId="13" applyNumberFormat="1" applyFont="1" applyFill="1" applyBorder="1" applyAlignment="1">
      <alignment horizontal="center" vertical="center"/>
    </xf>
    <xf numFmtId="183" fontId="40" fillId="0" borderId="34" xfId="13" applyNumberFormat="1" applyFont="1" applyFill="1" applyBorder="1" applyAlignment="1">
      <alignment horizontal="center" vertical="center" wrapText="1"/>
    </xf>
    <xf numFmtId="183" fontId="40" fillId="0" borderId="35" xfId="13" applyNumberFormat="1" applyFont="1" applyFill="1" applyBorder="1" applyAlignment="1">
      <alignment horizontal="center" vertical="center" wrapText="1"/>
    </xf>
    <xf numFmtId="183" fontId="40" fillId="0" borderId="36" xfId="13" applyNumberFormat="1" applyFont="1" applyFill="1" applyBorder="1" applyAlignment="1">
      <alignment horizontal="center" vertical="center" wrapText="1"/>
    </xf>
    <xf numFmtId="183" fontId="40" fillId="0" borderId="24" xfId="13" applyNumberFormat="1" applyFont="1" applyFill="1" applyBorder="1" applyAlignment="1">
      <alignment horizontal="center" vertical="center" wrapText="1"/>
    </xf>
    <xf numFmtId="183" fontId="44" fillId="26" borderId="37" xfId="13" applyNumberFormat="1" applyFont="1" applyFill="1" applyBorder="1" applyAlignment="1">
      <alignment horizontal="left" vertical="center" wrapText="1" shrinkToFit="1"/>
    </xf>
    <xf numFmtId="184" fontId="39" fillId="26" borderId="23" xfId="13" applyNumberFormat="1" applyFont="1" applyFill="1" applyBorder="1" applyAlignment="1">
      <alignment horizontal="center" vertical="center"/>
    </xf>
    <xf numFmtId="3" fontId="39" fillId="26" borderId="34" xfId="13" applyNumberFormat="1" applyFont="1" applyFill="1" applyBorder="1" applyAlignment="1">
      <alignment horizontal="right" vertical="center"/>
    </xf>
    <xf numFmtId="3" fontId="39" fillId="26" borderId="35" xfId="13" applyNumberFormat="1" applyFont="1" applyFill="1" applyBorder="1" applyAlignment="1">
      <alignment horizontal="right" vertical="center"/>
    </xf>
    <xf numFmtId="184" fontId="39" fillId="26" borderId="36" xfId="13" applyNumberFormat="1" applyFont="1" applyFill="1" applyBorder="1" applyAlignment="1">
      <alignment horizontal="center" vertical="center"/>
    </xf>
    <xf numFmtId="3" fontId="39" fillId="26" borderId="24" xfId="13" applyNumberFormat="1" applyFont="1" applyFill="1" applyBorder="1" applyAlignment="1">
      <alignment horizontal="right" vertical="center"/>
    </xf>
    <xf numFmtId="183" fontId="39" fillId="26" borderId="37" xfId="13" applyNumberFormat="1" applyFont="1" applyFill="1" applyBorder="1" applyAlignment="1">
      <alignment horizontal="left" vertical="center" wrapText="1" shrinkToFit="1"/>
    </xf>
    <xf numFmtId="183" fontId="46" fillId="26" borderId="37" xfId="13" applyNumberFormat="1" applyFont="1" applyFill="1" applyBorder="1" applyAlignment="1">
      <alignment horizontal="left" vertical="center" wrapText="1" shrinkToFit="1"/>
    </xf>
    <xf numFmtId="183" fontId="39" fillId="26" borderId="38" xfId="13" applyNumberFormat="1" applyFont="1" applyFill="1" applyBorder="1" applyAlignment="1">
      <alignment horizontal="left" vertical="center" wrapText="1" shrinkToFit="1"/>
    </xf>
    <xf numFmtId="184" fontId="39" fillId="26" borderId="39" xfId="13" applyNumberFormat="1" applyFont="1" applyFill="1" applyBorder="1" applyAlignment="1">
      <alignment horizontal="center" vertical="center"/>
    </xf>
    <xf numFmtId="3" fontId="39" fillId="26" borderId="40" xfId="13" applyNumberFormat="1" applyFont="1" applyFill="1" applyBorder="1" applyAlignment="1">
      <alignment horizontal="right" vertical="center"/>
    </xf>
    <xf numFmtId="184" fontId="39" fillId="26" borderId="41" xfId="13" applyNumberFormat="1" applyFont="1" applyFill="1" applyBorder="1" applyAlignment="1">
      <alignment horizontal="center" vertical="center"/>
    </xf>
    <xf numFmtId="3" fontId="39" fillId="26" borderId="42" xfId="13" applyNumberFormat="1" applyFont="1" applyFill="1" applyBorder="1" applyAlignment="1">
      <alignment horizontal="right" vertical="center"/>
    </xf>
    <xf numFmtId="183" fontId="40" fillId="0" borderId="43" xfId="13" applyNumberFormat="1" applyFont="1" applyFill="1" applyBorder="1" applyAlignment="1">
      <alignment horizontal="left" vertical="center" wrapText="1"/>
    </xf>
    <xf numFmtId="185" fontId="39" fillId="0" borderId="44" xfId="13" applyNumberFormat="1" applyFont="1" applyFill="1" applyBorder="1" applyAlignment="1">
      <alignment vertical="top"/>
    </xf>
    <xf numFmtId="186" fontId="39" fillId="0" borderId="44" xfId="13" applyNumberFormat="1" applyFont="1" applyFill="1" applyBorder="1" applyAlignment="1">
      <alignment vertical="top"/>
    </xf>
    <xf numFmtId="183" fontId="40" fillId="0" borderId="43" xfId="13" applyNumberFormat="1" applyFont="1" applyFill="1" applyBorder="1" applyAlignment="1">
      <alignment horizontal="right" vertical="center"/>
    </xf>
    <xf numFmtId="187" fontId="39" fillId="0" borderId="44" xfId="13" applyNumberFormat="1" applyFont="1" applyFill="1" applyBorder="1" applyAlignment="1">
      <alignment vertical="top"/>
    </xf>
    <xf numFmtId="188" fontId="39" fillId="0" borderId="44" xfId="13" applyNumberFormat="1" applyFont="1" applyFill="1" applyBorder="1" applyAlignment="1">
      <alignment horizontal="left" vertical="top"/>
    </xf>
    <xf numFmtId="183" fontId="40" fillId="0" borderId="45" xfId="13" applyNumberFormat="1" applyFont="1" applyFill="1" applyBorder="1" applyAlignment="1">
      <alignment horizontal="center" vertical="center"/>
    </xf>
    <xf numFmtId="183" fontId="40" fillId="0" borderId="50" xfId="13" applyNumberFormat="1" applyFont="1" applyFill="1" applyBorder="1" applyAlignment="1">
      <alignment horizontal="center" vertical="center"/>
    </xf>
    <xf numFmtId="183" fontId="40" fillId="0" borderId="51" xfId="13" applyNumberFormat="1" applyFont="1" applyFill="1" applyBorder="1" applyAlignment="1">
      <alignment horizontal="center" vertical="center"/>
    </xf>
    <xf numFmtId="183" fontId="40" fillId="0" borderId="52" xfId="13" applyNumberFormat="1" applyFont="1" applyFill="1" applyBorder="1" applyAlignment="1">
      <alignment horizontal="center" vertical="center" wrapText="1"/>
    </xf>
    <xf numFmtId="183" fontId="40" fillId="0" borderId="18" xfId="13" applyNumberFormat="1" applyFont="1" applyFill="1" applyBorder="1" applyAlignment="1">
      <alignment horizontal="center" vertical="center" wrapText="1"/>
    </xf>
    <xf numFmtId="183" fontId="40" fillId="0" borderId="19" xfId="13" applyNumberFormat="1" applyFont="1" applyFill="1" applyBorder="1" applyAlignment="1">
      <alignment horizontal="center" vertical="center" wrapText="1"/>
    </xf>
    <xf numFmtId="189" fontId="39" fillId="26" borderId="27" xfId="13" applyNumberFormat="1" applyFont="1" applyFill="1" applyBorder="1" applyAlignment="1">
      <alignment horizontal="left" vertical="top"/>
    </xf>
    <xf numFmtId="190" fontId="39" fillId="26" borderId="26" xfId="13" applyNumberFormat="1" applyFont="1" applyFill="1" applyBorder="1" applyAlignment="1">
      <alignment horizontal="left" vertical="top"/>
    </xf>
    <xf numFmtId="191" fontId="39" fillId="0" borderId="28" xfId="13" applyNumberFormat="1" applyFont="1" applyFill="1" applyBorder="1" applyAlignment="1">
      <alignment horizontal="left" vertical="top"/>
    </xf>
    <xf numFmtId="192" fontId="39" fillId="0" borderId="26" xfId="13" applyNumberFormat="1" applyFont="1" applyFill="1" applyBorder="1" applyAlignment="1">
      <alignment horizontal="left" vertical="top"/>
    </xf>
    <xf numFmtId="183" fontId="40" fillId="0" borderId="53" xfId="13" applyNumberFormat="1" applyFont="1" applyFill="1" applyBorder="1" applyAlignment="1">
      <alignment horizontal="center" vertical="center"/>
    </xf>
    <xf numFmtId="183" fontId="43" fillId="0" borderId="54" xfId="13" applyNumberFormat="1" applyFont="1" applyFill="1" applyBorder="1" applyAlignment="1">
      <alignment horizontal="center" vertical="center"/>
    </xf>
    <xf numFmtId="183" fontId="40" fillId="0" borderId="56" xfId="13" applyNumberFormat="1" applyFont="1" applyFill="1" applyBorder="1" applyAlignment="1">
      <alignment horizontal="center" vertical="center"/>
    </xf>
    <xf numFmtId="183" fontId="40" fillId="0" borderId="57" xfId="13" applyNumberFormat="1" applyFont="1" applyFill="1" applyBorder="1" applyAlignment="1">
      <alignment horizontal="center" vertical="center" wrapText="1"/>
    </xf>
    <xf numFmtId="183" fontId="40" fillId="0" borderId="58" xfId="13" applyNumberFormat="1" applyFont="1" applyFill="1" applyBorder="1" applyAlignment="1">
      <alignment horizontal="center"/>
    </xf>
    <xf numFmtId="183" fontId="50" fillId="0" borderId="59" xfId="13" applyNumberFormat="1" applyFont="1" applyFill="1" applyBorder="1" applyAlignment="1">
      <alignment horizontal="center" vertical="center" wrapText="1"/>
    </xf>
    <xf numFmtId="183" fontId="51" fillId="0" borderId="60" xfId="13" applyNumberFormat="1" applyFont="1" applyFill="1" applyBorder="1" applyAlignment="1">
      <alignment horizontal="center" vertical="center"/>
    </xf>
    <xf numFmtId="177" fontId="43" fillId="0" borderId="27" xfId="13" applyNumberFormat="1" applyFont="1" applyFill="1" applyBorder="1" applyAlignment="1">
      <alignment horizontal="right"/>
    </xf>
    <xf numFmtId="177" fontId="43" fillId="0" borderId="61" xfId="13" applyNumberFormat="1" applyFont="1" applyFill="1" applyBorder="1" applyAlignment="1">
      <alignment horizontal="right"/>
    </xf>
    <xf numFmtId="193" fontId="43" fillId="0" borderId="62" xfId="14" applyNumberFormat="1" applyFont="1" applyFill="1" applyBorder="1" applyAlignment="1">
      <alignment horizontal="center"/>
    </xf>
    <xf numFmtId="183" fontId="39" fillId="0" borderId="63" xfId="13" applyNumberFormat="1" applyFont="1" applyFill="1" applyBorder="1" applyAlignment="1">
      <alignment horizontal="center"/>
    </xf>
    <xf numFmtId="183" fontId="40" fillId="0" borderId="64" xfId="13" applyNumberFormat="1" applyFont="1" applyFill="1" applyBorder="1" applyAlignment="1">
      <alignment horizontal="center" shrinkToFit="1"/>
    </xf>
    <xf numFmtId="183" fontId="40" fillId="0" borderId="65" xfId="13" applyNumberFormat="1" applyFont="1" applyFill="1" applyBorder="1" applyAlignment="1">
      <alignment horizontal="center" shrinkToFit="1"/>
    </xf>
    <xf numFmtId="183" fontId="40" fillId="0" borderId="66" xfId="13" applyNumberFormat="1" applyFont="1" applyFill="1" applyBorder="1" applyAlignment="1">
      <alignment horizontal="center"/>
    </xf>
    <xf numFmtId="183" fontId="50" fillId="0" borderId="67" xfId="13" applyNumberFormat="1" applyFont="1" applyFill="1" applyBorder="1" applyAlignment="1">
      <alignment horizontal="center" vertical="center" wrapText="1"/>
    </xf>
    <xf numFmtId="183" fontId="40" fillId="0" borderId="52" xfId="13" applyNumberFormat="1" applyFont="1" applyFill="1" applyBorder="1" applyAlignment="1">
      <alignment horizontal="center" shrinkToFit="1"/>
    </xf>
    <xf numFmtId="183" fontId="40" fillId="0" borderId="68" xfId="13" applyNumberFormat="1" applyFont="1" applyFill="1" applyBorder="1" applyAlignment="1">
      <alignment horizontal="center" shrinkToFit="1"/>
    </xf>
    <xf numFmtId="183" fontId="51" fillId="0" borderId="18" xfId="13" applyNumberFormat="1" applyFont="1" applyFill="1" applyBorder="1" applyAlignment="1">
      <alignment horizontal="center" vertical="center"/>
    </xf>
    <xf numFmtId="193" fontId="43" fillId="0" borderId="26" xfId="14" applyNumberFormat="1" applyFont="1" applyFill="1" applyBorder="1" applyAlignment="1">
      <alignment horizontal="center"/>
    </xf>
    <xf numFmtId="183" fontId="39" fillId="0" borderId="69" xfId="13" applyNumberFormat="1" applyFont="1" applyFill="1" applyBorder="1" applyAlignment="1">
      <alignment horizontal="center"/>
    </xf>
    <xf numFmtId="0" fontId="21" fillId="0" borderId="0" xfId="0" applyFont="1" applyBorder="1" applyAlignment="1">
      <alignment vertical="top" wrapText="1"/>
    </xf>
    <xf numFmtId="0" fontId="24" fillId="0" borderId="0" xfId="0" applyFont="1" applyBorder="1" applyAlignment="1">
      <alignment vertical="center" wrapText="1"/>
    </xf>
    <xf numFmtId="0" fontId="33" fillId="0" borderId="0" xfId="0" applyFont="1" applyBorder="1" applyAlignment="1">
      <alignment vertical="top" wrapText="1"/>
    </xf>
    <xf numFmtId="0" fontId="20" fillId="0" borderId="70" xfId="0" applyFont="1" applyBorder="1" applyAlignment="1">
      <alignment vertical="center"/>
    </xf>
    <xf numFmtId="0" fontId="20" fillId="27" borderId="10" xfId="0" applyFont="1" applyFill="1" applyBorder="1" applyAlignment="1">
      <alignment vertical="center"/>
    </xf>
    <xf numFmtId="0" fontId="28" fillId="27" borderId="10" xfId="0" applyFont="1" applyFill="1" applyBorder="1" applyAlignment="1">
      <alignment horizontal="right" vertical="center"/>
    </xf>
    <xf numFmtId="180" fontId="29" fillId="27" borderId="10" xfId="0" applyNumberFormat="1" applyFont="1" applyFill="1" applyBorder="1" applyAlignment="1">
      <alignment horizontal="right" vertical="center"/>
    </xf>
    <xf numFmtId="178" fontId="29" fillId="27" borderId="10" xfId="0" applyNumberFormat="1" applyFont="1" applyFill="1" applyBorder="1" applyAlignment="1">
      <alignment horizontal="right" vertical="center"/>
    </xf>
    <xf numFmtId="177" fontId="29" fillId="27" borderId="10" xfId="0" applyNumberFormat="1" applyFont="1" applyFill="1" applyBorder="1" applyAlignment="1">
      <alignment horizontal="right" vertical="center"/>
    </xf>
    <xf numFmtId="176" fontId="21" fillId="27" borderId="10" xfId="0" applyNumberFormat="1" applyFont="1" applyFill="1" applyBorder="1" applyAlignment="1">
      <alignment horizontal="left" vertical="center"/>
    </xf>
    <xf numFmtId="0" fontId="21" fillId="27" borderId="10" xfId="0" applyFont="1" applyFill="1" applyBorder="1" applyAlignment="1">
      <alignment horizontal="left" vertical="center"/>
    </xf>
    <xf applyProtection="1" numFmtId="0" fontId="28" fillId="27" borderId="10" xfId="0" applyFont="1" applyFill="1" applyBorder="1" applyAlignment="1">
      <alignment horizontal="right" vertical="center"/>
      <protection locked="0"/>
    </xf>
    <xf applyProtection="1" numFmtId="180" fontId="29" fillId="27" borderId="10" xfId="0" applyNumberFormat="1" applyFont="1" applyFill="1" applyBorder="1" applyAlignment="1">
      <alignment horizontal="right" vertical="center"/>
      <protection locked="0"/>
    </xf>
    <xf applyProtection="1" numFmtId="178" fontId="29" fillId="27" borderId="10" xfId="0" applyNumberFormat="1" applyFont="1" applyFill="1" applyBorder="1" applyAlignment="1">
      <alignment horizontal="right" vertical="center"/>
      <protection locked="0"/>
    </xf>
    <xf applyProtection="1" numFmtId="177" fontId="29" fillId="27" borderId="10" xfId="0" applyNumberFormat="1" applyFont="1" applyFill="1" applyBorder="1" applyAlignment="1">
      <alignment horizontal="right" vertical="center"/>
      <protection locked="0"/>
    </xf>
    <xf applyProtection="1" numFmtId="176" fontId="21" fillId="27" borderId="10" xfId="0" applyNumberFormat="1" applyFont="1" applyFill="1" applyBorder="1" applyAlignment="1">
      <alignment horizontal="left" vertical="center"/>
      <protection locked="0"/>
    </xf>
    <xf applyProtection="1" numFmtId="0" fontId="21" fillId="27" borderId="10" xfId="0" applyFont="1" applyFill="1" applyBorder="1" applyAlignment="1">
      <alignment horizontal="left" vertical="center"/>
      <protection locked="0"/>
    </xf>
    <xf applyProtection="1" numFmtId="10" fontId="29" fillId="26" borderId="10" xfId="0" applyNumberFormat="1" applyFont="1" applyFill="1" applyBorder="1" applyAlignment="1">
      <alignment vertical="center"/>
      <protection locked="0"/>
    </xf>
    <xf applyProtection="1" numFmtId="0" fontId="28" fillId="26" borderId="10" xfId="0" applyFont="1" applyFill="1" applyBorder="1" applyAlignment="1">
      <alignment vertical="center"/>
      <protection locked="0"/>
    </xf>
    <xf applyProtection="1" numFmtId="181" fontId="29" fillId="26" borderId="10" xfId="0" applyNumberFormat="1" applyFont="1" applyFill="1" applyBorder="1" applyAlignment="1">
      <alignment vertical="center"/>
      <protection locked="0"/>
    </xf>
    <xf applyProtection="1" numFmtId="179" fontId="29" fillId="26" borderId="10" xfId="0" applyNumberFormat="1" applyFont="1" applyFill="1" applyBorder="1" applyAlignment="1">
      <alignment vertical="center"/>
      <protection locked="0"/>
    </xf>
    <xf applyProtection="1" numFmtId="180" fontId="29" fillId="26" borderId="10" xfId="0" applyNumberFormat="1" applyFont="1" applyFill="1" applyBorder="1" applyAlignment="1">
      <alignment vertical="center"/>
      <protection locked="0"/>
    </xf>
    <xf applyProtection="1" numFmtId="178" fontId="29" fillId="26" borderId="10" xfId="0" applyNumberFormat="1" applyFont="1" applyFill="1" applyBorder="1" applyAlignment="1">
      <alignment vertical="center"/>
      <protection locked="0"/>
    </xf>
    <xf applyProtection="1" numFmtId="0" fontId="28" fillId="0" borderId="10" xfId="0" applyFont="1" applyBorder="1" applyAlignment="1">
      <alignment vertical="center"/>
      <protection locked="0"/>
    </xf>
    <xf applyProtection="1" numFmtId="0" fontId="28" fillId="0" borderId="10" xfId="0" applyFont="1" applyBorder="1" applyAlignment="1">
      <alignment vertical="center" wrapText="1"/>
      <protection locked="0"/>
    </xf>
    <xf applyProtection="1" numFmtId="0" fontId="29" fillId="0" borderId="10" xfId="0" applyFont="1" applyBorder="1" applyAlignment="1">
      <alignment vertical="center" wrapText="1"/>
      <protection locked="0"/>
    </xf>
    <xf applyProtection="1" numFmtId="195" fontId="29" fillId="0" borderId="10" xfId="0" applyNumberFormat="1" applyFont="1" applyBorder="1" applyAlignment="1">
      <alignment vertical="center"/>
      <protection locked="0"/>
    </xf>
    <xf applyProtection="1" numFmtId="196" fontId="29" fillId="0" borderId="10" xfId="0" applyNumberFormat="1" applyFont="1" applyBorder="1" applyAlignment="1">
      <alignment vertical="center"/>
      <protection locked="0"/>
    </xf>
    <xf applyProtection="1" numFmtId="180" fontId="29" fillId="0" borderId="10" xfId="0" applyNumberFormat="1" applyFont="1" applyBorder="1" applyAlignment="1">
      <alignment vertical="center"/>
      <protection locked="0"/>
    </xf>
    <xf applyProtection="1" numFmtId="0" fontId="28" fillId="0" borderId="10" xfId="0" applyFont="1" applyBorder="1" applyAlignment="1">
      <alignment horizontal="center" vertical="center" wrapText="1"/>
      <protection locked="0"/>
    </xf>
    <xf applyProtection="1" numFmtId="0" fontId="29" fillId="0" borderId="10" xfId="0" applyFont="1" applyBorder="1" applyAlignment="1">
      <alignment horizontal="center" vertical="center" wrapText="1"/>
      <protection locked="0"/>
    </xf>
    <xf applyProtection="1" numFmtId="176" fontId="29" fillId="0" borderId="10" xfId="0" applyNumberFormat="1" applyFont="1" applyBorder="1" applyAlignment="1">
      <alignment horizontal="left" vertical="center"/>
      <protection locked="0"/>
    </xf>
  </cellXfs>
  <cellStyles count="42">
    <cellStyle name="20% - アクセント 1" xfId="1" xr:uid="{00000000-0005-0000-0000-000006000000}"/>
    <cellStyle name="20% - アクセント 2" xfId="2" xr:uid="{00000000-0005-0000-0000-000007000000}"/>
    <cellStyle name="20% - アクセント 3" xfId="3" xr:uid="{00000000-0005-0000-0000-000008000000}"/>
    <cellStyle name="20% - アクセント 4" xfId="4" xr:uid="{00000000-0005-0000-0000-000009000000}"/>
    <cellStyle name="20% - アクセント 5" xfId="5" xr:uid="{00000000-0005-0000-0000-00000A000000}"/>
    <cellStyle name="20% - アクセント 6" xfId="6" xr:uid="{00000000-0005-0000-0000-00000B000000}"/>
    <cellStyle name="40% - アクセント 1" xfId="7" xr:uid="{00000000-0005-0000-0000-00000C000000}"/>
    <cellStyle name="40% - アクセント 2" xfId="8" xr:uid="{00000000-0005-0000-0000-00000D000000}"/>
    <cellStyle name="40% - アクセント 3" xfId="9" xr:uid="{00000000-0005-0000-0000-00000E000000}"/>
    <cellStyle name="40% - アクセント 4" xfId="10" xr:uid="{00000000-0005-0000-0000-00000F000000}"/>
    <cellStyle name="40% - アクセント 5" xfId="11" xr:uid="{00000000-0005-0000-0000-000010000000}"/>
    <cellStyle name="40% - アクセント 6" xfId="12" xr:uid="{00000000-0005-0000-0000-000011000000}"/>
    <cellStyle name="60% - アクセント 1" xfId="13" xr:uid="{00000000-0005-0000-0000-000012000000}"/>
    <cellStyle name="60% - アクセント 2" xfId="14" xr:uid="{00000000-0005-0000-0000-000013000000}"/>
    <cellStyle name="60% - アクセント 3" xfId="15" xr:uid="{00000000-0005-0000-0000-000014000000}"/>
    <cellStyle name="60% - アクセント 4" xfId="16" xr:uid="{00000000-0005-0000-0000-000015000000}"/>
    <cellStyle name="60% - アクセント 5" xfId="17" xr:uid="{00000000-0005-0000-0000-000016000000}"/>
    <cellStyle name="60% - アクセント 6" xfId="18" xr:uid="{00000000-0005-0000-0000-000017000000}"/>
    <cellStyle name="アクセント 1" xfId="20" xr:uid="{00000000-0005-0000-0000-000019000000}"/>
    <cellStyle name="アクセント 2" xfId="21" xr:uid="{00000000-0005-0000-0000-00001A000000}"/>
    <cellStyle name="アクセント 3" xfId="22" xr:uid="{00000000-0005-0000-0000-00001B000000}"/>
    <cellStyle name="アクセント 4" xfId="23" xr:uid="{00000000-0005-0000-0000-00001C000000}"/>
    <cellStyle name="アクセント 5" xfId="24" xr:uid="{00000000-0005-0000-0000-00001D000000}"/>
    <cellStyle name="アクセント 6" xfId="25" xr:uid="{00000000-0005-0000-0000-00001E000000}"/>
    <cellStyle name="タイトル" xfId="26" xr:uid="{00000000-0005-0000-0000-00001F000000}"/>
    <cellStyle name="チェック セル" xfId="27" xr:uid="{00000000-0005-0000-0000-000020000000}"/>
    <cellStyle name="どちらでもない" xfId="19" xr:uid="{00000000-0005-0000-0000-000018000000}"/>
    <cellStyle name="メモ" xfId="28" xr:uid="{00000000-0005-0000-0000-000021000000}"/>
    <cellStyle name="リンク セル" xfId="29" xr:uid="{00000000-0005-0000-0000-000022000000}"/>
    <cellStyle name="悪い" xfId="32" xr:uid="{00000000-0005-0000-0000-000025000000}"/>
    <cellStyle name="計算" xfId="38" xr:uid="{00000000-0005-0000-0000-00002B000000}"/>
    <cellStyle name="警告文" xfId="40" xr:uid="{00000000-0005-0000-0000-00002D000000}"/>
    <cellStyle name="見出し 1" xfId="34" xr:uid="{00000000-0005-0000-0000-000027000000}"/>
    <cellStyle name="見出し 2" xfId="35" xr:uid="{00000000-0005-0000-0000-000028000000}"/>
    <cellStyle name="見出し 3" xfId="36" xr:uid="{00000000-0005-0000-0000-000029000000}"/>
    <cellStyle name="見出し 4" xfId="37" xr:uid="{00000000-0005-0000-0000-00002A000000}"/>
    <cellStyle name="集計" xfId="41" xr:uid="{00000000-0005-0000-0000-00002E000000}"/>
    <cellStyle name="出力" xfId="31" xr:uid="{00000000-0005-0000-0000-000024000000}"/>
    <cellStyle name="説明文" xfId="39" xr:uid="{00000000-0005-0000-0000-00002C000000}"/>
    <cellStyle name="入力" xfId="30" xr:uid="{00000000-0005-0000-0000-000023000000}"/>
    <cellStyle name="標準" xfId="0" builtinId="0"/>
    <cellStyle name="良い" xfId="33" xr:uid="{00000000-0005-0000-0000-000026000000}"/>
  </cellStyles>
  <dxfs count="6">
    <dxf>
      <font>
        <b/>
        <sz val="12"/>
        <name val="ＭＳ 明朝"/>
        <charset val="1"/>
      </font>
    </dxf>
    <dxf>
      <font>
        <b/>
        <sz val="12"/>
        <name val="ＭＳ 明朝"/>
        <charset val="1"/>
      </font>
    </dxf>
    <dxf>
      <font>
        <b/>
        <sz val="12"/>
        <color rgb="FF9C0006"/>
        <name val="ＭＳ 明朝"/>
        <charset val="1"/>
      </font>
    </dxf>
    <dxf>
      <font>
        <b/>
        <name val="ＭＳ 明朝"/>
        <charset val="1"/>
      </font>
    </dxf>
    <dxf>
      <font>
        <b/>
        <name val="ＭＳ 明朝"/>
        <charset val="1"/>
      </font>
    </dxf>
    <dxf>
      <font>
        <b/>
        <color rgb="FF9C0006"/>
        <name val="ＭＳ 明朝"/>
        <charset val="1"/>
      </font>
    </dxf>
  </dxfs>
  <tableStyles count="0" defaultTableStyle="TableStyleMedium2" defaultPivotStyle="PivotStyleLight16"/>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1</xdr:row>
          <xdr:rowOff>30480</xdr:rowOff>
        </xdr:from>
        <xdr:to>
          <xdr:col>6</xdr:col>
          <xdr:colOff>83820</xdr:colOff>
          <xdr:row>1</xdr:row>
          <xdr:rowOff>274320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EDA983F-6864-1E02-F2BA-731547731F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貸付申込書(普通・特別)をWordで出力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xdr:colOff>
          <xdr:row>12</xdr:row>
          <xdr:rowOff>30480</xdr:rowOff>
        </xdr:from>
        <xdr:to>
          <xdr:col>2</xdr:col>
          <xdr:colOff>327660</xdr:colOff>
          <xdr:row>12</xdr:row>
          <xdr:rowOff>274320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389FD607-B561-3747-5B63-470DE52042B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借用証書をWordで出力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12</xdr:row>
          <xdr:rowOff>30480</xdr:rowOff>
        </xdr:from>
        <xdr:to>
          <xdr:col>2</xdr:col>
          <xdr:colOff>1752600</xdr:colOff>
          <xdr:row>12</xdr:row>
          <xdr:rowOff>274320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A74D34B0-7069-0FCF-DD60-AC075B805B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添書をWordで出力</a:t>
              </a:r>
            </a:p>
          </xdr:txBody>
        </xdr:sp>
        <xdr:clientData fPrintsWithSheet="0"/>
      </xdr:twoCellAnchor>
    </mc:Choice>
    <mc:Fallback/>
  </mc:AlternateContent>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E699"/>
  </sheetPr>
  <dimension ref="B1:C18"/>
  <sheetViews>
    <sheetView tabSelected="1" showGridLines="0" zoomScaleNormal="100" workbookViewId="0"/>
  </sheetViews>
  <sheetFormatPr defaultColWidth="8.5546875" defaultRowHeight="13.2"/>
  <cols>
    <col min="1" max="1" width="3" customWidth="1"/>
    <col min="2" max="2" width="24" customWidth="1"/>
    <col min="3" max="3" width="90" customWidth="1"/>
  </cols>
  <sheetData>
    <row r="1" spans="2:3" ht="16.2">
      <c r="B1" s="15" t="s">
        <v>0</v>
      </c>
    </row>
    <row r="3" spans="2:3" ht="36" customHeight="1">
      <c r="B3" s="16" t="s">
        <v>1</v>
      </c>
      <c r="C3" s="17" t="s">
        <v>2</v>
      </c>
    </row>
    <row r="4" spans="2:3" ht="36" customHeight="1">
      <c r="B4" s="16" t="s">
        <v>3</v>
      </c>
      <c r="C4" s="17" t="s">
        <v>4</v>
      </c>
    </row>
    <row r="5" spans="2:3" ht="36" customHeight="1">
      <c r="B5" s="16" t="s">
        <v>5</v>
      </c>
      <c r="C5" s="17" t="s">
        <v>6</v>
      </c>
    </row>
    <row r="6" spans="2:3" ht="51.75" customHeight="1">
      <c r="B6" s="16" t="s">
        <v>7</v>
      </c>
      <c r="C6" s="17" t="s">
        <v>8</v>
      </c>
    </row>
    <row r="7" spans="2:3" ht="36" customHeight="1">
      <c r="B7" s="16" t="s">
        <v>9</v>
      </c>
      <c r="C7" s="17" t="s">
        <v>10</v>
      </c>
    </row>
    <row r="8" spans="2:3" ht="67.5" customHeight="1">
      <c r="B8" s="18" t="s">
        <v>11</v>
      </c>
      <c r="C8" s="19" t="s">
        <v>12</v>
      </c>
    </row>
    <row r="9" spans="2:3" ht="36" customHeight="1">
      <c r="B9" s="16" t="s">
        <v>13</v>
      </c>
      <c r="C9" s="17" t="s">
        <v>14</v>
      </c>
    </row>
    <row r="10" spans="2:3" ht="84" customHeight="1">
      <c r="B10" s="16" t="s">
        <v>15</v>
      </c>
      <c r="C10" s="17" t="s">
        <v>16</v>
      </c>
    </row>
    <row r="11" spans="2:3" ht="19.5" customHeight="1">
      <c r="B11" s="16" t="s">
        <v>17</v>
      </c>
      <c r="C11" s="17" t="s">
        <v>18</v>
      </c>
    </row>
    <row r="12" spans="2:3" ht="36" customHeight="1">
      <c r="B12" s="16" t="s">
        <v>19</v>
      </c>
      <c r="C12" s="17" t="s">
        <v>20</v>
      </c>
    </row>
    <row r="13" spans="2:3" ht="84" customHeight="1">
      <c r="B13" s="16" t="s">
        <v>21</v>
      </c>
      <c r="C13" s="17" t="str">
        <f>"広島市職員共済組合ハンドブック(令和8年度改訂版)、貸付金借用証書、借入状況等申告書、貸付申込書。利率は"&amp;マスタ!$I$4&amp;"(普通・特別 年"&amp;TEXT(マスタ!$B$4,"0.00%")&amp;"、住宅 年"&amp;TEXT(マスタ!$B$5,"0.00%")&amp;"、災害 年"&amp;TEXT(マスタ!$B$6,"0.00%")&amp;"、在宅介護対応住宅の加算部分 年"&amp;TEXT(MAX(0,マスタ!$B$5-マスタ!$B$7),"0.00%")&amp;")。"</f>
        <v>広島市職員共済組合ハンドブック(令和8年度改訂版)、貸付金借用証書、借入状況等申告書、貸付申込書。利率は令和8年4月1日現在(普通・特別 年1.26%、住宅 年1.26%、災害 年0.93%、在宅介護対応住宅の加算部分 年1.00%)。</v>
      </c>
    </row>
    <row r="14" spans="2:3" ht="36" customHeight="1">
      <c r="B14" s="16" t="s">
        <v>22</v>
      </c>
      <c r="C14" s="17" t="s">
        <v>23</v>
      </c>
    </row>
    <row r="15" spans="2:3" ht="36" customHeight="1">
      <c r="B15" s="16" t="s">
        <v>24</v>
      </c>
      <c r="C15" s="17" t="s">
        <v>25</v>
      </c>
    </row>
    <row r="16" spans="2:3" ht="67.5" customHeight="1">
      <c r="B16" s="16" t="s">
        <v>26</v>
      </c>
      <c r="C16" s="17" t="s">
        <v>27</v>
      </c>
    </row>
    <row r="17" spans="2:3" ht="36" customHeight="1">
      <c r="B17" s="16" t="s">
        <v>28</v>
      </c>
      <c r="C17" s="17" t="s">
        <v>29</v>
      </c>
    </row>
    <row r="18" spans="2:3" ht="19.5" customHeight="1">
      <c r="B18" s="16" t="s">
        <v>30</v>
      </c>
      <c r="C18" s="17" t="s">
        <v>31</v>
      </c>
    </row>
  </sheetData>
  <sheetProtection sheet="1" objects="1" scenarios="1"/>
  <phoneticPr fontId="46"/>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E699"/>
    <pageSetUpPr fitToPage="1"/>
  </sheetPr>
  <dimension ref="B1:H65"/>
  <sheetViews>
    <sheetView zoomScale="90" zoomScaleNormal="90" workbookViewId="0">
      <pane ySplit="4" topLeftCell="A5" activePane="bottomLeft" state="frozen"/>
      <selection pane="bottomLeft"/>
    </sheetView>
  </sheetViews>
  <sheetFormatPr defaultColWidth="8.5546875" defaultRowHeight="13.2"/>
  <cols>
    <col min="1" max="1" width="2" customWidth="1"/>
    <col min="2" max="2" width="34" customWidth="1"/>
    <col min="3" max="3" width="38" customWidth="1"/>
    <col min="4" max="4" width="40" customWidth="1"/>
    <col min="5" max="5" width="2" customWidth="1"/>
    <col min="6" max="6" width="34" customWidth="1"/>
    <col min="7" max="7" width="24" customWidth="1"/>
    <col min="8" max="8" width="58" customWidth="1"/>
  </cols>
  <sheetData>
    <row r="1" spans="2:8" ht="25.5" customHeight="1">
      <c r="B1" s="15" t="s">
        <v>32</v>
      </c>
    </row>
    <row r="2" spans="2:8" ht="30" customHeight="1">
      <c r="B2" s="20" t="s">
        <v>33</v>
      </c>
    </row>
    <row r="3" spans="2:8">
      <c r="B3" s="21" t="s">
        <v>34</v>
      </c>
      <c r="F3" s="22" t="s">
        <v>35</v>
      </c>
    </row>
    <row r="5" spans="2:8">
      <c r="B5" s="14" t="s">
        <v>36</v>
      </c>
      <c r="C5" s="14"/>
      <c r="D5" s="14"/>
      <c r="F5" s="14" t="s">
        <v>37</v>
      </c>
      <c r="G5" s="14"/>
      <c r="H5" s="14"/>
    </row>
    <row r="6" spans="2:8" ht="24" customHeight="1">
      <c r="B6" s="23" t="s">
        <v>38</v>
      </c>
      <c r="C6" s="24" t="s">
        <v>39</v>
      </c>
      <c r="D6" s="25"/>
      <c r="F6" s="26" t="s">
        <v>40</v>
      </c>
      <c r="G6" s="13" t="str">
        <f>計算過程!$B$160</f>
        <v>申込可能</v>
      </c>
      <c r="H6" s="13"/>
    </row>
    <row r="7" spans="2:8" ht="27.75" customHeight="1">
      <c r="B7" s="23" t="s">
        <v>41</v>
      </c>
      <c r="C7" s="24" t="s">
        <v>42</v>
      </c>
      <c r="D7" s="25"/>
      <c r="F7" s="26" t="s">
        <v>43</v>
      </c>
      <c r="G7" s="27" t="str">
        <f>"最大 "&amp;TEXT(計算過程!$B$62/計算過程!$B$5,"#,##0")&amp;"万円まで"</f>
        <v>最大 174万円まで</v>
      </c>
      <c r="H7" s="25" t="str">
        <f>"償還"&amp;計算過程!$B$58&amp;"回の場合。下の ① と ② の小さい方です"</f>
        <v>償還60回の場合。下の ① と ② の小さい方です</v>
      </c>
    </row>
    <row r="8" spans="2:8">
      <c r="B8" s="23" t="s">
        <v>44</v>
      </c>
      <c r="C8" s="24" t="s">
        <v>45</v>
      </c>
      <c r="D8" s="25"/>
      <c r="F8" s="23" t="s">
        <v>46</v>
      </c>
      <c r="G8" s="28" t="str">
        <f>計算過程!$B$35</f>
        <v>14年7か月</v>
      </c>
      <c r="H8" s="25" t="str">
        <f>"区分:"&amp;計算過程!$B$12&amp;"　資格取得日〜申込予定日"</f>
        <v>区分:普通貸付　資格取得日〜申込予定日</v>
      </c>
    </row>
    <row r="9" spans="2:8">
      <c r="B9" s="23" t="s">
        <v>47</v>
      </c>
      <c r="C9" s="24" t="s">
        <v>48</v>
      </c>
      <c r="D9" s="25"/>
      <c r="F9" s="23" t="s">
        <v>49</v>
      </c>
      <c r="G9" s="29">
        <f>計算過程!$B$32</f>
        <v>1.26E-2</v>
      </c>
      <c r="H9" s="25" t="str">
        <f>"変動利率("&amp;マスタ!$I$4&amp;")"</f>
        <v>変動利率(令和8年4月1日現在)</v>
      </c>
    </row>
    <row r="10" spans="2:8" ht="27.75" customHeight="1">
      <c r="B10" s="23" t="s">
        <v>50</v>
      </c>
      <c r="C10" s="30">
        <v>46328</v>
      </c>
      <c r="D10" s="25"/>
      <c r="F10" s="23" t="s">
        <v>51</v>
      </c>
      <c r="G10" s="31">
        <f>計算過程!$B$48</f>
        <v>1740000</v>
      </c>
      <c r="H10" s="25" t="str">
        <f>計算過程!$B$49</f>
        <v>給料月額 290,000円 × 6か月 = 1,740,000円(上限 200万円)</v>
      </c>
    </row>
    <row r="11" spans="2:8">
      <c r="B11" s="23" t="s">
        <v>52</v>
      </c>
      <c r="C11" s="30">
        <v>41000</v>
      </c>
      <c r="D11" s="25"/>
      <c r="F11" s="23" t="s">
        <v>53</v>
      </c>
      <c r="G11" s="31">
        <f>計算過程!$B$47</f>
        <v>0</v>
      </c>
      <c r="H11" s="32" t="s">
        <v>54</v>
      </c>
    </row>
    <row r="12" spans="2:8" ht="27.75" customHeight="1">
      <c r="B12" s="23" t="s">
        <v>55</v>
      </c>
      <c r="C12" s="33">
        <v>290000</v>
      </c>
      <c r="D12" s="32" t="s">
        <v>56</v>
      </c>
      <c r="F12" s="23" t="s">
        <v>57</v>
      </c>
      <c r="G12" s="31">
        <f>計算過程!$B$59</f>
        <v>3312812.4209239185</v>
      </c>
      <c r="H12" s="32" t="str">
        <f>計算過程!$B$50</f>
        <v>毎月償還額の上限 57,000円(給料月額の30% 87,000円 − 他の借入等 30,000円)を 60回で返済する場合</v>
      </c>
    </row>
    <row r="13" spans="2:8" ht="27.75" customHeight="1">
      <c r="B13" s="23" t="s">
        <v>58</v>
      </c>
      <c r="C13" s="30"/>
      <c r="D13" s="32" t="str">
        <f>IFERROR("基準日:"&amp;計算過程!$B$23&amp;"("&amp;計算過程!$B$22&amp;")","")</f>
        <v>基準日:自動車の登録(予定)日(自動車登録(名義変更)前で代金支払前)</v>
      </c>
      <c r="F13" s="26" t="s">
        <v>59</v>
      </c>
      <c r="G13" s="34">
        <f>計算過程!$B$62</f>
        <v>1740000</v>
      </c>
      <c r="H13" s="32" t="str">
        <f>"申込単位("&amp;計算過程!$B$16&amp;"万円)で切り捨て。決まった要因:"&amp;計算過程!$B$63</f>
        <v>申込単位(1万円)で切り捨て。決まった要因:貸付限度額</v>
      </c>
    </row>
    <row r="14" spans="2:8">
      <c r="B14" s="23" t="s">
        <v>60</v>
      </c>
      <c r="C14" s="35" t="s">
        <v>61</v>
      </c>
      <c r="D14" s="32" t="s">
        <v>62</v>
      </c>
      <c r="F14" s="23" t="s">
        <v>63</v>
      </c>
      <c r="G14" s="31">
        <f>計算過程!$B$65</f>
        <v>1500000</v>
      </c>
      <c r="H14" s="32" t="s">
        <v>64</v>
      </c>
    </row>
    <row r="15" spans="2:8">
      <c r="B15" s="23" t="s">
        <v>65</v>
      </c>
      <c r="C15" s="35" t="s">
        <v>61</v>
      </c>
      <c r="D15" s="32" t="s">
        <v>62</v>
      </c>
      <c r="F15" s="23" t="s">
        <v>66</v>
      </c>
      <c r="G15" s="36">
        <f>計算過程!$B$71</f>
        <v>60</v>
      </c>
      <c r="H15" s="32" t="str">
        <f>"償還期間 "&amp;計算過程!$B$100</f>
        <v>償還期間 5年0か月</v>
      </c>
    </row>
    <row r="16" spans="2:8">
      <c r="B16" s="23" t="s">
        <v>67</v>
      </c>
      <c r="C16" s="37"/>
      <c r="D16" s="32" t="s">
        <v>68</v>
      </c>
      <c r="F16" s="26" t="s">
        <v>69</v>
      </c>
      <c r="G16" s="38">
        <f>計算過程!$B$78</f>
        <v>25809</v>
      </c>
      <c r="H16" s="32" t="str">
        <f>"元利均等・給与控除(概算)。最終回は "&amp;TEXT(計算過程!$B$82,"#,##0")&amp;"円(元金の端数を調整)"</f>
        <v>元利均等・給与控除(概算)。最終回は 25,804円(元金の端数を調整)</v>
      </c>
    </row>
    <row r="17" spans="2:8">
      <c r="B17" s="23" t="s">
        <v>70</v>
      </c>
      <c r="C17" s="39">
        <v>150</v>
      </c>
      <c r="D17" s="32" t="s">
        <v>71</v>
      </c>
      <c r="F17" s="23" t="s">
        <v>72</v>
      </c>
      <c r="G17" s="31">
        <f>計算過程!$B$81</f>
        <v>0</v>
      </c>
      <c r="H17" s="25" t="s">
        <v>73</v>
      </c>
    </row>
    <row r="18" spans="2:8">
      <c r="B18" s="23" t="s">
        <v>74</v>
      </c>
      <c r="C18" s="40">
        <v>60</v>
      </c>
      <c r="D18" s="32" t="s">
        <v>75</v>
      </c>
      <c r="F18" s="23" t="s">
        <v>76</v>
      </c>
      <c r="G18" s="41">
        <f>計算過程!$B$98</f>
        <v>46357</v>
      </c>
      <c r="H18" s="32" t="s">
        <v>77</v>
      </c>
    </row>
    <row r="19" spans="2:8">
      <c r="B19" s="23" t="s">
        <v>78</v>
      </c>
      <c r="C19" s="33"/>
      <c r="D19" s="32" t="s">
        <v>79</v>
      </c>
      <c r="F19" s="23" t="s">
        <v>80</v>
      </c>
      <c r="G19" s="41">
        <f>計算過程!$B$99</f>
        <v>48153</v>
      </c>
    </row>
    <row r="20" spans="2:8">
      <c r="B20" s="23" t="s">
        <v>81</v>
      </c>
      <c r="C20" s="35" t="s">
        <v>61</v>
      </c>
      <c r="D20" s="32" t="s">
        <v>82</v>
      </c>
      <c r="F20" s="23" t="s">
        <v>83</v>
      </c>
      <c r="G20" s="31">
        <f>計算過程!$B$83</f>
        <v>1548535</v>
      </c>
    </row>
    <row r="21" spans="2:8">
      <c r="B21" s="23" t="s">
        <v>84</v>
      </c>
      <c r="C21" s="39"/>
      <c r="D21" s="25" t="s">
        <v>85</v>
      </c>
      <c r="F21" s="23" t="s">
        <v>86</v>
      </c>
      <c r="G21" s="31">
        <f>計算過程!$B$84</f>
        <v>48535</v>
      </c>
    </row>
    <row r="22" spans="2:8">
      <c r="B22" s="23" t="s">
        <v>87</v>
      </c>
      <c r="C22" s="40"/>
      <c r="D22" s="25" t="s">
        <v>88</v>
      </c>
    </row>
    <row r="23" spans="2:8">
      <c r="B23" s="23" t="s">
        <v>89</v>
      </c>
      <c r="C23" s="39"/>
      <c r="D23" s="32" t="s">
        <v>90</v>
      </c>
      <c r="F23" s="14" t="s">
        <v>91</v>
      </c>
      <c r="G23" s="14"/>
      <c r="H23" s="14"/>
    </row>
    <row r="24" spans="2:8">
      <c r="B24" s="23" t="s">
        <v>92</v>
      </c>
      <c r="C24" s="42"/>
      <c r="D24" s="32" t="s">
        <v>93</v>
      </c>
      <c r="F24" s="23" t="s">
        <v>94</v>
      </c>
      <c r="G24" s="31">
        <f>計算過程!$B$86</f>
        <v>55809</v>
      </c>
      <c r="H24" s="25" t="s">
        <v>95</v>
      </c>
    </row>
    <row r="25" spans="2:8">
      <c r="B25" s="23" t="s">
        <v>96</v>
      </c>
      <c r="C25" s="24" t="s">
        <v>97</v>
      </c>
      <c r="D25" s="32" t="s">
        <v>98</v>
      </c>
      <c r="F25" s="23" t="s">
        <v>99</v>
      </c>
      <c r="G25" s="31">
        <f>計算過程!$B$87</f>
        <v>0</v>
      </c>
    </row>
    <row r="26" spans="2:8">
      <c r="B26" s="14" t="s">
        <v>100</v>
      </c>
      <c r="C26" s="14"/>
      <c r="D26" s="14"/>
      <c r="F26" s="23" t="s">
        <v>101</v>
      </c>
      <c r="G26" s="31">
        <f>計算過程!$B$88</f>
        <v>290000</v>
      </c>
    </row>
    <row r="27" spans="2:8" ht="25.5" customHeight="1">
      <c r="B27" s="23" t="s">
        <v>102</v>
      </c>
      <c r="C27" s="35" t="s">
        <v>103</v>
      </c>
      <c r="D27" s="32" t="s">
        <v>104</v>
      </c>
      <c r="F27" s="26" t="s">
        <v>105</v>
      </c>
      <c r="G27" s="43">
        <f>計算過程!$B$89</f>
        <v>0.1924448275862069</v>
      </c>
      <c r="H27" s="32" t="str">
        <f>IF(計算過程!$B$136=1,"○ 30%以内","× 30%超")</f>
        <v>○ 30%以内</v>
      </c>
    </row>
    <row r="28" spans="2:8">
      <c r="B28" s="23" t="s">
        <v>106</v>
      </c>
      <c r="C28" s="35" t="s">
        <v>103</v>
      </c>
      <c r="D28" s="32" t="s">
        <v>107</v>
      </c>
      <c r="F28" s="23" t="s">
        <v>108</v>
      </c>
      <c r="G28" s="31">
        <f>計算過程!$B$90</f>
        <v>669708</v>
      </c>
    </row>
    <row r="29" spans="2:8">
      <c r="B29" s="23" t="s">
        <v>109</v>
      </c>
      <c r="C29" s="31">
        <f>N(借入状況等申告書!$P$33)+N(借入状況等申告書!$AG$33)</f>
        <v>18000</v>
      </c>
      <c r="F29" s="23" t="s">
        <v>110</v>
      </c>
      <c r="G29" s="31">
        <f>計算過程!$B$91</f>
        <v>4640000</v>
      </c>
    </row>
    <row r="30" spans="2:8">
      <c r="B30" s="23" t="s">
        <v>111</v>
      </c>
      <c r="C30" s="31">
        <f>N(借入状況等申告書!$U$33)+N(借入状況等申告書!$AL$33)</f>
        <v>0</v>
      </c>
      <c r="F30" s="26" t="s">
        <v>112</v>
      </c>
      <c r="G30" s="43">
        <f>計算過程!$B$92</f>
        <v>0.14433362068965516</v>
      </c>
      <c r="H30" s="32" t="str">
        <f>IF(計算過程!$B$138=1,"○ 30%以内","× 30%超")</f>
        <v>○ 30%以内</v>
      </c>
    </row>
    <row r="31" spans="2:8">
      <c r="B31" s="23" t="s">
        <v>113</v>
      </c>
      <c r="C31" s="31">
        <f>N(借入状況等申告書!$A$53)</f>
        <v>12000</v>
      </c>
    </row>
    <row r="32" spans="2:8">
      <c r="B32" s="23" t="s">
        <v>114</v>
      </c>
      <c r="C32" s="31">
        <f>N(借入状況等申告書!$H$53)</f>
        <v>0</v>
      </c>
      <c r="F32" s="14" t="s">
        <v>115</v>
      </c>
      <c r="G32" s="14"/>
      <c r="H32" s="14"/>
    </row>
    <row r="33" spans="2:8" ht="37.5" customHeight="1">
      <c r="F33" s="23" t="s">
        <v>116</v>
      </c>
      <c r="G33" s="44" t="str">
        <f>CHOOSE(計算過程!$B$114+1,"×","○","△","－")</f>
        <v>○</v>
      </c>
      <c r="H33" s="45" t="str">
        <f>計算過程!$B$115</f>
        <v>貸付区分: 普通貸付:自動車購入</v>
      </c>
    </row>
    <row r="34" spans="2:8" ht="37.5" customHeight="1">
      <c r="B34" s="14" t="s">
        <v>117</v>
      </c>
      <c r="C34" s="14"/>
      <c r="D34" s="14"/>
      <c r="F34" s="23" t="s">
        <v>118</v>
      </c>
      <c r="G34" s="44" t="str">
        <f>CHOOSE(計算過程!$B$116+1,"×","○","△","－")</f>
        <v>○</v>
      </c>
      <c r="H34" s="45" t="str">
        <f>計算過程!$B$117</f>
        <v>給料月額 290,000円(手当等を除く・部分休業等は減額後)</v>
      </c>
    </row>
    <row r="35" spans="2:8" ht="27.75" customHeight="1">
      <c r="B35" s="12" t="str">
        <f>IF(計算過程!$A$185="","","□ "&amp;計算過程!$A$185)</f>
        <v>□ 貸付申込書</v>
      </c>
      <c r="C35" s="12"/>
      <c r="D35" s="12"/>
      <c r="F35" s="23" t="s">
        <v>119</v>
      </c>
      <c r="G35" s="44" t="str">
        <f>CHOOSE(計算過程!$B$118+1,"×","○","△","－")</f>
        <v>○</v>
      </c>
      <c r="H35" s="45" t="str">
        <f>計算過程!$B$119</f>
        <v>組合員期間 14年7か月(資格取得日から借受可)</v>
      </c>
    </row>
    <row r="36" spans="2:8" ht="27.75" customHeight="1">
      <c r="B36" s="12" t="str">
        <f>IF(計算過程!$A$186="","","□ "&amp;計算過程!$A$186)</f>
        <v>□ 貸付金借用証書(様式第4号・共済組合で配布)</v>
      </c>
      <c r="C36" s="12"/>
      <c r="D36" s="12"/>
      <c r="F36" s="23" t="s">
        <v>60</v>
      </c>
      <c r="G36" s="44" t="str">
        <f>CHOOSE(計算過程!$B$120+1,"×","○","△","－")</f>
        <v>○</v>
      </c>
      <c r="H36" s="45" t="str">
        <f>計算過程!$B$121</f>
        <v>貸付制限に該当しません</v>
      </c>
    </row>
    <row r="37" spans="2:8" ht="27.75" customHeight="1">
      <c r="B37" s="12" t="str">
        <f>IF(計算過程!$A$187="","","□ "&amp;計算過程!$A$187)</f>
        <v>□ 印鑑登録証明書(貸付金交付日前3か月以内に発行されたもの)</v>
      </c>
      <c r="C37" s="12"/>
      <c r="D37" s="12"/>
      <c r="F37" s="23" t="s">
        <v>120</v>
      </c>
      <c r="G37" s="44" t="str">
        <f>CHOOSE(計算過程!$B$122+1,"×","○","△","－")</f>
        <v>○</v>
      </c>
      <c r="H37" s="45" t="str">
        <f>計算過程!$B$123</f>
        <v>無給休職ではありません(育児休業は除く)</v>
      </c>
    </row>
    <row r="38" spans="2:8" ht="27.75" customHeight="1">
      <c r="B38" s="12" t="str">
        <f>IF(計算過程!$A$188="","","□ "&amp;計算過程!$A$188)</f>
        <v>□ 給与支払明細書(直近のもの)</v>
      </c>
      <c r="C38" s="12"/>
      <c r="D38" s="12"/>
      <c r="F38" s="23" t="s">
        <v>121</v>
      </c>
      <c r="G38" s="44" t="str">
        <f>CHOOSE(計算過程!$B$124+1,"×","○","△","－")</f>
        <v>○</v>
      </c>
      <c r="H38" s="45" t="str">
        <f>計算過程!$B$125</f>
        <v>借入状況は借入状況等申告書の入力と一致しています</v>
      </c>
    </row>
    <row r="39" spans="2:8" ht="27.75" customHeight="1">
      <c r="B39" s="12" t="str">
        <f>IF(計算過程!$A$189="","","□ "&amp;計算過程!$A$189)</f>
        <v>□ 借入状況等申告書</v>
      </c>
      <c r="C39" s="12"/>
      <c r="D39" s="12"/>
      <c r="F39" s="23" t="s">
        <v>122</v>
      </c>
      <c r="G39" s="44" t="str">
        <f>CHOOSE(計算過程!$B$126+1,"×","○","△","－")</f>
        <v>－</v>
      </c>
      <c r="H39" s="45" t="str">
        <f>計算過程!$B$127</f>
        <v>申込時期: 自動車登録(名義変更)前で代金支払前</v>
      </c>
    </row>
    <row r="40" spans="2:8" ht="27.75" customHeight="1">
      <c r="B40" s="12" t="str">
        <f>IF(計算過程!$A$190="","","□ "&amp;計算過程!$A$190)</f>
        <v>□ 【事由別】注文書(写)又は発注書(写)(見積書は不可)</v>
      </c>
      <c r="C40" s="12"/>
      <c r="D40" s="12"/>
      <c r="F40" s="23" t="s">
        <v>123</v>
      </c>
      <c r="G40" s="44" t="str">
        <f>CHOOSE(計算過程!$B$128+1,"×","○","△","－")</f>
        <v>－</v>
      </c>
      <c r="H40" s="45" t="str">
        <f>計算過程!$B$129</f>
        <v>修学貸付のみ対象</v>
      </c>
    </row>
    <row r="41" spans="2:8" ht="27.75" customHeight="1">
      <c r="B41" s="12" t="str">
        <f>IF(計算過程!$A$191="","","□ "&amp;計算過程!$A$191)</f>
        <v/>
      </c>
      <c r="C41" s="12"/>
      <c r="D41" s="12"/>
      <c r="F41" s="23" t="s">
        <v>124</v>
      </c>
      <c r="G41" s="44" t="str">
        <f>CHOOSE(計算過程!$B$130+1,"×","○","△","－")</f>
        <v>○</v>
      </c>
      <c r="H41" s="45" t="str">
        <f>計算過程!$B$131</f>
        <v>申込金額 1,500,000円(10万円以上・1万円単位)</v>
      </c>
    </row>
    <row r="42" spans="2:8" ht="27.75" customHeight="1">
      <c r="B42" s="12" t="str">
        <f>IF(計算過程!$A$192="","","□ "&amp;計算過程!$A$192)</f>
        <v/>
      </c>
      <c r="C42" s="12"/>
      <c r="D42" s="12"/>
      <c r="F42" s="23" t="s">
        <v>125</v>
      </c>
      <c r="G42" s="44" t="str">
        <f>CHOOSE(計算過程!$B$132+1,"×","○","△","－")</f>
        <v>○</v>
      </c>
      <c r="H42" s="45" t="str">
        <f>計算過程!$B$133</f>
        <v>貸付限度額 1,740,000円以内です</v>
      </c>
    </row>
    <row r="43" spans="2:8" ht="27.75" customHeight="1">
      <c r="B43" s="12" t="str">
        <f>IF(計算過程!$A$193="","","□ "&amp;計算過程!$A$193)</f>
        <v/>
      </c>
      <c r="C43" s="12"/>
      <c r="D43" s="12"/>
      <c r="F43" s="23" t="s">
        <v>66</v>
      </c>
      <c r="G43" s="44" t="str">
        <f>CHOOSE(計算過程!$B$134+1,"×","○","△","－")</f>
        <v>○</v>
      </c>
      <c r="H43" s="45" t="str">
        <f>計算過程!$B$135</f>
        <v>償還回数 60回(上限120回)</v>
      </c>
    </row>
    <row r="44" spans="2:8" ht="27.75" customHeight="1">
      <c r="B44" s="12" t="str">
        <f>IF(計算過程!$A$194="","","□ "&amp;計算過程!$A$194)</f>
        <v/>
      </c>
      <c r="C44" s="12"/>
      <c r="D44" s="12"/>
      <c r="F44" s="23" t="s">
        <v>126</v>
      </c>
      <c r="G44" s="44" t="str">
        <f>CHOOSE(計算過程!$B$136+1,"×","○","△","－")</f>
        <v>○</v>
      </c>
      <c r="H44" s="45" t="str">
        <f>計算過程!$B$137</f>
        <v>毎月償還額÷給料月額 = 19.2%(30%以内)</v>
      </c>
    </row>
    <row r="45" spans="2:8" ht="27.75" customHeight="1">
      <c r="B45" s="12" t="str">
        <f>IF(計算過程!$A$195="","","□ "&amp;計算過程!$A$195)</f>
        <v/>
      </c>
      <c r="C45" s="12"/>
      <c r="D45" s="12"/>
      <c r="F45" s="23" t="s">
        <v>127</v>
      </c>
      <c r="G45" s="44" t="str">
        <f>CHOOSE(計算過程!$B$138+1,"×","○","△","－")</f>
        <v>○</v>
      </c>
      <c r="H45" s="45" t="str">
        <f>計算過程!$B$139</f>
        <v>年間償還額÷年収額 = 14.4%(30%以内)</v>
      </c>
    </row>
    <row r="46" spans="2:8" ht="27.75" customHeight="1">
      <c r="B46" s="12" t="str">
        <f>IF(計算過程!$A$196="","","□ "&amp;計算過程!$A$196)</f>
        <v/>
      </c>
      <c r="C46" s="12"/>
      <c r="D46" s="12"/>
      <c r="F46" s="23" t="s">
        <v>128</v>
      </c>
      <c r="G46" s="44" t="str">
        <f>CHOOSE(計算過程!$B$149+1,"×","○","△","－")</f>
        <v>－</v>
      </c>
      <c r="H46" s="45" t="str">
        <f>計算過程!$B$150</f>
        <v>ボーナス併用なし</v>
      </c>
    </row>
    <row r="47" spans="2:8" ht="27.75" customHeight="1">
      <c r="B47" s="12" t="str">
        <f>IF(計算過程!$A$197="","","□ "&amp;計算過程!$A$197)</f>
        <v/>
      </c>
      <c r="C47" s="12"/>
      <c r="D47" s="12"/>
      <c r="F47" s="23" t="s">
        <v>129</v>
      </c>
      <c r="G47" s="44" t="str">
        <f>CHOOSE(計算過程!$B$151+1,"×","○","△","－")</f>
        <v>－</v>
      </c>
      <c r="H47" s="45" t="str">
        <f>計算過程!$B$152</f>
        <v>住宅書類の区分: 選択済み/対象外</v>
      </c>
    </row>
    <row r="48" spans="2:8" ht="27.75" customHeight="1">
      <c r="B48" s="12" t="str">
        <f>IF(計算過程!$A$198="","","□ "&amp;計算過程!$A$198)</f>
        <v/>
      </c>
      <c r="C48" s="12"/>
      <c r="D48" s="12"/>
      <c r="F48" s="23" t="s">
        <v>130</v>
      </c>
      <c r="G48" s="44" t="str">
        <f>CHOOSE(計算過程!$B$153+1,"×","○","△","－")</f>
        <v>－</v>
      </c>
      <c r="H48" s="45" t="str">
        <f>計算過程!$B$154</f>
        <v>在宅介護対応の加算なし</v>
      </c>
    </row>
    <row r="49" spans="2:8" ht="27.75" customHeight="1">
      <c r="B49" s="12" t="str">
        <f>IF(計算過程!$A$199="","","□ "&amp;計算過程!$A$199)</f>
        <v/>
      </c>
      <c r="C49" s="12"/>
      <c r="D49" s="12"/>
    </row>
    <row r="50" spans="2:8" ht="27.75" customHeight="1">
      <c r="B50" s="12" t="str">
        <f>IF(計算過程!$A$200="","","□ "&amp;計算過程!$A$200)</f>
        <v/>
      </c>
      <c r="C50" s="12"/>
      <c r="D50" s="12"/>
      <c r="F50" s="14" t="s">
        <v>131</v>
      </c>
      <c r="G50" s="14"/>
      <c r="H50" s="14"/>
    </row>
    <row r="51" spans="2:8" ht="27.75" customHeight="1">
      <c r="F51" s="23" t="s">
        <v>132</v>
      </c>
      <c r="G51" s="46">
        <f>計算過程!$B$96</f>
        <v>46331</v>
      </c>
      <c r="H51" s="32" t="s">
        <v>133</v>
      </c>
    </row>
    <row r="52" spans="2:8" ht="27.75" customHeight="1">
      <c r="B52" s="14" t="s">
        <v>134</v>
      </c>
      <c r="C52" s="14"/>
      <c r="D52" s="14"/>
      <c r="F52" s="23" t="s">
        <v>135</v>
      </c>
      <c r="G52" s="11" t="str">
        <f>IFERROR(INDEX(マスタ!$B$85:$B$87,MATCH(申込シミュレーション!$C$6,マスタ!$A$85:$A$87,0)),"所属区分を選択してください")</f>
        <v>共済組合(庶務係)へ直接提出してください。</v>
      </c>
      <c r="H52" s="11"/>
    </row>
    <row r="53" spans="2:8" ht="27.75" customHeight="1">
      <c r="B53" s="12" t="str">
        <f>IF(計算過程!$A$213="","","□ "&amp;計算過程!$A$213)</f>
        <v>□ 完了届(自動車検査証(写)及び自動車検査証記録事項(写)を添付)</v>
      </c>
      <c r="C53" s="12"/>
      <c r="D53" s="12"/>
      <c r="F53" s="23" t="s">
        <v>136</v>
      </c>
      <c r="G53" s="11" t="str">
        <f>計算過程!$B$29</f>
        <v>締切日の同月10日頃</v>
      </c>
      <c r="H53" s="11"/>
    </row>
    <row r="54" spans="2:8" ht="27.75" customHeight="1">
      <c r="B54" s="12" t="str">
        <f>IF(計算過程!$A$214="","","□ "&amp;計算過程!$A$214)</f>
        <v/>
      </c>
      <c r="C54" s="12"/>
      <c r="D54" s="12"/>
      <c r="F54" s="23" t="s">
        <v>137</v>
      </c>
      <c r="G54" s="46">
        <f>計算過程!$B$97</f>
        <v>46356</v>
      </c>
      <c r="H54" s="32" t="s">
        <v>138</v>
      </c>
    </row>
    <row r="55" spans="2:8" ht="27.75" customHeight="1">
      <c r="B55" s="12" t="str">
        <f>IF(計算過程!$A$215="","","□ "&amp;計算過程!$A$215)</f>
        <v/>
      </c>
      <c r="C55" s="12"/>
      <c r="D55" s="12"/>
      <c r="F55" s="23" t="s">
        <v>139</v>
      </c>
      <c r="G55" s="46">
        <f>計算過程!$B$104</f>
        <v>46417</v>
      </c>
      <c r="H55" s="32" t="s">
        <v>140</v>
      </c>
    </row>
    <row r="56" spans="2:8" ht="27.75" customHeight="1">
      <c r="B56" s="12" t="str">
        <f>IF(計算過程!$A$216="","","□ "&amp;計算過程!$A$216)</f>
        <v/>
      </c>
      <c r="C56" s="12"/>
      <c r="D56" s="12"/>
    </row>
    <row r="57" spans="2:8" ht="27.75" customHeight="1">
      <c r="B57" s="12" t="str">
        <f>IF(計算過程!$A$217="","","□ "&amp;計算過程!$A$217)</f>
        <v/>
      </c>
      <c r="C57" s="12"/>
      <c r="D57" s="12"/>
      <c r="F57" s="14" t="s">
        <v>141</v>
      </c>
      <c r="G57" s="14"/>
      <c r="H57" s="14"/>
    </row>
    <row r="58" spans="2:8" ht="27.75" customHeight="1">
      <c r="B58" s="12" t="str">
        <f>IF(計算過程!$A$218="","","□ "&amp;計算過程!$A$218)</f>
        <v/>
      </c>
      <c r="C58" s="12"/>
      <c r="D58" s="12"/>
      <c r="F58" s="48" t="s">
        <v>142</v>
      </c>
      <c r="G58" s="48" t="s">
        <v>43</v>
      </c>
      <c r="H58" s="48" t="s">
        <v>143</v>
      </c>
    </row>
    <row r="59" spans="2:8" ht="27.75" customHeight="1">
      <c r="B59" s="12" t="str">
        <f>IF(計算過程!$A$219="","","□ "&amp;計算過程!$A$219)</f>
        <v/>
      </c>
      <c r="C59" s="12"/>
      <c r="D59" s="12"/>
      <c r="F59" s="23" t="str">
        <f>ROUND(計算過程!$B$17*1/6,0)&amp;"回("&amp;INT(ROUND(計算過程!$B$17*1/6,0)/計算過程!$B$6)&amp;"年"&amp;MOD(ROUND(計算過程!$B$17*1/6,0),計算過程!$B$6)&amp;"か月)"</f>
        <v>20回(1年8か月)</v>
      </c>
      <c r="G59" s="31">
        <f>IF(OR(計算過程!$B$57&lt;=0,計算過程!$B$48&lt;=0),0,IF(ROUNDDOWN(MIN(計算過程!$B$48,PV(計算過程!$B$32/計算過程!$B$6,ROUND(計算過程!$B$17*1/6,0),-計算過程!$B$57))/計算過程!$B$52,0)*計算過程!$B$52&lt;計算過程!$B$53,0,ROUNDDOWN(MIN(計算過程!$B$48,PV(計算過程!$B$32/計算過程!$B$6,ROUND(計算過程!$B$17*1/6,0),-計算過程!$B$57))/計算過程!$B$52,0)*計算過程!$B$52))</f>
        <v>1120000</v>
      </c>
      <c r="H59" s="49" t="str">
        <f>IF(G59&gt;0,"毎月 "&amp;TEXT(PMT(計算過程!$B$32/計算過程!$B$6,ROUND(計算過程!$B$17*1/6,0),-G59),"#,##0")&amp;"円(給与控除・概算)","")</f>
        <v>毎月 56,619円(給与控除・概算)</v>
      </c>
    </row>
    <row r="60" spans="2:8" ht="27.75" customHeight="1">
      <c r="B60" s="12" t="str">
        <f>IF(計算過程!$A$220="","","□ "&amp;計算過程!$A$220)</f>
        <v/>
      </c>
      <c r="C60" s="12"/>
      <c r="D60" s="12"/>
      <c r="F60" s="23" t="str">
        <f>ROUND(計算過程!$B$17*2/6,0)&amp;"回("&amp;INT(ROUND(計算過程!$B$17*2/6,0)/計算過程!$B$6)&amp;"年"&amp;MOD(ROUND(計算過程!$B$17*2/6,0),計算過程!$B$6)&amp;"か月)"</f>
        <v>40回(3年4か月)</v>
      </c>
      <c r="G60" s="31">
        <f>IF(OR(計算過程!$B$57&lt;=0,計算過程!$B$48&lt;=0),0,IF(ROUNDDOWN(MIN(計算過程!$B$48,PV(計算過程!$B$32/計算過程!$B$6,ROUND(計算過程!$B$17*2/6,0),-計算過程!$B$57))/計算過程!$B$52,0)*計算過程!$B$52&lt;計算過程!$B$53,0,ROUNDDOWN(MIN(計算過程!$B$48,PV(計算過程!$B$32/計算過程!$B$6,ROUND(計算過程!$B$17*2/6,0),-計算過程!$B$57))/計算過程!$B$52,0)*計算過程!$B$52))</f>
        <v>1740000</v>
      </c>
      <c r="H60" s="49" t="str">
        <f>IF(G60&gt;0,"毎月 "&amp;TEXT(PMT(計算過程!$B$32/計算過程!$B$6,ROUND(計算過程!$B$17*2/6,0),-G60),"#,##0")&amp;"円(給与控除・概算)","")</f>
        <v>毎月 44,443円(給与控除・概算)</v>
      </c>
    </row>
    <row r="61" spans="2:8">
      <c r="F61" s="23" t="str">
        <f>ROUND(計算過程!$B$17*3/6,0)&amp;"回("&amp;INT(ROUND(計算過程!$B$17*3/6,0)/計算過程!$B$6)&amp;"年"&amp;MOD(ROUND(計算過程!$B$17*3/6,0),計算過程!$B$6)&amp;"か月)"</f>
        <v>60回(5年0か月)</v>
      </c>
      <c r="G61" s="31">
        <f>IF(OR(計算過程!$B$57&lt;=0,計算過程!$B$48&lt;=0),0,IF(ROUNDDOWN(MIN(計算過程!$B$48,PV(計算過程!$B$32/計算過程!$B$6,ROUND(計算過程!$B$17*3/6,0),-計算過程!$B$57))/計算過程!$B$52,0)*計算過程!$B$52&lt;計算過程!$B$53,0,ROUNDDOWN(MIN(計算過程!$B$48,PV(計算過程!$B$32/計算過程!$B$6,ROUND(計算過程!$B$17*3/6,0),-計算過程!$B$57))/計算過程!$B$52,0)*計算過程!$B$52))</f>
        <v>1740000</v>
      </c>
      <c r="H61" s="49" t="str">
        <f>IF(G61&gt;0,"毎月 "&amp;TEXT(PMT(計算過程!$B$32/計算過程!$B$6,ROUND(計算過程!$B$17*3/6,0),-G61),"#,##0")&amp;"円(給与控除・概算)","")</f>
        <v>毎月 29,938円(給与控除・概算)</v>
      </c>
    </row>
    <row r="62" spans="2:8">
      <c r="F62" s="23" t="str">
        <f>ROUND(計算過程!$B$17*4/6,0)&amp;"回("&amp;INT(ROUND(計算過程!$B$17*4/6,0)/計算過程!$B$6)&amp;"年"&amp;MOD(ROUND(計算過程!$B$17*4/6,0),計算過程!$B$6)&amp;"か月)"</f>
        <v>80回(6年8か月)</v>
      </c>
      <c r="G62" s="31">
        <f>IF(OR(計算過程!$B$57&lt;=0,計算過程!$B$48&lt;=0),0,IF(ROUNDDOWN(MIN(計算過程!$B$48,PV(計算過程!$B$32/計算過程!$B$6,ROUND(計算過程!$B$17*4/6,0),-計算過程!$B$57))/計算過程!$B$52,0)*計算過程!$B$52&lt;計算過程!$B$53,0,ROUNDDOWN(MIN(計算過程!$B$48,PV(計算過程!$B$32/計算過程!$B$6,ROUND(計算過程!$B$17*4/6,0),-計算過程!$B$57))/計算過程!$B$52,0)*計算過程!$B$52))</f>
        <v>1740000</v>
      </c>
      <c r="H62" s="49" t="str">
        <f>IF(G62&gt;0,"毎月 "&amp;TEXT(PMT(計算過程!$B$32/計算過程!$B$6,ROUND(計算過程!$B$17*4/6,0),-G62),"#,##0")&amp;"円(給与控除・概算)","")</f>
        <v>毎月 22,688円(給与控除・概算)</v>
      </c>
    </row>
    <row r="63" spans="2:8">
      <c r="F63" s="23" t="str">
        <f>ROUND(計算過程!$B$17*5/6,0)&amp;"回("&amp;INT(ROUND(計算過程!$B$17*5/6,0)/計算過程!$B$6)&amp;"年"&amp;MOD(ROUND(計算過程!$B$17*5/6,0),計算過程!$B$6)&amp;"か月)"</f>
        <v>100回(8年4か月)</v>
      </c>
      <c r="G63" s="31">
        <f>IF(OR(計算過程!$B$57&lt;=0,計算過程!$B$48&lt;=0),0,IF(ROUNDDOWN(MIN(計算過程!$B$48,PV(計算過程!$B$32/計算過程!$B$6,ROUND(計算過程!$B$17*5/6,0),-計算過程!$B$57))/計算過程!$B$52,0)*計算過程!$B$52&lt;計算過程!$B$53,0,ROUNDDOWN(MIN(計算過程!$B$48,PV(計算過程!$B$32/計算過程!$B$6,ROUND(計算過程!$B$17*5/6,0),-計算過程!$B$57))/計算過程!$B$52,0)*計算過程!$B$52))</f>
        <v>1740000</v>
      </c>
      <c r="H63" s="49" t="str">
        <f>IF(G63&gt;0,"毎月 "&amp;TEXT(PMT(計算過程!$B$32/計算過程!$B$6,ROUND(計算過程!$B$17*5/6,0),-G63),"#,##0")&amp;"円(給与控除・概算)","")</f>
        <v>毎月 18,339円(給与控除・概算)</v>
      </c>
    </row>
    <row r="64" spans="2:8">
      <c r="F64" s="23" t="str">
        <f>ROUND(計算過程!$B$17*6/6,0)&amp;"回("&amp;INT(ROUND(計算過程!$B$17*6/6,0)/計算過程!$B$6)&amp;"年"&amp;MOD(ROUND(計算過程!$B$17*6/6,0),計算過程!$B$6)&amp;"か月)"</f>
        <v>120回(10年0か月)</v>
      </c>
      <c r="G64" s="31">
        <f>IF(OR(計算過程!$B$57&lt;=0,計算過程!$B$48&lt;=0),0,IF(ROUNDDOWN(MIN(計算過程!$B$48,PV(計算過程!$B$32/計算過程!$B$6,ROUND(計算過程!$B$17*6/6,0),-計算過程!$B$57))/計算過程!$B$52,0)*計算過程!$B$52&lt;計算過程!$B$53,0,ROUNDDOWN(MIN(計算過程!$B$48,PV(計算過程!$B$32/計算過程!$B$6,ROUND(計算過程!$B$17*6/6,0),-計算過程!$B$57))/計算過程!$B$52,0)*計算過程!$B$52))</f>
        <v>1740000</v>
      </c>
      <c r="H64" s="49" t="str">
        <f>IF(G64&gt;0,"毎月 "&amp;TEXT(PMT(計算過程!$B$32/計算過程!$B$6,ROUND(計算過程!$B$17*6/6,0),-G64),"#,##0")&amp;"円(給与控除・概算)","")</f>
        <v>毎月 15,440円(給与控除・概算)</v>
      </c>
    </row>
    <row r="65" spans="6:8" ht="25.5" customHeight="1">
      <c r="F65" s="10" t="s">
        <v>144</v>
      </c>
      <c r="G65" s="10"/>
      <c r="H65" s="10"/>
    </row>
  </sheetData>
  <mergeCells count="37">
    <mergeCell ref="F65:H65"/>
    <mergeCell ref="B57:D57"/>
    <mergeCell ref="F57:H57"/>
    <mergeCell ref="B58:D58"/>
    <mergeCell ref="B59:D59"/>
    <mergeCell ref="B60:D60"/>
    <mergeCell ref="B53:D53"/>
    <mergeCell ref="G53:H53"/>
    <mergeCell ref="B54:D54"/>
    <mergeCell ref="B55:D55"/>
    <mergeCell ref="B56:D56"/>
    <mergeCell ref="B48:D48"/>
    <mergeCell ref="B49:D49"/>
    <mergeCell ref="B50:D50"/>
    <mergeCell ref="F50:H50"/>
    <mergeCell ref="B52:D52"/>
    <mergeCell ref="G52:H52"/>
    <mergeCell ref="B43:D43"/>
    <mergeCell ref="B44:D44"/>
    <mergeCell ref="B45:D45"/>
    <mergeCell ref="B46:D46"/>
    <mergeCell ref="B47:D47"/>
    <mergeCell ref="B38:D38"/>
    <mergeCell ref="B39:D39"/>
    <mergeCell ref="B40:D40"/>
    <mergeCell ref="B41:D41"/>
    <mergeCell ref="B42:D42"/>
    <mergeCell ref="F32:H32"/>
    <mergeCell ref="B34:D34"/>
    <mergeCell ref="B35:D35"/>
    <mergeCell ref="B36:D36"/>
    <mergeCell ref="B37:D37"/>
    <mergeCell ref="B5:D5"/>
    <mergeCell ref="F5:H5"/>
    <mergeCell ref="G6:H6"/>
    <mergeCell ref="F23:H23"/>
    <mergeCell ref="B26:D26"/>
  </mergeCells>
  <phoneticPr fontId="46"/>
  <conditionalFormatting sqref="G33:G48">
    <cfRule type="expression" dxfId="5" priority="2">
      <formula>G33="×"</formula>
    </cfRule>
    <cfRule type="expression" dxfId="4" priority="3">
      <formula>G33="○"</formula>
    </cfRule>
    <cfRule type="expression" dxfId="3" priority="4">
      <formula>G33="△"</formula>
    </cfRule>
  </conditionalFormatting>
  <conditionalFormatting sqref="G6:H6">
    <cfRule type="expression" dxfId="2" priority="5">
      <formula>OR(LEFT($G$6,4)="申込不可",LEFT($G$6,3)="入力が")</formula>
    </cfRule>
    <cfRule type="expression" dxfId="1" priority="6">
      <formula>$G$6="申込可能"</formula>
    </cfRule>
    <cfRule type="expression" dxfId="0" priority="7">
      <formula>LEFT($G$6,6)="申込可能(△"</formula>
    </cfRule>
  </conditionalFormatting>
  <dataValidations count="14">
    <dataValidation type="list" allowBlank="1" showInputMessage="1" showErrorMessage="1" errorTitle="有・無" error="「有」か「無」を選んでください。" promptTitle="有・無" prompt="該当する場合は「有」、該当しない場合は「無」を選んでください。" sqref="C14:C15" xr:uid="{00000000-0002-0000-0100-000002000000}">
      <formula1>"有,無"</formula1>
      <formula2>0</formula2>
    </dataValidation>
    <dataValidation type="list" allowBlank="1" showInputMessage="1" showErrorMessage="1" errorTitle="ボーナス併用" error="「有」か「無」を選んでください。" promptTitle="ボーナス併用" prompt="住宅系の貸付で申込金額が300万円以上の場合に「有」を選べます。" sqref="C20" xr:uid="{00000000-0002-0000-0100-000003000000}">
      <formula1>"有,無"</formula1>
      <formula2>0</formula2>
    </dataValidation>
    <dataValidation type="list" allowBlank="1" showInputMessage="1" showErrorMessage="1" errorTitle="有・無" error="「有」か「無」を選んでください。" promptTitle="借入の有無" prompt="借入・既貸付がある場合は「有」。「有」の場合は借入状況等申告書に償還額を入力します。" sqref="C27:C28" xr:uid="{00000000-0002-0000-0100-000004000000}">
      <formula1>"有,無"</formula1>
      <formula2>0</formula2>
    </dataValidation>
    <dataValidation type="date" allowBlank="1" showInputMessage="1" showErrorMessage="1" errorTitle="申込予定日" error="日付で入力してください(例: 2026/11/2)。" promptTitle="申込予定日" prompt="日付で入力してください(例: 2026/11/2)。" sqref="C10" xr:uid="{00000000-0002-0000-0100-000006000000}">
      <formula1>1</formula1>
      <formula2>73415</formula2>
    </dataValidation>
    <dataValidation type="date" allowBlank="1" showInputMessage="1" showErrorMessage="1" errorTitle="組合員資格取得日" error="日付で入力してください(例: 2012/4/1)。" promptTitle="組合員資格取得日" prompt="日付で入力してください(例: 2012/4/1)。" sqref="C11" xr:uid="{00000000-0002-0000-0100-000007000000}">
      <formula1>1</formula1>
      <formula2>73415</formula2>
    </dataValidation>
    <dataValidation type="date" allowBlank="1" showInputMessage="1" showErrorMessage="1" errorTitle="事由発生(予定)日" error="日付で入力してください(例: 2026/12/1)。" promptTitle="事由発生(予定)日" prompt="日付で入力してください(例: 2026/12/1)。" sqref="C13" xr:uid="{00000000-0002-0000-0100-000008000000}">
      <formula1>1</formula1>
      <formula2>73415</formula2>
    </dataValidation>
    <dataValidation type="whole" allowBlank="1" showInputMessage="1" showErrorMessage="1" errorTitle="給料月額" error="給料月額は円単位の整数(1〜2,000,000)で入力してください。カンマや「円」は不要です。" promptTitle="給料月額" prompt="手当等は含めません。部分休業等で減額されている場合は減額後の額を、円で入力します(例: 290000)。" sqref="C12" xr:uid="{00000000-0002-0000-0100-000009000000}">
      <formula1>1</formula1>
      <formula2>2000000</formula2>
    </dataValidation>
    <dataValidation type="whole" allowBlank="1" showInputMessage="1" showErrorMessage="1" errorTitle="修学月数" error="修学月数は1〜120の整数で入力してください。" promptTitle="修学月数" prompt="修学貸付のみ。学年単位・修業年限以内の月数です(例: 12)。" sqref="C16" xr:uid="{00000000-0002-0000-0100-00000A000000}">
      <formula1>1</formula1>
      <formula2>120</formula2>
    </dataValidation>
    <dataValidation type="whole" allowBlank="1" showInputMessage="1" showErrorMessage="1" errorTitle="申込希望金額" error="申込希望金額は万円単位の整数(10〜2,000)で入力してください。10万円以上です。" promptTitle="申込希望金額" prompt="万円単位で入力します(例: 150)。空欄にすると申込可能額で試算します。" sqref="C17" xr:uid="{00000000-0002-0000-0100-00000B000000}">
      <formula1>10</formula1>
      <formula2>2000</formula2>
    </dataValidation>
    <dataValidation type="whole" allowBlank="1" showInputMessage="1" showErrorMessage="1" errorTitle="償還回数" error="償還回数は1〜360の整数で入力してください。(上限は貸付の種類によって異なります)" promptTitle="償還回数" prompt="毎月償還の回数です。普通・特別は120回(修学は150回)、住宅・災害は360回まで。" sqref="C18" xr:uid="{00000000-0002-0000-0100-00000C000000}">
      <formula1>1</formula1>
      <formula2>360</formula2>
    </dataValidation>
    <dataValidation type="whole" allowBlank="1" showInputMessage="1" showErrorMessage="1" errorTitle="毎月償還額の希望" error="毎月償還額は円単位の整数で入力してください。" promptTitle="毎月償還額の希望" prompt="償還回数が空欄のときだけ使います。返済できる回数を逆算します。" sqref="C19" xr:uid="{00000000-0002-0000-0100-00000D000000}">
      <formula1>1000</formula1>
      <formula2>2000000</formula2>
    </dataValidation>
    <dataValidation type="whole" allowBlank="1" showInputMessage="1" showErrorMessage="1" errorTitle="ボーナス償還分" error="ボーナス償還分は万円単位の整数で入力してください(100万円以上・5万円単位)。" promptTitle="ボーナス償還分の元金" prompt="100万円以上、貸付金額の1/2以内、5万円単位(万円で入力)。" sqref="C21" xr:uid="{00000000-0002-0000-0100-00000E000000}">
      <formula1>100</formula1>
      <formula2>1000</formula2>
    </dataValidation>
    <dataValidation type="whole" allowBlank="1" showInputMessage="1" showErrorMessage="1" errorTitle="ボーナス償還回数" error="ボーナス償還回数は1〜60の整数で入力してください。" promptTitle="ボーナス償還回数" prompt="6月・12月の償還回数の合計です(60回以内)。" sqref="C22" xr:uid="{00000000-0002-0000-0100-00000F000000}">
      <formula1>1</formula1>
      <formula2>60</formula2>
    </dataValidation>
    <dataValidation type="whole" allowBlank="1" showInputMessage="1" showErrorMessage="1" errorTitle="在宅介護対応住宅" error="在宅介護対応住宅の該当部分は万円単位の整数(300まで)で入力してください。" promptTitle="在宅介護対応住宅" prompt="該当部分の金額を万円で入力します。加算は300万円までです。" sqref="C23" xr:uid="{00000000-0002-0000-0100-000010000000}">
      <formula1>1</formula1>
      <formula2>300</formula2>
    </dataValidation>
  </dataValidations>
  <pageMargins left="0.75" right="0.75" top="1" bottom="1"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ke_Moushikomi">
                <anchor moveWithCells="1" sizeWithCells="1">
                  <from>
                    <xdr:col>5</xdr:col>
                    <xdr:colOff>30480</xdr:colOff>
                    <xdr:row>1</xdr:row>
                    <xdr:rowOff>30480</xdr:rowOff>
                  </from>
                  <to>
                    <xdr:col>6</xdr:col>
                    <xdr:colOff>83820</xdr:colOff>
                    <xdr:row>1</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所属区分" error="一覧から選んでください。" promptTitle="所属区分" prompt="提出先の案内に使います。一覧から選んでください。" xr:uid="{00000000-0002-0000-0100-000000000000}">
          <x14:formula1>
            <xm:f>マスタ!$A$85:$A$87</xm:f>
          </x14:formula1>
          <x14:formula2>
            <xm:f>0</xm:f>
          </x14:formula2>
          <xm:sqref>C6</xm:sqref>
        </x14:dataValidation>
        <x14:dataValidation type="list" allowBlank="1" showInputMessage="1" showErrorMessage="1" errorTitle="貸付区分" error="一覧にない区分は入力できません。矢印(▼)から選んでください。" promptTitle="貸付区分" prompt="申し込む貸付の種類を一覧から選んでください。" xr:uid="{00000000-0002-0000-0100-000001000000}">
          <x14:formula1>
            <xm:f>マスタ!$A$22:$A$39</xm:f>
          </x14:formula1>
          <x14:formula2>
            <xm:f>0</xm:f>
          </x14:formula2>
          <xm:sqref>C9</xm:sqref>
        </x14:dataValidation>
        <x14:dataValidation type="list" allowBlank="1" showInputMessage="1" showErrorMessage="1" errorTitle="住宅書類の区分" error="一覧から選んでください。" promptTitle="住宅書類の区分" prompt="災害住宅貸付・災害再貸付の場合のみ、工事・購入の内容を選びます。" xr:uid="{00000000-0002-0000-0100-000005000000}">
          <x14:formula1>
            <xm:f>マスタ!$B$53:$H$53</xm:f>
          </x14:formula1>
          <x14:formula2>
            <xm:f>0</xm:f>
          </x14:formula2>
          <xm:sqref>C24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E699"/>
  </sheetPr>
  <dimension ref="B1:D22"/>
  <sheetViews>
    <sheetView zoomScaleNormal="100" workbookViewId="0"/>
  </sheetViews>
  <sheetFormatPr defaultColWidth="8.5546875" defaultRowHeight="13.2"/>
  <cols>
    <col min="1" max="1" width="2" customWidth="1"/>
    <col min="2" max="2" width="30" customWidth="1"/>
    <col min="3" max="3" width="36" customWidth="1"/>
    <col min="4" max="4" width="60" customWidth="1"/>
  </cols>
  <sheetData>
    <row r="1" spans="2:4" ht="16.2">
      <c r="B1" s="15" t="s">
        <v>145</v>
      </c>
    </row>
    <row r="2" spans="2:4">
      <c r="B2" s="50" t="s">
        <v>146</v>
      </c>
    </row>
    <row r="4" spans="2:4">
      <c r="B4" s="23" t="s">
        <v>147</v>
      </c>
      <c r="C4" s="24" t="s">
        <v>148</v>
      </c>
      <c r="D4" s="22" t="s">
        <v>149</v>
      </c>
    </row>
    <row r="5" spans="2:4">
      <c r="B5" s="23" t="s">
        <v>150</v>
      </c>
      <c r="C5" s="24" t="s">
        <v>151</v>
      </c>
      <c r="D5" s="22"/>
    </row>
    <row r="6" spans="2:4">
      <c r="B6" s="23" t="s">
        <v>152</v>
      </c>
      <c r="C6" s="51" t="s">
        <v>153</v>
      </c>
      <c r="D6" s="22" t="s">
        <v>154</v>
      </c>
    </row>
    <row r="7" spans="2:4">
      <c r="B7" s="23" t="s">
        <v>155</v>
      </c>
      <c r="C7" s="52">
        <v>32964</v>
      </c>
      <c r="D7" s="22" t="s">
        <v>156</v>
      </c>
    </row>
    <row r="8" spans="2:4">
      <c r="B8" s="23" t="s">
        <v>157</v>
      </c>
      <c r="C8" s="51" t="s">
        <v>158</v>
      </c>
      <c r="D8" s="22"/>
    </row>
    <row r="9" spans="2:4">
      <c r="B9" s="23" t="s">
        <v>159</v>
      </c>
      <c r="C9" s="51" t="s">
        <v>160</v>
      </c>
      <c r="D9" s="22"/>
    </row>
    <row r="10" spans="2:4">
      <c r="B10" s="23" t="s">
        <v>161</v>
      </c>
      <c r="C10" s="24" t="s">
        <v>162</v>
      </c>
      <c r="D10" s="22" t="s">
        <v>163</v>
      </c>
    </row>
    <row r="11" spans="2:4">
      <c r="B11" s="23" t="s">
        <v>164</v>
      </c>
      <c r="C11" s="24" t="s">
        <v>165</v>
      </c>
      <c r="D11" s="22" t="s">
        <v>166</v>
      </c>
    </row>
    <row r="12" spans="2:4">
      <c r="B12" s="23" t="s">
        <v>167</v>
      </c>
      <c r="C12" s="51" t="s">
        <v>153</v>
      </c>
      <c r="D12" s="22" t="s">
        <v>168</v>
      </c>
    </row>
    <row r="14" spans="2:4">
      <c r="B14" s="22" t="s">
        <v>169</v>
      </c>
    </row>
    <row r="16" spans="2:4">
      <c r="B16" s="26" t="s">
        <v>170</v>
      </c>
      <c r="C16" s="48" t="s">
        <v>171</v>
      </c>
      <c r="D16" s="48" t="s">
        <v>172</v>
      </c>
    </row>
    <row r="17" spans="2:4">
      <c r="B17" s="53" t="s">
        <v>173</v>
      </c>
      <c r="C17" s="54"/>
      <c r="D17" s="54"/>
    </row>
    <row r="18" spans="2:4">
      <c r="B18" s="53" t="s">
        <v>174</v>
      </c>
      <c r="C18" s="54"/>
      <c r="D18" s="54"/>
    </row>
    <row r="19" spans="2:4">
      <c r="B19" s="53" t="s">
        <v>175</v>
      </c>
      <c r="C19" s="54" t="s">
        <v>176</v>
      </c>
      <c r="D19" s="54"/>
    </row>
    <row r="20" spans="2:4">
      <c r="B20" s="53" t="s">
        <v>177</v>
      </c>
      <c r="C20" s="54"/>
      <c r="D20" s="54"/>
    </row>
    <row r="21" spans="2:4">
      <c r="B21" s="53" t="s">
        <v>178</v>
      </c>
      <c r="C21" s="55" t="str">
        <f>IF(AND(COUNTIF(C17:C20,"○")=0,申込シミュレーション!$C$28&lt;&gt;"有"),"○","")</f>
        <v/>
      </c>
      <c r="D21" s="55" t="str">
        <f>IF(COUNTIF(D17:D20,"○")=0,"○","")</f>
        <v>○</v>
      </c>
    </row>
    <row r="22" spans="2:4">
      <c r="B22" s="22" t="s">
        <v>179</v>
      </c>
    </row>
  </sheetData>
  <phoneticPr fontId="46"/>
  <dataValidations count="1">
    <dataValidation type="list" allowBlank="1" showInputMessage="1" showErrorMessage="1" errorTitle="貸付の選択" error="「○」を選ぶか、空欄にしてください。" promptTitle="貸付の選択" prompt="該当する場合は「○」を選びます。該当しない場合は空欄にします。" sqref="C17:D20" xr:uid="{00000000-0002-0000-0200-000000000000}">
      <formula1>"○"</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E699"/>
    <pageSetUpPr fitToPage="1"/>
  </sheetPr>
  <dimension ref="A1:IW183"/>
  <sheetViews>
    <sheetView topLeftCell="A6" zoomScaleNormal="100" workbookViewId="0"/>
  </sheetViews>
  <sheetFormatPr defaultColWidth="2.21875" defaultRowHeight="13.2"/>
  <cols>
    <col min="1" max="257" width="2.21875" style="56"/>
  </cols>
  <sheetData>
    <row r="1" spans="1:42" ht="15.75" customHeight="1">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8"/>
      <c r="AJ1" s="58"/>
      <c r="AK1" s="58"/>
      <c r="AL1" s="58"/>
      <c r="AM1" s="58"/>
      <c r="AN1" s="58"/>
      <c r="AO1" s="59" t="s">
        <v>180</v>
      </c>
    </row>
    <row r="2" spans="1:42" ht="24" customHeight="1">
      <c r="A2" s="9" t="s">
        <v>5</v>
      </c>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row>
    <row r="3" spans="1:42" ht="15" customHeight="1">
      <c r="A3" s="60" t="s">
        <v>181</v>
      </c>
      <c r="B3" s="61"/>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row>
    <row r="4" spans="1:42" ht="14.25" customHeight="1">
      <c r="A4" s="62" t="s">
        <v>182</v>
      </c>
      <c r="B4" s="63"/>
      <c r="C4" s="64"/>
      <c r="D4" s="64"/>
      <c r="E4" s="64"/>
      <c r="F4" s="64"/>
      <c r="G4" s="64"/>
      <c r="H4" s="64"/>
      <c r="I4" s="64"/>
      <c r="J4" s="64"/>
      <c r="K4" s="64"/>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5"/>
    </row>
    <row r="5" spans="1:42" ht="5.25" customHeight="1">
      <c r="A5" s="66"/>
      <c r="B5" s="67"/>
      <c r="C5" s="68"/>
      <c r="D5" s="68"/>
      <c r="E5" s="68"/>
      <c r="F5" s="68"/>
      <c r="G5" s="68"/>
      <c r="H5" s="68"/>
      <c r="I5" s="68"/>
      <c r="J5" s="68"/>
      <c r="K5" s="68"/>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9"/>
    </row>
    <row r="6" spans="1:42" s="70" customFormat="1" ht="25.5" customHeight="1">
      <c r="A6" s="8" t="s">
        <v>183</v>
      </c>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row>
    <row r="7" spans="1:42" s="70" customFormat="1" ht="15" customHeight="1">
      <c r="A7" s="7" t="s">
        <v>184</v>
      </c>
      <c r="B7" s="7"/>
      <c r="C7" s="7"/>
      <c r="D7" s="7"/>
      <c r="E7" s="7"/>
      <c r="F7" s="7"/>
      <c r="G7" s="7"/>
      <c r="H7" s="7"/>
      <c r="I7" s="6" t="s">
        <v>62</v>
      </c>
      <c r="J7" s="6"/>
      <c r="K7" s="6"/>
      <c r="L7" s="5" t="s">
        <v>185</v>
      </c>
      <c r="M7" s="5"/>
      <c r="N7" s="5"/>
      <c r="O7" s="5"/>
      <c r="P7" s="5"/>
      <c r="Q7" s="5"/>
      <c r="R7" s="5"/>
      <c r="S7" s="6" t="s">
        <v>62</v>
      </c>
      <c r="T7" s="6"/>
      <c r="U7" s="6"/>
      <c r="V7" s="5" t="s">
        <v>186</v>
      </c>
      <c r="W7" s="5"/>
      <c r="X7" s="5"/>
      <c r="Y7" s="5"/>
      <c r="Z7" s="5"/>
      <c r="AA7" s="5"/>
      <c r="AB7" s="5"/>
      <c r="AC7" s="6" t="s">
        <v>62</v>
      </c>
      <c r="AD7" s="6"/>
      <c r="AE7" s="6"/>
      <c r="AF7" s="5" t="s">
        <v>187</v>
      </c>
      <c r="AG7" s="5"/>
      <c r="AH7" s="5"/>
      <c r="AI7" s="5"/>
      <c r="AJ7" s="5"/>
      <c r="AK7" s="5"/>
      <c r="AL7" s="5"/>
      <c r="AM7" s="4" t="s">
        <v>62</v>
      </c>
      <c r="AN7" s="4"/>
      <c r="AO7" s="4"/>
    </row>
    <row r="8" spans="1:42" s="70" customFormat="1" ht="15" customHeight="1">
      <c r="A8" s="3" t="s">
        <v>188</v>
      </c>
      <c r="B8" s="3"/>
      <c r="C8" s="3"/>
      <c r="D8" s="3"/>
      <c r="E8" s="3"/>
      <c r="F8" s="3"/>
      <c r="G8" s="3"/>
      <c r="H8" s="3"/>
      <c r="I8" s="2" t="s">
        <v>62</v>
      </c>
      <c r="J8" s="2"/>
      <c r="K8" s="2"/>
      <c r="L8" s="1" t="s">
        <v>189</v>
      </c>
      <c r="M8" s="1"/>
      <c r="N8" s="1"/>
      <c r="O8" s="1"/>
      <c r="P8" s="1"/>
      <c r="Q8" s="1"/>
      <c r="R8" s="1"/>
      <c r="S8" s="2" t="s">
        <v>62</v>
      </c>
      <c r="T8" s="2"/>
      <c r="U8" s="2"/>
      <c r="V8" s="1" t="s">
        <v>190</v>
      </c>
      <c r="W8" s="1"/>
      <c r="X8" s="1"/>
      <c r="Y8" s="1"/>
      <c r="Z8" s="1"/>
      <c r="AA8" s="1"/>
      <c r="AB8" s="1"/>
      <c r="AC8" s="2" t="s">
        <v>62</v>
      </c>
      <c r="AD8" s="2"/>
      <c r="AE8" s="2"/>
      <c r="AF8" s="1" t="s">
        <v>191</v>
      </c>
      <c r="AG8" s="1"/>
      <c r="AH8" s="1"/>
      <c r="AI8" s="1"/>
      <c r="AJ8" s="1"/>
      <c r="AK8" s="1"/>
      <c r="AL8" s="1"/>
      <c r="AM8" s="154" t="s">
        <v>62</v>
      </c>
      <c r="AN8" s="154"/>
      <c r="AO8" s="154"/>
    </row>
    <row r="9" spans="1:42" s="70" customFormat="1" ht="15" customHeight="1">
      <c r="A9" s="155" t="s">
        <v>192</v>
      </c>
      <c r="B9" s="155"/>
      <c r="C9" s="155"/>
      <c r="D9" s="155"/>
      <c r="E9" s="155"/>
      <c r="F9" s="155"/>
      <c r="G9" s="155"/>
      <c r="H9" s="155"/>
      <c r="I9" s="156" t="s">
        <v>62</v>
      </c>
      <c r="J9" s="156"/>
      <c r="K9" s="156"/>
      <c r="L9" s="157" t="s">
        <v>193</v>
      </c>
      <c r="M9" s="157"/>
      <c r="N9" s="157"/>
      <c r="O9" s="157"/>
      <c r="P9" s="157"/>
      <c r="Q9" s="157"/>
      <c r="R9" s="157"/>
      <c r="S9" s="156" t="s">
        <v>62</v>
      </c>
      <c r="T9" s="156"/>
      <c r="U9" s="156"/>
      <c r="V9" s="158" t="s">
        <v>194</v>
      </c>
      <c r="W9" s="158"/>
      <c r="X9" s="158"/>
      <c r="Y9" s="158"/>
      <c r="Z9" s="158"/>
      <c r="AA9" s="158"/>
      <c r="AB9" s="158"/>
      <c r="AC9" s="156" t="s">
        <v>62</v>
      </c>
      <c r="AD9" s="156"/>
      <c r="AE9" s="156"/>
      <c r="AF9" s="159"/>
      <c r="AG9" s="159"/>
      <c r="AH9" s="159"/>
      <c r="AI9" s="159"/>
      <c r="AJ9" s="159"/>
      <c r="AK9" s="159"/>
      <c r="AL9" s="159"/>
      <c r="AM9" s="159"/>
      <c r="AN9" s="159"/>
      <c r="AO9" s="159"/>
    </row>
    <row r="10" spans="1:42" s="70" customFormat="1" ht="5.25" customHeight="1">
      <c r="A10" s="71"/>
      <c r="B10" s="72"/>
      <c r="C10" s="72"/>
      <c r="D10" s="72"/>
      <c r="E10" s="72"/>
      <c r="F10" s="72"/>
      <c r="G10" s="72"/>
      <c r="H10" s="72"/>
      <c r="I10" s="73"/>
      <c r="J10" s="73"/>
      <c r="K10" s="73"/>
      <c r="L10" s="73"/>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4"/>
    </row>
    <row r="11" spans="1:42" s="70" customFormat="1" ht="15" customHeight="1">
      <c r="A11" s="75" t="s">
        <v>195</v>
      </c>
      <c r="B11" s="76"/>
      <c r="C11" s="76"/>
      <c r="D11" s="76"/>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7"/>
    </row>
    <row r="12" spans="1:42" ht="12" customHeight="1">
      <c r="A12" s="160" t="s">
        <v>196</v>
      </c>
      <c r="B12" s="160"/>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c r="AG12" s="160"/>
      <c r="AH12" s="160"/>
      <c r="AI12" s="160"/>
      <c r="AJ12" s="160"/>
      <c r="AK12" s="160"/>
      <c r="AL12" s="160"/>
      <c r="AM12" s="160"/>
      <c r="AN12" s="160"/>
      <c r="AO12" s="160"/>
      <c r="AP12" s="78"/>
    </row>
    <row r="13" spans="1:42" ht="12" customHeight="1">
      <c r="A13" s="160"/>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78"/>
    </row>
    <row r="14" spans="1:42" ht="12" customHeight="1">
      <c r="A14" s="161" t="s">
        <v>197</v>
      </c>
      <c r="B14" s="161"/>
      <c r="C14" s="161"/>
      <c r="D14" s="161"/>
      <c r="E14" s="162" t="s">
        <v>198</v>
      </c>
      <c r="F14" s="162"/>
      <c r="G14" s="162"/>
      <c r="H14" s="162"/>
      <c r="I14" s="162"/>
      <c r="J14" s="162"/>
      <c r="K14" s="162"/>
      <c r="L14" s="162"/>
      <c r="M14" s="162"/>
      <c r="N14" s="162"/>
      <c r="O14" s="162"/>
      <c r="P14" s="162"/>
      <c r="Q14" s="162"/>
      <c r="R14" s="162"/>
      <c r="S14" s="162"/>
      <c r="T14" s="162"/>
      <c r="U14" s="162"/>
      <c r="V14" s="162"/>
      <c r="W14" s="162"/>
      <c r="X14" s="162"/>
      <c r="Y14" s="162"/>
      <c r="Z14" s="163" t="s">
        <v>199</v>
      </c>
      <c r="AA14" s="163"/>
      <c r="AB14" s="163"/>
      <c r="AC14" s="163"/>
      <c r="AD14" s="163"/>
      <c r="AE14" s="163"/>
      <c r="AF14" s="163"/>
      <c r="AG14" s="163"/>
      <c r="AH14" s="163"/>
      <c r="AI14" s="163"/>
      <c r="AJ14" s="163"/>
      <c r="AK14" s="163"/>
      <c r="AL14" s="163"/>
      <c r="AM14" s="163"/>
      <c r="AN14" s="163"/>
      <c r="AO14" s="163"/>
    </row>
    <row r="15" spans="1:42" ht="12" customHeight="1">
      <c r="A15" s="161"/>
      <c r="B15" s="161"/>
      <c r="C15" s="161"/>
      <c r="D15" s="161"/>
      <c r="E15" s="164" t="s">
        <v>200</v>
      </c>
      <c r="F15" s="164"/>
      <c r="G15" s="164"/>
      <c r="H15" s="165" t="s">
        <v>201</v>
      </c>
      <c r="I15" s="165"/>
      <c r="J15" s="165"/>
      <c r="K15" s="165"/>
      <c r="L15" s="165" t="s">
        <v>202</v>
      </c>
      <c r="M15" s="165"/>
      <c r="N15" s="165"/>
      <c r="O15" s="165"/>
      <c r="P15" s="165" t="s">
        <v>203</v>
      </c>
      <c r="Q15" s="165"/>
      <c r="R15" s="165"/>
      <c r="S15" s="165"/>
      <c r="T15" s="165"/>
      <c r="U15" s="166" t="s">
        <v>204</v>
      </c>
      <c r="V15" s="166"/>
      <c r="W15" s="166"/>
      <c r="X15" s="166"/>
      <c r="Y15" s="166"/>
      <c r="Z15" s="167" t="s">
        <v>205</v>
      </c>
      <c r="AA15" s="167"/>
      <c r="AB15" s="167"/>
      <c r="AC15" s="165" t="s">
        <v>201</v>
      </c>
      <c r="AD15" s="165"/>
      <c r="AE15" s="165"/>
      <c r="AF15" s="165"/>
      <c r="AG15" s="165" t="s">
        <v>203</v>
      </c>
      <c r="AH15" s="165"/>
      <c r="AI15" s="165"/>
      <c r="AJ15" s="165"/>
      <c r="AK15" s="165"/>
      <c r="AL15" s="168" t="s">
        <v>206</v>
      </c>
      <c r="AM15" s="168"/>
      <c r="AN15" s="168"/>
      <c r="AO15" s="168"/>
    </row>
    <row r="16" spans="1:42" ht="12" customHeight="1">
      <c r="A16" s="161"/>
      <c r="B16" s="161"/>
      <c r="C16" s="161"/>
      <c r="D16" s="161"/>
      <c r="E16" s="164"/>
      <c r="F16" s="164"/>
      <c r="G16" s="164"/>
      <c r="H16" s="165"/>
      <c r="I16" s="165"/>
      <c r="J16" s="165"/>
      <c r="K16" s="165"/>
      <c r="L16" s="165"/>
      <c r="M16" s="165"/>
      <c r="N16" s="165"/>
      <c r="O16" s="165"/>
      <c r="P16" s="165"/>
      <c r="Q16" s="165"/>
      <c r="R16" s="165"/>
      <c r="S16" s="165"/>
      <c r="T16" s="165"/>
      <c r="U16" s="166"/>
      <c r="V16" s="166"/>
      <c r="W16" s="166"/>
      <c r="X16" s="166"/>
      <c r="Y16" s="166"/>
      <c r="Z16" s="167"/>
      <c r="AA16" s="167"/>
      <c r="AB16" s="167"/>
      <c r="AC16" s="165"/>
      <c r="AD16" s="165"/>
      <c r="AE16" s="165"/>
      <c r="AF16" s="165"/>
      <c r="AG16" s="165"/>
      <c r="AH16" s="165"/>
      <c r="AI16" s="165"/>
      <c r="AJ16" s="165"/>
      <c r="AK16" s="165"/>
      <c r="AL16" s="168"/>
      <c r="AM16" s="168"/>
      <c r="AN16" s="168"/>
      <c r="AO16" s="168"/>
    </row>
    <row r="17" spans="1:41" ht="9.75" customHeight="1">
      <c r="A17" s="169" t="s">
        <v>207</v>
      </c>
      <c r="B17" s="169"/>
      <c r="C17" s="169"/>
      <c r="D17" s="169"/>
      <c r="E17" s="170">
        <v>45383</v>
      </c>
      <c r="F17" s="170"/>
      <c r="G17" s="170"/>
      <c r="H17" s="171">
        <v>300</v>
      </c>
      <c r="I17" s="171"/>
      <c r="J17" s="171"/>
      <c r="K17" s="171"/>
      <c r="L17" s="171">
        <v>1200000</v>
      </c>
      <c r="M17" s="171"/>
      <c r="N17" s="171"/>
      <c r="O17" s="171"/>
      <c r="P17" s="171">
        <v>18000</v>
      </c>
      <c r="Q17" s="171"/>
      <c r="R17" s="171"/>
      <c r="S17" s="171"/>
      <c r="T17" s="171"/>
      <c r="U17" s="172">
        <v>0</v>
      </c>
      <c r="V17" s="172"/>
      <c r="W17" s="172"/>
      <c r="X17" s="172"/>
      <c r="Y17" s="172"/>
      <c r="Z17" s="173"/>
      <c r="AA17" s="173"/>
      <c r="AB17" s="173"/>
      <c r="AC17" s="171"/>
      <c r="AD17" s="171"/>
      <c r="AE17" s="171"/>
      <c r="AF17" s="171"/>
      <c r="AG17" s="171"/>
      <c r="AH17" s="171"/>
      <c r="AI17" s="171"/>
      <c r="AJ17" s="171"/>
      <c r="AK17" s="171"/>
      <c r="AL17" s="174"/>
      <c r="AM17" s="174"/>
      <c r="AN17" s="174"/>
      <c r="AO17" s="174"/>
    </row>
    <row r="18" spans="1:41" ht="9.75" customHeight="1">
      <c r="A18" s="169"/>
      <c r="B18" s="169"/>
      <c r="C18" s="169"/>
      <c r="D18" s="169"/>
      <c r="E18" s="170"/>
      <c r="F18" s="170"/>
      <c r="G18" s="170"/>
      <c r="H18" s="171"/>
      <c r="I18" s="171"/>
      <c r="J18" s="171"/>
      <c r="K18" s="171"/>
      <c r="L18" s="171"/>
      <c r="M18" s="171"/>
      <c r="N18" s="171"/>
      <c r="O18" s="171"/>
      <c r="P18" s="171"/>
      <c r="Q18" s="171"/>
      <c r="R18" s="171"/>
      <c r="S18" s="171"/>
      <c r="T18" s="171"/>
      <c r="U18" s="172"/>
      <c r="V18" s="172"/>
      <c r="W18" s="172"/>
      <c r="X18" s="172"/>
      <c r="Y18" s="172"/>
      <c r="Z18" s="173"/>
      <c r="AA18" s="173"/>
      <c r="AB18" s="173"/>
      <c r="AC18" s="171"/>
      <c r="AD18" s="171"/>
      <c r="AE18" s="171"/>
      <c r="AF18" s="171"/>
      <c r="AG18" s="171"/>
      <c r="AH18" s="171"/>
      <c r="AI18" s="171"/>
      <c r="AJ18" s="171"/>
      <c r="AK18" s="171"/>
      <c r="AL18" s="174"/>
      <c r="AM18" s="174"/>
      <c r="AN18" s="174"/>
      <c r="AO18" s="174"/>
    </row>
    <row r="19" spans="1:41" ht="9.75" customHeight="1">
      <c r="A19" s="169"/>
      <c r="B19" s="169"/>
      <c r="C19" s="169"/>
      <c r="D19" s="169"/>
      <c r="E19" s="170"/>
      <c r="F19" s="170"/>
      <c r="G19" s="170"/>
      <c r="H19" s="171"/>
      <c r="I19" s="171"/>
      <c r="J19" s="171"/>
      <c r="K19" s="171"/>
      <c r="L19" s="171"/>
      <c r="M19" s="171"/>
      <c r="N19" s="171"/>
      <c r="O19" s="171"/>
      <c r="P19" s="171"/>
      <c r="Q19" s="171"/>
      <c r="R19" s="171"/>
      <c r="S19" s="171"/>
      <c r="T19" s="171"/>
      <c r="U19" s="172"/>
      <c r="V19" s="172"/>
      <c r="W19" s="172"/>
      <c r="X19" s="172"/>
      <c r="Y19" s="172"/>
      <c r="Z19" s="173"/>
      <c r="AA19" s="173"/>
      <c r="AB19" s="173"/>
      <c r="AC19" s="171"/>
      <c r="AD19" s="171"/>
      <c r="AE19" s="171"/>
      <c r="AF19" s="171"/>
      <c r="AG19" s="171"/>
      <c r="AH19" s="171"/>
      <c r="AI19" s="171"/>
      <c r="AJ19" s="171"/>
      <c r="AK19" s="171"/>
      <c r="AL19" s="174"/>
      <c r="AM19" s="174"/>
      <c r="AN19" s="174"/>
      <c r="AO19" s="174"/>
    </row>
    <row r="20" spans="1:41" ht="9.75" customHeight="1">
      <c r="A20" s="169"/>
      <c r="B20" s="169"/>
      <c r="C20" s="169"/>
      <c r="D20" s="169"/>
      <c r="E20" s="170"/>
      <c r="F20" s="170"/>
      <c r="G20" s="170"/>
      <c r="H20" s="171"/>
      <c r="I20" s="171"/>
      <c r="J20" s="171"/>
      <c r="K20" s="171"/>
      <c r="L20" s="171"/>
      <c r="M20" s="171"/>
      <c r="N20" s="171"/>
      <c r="O20" s="171"/>
      <c r="P20" s="171"/>
      <c r="Q20" s="171"/>
      <c r="R20" s="171"/>
      <c r="S20" s="171"/>
      <c r="T20" s="171"/>
      <c r="U20" s="172"/>
      <c r="V20" s="172"/>
      <c r="W20" s="172"/>
      <c r="X20" s="172"/>
      <c r="Y20" s="172"/>
      <c r="Z20" s="173"/>
      <c r="AA20" s="173"/>
      <c r="AB20" s="173"/>
      <c r="AC20" s="171"/>
      <c r="AD20" s="171"/>
      <c r="AE20" s="171"/>
      <c r="AF20" s="171"/>
      <c r="AG20" s="171"/>
      <c r="AH20" s="171"/>
      <c r="AI20" s="171"/>
      <c r="AJ20" s="171"/>
      <c r="AK20" s="171"/>
      <c r="AL20" s="174"/>
      <c r="AM20" s="174"/>
      <c r="AN20" s="174"/>
      <c r="AO20" s="174"/>
    </row>
    <row r="21" spans="1:41" ht="9.75" customHeight="1">
      <c r="A21" s="175"/>
      <c r="B21" s="175"/>
      <c r="C21" s="175"/>
      <c r="D21" s="175"/>
      <c r="E21" s="170"/>
      <c r="F21" s="170"/>
      <c r="G21" s="170"/>
      <c r="H21" s="171"/>
      <c r="I21" s="171"/>
      <c r="J21" s="171"/>
      <c r="K21" s="171"/>
      <c r="L21" s="171"/>
      <c r="M21" s="171"/>
      <c r="N21" s="171"/>
      <c r="O21" s="171"/>
      <c r="P21" s="171"/>
      <c r="Q21" s="171"/>
      <c r="R21" s="171"/>
      <c r="S21" s="171"/>
      <c r="T21" s="171"/>
      <c r="U21" s="172"/>
      <c r="V21" s="172"/>
      <c r="W21" s="172"/>
      <c r="X21" s="172"/>
      <c r="Y21" s="172"/>
      <c r="Z21" s="173"/>
      <c r="AA21" s="173"/>
      <c r="AB21" s="173"/>
      <c r="AC21" s="171"/>
      <c r="AD21" s="171"/>
      <c r="AE21" s="171"/>
      <c r="AF21" s="171"/>
      <c r="AG21" s="171"/>
      <c r="AH21" s="171"/>
      <c r="AI21" s="171"/>
      <c r="AJ21" s="171"/>
      <c r="AK21" s="171"/>
      <c r="AL21" s="174"/>
      <c r="AM21" s="174"/>
      <c r="AN21" s="174"/>
      <c r="AO21" s="174"/>
    </row>
    <row r="22" spans="1:41" ht="9.75" customHeight="1">
      <c r="A22" s="175"/>
      <c r="B22" s="175"/>
      <c r="C22" s="175"/>
      <c r="D22" s="175"/>
      <c r="E22" s="170"/>
      <c r="F22" s="170"/>
      <c r="G22" s="170"/>
      <c r="H22" s="171"/>
      <c r="I22" s="171"/>
      <c r="J22" s="171"/>
      <c r="K22" s="171"/>
      <c r="L22" s="171"/>
      <c r="M22" s="171"/>
      <c r="N22" s="171"/>
      <c r="O22" s="171"/>
      <c r="P22" s="171"/>
      <c r="Q22" s="171"/>
      <c r="R22" s="171"/>
      <c r="S22" s="171"/>
      <c r="T22" s="171"/>
      <c r="U22" s="172"/>
      <c r="V22" s="172"/>
      <c r="W22" s="172"/>
      <c r="X22" s="172"/>
      <c r="Y22" s="172"/>
      <c r="Z22" s="173"/>
      <c r="AA22" s="173"/>
      <c r="AB22" s="173"/>
      <c r="AC22" s="171"/>
      <c r="AD22" s="171"/>
      <c r="AE22" s="171"/>
      <c r="AF22" s="171"/>
      <c r="AG22" s="171"/>
      <c r="AH22" s="171"/>
      <c r="AI22" s="171"/>
      <c r="AJ22" s="171"/>
      <c r="AK22" s="171"/>
      <c r="AL22" s="174"/>
      <c r="AM22" s="174"/>
      <c r="AN22" s="174"/>
      <c r="AO22" s="174"/>
    </row>
    <row r="23" spans="1:41" ht="9.75" customHeight="1">
      <c r="A23" s="169"/>
      <c r="B23" s="169"/>
      <c r="C23" s="169"/>
      <c r="D23" s="169"/>
      <c r="E23" s="170"/>
      <c r="F23" s="170"/>
      <c r="G23" s="170"/>
      <c r="H23" s="171"/>
      <c r="I23" s="171"/>
      <c r="J23" s="171"/>
      <c r="K23" s="171"/>
      <c r="L23" s="171"/>
      <c r="M23" s="171"/>
      <c r="N23" s="171"/>
      <c r="O23" s="171"/>
      <c r="P23" s="171"/>
      <c r="Q23" s="171"/>
      <c r="R23" s="171"/>
      <c r="S23" s="171"/>
      <c r="T23" s="171"/>
      <c r="U23" s="172"/>
      <c r="V23" s="172"/>
      <c r="W23" s="172"/>
      <c r="X23" s="172"/>
      <c r="Y23" s="172"/>
      <c r="Z23" s="173"/>
      <c r="AA23" s="173"/>
      <c r="AB23" s="173"/>
      <c r="AC23" s="171"/>
      <c r="AD23" s="171"/>
      <c r="AE23" s="171"/>
      <c r="AF23" s="171"/>
      <c r="AG23" s="171"/>
      <c r="AH23" s="171"/>
      <c r="AI23" s="171"/>
      <c r="AJ23" s="171"/>
      <c r="AK23" s="171"/>
      <c r="AL23" s="174"/>
      <c r="AM23" s="174"/>
      <c r="AN23" s="174"/>
      <c r="AO23" s="174"/>
    </row>
    <row r="24" spans="1:41" ht="9.75" customHeight="1">
      <c r="A24" s="169"/>
      <c r="B24" s="169"/>
      <c r="C24" s="169"/>
      <c r="D24" s="169"/>
      <c r="E24" s="170"/>
      <c r="F24" s="170"/>
      <c r="G24" s="170"/>
      <c r="H24" s="171"/>
      <c r="I24" s="171"/>
      <c r="J24" s="171"/>
      <c r="K24" s="171"/>
      <c r="L24" s="171"/>
      <c r="M24" s="171"/>
      <c r="N24" s="171"/>
      <c r="O24" s="171"/>
      <c r="P24" s="171"/>
      <c r="Q24" s="171"/>
      <c r="R24" s="171"/>
      <c r="S24" s="171"/>
      <c r="T24" s="171"/>
      <c r="U24" s="172"/>
      <c r="V24" s="172"/>
      <c r="W24" s="172"/>
      <c r="X24" s="172"/>
      <c r="Y24" s="172"/>
      <c r="Z24" s="173"/>
      <c r="AA24" s="173"/>
      <c r="AB24" s="173"/>
      <c r="AC24" s="171"/>
      <c r="AD24" s="171"/>
      <c r="AE24" s="171"/>
      <c r="AF24" s="171"/>
      <c r="AG24" s="171"/>
      <c r="AH24" s="171"/>
      <c r="AI24" s="171"/>
      <c r="AJ24" s="171"/>
      <c r="AK24" s="171"/>
      <c r="AL24" s="174"/>
      <c r="AM24" s="174"/>
      <c r="AN24" s="174"/>
      <c r="AO24" s="174"/>
    </row>
    <row r="25" spans="1:41" ht="9.75" customHeight="1">
      <c r="A25" s="175"/>
      <c r="B25" s="175"/>
      <c r="C25" s="175"/>
      <c r="D25" s="175"/>
      <c r="E25" s="170"/>
      <c r="F25" s="170"/>
      <c r="G25" s="170"/>
      <c r="H25" s="171"/>
      <c r="I25" s="171"/>
      <c r="J25" s="171"/>
      <c r="K25" s="171"/>
      <c r="L25" s="171"/>
      <c r="M25" s="171"/>
      <c r="N25" s="171"/>
      <c r="O25" s="171"/>
      <c r="P25" s="171"/>
      <c r="Q25" s="171"/>
      <c r="R25" s="171"/>
      <c r="S25" s="171"/>
      <c r="T25" s="171"/>
      <c r="U25" s="172"/>
      <c r="V25" s="172"/>
      <c r="W25" s="172"/>
      <c r="X25" s="172"/>
      <c r="Y25" s="172"/>
      <c r="Z25" s="173"/>
      <c r="AA25" s="173"/>
      <c r="AB25" s="173"/>
      <c r="AC25" s="171"/>
      <c r="AD25" s="171"/>
      <c r="AE25" s="171"/>
      <c r="AF25" s="171"/>
      <c r="AG25" s="171"/>
      <c r="AH25" s="171"/>
      <c r="AI25" s="171"/>
      <c r="AJ25" s="171"/>
      <c r="AK25" s="171"/>
      <c r="AL25" s="174"/>
      <c r="AM25" s="174"/>
      <c r="AN25" s="174"/>
      <c r="AO25" s="174"/>
    </row>
    <row r="26" spans="1:41" ht="9.75" customHeight="1">
      <c r="A26" s="175"/>
      <c r="B26" s="175"/>
      <c r="C26" s="175"/>
      <c r="D26" s="175"/>
      <c r="E26" s="170"/>
      <c r="F26" s="170"/>
      <c r="G26" s="170"/>
      <c r="H26" s="171"/>
      <c r="I26" s="171"/>
      <c r="J26" s="171"/>
      <c r="K26" s="171"/>
      <c r="L26" s="171"/>
      <c r="M26" s="171"/>
      <c r="N26" s="171"/>
      <c r="O26" s="171"/>
      <c r="P26" s="171"/>
      <c r="Q26" s="171"/>
      <c r="R26" s="171"/>
      <c r="S26" s="171"/>
      <c r="T26" s="171"/>
      <c r="U26" s="172"/>
      <c r="V26" s="172"/>
      <c r="W26" s="172"/>
      <c r="X26" s="172"/>
      <c r="Y26" s="172"/>
      <c r="Z26" s="173"/>
      <c r="AA26" s="173"/>
      <c r="AB26" s="173"/>
      <c r="AC26" s="171"/>
      <c r="AD26" s="171"/>
      <c r="AE26" s="171"/>
      <c r="AF26" s="171"/>
      <c r="AG26" s="171"/>
      <c r="AH26" s="171"/>
      <c r="AI26" s="171"/>
      <c r="AJ26" s="171"/>
      <c r="AK26" s="171"/>
      <c r="AL26" s="174"/>
      <c r="AM26" s="174"/>
      <c r="AN26" s="174"/>
      <c r="AO26" s="174"/>
    </row>
    <row r="27" spans="1:41" ht="9.75" customHeight="1">
      <c r="A27" s="176"/>
      <c r="B27" s="176"/>
      <c r="C27" s="176"/>
      <c r="D27" s="176"/>
      <c r="E27" s="170"/>
      <c r="F27" s="170"/>
      <c r="G27" s="170"/>
      <c r="H27" s="171"/>
      <c r="I27" s="171"/>
      <c r="J27" s="171"/>
      <c r="K27" s="171"/>
      <c r="L27" s="171"/>
      <c r="M27" s="171"/>
      <c r="N27" s="171"/>
      <c r="O27" s="171"/>
      <c r="P27" s="171"/>
      <c r="Q27" s="171"/>
      <c r="R27" s="171"/>
      <c r="S27" s="171"/>
      <c r="T27" s="171"/>
      <c r="U27" s="172"/>
      <c r="V27" s="172"/>
      <c r="W27" s="172"/>
      <c r="X27" s="172"/>
      <c r="Y27" s="172"/>
      <c r="Z27" s="173"/>
      <c r="AA27" s="173"/>
      <c r="AB27" s="173"/>
      <c r="AC27" s="171"/>
      <c r="AD27" s="171"/>
      <c r="AE27" s="171"/>
      <c r="AF27" s="171"/>
      <c r="AG27" s="171"/>
      <c r="AH27" s="171"/>
      <c r="AI27" s="171"/>
      <c r="AJ27" s="171"/>
      <c r="AK27" s="171"/>
      <c r="AL27" s="174"/>
      <c r="AM27" s="174"/>
      <c r="AN27" s="174"/>
      <c r="AO27" s="174"/>
    </row>
    <row r="28" spans="1:41" ht="9.75" customHeight="1">
      <c r="A28" s="176"/>
      <c r="B28" s="176"/>
      <c r="C28" s="176"/>
      <c r="D28" s="176"/>
      <c r="E28" s="170"/>
      <c r="F28" s="170"/>
      <c r="G28" s="170"/>
      <c r="H28" s="171"/>
      <c r="I28" s="171"/>
      <c r="J28" s="171"/>
      <c r="K28" s="171"/>
      <c r="L28" s="171"/>
      <c r="M28" s="171"/>
      <c r="N28" s="171"/>
      <c r="O28" s="171"/>
      <c r="P28" s="171"/>
      <c r="Q28" s="171"/>
      <c r="R28" s="171"/>
      <c r="S28" s="171"/>
      <c r="T28" s="171"/>
      <c r="U28" s="172"/>
      <c r="V28" s="172"/>
      <c r="W28" s="172"/>
      <c r="X28" s="172"/>
      <c r="Y28" s="172"/>
      <c r="Z28" s="173"/>
      <c r="AA28" s="173"/>
      <c r="AB28" s="173"/>
      <c r="AC28" s="171"/>
      <c r="AD28" s="171"/>
      <c r="AE28" s="171"/>
      <c r="AF28" s="171"/>
      <c r="AG28" s="171"/>
      <c r="AH28" s="171"/>
      <c r="AI28" s="171"/>
      <c r="AJ28" s="171"/>
      <c r="AK28" s="171"/>
      <c r="AL28" s="174"/>
      <c r="AM28" s="174"/>
      <c r="AN28" s="174"/>
      <c r="AO28" s="174"/>
    </row>
    <row r="29" spans="1:41" ht="9.75" customHeight="1">
      <c r="A29" s="175"/>
      <c r="B29" s="175"/>
      <c r="C29" s="175"/>
      <c r="D29" s="175"/>
      <c r="E29" s="170"/>
      <c r="F29" s="170"/>
      <c r="G29" s="170"/>
      <c r="H29" s="171"/>
      <c r="I29" s="171"/>
      <c r="J29" s="171"/>
      <c r="K29" s="171"/>
      <c r="L29" s="171"/>
      <c r="M29" s="171"/>
      <c r="N29" s="171"/>
      <c r="O29" s="171"/>
      <c r="P29" s="171"/>
      <c r="Q29" s="171"/>
      <c r="R29" s="171"/>
      <c r="S29" s="171"/>
      <c r="T29" s="171"/>
      <c r="U29" s="172"/>
      <c r="V29" s="172"/>
      <c r="W29" s="172"/>
      <c r="X29" s="172"/>
      <c r="Y29" s="172"/>
      <c r="Z29" s="173"/>
      <c r="AA29" s="173"/>
      <c r="AB29" s="173"/>
      <c r="AC29" s="171"/>
      <c r="AD29" s="171"/>
      <c r="AE29" s="171"/>
      <c r="AF29" s="171"/>
      <c r="AG29" s="171"/>
      <c r="AH29" s="171"/>
      <c r="AI29" s="171"/>
      <c r="AJ29" s="171"/>
      <c r="AK29" s="171"/>
      <c r="AL29" s="174"/>
      <c r="AM29" s="174"/>
      <c r="AN29" s="174"/>
      <c r="AO29" s="174"/>
    </row>
    <row r="30" spans="1:41" ht="9.75" customHeight="1">
      <c r="A30" s="175"/>
      <c r="B30" s="175"/>
      <c r="C30" s="175"/>
      <c r="D30" s="175"/>
      <c r="E30" s="170"/>
      <c r="F30" s="170"/>
      <c r="G30" s="170"/>
      <c r="H30" s="171"/>
      <c r="I30" s="171"/>
      <c r="J30" s="171"/>
      <c r="K30" s="171"/>
      <c r="L30" s="171"/>
      <c r="M30" s="171"/>
      <c r="N30" s="171"/>
      <c r="O30" s="171"/>
      <c r="P30" s="171"/>
      <c r="Q30" s="171"/>
      <c r="R30" s="171"/>
      <c r="S30" s="171"/>
      <c r="T30" s="171"/>
      <c r="U30" s="172"/>
      <c r="V30" s="172"/>
      <c r="W30" s="172"/>
      <c r="X30" s="172"/>
      <c r="Y30" s="172"/>
      <c r="Z30" s="173"/>
      <c r="AA30" s="173"/>
      <c r="AB30" s="173"/>
      <c r="AC30" s="171"/>
      <c r="AD30" s="171"/>
      <c r="AE30" s="171"/>
      <c r="AF30" s="171"/>
      <c r="AG30" s="171"/>
      <c r="AH30" s="171"/>
      <c r="AI30" s="171"/>
      <c r="AJ30" s="171"/>
      <c r="AK30" s="171"/>
      <c r="AL30" s="174"/>
      <c r="AM30" s="174"/>
      <c r="AN30" s="174"/>
      <c r="AO30" s="174"/>
    </row>
    <row r="31" spans="1:41" ht="9.75" customHeight="1">
      <c r="A31" s="177"/>
      <c r="B31" s="177"/>
      <c r="C31" s="177"/>
      <c r="D31" s="177"/>
      <c r="E31" s="178"/>
      <c r="F31" s="178"/>
      <c r="G31" s="178"/>
      <c r="H31" s="179"/>
      <c r="I31" s="179"/>
      <c r="J31" s="179"/>
      <c r="K31" s="179"/>
      <c r="L31" s="179"/>
      <c r="M31" s="179"/>
      <c r="N31" s="179"/>
      <c r="O31" s="179"/>
      <c r="P31" s="171"/>
      <c r="Q31" s="171"/>
      <c r="R31" s="171"/>
      <c r="S31" s="171"/>
      <c r="T31" s="171"/>
      <c r="U31" s="172"/>
      <c r="V31" s="172"/>
      <c r="W31" s="172"/>
      <c r="X31" s="172"/>
      <c r="Y31" s="172"/>
      <c r="Z31" s="180"/>
      <c r="AA31" s="180"/>
      <c r="AB31" s="180"/>
      <c r="AC31" s="179"/>
      <c r="AD31" s="179"/>
      <c r="AE31" s="179"/>
      <c r="AF31" s="179"/>
      <c r="AG31" s="171"/>
      <c r="AH31" s="171"/>
      <c r="AI31" s="171"/>
      <c r="AJ31" s="171"/>
      <c r="AK31" s="171"/>
      <c r="AL31" s="181"/>
      <c r="AM31" s="181"/>
      <c r="AN31" s="181"/>
      <c r="AO31" s="181"/>
    </row>
    <row r="32" spans="1:41" ht="9.75" customHeight="1">
      <c r="A32" s="177"/>
      <c r="B32" s="177"/>
      <c r="C32" s="177"/>
      <c r="D32" s="177"/>
      <c r="E32" s="178"/>
      <c r="F32" s="178"/>
      <c r="G32" s="178"/>
      <c r="H32" s="179"/>
      <c r="I32" s="179"/>
      <c r="J32" s="179"/>
      <c r="K32" s="179"/>
      <c r="L32" s="179"/>
      <c r="M32" s="179"/>
      <c r="N32" s="179"/>
      <c r="O32" s="179"/>
      <c r="P32" s="171"/>
      <c r="Q32" s="171"/>
      <c r="R32" s="171"/>
      <c r="S32" s="171"/>
      <c r="T32" s="171"/>
      <c r="U32" s="172"/>
      <c r="V32" s="172"/>
      <c r="W32" s="172"/>
      <c r="X32" s="172"/>
      <c r="Y32" s="172"/>
      <c r="Z32" s="180"/>
      <c r="AA32" s="180"/>
      <c r="AB32" s="180"/>
      <c r="AC32" s="179"/>
      <c r="AD32" s="179"/>
      <c r="AE32" s="179"/>
      <c r="AF32" s="179"/>
      <c r="AG32" s="171"/>
      <c r="AH32" s="171"/>
      <c r="AI32" s="171"/>
      <c r="AJ32" s="171"/>
      <c r="AK32" s="171"/>
      <c r="AL32" s="181"/>
      <c r="AM32" s="181"/>
      <c r="AN32" s="181"/>
      <c r="AO32" s="181"/>
    </row>
    <row r="33" spans="1:42" ht="9.75" customHeight="1">
      <c r="A33" s="182" t="s">
        <v>208</v>
      </c>
      <c r="B33" s="182"/>
      <c r="C33" s="182"/>
      <c r="D33" s="182"/>
      <c r="E33" s="182"/>
      <c r="F33" s="182"/>
      <c r="G33" s="182"/>
      <c r="H33" s="182"/>
      <c r="I33" s="182"/>
      <c r="J33" s="182"/>
      <c r="K33" s="182"/>
      <c r="L33" s="182"/>
      <c r="M33" s="182"/>
      <c r="N33" s="182"/>
      <c r="O33" s="182"/>
      <c r="P33" s="183">
        <f>SUM(P17:P32)</f>
        <v>18000</v>
      </c>
      <c r="Q33" s="183"/>
      <c r="R33" s="183"/>
      <c r="S33" s="183"/>
      <c r="T33" s="183"/>
      <c r="U33" s="184">
        <f>SUM(U17:U32)</f>
        <v>0</v>
      </c>
      <c r="V33" s="184"/>
      <c r="W33" s="184"/>
      <c r="X33" s="184"/>
      <c r="Y33" s="184"/>
      <c r="Z33" s="185" t="s">
        <v>209</v>
      </c>
      <c r="AA33" s="185"/>
      <c r="AB33" s="185"/>
      <c r="AC33" s="185"/>
      <c r="AD33" s="185"/>
      <c r="AE33" s="185"/>
      <c r="AF33" s="185"/>
      <c r="AG33" s="186">
        <f>SUM(AG17:AG32)</f>
        <v>0</v>
      </c>
      <c r="AH33" s="186"/>
      <c r="AI33" s="186"/>
      <c r="AJ33" s="186"/>
      <c r="AK33" s="186"/>
      <c r="AL33" s="187">
        <f>SUM(AL17:AL32)</f>
        <v>0</v>
      </c>
      <c r="AM33" s="187"/>
      <c r="AN33" s="187"/>
      <c r="AO33" s="187"/>
    </row>
    <row r="34" spans="1:42" ht="9.75" customHeight="1">
      <c r="A34" s="182"/>
      <c r="B34" s="182"/>
      <c r="C34" s="182"/>
      <c r="D34" s="182"/>
      <c r="E34" s="182"/>
      <c r="F34" s="182"/>
      <c r="G34" s="182"/>
      <c r="H34" s="182"/>
      <c r="I34" s="182"/>
      <c r="J34" s="182"/>
      <c r="K34" s="182"/>
      <c r="L34" s="182"/>
      <c r="M34" s="182"/>
      <c r="N34" s="182"/>
      <c r="O34" s="182"/>
      <c r="P34" s="183"/>
      <c r="Q34" s="183"/>
      <c r="R34" s="183"/>
      <c r="S34" s="183"/>
      <c r="T34" s="183"/>
      <c r="U34" s="184"/>
      <c r="V34" s="184"/>
      <c r="W34" s="184"/>
      <c r="X34" s="184"/>
      <c r="Y34" s="184"/>
      <c r="Z34" s="185"/>
      <c r="AA34" s="185"/>
      <c r="AB34" s="185"/>
      <c r="AC34" s="185"/>
      <c r="AD34" s="185"/>
      <c r="AE34" s="185"/>
      <c r="AF34" s="185"/>
      <c r="AG34" s="186"/>
      <c r="AH34" s="186"/>
      <c r="AI34" s="186"/>
      <c r="AJ34" s="186"/>
      <c r="AK34" s="186"/>
      <c r="AL34" s="187"/>
      <c r="AM34" s="187"/>
      <c r="AN34" s="187"/>
      <c r="AO34" s="187"/>
    </row>
    <row r="35" spans="1:42" s="70" customFormat="1" ht="5.25" customHeight="1">
      <c r="A35" s="79"/>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1"/>
    </row>
    <row r="36" spans="1:42" ht="12" customHeight="1">
      <c r="A36" s="82" t="s">
        <v>210</v>
      </c>
      <c r="B36" s="83"/>
      <c r="C36" s="84"/>
      <c r="D36" s="84"/>
      <c r="E36" s="84"/>
      <c r="F36" s="84"/>
      <c r="G36" s="84"/>
      <c r="H36" s="84"/>
      <c r="I36" s="84"/>
      <c r="J36" s="84"/>
      <c r="K36" s="84"/>
      <c r="L36" s="84"/>
      <c r="M36" s="84"/>
      <c r="N36" s="84"/>
      <c r="O36" s="84"/>
      <c r="P36" s="84"/>
      <c r="Q36" s="84"/>
      <c r="R36" s="84"/>
      <c r="S36" s="84"/>
      <c r="T36" s="84"/>
      <c r="U36" s="84"/>
      <c r="V36" s="84"/>
      <c r="W36" s="84"/>
      <c r="X36" s="84"/>
      <c r="Y36" s="84"/>
      <c r="Z36" s="85"/>
      <c r="AA36" s="85"/>
      <c r="AB36" s="85"/>
      <c r="AC36" s="85"/>
      <c r="AD36" s="85"/>
      <c r="AE36" s="67"/>
      <c r="AF36" s="67"/>
      <c r="AG36" s="67"/>
      <c r="AH36" s="67"/>
      <c r="AI36" s="67"/>
      <c r="AJ36" s="67"/>
      <c r="AK36" s="67"/>
      <c r="AL36" s="67"/>
      <c r="AM36" s="67"/>
      <c r="AN36" s="67"/>
      <c r="AO36" s="69"/>
      <c r="AP36" s="67"/>
    </row>
    <row r="37" spans="1:42" ht="12" customHeight="1">
      <c r="A37" s="82"/>
      <c r="B37" s="83"/>
      <c r="C37" s="84"/>
      <c r="D37" s="84"/>
      <c r="E37" s="84"/>
      <c r="F37" s="84"/>
      <c r="G37" s="84"/>
      <c r="H37" s="84"/>
      <c r="I37" s="84"/>
      <c r="J37" s="84"/>
      <c r="K37" s="84"/>
      <c r="L37" s="84"/>
      <c r="M37" s="84"/>
      <c r="N37" s="84"/>
      <c r="O37" s="84"/>
      <c r="P37" s="84"/>
      <c r="Q37" s="84"/>
      <c r="R37" s="84"/>
      <c r="S37" s="84"/>
      <c r="T37" s="84"/>
      <c r="U37" s="84"/>
      <c r="V37" s="84"/>
      <c r="W37" s="84"/>
      <c r="X37" s="84"/>
      <c r="Y37" s="84"/>
      <c r="Z37" s="85"/>
      <c r="AA37" s="85"/>
      <c r="AB37" s="85"/>
      <c r="AC37" s="85"/>
      <c r="AD37" s="85"/>
      <c r="AE37" s="67"/>
      <c r="AF37" s="67"/>
      <c r="AG37" s="67"/>
      <c r="AH37" s="67"/>
      <c r="AI37" s="67"/>
      <c r="AJ37" s="67"/>
      <c r="AK37" s="67"/>
      <c r="AL37" s="67"/>
      <c r="AM37" s="67"/>
      <c r="AN37" s="67"/>
      <c r="AO37" s="69"/>
      <c r="AP37" s="67"/>
    </row>
    <row r="38" spans="1:42" ht="12" customHeight="1">
      <c r="A38" s="82" t="s">
        <v>211</v>
      </c>
      <c r="B38" s="83"/>
      <c r="C38" s="84"/>
      <c r="D38" s="84"/>
      <c r="E38" s="84"/>
      <c r="F38" s="84"/>
      <c r="G38" s="84"/>
      <c r="H38" s="84"/>
      <c r="I38" s="84"/>
      <c r="J38" s="84"/>
      <c r="K38" s="84"/>
      <c r="L38" s="84"/>
      <c r="M38" s="84"/>
      <c r="N38" s="84"/>
      <c r="O38" s="84"/>
      <c r="P38" s="84"/>
      <c r="Q38" s="84"/>
      <c r="R38" s="84"/>
      <c r="S38" s="84"/>
      <c r="T38" s="84"/>
      <c r="U38" s="84"/>
      <c r="V38" s="84"/>
      <c r="W38" s="84"/>
      <c r="X38" s="84"/>
      <c r="Y38" s="84"/>
      <c r="Z38" s="85"/>
      <c r="AA38" s="85"/>
      <c r="AB38" s="85"/>
      <c r="AC38" s="85"/>
      <c r="AD38" s="85"/>
      <c r="AE38" s="67"/>
      <c r="AF38" s="67"/>
      <c r="AG38" s="67"/>
      <c r="AH38" s="67"/>
      <c r="AI38" s="67"/>
      <c r="AJ38" s="67"/>
      <c r="AK38" s="67"/>
      <c r="AL38" s="67"/>
      <c r="AM38" s="67"/>
      <c r="AN38" s="67"/>
      <c r="AO38" s="69"/>
      <c r="AP38" s="67"/>
    </row>
    <row r="39" spans="1:42" ht="12" customHeight="1">
      <c r="A39" s="82" t="s">
        <v>212</v>
      </c>
      <c r="B39" s="83"/>
      <c r="C39" s="84"/>
      <c r="D39" s="84"/>
      <c r="E39" s="84"/>
      <c r="F39" s="84"/>
      <c r="G39" s="84"/>
      <c r="H39" s="84"/>
      <c r="I39" s="84"/>
      <c r="J39" s="84"/>
      <c r="K39" s="84"/>
      <c r="L39" s="84"/>
      <c r="M39" s="84"/>
      <c r="N39" s="84"/>
      <c r="O39" s="84"/>
      <c r="P39" s="84"/>
      <c r="Q39" s="84"/>
      <c r="R39" s="84"/>
      <c r="S39" s="84"/>
      <c r="T39" s="84"/>
      <c r="U39" s="84"/>
      <c r="V39" s="84"/>
      <c r="W39" s="84"/>
      <c r="X39" s="84"/>
      <c r="Y39" s="84"/>
      <c r="Z39" s="85"/>
      <c r="AA39" s="85"/>
      <c r="AB39" s="85"/>
      <c r="AC39" s="85"/>
      <c r="AD39" s="85"/>
      <c r="AE39" s="67"/>
      <c r="AF39" s="67"/>
      <c r="AG39" s="67"/>
      <c r="AH39" s="67"/>
      <c r="AI39" s="67"/>
      <c r="AJ39" s="67"/>
      <c r="AK39" s="67"/>
      <c r="AL39" s="67"/>
      <c r="AM39" s="67"/>
      <c r="AN39" s="67"/>
      <c r="AO39" s="69"/>
      <c r="AP39" s="67"/>
    </row>
    <row r="40" spans="1:42" ht="12" customHeight="1">
      <c r="A40" s="82"/>
      <c r="B40" s="83"/>
      <c r="C40" s="84"/>
      <c r="D40" s="84"/>
      <c r="E40" s="84"/>
      <c r="F40" s="84"/>
      <c r="G40" s="84"/>
      <c r="H40" s="84"/>
      <c r="I40" s="84"/>
      <c r="J40" s="84"/>
      <c r="K40" s="84"/>
      <c r="L40" s="84"/>
      <c r="M40" s="84"/>
      <c r="N40" s="84"/>
      <c r="O40" s="84"/>
      <c r="P40" s="84"/>
      <c r="Q40" s="84"/>
      <c r="R40" s="84"/>
      <c r="S40" s="84"/>
      <c r="T40" s="84"/>
      <c r="U40" s="84"/>
      <c r="V40" s="84"/>
      <c r="W40" s="84"/>
      <c r="X40" s="84"/>
      <c r="Y40" s="84"/>
      <c r="Z40" s="85"/>
      <c r="AA40" s="85"/>
      <c r="AB40" s="85"/>
      <c r="AC40" s="85"/>
      <c r="AD40" s="85"/>
      <c r="AE40" s="67"/>
      <c r="AF40" s="67"/>
      <c r="AG40" s="67"/>
      <c r="AH40" s="67"/>
      <c r="AI40" s="67"/>
      <c r="AJ40" s="67"/>
      <c r="AK40" s="67"/>
      <c r="AL40" s="67"/>
      <c r="AM40" s="67"/>
      <c r="AN40" s="67"/>
      <c r="AO40" s="69"/>
      <c r="AP40" s="67"/>
    </row>
    <row r="41" spans="1:42" ht="12" customHeight="1">
      <c r="A41" s="82"/>
      <c r="B41" s="83"/>
      <c r="C41" s="86" t="str">
        <f>IF(申込シミュレーション!$C$10="","　　年　　月　　日","令和"&amp;(YEAR(申込シミュレーション!$C$10)-2018)&amp;"年"&amp;MONTH(申込シミュレーション!$C$10)&amp;"月"&amp;DAY(申込シミュレーション!$C$10)&amp;"日")</f>
        <v>令和8年11月2日</v>
      </c>
      <c r="D41" s="83"/>
      <c r="E41" s="87"/>
      <c r="F41" s="87"/>
      <c r="G41" s="87"/>
      <c r="H41" s="87"/>
      <c r="I41" s="87"/>
      <c r="J41" s="87"/>
      <c r="K41" s="87"/>
      <c r="L41" s="87"/>
      <c r="M41" s="87"/>
      <c r="N41" s="87"/>
      <c r="O41" s="87"/>
      <c r="P41" s="87"/>
      <c r="Q41" s="87"/>
      <c r="R41" s="87"/>
      <c r="S41" s="87"/>
      <c r="T41" s="87"/>
      <c r="U41" s="87"/>
      <c r="V41" s="87"/>
      <c r="W41" s="87"/>
      <c r="X41" s="87"/>
      <c r="Y41" s="67"/>
      <c r="Z41" s="67"/>
      <c r="AA41" s="67"/>
      <c r="AB41" s="67"/>
      <c r="AC41" s="67"/>
      <c r="AD41" s="67"/>
      <c r="AE41" s="67"/>
      <c r="AF41" s="67"/>
      <c r="AG41" s="67"/>
      <c r="AH41" s="67"/>
      <c r="AI41" s="67"/>
      <c r="AJ41" s="67"/>
      <c r="AK41" s="67"/>
      <c r="AL41" s="67"/>
      <c r="AM41" s="67"/>
      <c r="AN41" s="67"/>
      <c r="AO41" s="69"/>
    </row>
    <row r="42" spans="1:42" ht="12" customHeight="1">
      <c r="A42" s="82"/>
      <c r="B42" s="87"/>
      <c r="C42" s="87"/>
      <c r="D42" s="87"/>
      <c r="E42" s="87"/>
      <c r="F42" s="87"/>
      <c r="G42" s="87"/>
      <c r="H42" s="87"/>
      <c r="I42" s="87"/>
      <c r="J42" s="87"/>
      <c r="K42" s="87"/>
      <c r="L42" s="87"/>
      <c r="M42" s="87"/>
      <c r="N42" s="87"/>
      <c r="O42" s="87"/>
      <c r="P42" s="87"/>
      <c r="Q42" s="87"/>
      <c r="R42" s="87"/>
      <c r="S42" s="87"/>
      <c r="T42" s="87"/>
      <c r="U42" s="87"/>
      <c r="V42" s="87"/>
      <c r="W42" s="87"/>
      <c r="X42" s="87"/>
      <c r="Y42" s="67"/>
      <c r="Z42" s="67"/>
      <c r="AA42" s="67"/>
      <c r="AB42" s="67"/>
      <c r="AC42" s="67"/>
      <c r="AD42" s="67"/>
      <c r="AE42" s="67"/>
      <c r="AF42" s="67"/>
      <c r="AG42" s="67"/>
      <c r="AH42" s="67"/>
      <c r="AI42" s="67"/>
      <c r="AJ42" s="67"/>
      <c r="AK42" s="67"/>
      <c r="AL42" s="67"/>
      <c r="AM42" s="67"/>
      <c r="AN42" s="67"/>
      <c r="AO42" s="69"/>
    </row>
    <row r="43" spans="1:42" ht="12" customHeight="1">
      <c r="A43" s="82"/>
      <c r="B43" s="87"/>
      <c r="C43" s="87"/>
      <c r="D43" s="88" t="s">
        <v>213</v>
      </c>
      <c r="E43" s="88"/>
      <c r="F43" s="88"/>
      <c r="G43" s="88"/>
      <c r="H43" s="88"/>
      <c r="I43" s="88"/>
      <c r="J43" s="88"/>
      <c r="K43" s="88"/>
      <c r="L43" s="88"/>
      <c r="M43" s="88"/>
      <c r="N43" s="88"/>
      <c r="O43" s="88"/>
      <c r="P43" s="88"/>
      <c r="Q43" s="88"/>
      <c r="R43" s="88"/>
      <c r="S43" s="88"/>
      <c r="T43" s="88"/>
      <c r="U43" s="88"/>
      <c r="V43" s="88"/>
      <c r="W43" s="88"/>
      <c r="X43" s="88"/>
      <c r="Y43" s="67"/>
      <c r="Z43" s="67"/>
      <c r="AA43" s="67"/>
      <c r="AB43" s="67"/>
      <c r="AC43" s="67"/>
      <c r="AD43" s="67"/>
      <c r="AE43" s="67"/>
      <c r="AF43" s="67"/>
      <c r="AG43" s="67"/>
      <c r="AH43" s="67"/>
      <c r="AI43" s="67"/>
      <c r="AJ43" s="67"/>
      <c r="AK43" s="67"/>
      <c r="AL43" s="67"/>
      <c r="AM43" s="67"/>
      <c r="AN43" s="67"/>
      <c r="AO43" s="69"/>
    </row>
    <row r="44" spans="1:42" ht="14.25" customHeight="1">
      <c r="A44" s="89"/>
      <c r="B44" s="67"/>
      <c r="C44" s="67"/>
      <c r="D44" s="67"/>
      <c r="E44" s="67"/>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188" t="s">
        <v>214</v>
      </c>
      <c r="AN44" s="188"/>
      <c r="AO44" s="188"/>
    </row>
    <row r="45" spans="1:42" ht="12" customHeight="1">
      <c r="A45" s="89"/>
      <c r="B45" s="67"/>
      <c r="C45" s="67"/>
      <c r="D45" s="67"/>
      <c r="E45" s="67"/>
      <c r="F45" s="67"/>
      <c r="G45" s="67"/>
      <c r="H45" s="67"/>
      <c r="I45" s="67"/>
      <c r="J45" s="67"/>
      <c r="K45" s="67"/>
      <c r="L45" s="67"/>
      <c r="M45" s="67"/>
      <c r="N45" s="67"/>
      <c r="O45" s="67"/>
      <c r="P45" s="67"/>
      <c r="Q45" s="67"/>
      <c r="R45" s="67"/>
      <c r="S45" s="90" t="str">
        <f>"申込人氏名　"&amp;IF(申込シミュレーション!$C$8="","",申込シミュレーション!$C$8)</f>
        <v>申込人氏名　広島 太郎</v>
      </c>
      <c r="T45" s="90"/>
      <c r="U45" s="90"/>
      <c r="V45" s="90"/>
      <c r="W45" s="90"/>
      <c r="X45" s="90"/>
      <c r="Y45" s="90"/>
      <c r="Z45" s="90"/>
      <c r="AA45" s="90"/>
      <c r="AB45" s="90"/>
      <c r="AC45" s="90"/>
      <c r="AD45" s="90"/>
      <c r="AE45" s="90"/>
      <c r="AF45" s="90"/>
      <c r="AG45" s="90"/>
      <c r="AH45" s="90"/>
      <c r="AI45" s="90"/>
      <c r="AJ45" s="90"/>
      <c r="AK45" s="90"/>
      <c r="AL45" s="90"/>
      <c r="AM45" s="188"/>
      <c r="AN45" s="188"/>
      <c r="AO45" s="188"/>
    </row>
    <row r="46" spans="1:42" ht="12" customHeight="1">
      <c r="A46" s="91"/>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3"/>
    </row>
    <row r="47" spans="1:42" s="70" customFormat="1" ht="5.25" customHeight="1">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row>
    <row r="48" spans="1:42" s="70" customFormat="1" ht="15.75" customHeight="1">
      <c r="A48" s="94" t="s">
        <v>215</v>
      </c>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row>
    <row r="49" spans="1:42" s="70" customFormat="1" ht="15" customHeight="1">
      <c r="A49" s="189" t="s">
        <v>216</v>
      </c>
      <c r="B49" s="189"/>
      <c r="C49" s="189"/>
      <c r="D49" s="189"/>
      <c r="E49" s="189"/>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95"/>
      <c r="AD49" s="95"/>
      <c r="AE49" s="95"/>
      <c r="AF49" s="80"/>
      <c r="AG49" s="80"/>
      <c r="AH49" s="80"/>
      <c r="AI49" s="80"/>
      <c r="AJ49" s="80"/>
      <c r="AK49" s="80"/>
      <c r="AL49" s="80"/>
      <c r="AM49" s="80"/>
    </row>
    <row r="50" spans="1:42" s="70" customFormat="1" ht="15" customHeight="1">
      <c r="A50" s="189" t="s">
        <v>198</v>
      </c>
      <c r="B50" s="189"/>
      <c r="C50" s="189"/>
      <c r="D50" s="189"/>
      <c r="E50" s="189"/>
      <c r="F50" s="189"/>
      <c r="G50" s="189"/>
      <c r="H50" s="189"/>
      <c r="I50" s="189"/>
      <c r="J50" s="189"/>
      <c r="K50" s="189"/>
      <c r="L50" s="189"/>
      <c r="M50" s="189"/>
      <c r="N50" s="189"/>
      <c r="O50" s="190" t="s">
        <v>199</v>
      </c>
      <c r="P50" s="190"/>
      <c r="Q50" s="190"/>
      <c r="R50" s="190"/>
      <c r="S50" s="190"/>
      <c r="T50" s="190"/>
      <c r="U50" s="190"/>
      <c r="V50" s="190"/>
      <c r="W50" s="190"/>
      <c r="X50" s="190"/>
      <c r="Y50" s="190"/>
      <c r="Z50" s="190"/>
      <c r="AA50" s="190"/>
      <c r="AB50" s="190"/>
      <c r="AC50" s="95"/>
      <c r="AD50" s="95"/>
      <c r="AE50" s="95"/>
      <c r="AF50" s="80"/>
      <c r="AG50" s="80"/>
      <c r="AH50" s="80"/>
      <c r="AI50" s="80"/>
      <c r="AJ50" s="80"/>
      <c r="AK50" s="80"/>
      <c r="AL50" s="80"/>
      <c r="AM50" s="80"/>
    </row>
    <row r="51" spans="1:42" s="70" customFormat="1" ht="9.75" customHeight="1">
      <c r="A51" s="191" t="s">
        <v>203</v>
      </c>
      <c r="B51" s="191"/>
      <c r="C51" s="191"/>
      <c r="D51" s="191"/>
      <c r="E51" s="191"/>
      <c r="F51" s="191"/>
      <c r="G51" s="191"/>
      <c r="H51" s="192" t="s">
        <v>204</v>
      </c>
      <c r="I51" s="192"/>
      <c r="J51" s="192"/>
      <c r="K51" s="192"/>
      <c r="L51" s="192"/>
      <c r="M51" s="192"/>
      <c r="N51" s="192"/>
      <c r="O51" s="193" t="s">
        <v>203</v>
      </c>
      <c r="P51" s="193"/>
      <c r="Q51" s="193"/>
      <c r="R51" s="193"/>
      <c r="S51" s="193"/>
      <c r="T51" s="193"/>
      <c r="U51" s="193"/>
      <c r="V51" s="192" t="s">
        <v>204</v>
      </c>
      <c r="W51" s="192"/>
      <c r="X51" s="192"/>
      <c r="Y51" s="192"/>
      <c r="Z51" s="192"/>
      <c r="AA51" s="192"/>
      <c r="AB51" s="192"/>
      <c r="AC51" s="95"/>
      <c r="AD51" s="95"/>
      <c r="AE51" s="95"/>
      <c r="AF51" s="80"/>
      <c r="AG51" s="80"/>
      <c r="AH51" s="80"/>
      <c r="AI51" s="80"/>
      <c r="AJ51" s="80"/>
      <c r="AK51" s="80"/>
      <c r="AL51" s="80"/>
      <c r="AM51" s="80"/>
    </row>
    <row r="52" spans="1:42" s="70" customFormat="1" ht="9.75" customHeight="1">
      <c r="A52" s="191"/>
      <c r="B52" s="191"/>
      <c r="C52" s="191"/>
      <c r="D52" s="191"/>
      <c r="E52" s="191"/>
      <c r="F52" s="191"/>
      <c r="G52" s="191"/>
      <c r="H52" s="192"/>
      <c r="I52" s="192"/>
      <c r="J52" s="192"/>
      <c r="K52" s="192"/>
      <c r="L52" s="192"/>
      <c r="M52" s="192"/>
      <c r="N52" s="192"/>
      <c r="O52" s="193"/>
      <c r="P52" s="193"/>
      <c r="Q52" s="193"/>
      <c r="R52" s="193"/>
      <c r="S52" s="193"/>
      <c r="T52" s="193"/>
      <c r="U52" s="193"/>
      <c r="V52" s="192"/>
      <c r="W52" s="192"/>
      <c r="X52" s="192"/>
      <c r="Y52" s="192"/>
      <c r="Z52" s="192"/>
      <c r="AA52" s="192"/>
      <c r="AB52" s="192"/>
      <c r="AC52" s="95"/>
      <c r="AD52" s="95"/>
      <c r="AE52" s="95"/>
      <c r="AF52" s="80"/>
      <c r="AG52" s="80"/>
      <c r="AH52" s="80"/>
      <c r="AI52" s="80"/>
      <c r="AJ52" s="80"/>
      <c r="AK52" s="80"/>
      <c r="AL52" s="80"/>
      <c r="AM52" s="80"/>
    </row>
    <row r="53" spans="1:42" s="70" customFormat="1" ht="9.75" customHeight="1">
      <c r="A53" s="194">
        <v>12000</v>
      </c>
      <c r="B53" s="194"/>
      <c r="C53" s="194"/>
      <c r="D53" s="194"/>
      <c r="E53" s="194"/>
      <c r="F53" s="194"/>
      <c r="G53" s="194"/>
      <c r="H53" s="195">
        <v>0</v>
      </c>
      <c r="I53" s="195"/>
      <c r="J53" s="195"/>
      <c r="K53" s="195"/>
      <c r="L53" s="195"/>
      <c r="M53" s="195"/>
      <c r="N53" s="195"/>
      <c r="O53" s="196">
        <f>計算過程!$B$78</f>
        <v>25809</v>
      </c>
      <c r="P53" s="196"/>
      <c r="Q53" s="196"/>
      <c r="R53" s="196"/>
      <c r="S53" s="196"/>
      <c r="T53" s="196"/>
      <c r="U53" s="196"/>
      <c r="V53" s="197">
        <f>計算過程!$B$81</f>
        <v>0</v>
      </c>
      <c r="W53" s="197"/>
      <c r="X53" s="197"/>
      <c r="Y53" s="197"/>
      <c r="Z53" s="197"/>
      <c r="AA53" s="197"/>
      <c r="AB53" s="197"/>
      <c r="AC53" s="95"/>
      <c r="AD53" s="95"/>
      <c r="AE53" s="95"/>
      <c r="AF53" s="80"/>
      <c r="AG53" s="80"/>
      <c r="AH53" s="80"/>
      <c r="AI53" s="80"/>
      <c r="AJ53" s="80"/>
      <c r="AK53" s="80"/>
      <c r="AL53" s="80"/>
      <c r="AM53" s="80"/>
    </row>
    <row r="54" spans="1:42" s="70" customFormat="1" ht="9.75" customHeight="1">
      <c r="A54" s="194"/>
      <c r="B54" s="194"/>
      <c r="C54" s="194"/>
      <c r="D54" s="194"/>
      <c r="E54" s="194"/>
      <c r="F54" s="194"/>
      <c r="G54" s="194"/>
      <c r="H54" s="195"/>
      <c r="I54" s="195"/>
      <c r="J54" s="195"/>
      <c r="K54" s="195"/>
      <c r="L54" s="195"/>
      <c r="M54" s="195"/>
      <c r="N54" s="195"/>
      <c r="O54" s="196"/>
      <c r="P54" s="196"/>
      <c r="Q54" s="196"/>
      <c r="R54" s="196"/>
      <c r="S54" s="196"/>
      <c r="T54" s="196"/>
      <c r="U54" s="196"/>
      <c r="V54" s="197"/>
      <c r="W54" s="197"/>
      <c r="X54" s="197"/>
      <c r="Y54" s="197"/>
      <c r="Z54" s="197"/>
      <c r="AA54" s="197"/>
      <c r="AB54" s="197"/>
      <c r="AC54" s="95"/>
      <c r="AD54" s="95"/>
      <c r="AE54" s="95"/>
      <c r="AF54" s="80"/>
      <c r="AG54" s="80"/>
      <c r="AH54" s="80"/>
      <c r="AI54" s="80"/>
      <c r="AJ54" s="80"/>
      <c r="AK54" s="80"/>
      <c r="AL54" s="80"/>
      <c r="AM54" s="80"/>
    </row>
    <row r="55" spans="1:42" s="70" customFormat="1" ht="9.75" customHeight="1">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row>
    <row r="56" spans="1:42" ht="12" customHeight="1">
      <c r="A56" s="198" t="s">
        <v>217</v>
      </c>
      <c r="B56" s="198"/>
      <c r="C56" s="198"/>
      <c r="D56" s="198"/>
      <c r="E56" s="198"/>
      <c r="F56" s="198"/>
      <c r="G56" s="198"/>
      <c r="H56" s="199" t="str">
        <f>"（Ａ）＋（Ｂ）＋（Ｃ）＋（Ｄ）＝　"&amp;TEXT(計算過程!$B$86,"#,##0")&amp;"　円（Ｅ）"</f>
        <v>（Ａ）＋（Ｂ）＋（Ｃ）＋（Ｄ）＝　55,809　円（Ｅ）</v>
      </c>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96"/>
      <c r="AL56" s="95"/>
      <c r="AM56" s="95"/>
      <c r="AN56" s="95"/>
      <c r="AO56" s="95"/>
    </row>
    <row r="57" spans="1:42" ht="12" customHeight="1">
      <c r="A57" s="198"/>
      <c r="B57" s="198"/>
      <c r="C57" s="198"/>
      <c r="D57" s="198"/>
      <c r="E57" s="198"/>
      <c r="F57" s="198"/>
      <c r="G57" s="198"/>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96"/>
      <c r="AL57" s="95"/>
      <c r="AM57" s="95"/>
      <c r="AN57" s="95"/>
      <c r="AO57" s="95"/>
    </row>
    <row r="58" spans="1:42" ht="12" customHeight="1">
      <c r="A58" s="198" t="s">
        <v>218</v>
      </c>
      <c r="B58" s="198"/>
      <c r="C58" s="198"/>
      <c r="D58" s="198"/>
      <c r="E58" s="198"/>
      <c r="F58" s="198"/>
      <c r="G58" s="198"/>
      <c r="H58" s="199" t="str">
        <f>"（Ｆ）＋（Ｇ）＋（Ｈ）＋（Ｉ）＝　"&amp;TEXT(計算過程!$B$87,"#,##0")&amp;"　円（Ｊ）"</f>
        <v>（Ｆ）＋（Ｇ）＋（Ｈ）＋（Ｉ）＝　0　円（Ｊ）</v>
      </c>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96"/>
      <c r="AL58" s="95"/>
      <c r="AM58" s="95"/>
      <c r="AN58" s="95"/>
      <c r="AO58" s="95"/>
    </row>
    <row r="59" spans="1:42" ht="12" customHeight="1">
      <c r="A59" s="198"/>
      <c r="B59" s="198"/>
      <c r="C59" s="198"/>
      <c r="D59" s="198"/>
      <c r="E59" s="198"/>
      <c r="F59" s="198"/>
      <c r="G59" s="198"/>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96"/>
      <c r="AL59" s="95"/>
      <c r="AM59" s="95"/>
      <c r="AN59" s="95"/>
      <c r="AO59" s="95"/>
    </row>
    <row r="60" spans="1:42" ht="8.25" customHeight="1">
      <c r="A60" s="67"/>
      <c r="B60" s="67"/>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row>
    <row r="61" spans="1:42" ht="12" customHeight="1">
      <c r="A61" s="97" t="s">
        <v>219</v>
      </c>
      <c r="B61" s="67"/>
      <c r="C61" s="67"/>
      <c r="D61" s="67"/>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row>
    <row r="62" spans="1:42" ht="12" customHeight="1">
      <c r="A62" s="200" t="s">
        <v>220</v>
      </c>
      <c r="B62" s="200"/>
      <c r="C62" s="200"/>
      <c r="D62" s="200"/>
      <c r="E62" s="200"/>
      <c r="F62" s="200"/>
      <c r="G62" s="200"/>
      <c r="H62" s="200"/>
      <c r="I62" s="200"/>
      <c r="J62" s="200"/>
      <c r="K62" s="200"/>
      <c r="L62" s="201" t="s">
        <v>221</v>
      </c>
      <c r="M62" s="201"/>
      <c r="N62" s="201"/>
      <c r="O62" s="201"/>
      <c r="P62" s="201"/>
      <c r="Q62" s="201"/>
      <c r="R62" s="201"/>
      <c r="S62" s="201"/>
      <c r="T62" s="201"/>
      <c r="U62" s="201"/>
      <c r="V62" s="201"/>
      <c r="W62" s="202" t="s">
        <v>222</v>
      </c>
      <c r="X62" s="202"/>
      <c r="Y62" s="202"/>
      <c r="Z62" s="202"/>
      <c r="AA62" s="202"/>
      <c r="AB62" s="202"/>
      <c r="AC62" s="202"/>
      <c r="AD62" s="202"/>
      <c r="AE62" s="202"/>
      <c r="AF62" s="202"/>
      <c r="AG62" s="202"/>
      <c r="AH62" s="203" t="s">
        <v>223</v>
      </c>
      <c r="AI62" s="203"/>
      <c r="AJ62" s="203"/>
      <c r="AK62" s="203"/>
      <c r="AL62" s="203"/>
    </row>
    <row r="63" spans="1:42" ht="15" customHeight="1">
      <c r="A63" s="200"/>
      <c r="B63" s="200"/>
      <c r="C63" s="200"/>
      <c r="D63" s="200"/>
      <c r="E63" s="200"/>
      <c r="F63" s="200"/>
      <c r="G63" s="200"/>
      <c r="H63" s="200"/>
      <c r="I63" s="200"/>
      <c r="J63" s="200"/>
      <c r="K63" s="200"/>
      <c r="L63" s="201"/>
      <c r="M63" s="201"/>
      <c r="N63" s="201"/>
      <c r="O63" s="201"/>
      <c r="P63" s="201"/>
      <c r="Q63" s="201"/>
      <c r="R63" s="201"/>
      <c r="S63" s="201"/>
      <c r="T63" s="201"/>
      <c r="U63" s="201"/>
      <c r="V63" s="201"/>
      <c r="W63" s="204" t="s">
        <v>224</v>
      </c>
      <c r="X63" s="204"/>
      <c r="Y63" s="204"/>
      <c r="Z63" s="204"/>
      <c r="AA63" s="204"/>
      <c r="AB63" s="204"/>
      <c r="AC63" s="204"/>
      <c r="AD63" s="204"/>
      <c r="AE63" s="204"/>
      <c r="AF63" s="204"/>
      <c r="AG63" s="204"/>
      <c r="AH63" s="203"/>
      <c r="AI63" s="203"/>
      <c r="AJ63" s="203"/>
      <c r="AK63" s="203"/>
      <c r="AL63" s="203"/>
    </row>
    <row r="64" spans="1:42" ht="12" customHeight="1">
      <c r="A64" s="205">
        <f>計算過程!$B$86</f>
        <v>55809</v>
      </c>
      <c r="B64" s="205"/>
      <c r="C64" s="205"/>
      <c r="D64" s="205"/>
      <c r="E64" s="205"/>
      <c r="F64" s="205"/>
      <c r="G64" s="205"/>
      <c r="H64" s="205"/>
      <c r="I64" s="205"/>
      <c r="J64" s="205"/>
      <c r="K64" s="205"/>
      <c r="L64" s="206">
        <f>計算過程!$B$88</f>
        <v>290000</v>
      </c>
      <c r="M64" s="206"/>
      <c r="N64" s="206"/>
      <c r="O64" s="206"/>
      <c r="P64" s="206"/>
      <c r="Q64" s="206"/>
      <c r="R64" s="206"/>
      <c r="S64" s="206"/>
      <c r="T64" s="206"/>
      <c r="U64" s="206"/>
      <c r="V64" s="206"/>
      <c r="W64" s="207">
        <f>計算過程!$B$89*100</f>
        <v>19.244482758620691</v>
      </c>
      <c r="X64" s="207"/>
      <c r="Y64" s="207"/>
      <c r="Z64" s="207"/>
      <c r="AA64" s="207"/>
      <c r="AB64" s="207"/>
      <c r="AC64" s="207"/>
      <c r="AD64" s="207"/>
      <c r="AE64" s="207"/>
      <c r="AF64" s="207"/>
      <c r="AG64" s="207"/>
      <c r="AH64" s="208" t="str">
        <f>IF(計算過程!$B$136=1,"○","×")</f>
        <v>○</v>
      </c>
      <c r="AI64" s="208"/>
      <c r="AJ64" s="208"/>
      <c r="AK64" s="208"/>
      <c r="AL64" s="208"/>
    </row>
    <row r="65" spans="1:42" ht="12" customHeight="1">
      <c r="A65" s="205"/>
      <c r="B65" s="205"/>
      <c r="C65" s="205"/>
      <c r="D65" s="205"/>
      <c r="E65" s="205"/>
      <c r="F65" s="205"/>
      <c r="G65" s="205"/>
      <c r="H65" s="205"/>
      <c r="I65" s="205"/>
      <c r="J65" s="205"/>
      <c r="K65" s="205"/>
      <c r="L65" s="206"/>
      <c r="M65" s="206"/>
      <c r="N65" s="206"/>
      <c r="O65" s="206"/>
      <c r="P65" s="206"/>
      <c r="Q65" s="206"/>
      <c r="R65" s="206"/>
      <c r="S65" s="206"/>
      <c r="T65" s="206"/>
      <c r="U65" s="206"/>
      <c r="V65" s="206"/>
      <c r="W65" s="207"/>
      <c r="X65" s="207"/>
      <c r="Y65" s="207"/>
      <c r="Z65" s="207"/>
      <c r="AA65" s="207"/>
      <c r="AB65" s="207"/>
      <c r="AC65" s="207"/>
      <c r="AD65" s="207"/>
      <c r="AE65" s="207"/>
      <c r="AF65" s="207"/>
      <c r="AG65" s="207"/>
      <c r="AH65" s="208"/>
      <c r="AI65" s="208"/>
      <c r="AJ65" s="208"/>
      <c r="AK65" s="208"/>
      <c r="AL65" s="208"/>
    </row>
    <row r="66" spans="1:42" ht="7.5" customHeight="1">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row>
    <row r="67" spans="1:42" ht="12" customHeight="1">
      <c r="A67" s="97" t="s">
        <v>225</v>
      </c>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row>
    <row r="68" spans="1:42" ht="12" customHeight="1">
      <c r="A68" s="209" t="s">
        <v>226</v>
      </c>
      <c r="B68" s="209"/>
      <c r="C68" s="209"/>
      <c r="D68" s="209"/>
      <c r="E68" s="209"/>
      <c r="F68" s="209"/>
      <c r="G68" s="209"/>
      <c r="H68" s="209"/>
      <c r="I68" s="209"/>
      <c r="J68" s="209"/>
      <c r="K68" s="209"/>
      <c r="L68" s="210" t="s">
        <v>227</v>
      </c>
      <c r="M68" s="210"/>
      <c r="N68" s="210"/>
      <c r="O68" s="210"/>
      <c r="P68" s="210"/>
      <c r="Q68" s="210"/>
      <c r="R68" s="210"/>
      <c r="S68" s="210"/>
      <c r="T68" s="210"/>
      <c r="U68" s="210"/>
      <c r="V68" s="210"/>
      <c r="W68" s="211" t="s">
        <v>222</v>
      </c>
      <c r="X68" s="211"/>
      <c r="Y68" s="211"/>
      <c r="Z68" s="211"/>
      <c r="AA68" s="211"/>
      <c r="AB68" s="211"/>
      <c r="AC68" s="211"/>
      <c r="AD68" s="211"/>
      <c r="AE68" s="211"/>
      <c r="AF68" s="211"/>
      <c r="AG68" s="211"/>
      <c r="AH68" s="212" t="s">
        <v>223</v>
      </c>
      <c r="AI68" s="212"/>
      <c r="AJ68" s="212"/>
      <c r="AK68" s="212"/>
      <c r="AL68" s="212"/>
      <c r="AM68" s="98"/>
      <c r="AN68" s="98"/>
      <c r="AO68" s="98"/>
      <c r="AP68" s="67"/>
    </row>
    <row r="69" spans="1:42" ht="12" customHeight="1">
      <c r="A69" s="213" t="s">
        <v>228</v>
      </c>
      <c r="B69" s="213"/>
      <c r="C69" s="213"/>
      <c r="D69" s="213"/>
      <c r="E69" s="213"/>
      <c r="F69" s="213"/>
      <c r="G69" s="213"/>
      <c r="H69" s="213"/>
      <c r="I69" s="213"/>
      <c r="J69" s="213"/>
      <c r="K69" s="213"/>
      <c r="L69" s="214" t="s">
        <v>229</v>
      </c>
      <c r="M69" s="214"/>
      <c r="N69" s="214"/>
      <c r="O69" s="214"/>
      <c r="P69" s="214"/>
      <c r="Q69" s="214"/>
      <c r="R69" s="214"/>
      <c r="S69" s="214"/>
      <c r="T69" s="214"/>
      <c r="U69" s="214"/>
      <c r="V69" s="214"/>
      <c r="W69" s="215" t="s">
        <v>230</v>
      </c>
      <c r="X69" s="215"/>
      <c r="Y69" s="215"/>
      <c r="Z69" s="215"/>
      <c r="AA69" s="215"/>
      <c r="AB69" s="215"/>
      <c r="AC69" s="215"/>
      <c r="AD69" s="215"/>
      <c r="AE69" s="215"/>
      <c r="AF69" s="215"/>
      <c r="AG69" s="215"/>
      <c r="AH69" s="212"/>
      <c r="AI69" s="212"/>
      <c r="AJ69" s="212"/>
      <c r="AK69" s="212"/>
      <c r="AL69" s="212"/>
      <c r="AM69" s="98"/>
      <c r="AN69" s="98"/>
      <c r="AO69" s="98"/>
      <c r="AP69" s="67"/>
    </row>
    <row r="70" spans="1:42" ht="12" customHeight="1">
      <c r="A70" s="205">
        <f>計算過程!$B$90</f>
        <v>669708</v>
      </c>
      <c r="B70" s="205"/>
      <c r="C70" s="205"/>
      <c r="D70" s="205"/>
      <c r="E70" s="205"/>
      <c r="F70" s="205"/>
      <c r="G70" s="205"/>
      <c r="H70" s="205"/>
      <c r="I70" s="205"/>
      <c r="J70" s="205"/>
      <c r="K70" s="205"/>
      <c r="L70" s="206">
        <f>計算過程!$B$91</f>
        <v>4640000</v>
      </c>
      <c r="M70" s="206"/>
      <c r="N70" s="206"/>
      <c r="O70" s="206"/>
      <c r="P70" s="206"/>
      <c r="Q70" s="206"/>
      <c r="R70" s="206"/>
      <c r="S70" s="206"/>
      <c r="T70" s="206"/>
      <c r="U70" s="206"/>
      <c r="V70" s="206"/>
      <c r="W70" s="216">
        <f>計算過程!$B$92*100</f>
        <v>14.433362068965517</v>
      </c>
      <c r="X70" s="216"/>
      <c r="Y70" s="216"/>
      <c r="Z70" s="216"/>
      <c r="AA70" s="216"/>
      <c r="AB70" s="216"/>
      <c r="AC70" s="216"/>
      <c r="AD70" s="216"/>
      <c r="AE70" s="216"/>
      <c r="AF70" s="216"/>
      <c r="AG70" s="216"/>
      <c r="AH70" s="217" t="str">
        <f>IF(計算過程!$B$138=1,"○","×")</f>
        <v>○</v>
      </c>
      <c r="AI70" s="217"/>
      <c r="AJ70" s="217"/>
      <c r="AK70" s="217"/>
      <c r="AL70" s="217"/>
      <c r="AM70" s="99"/>
      <c r="AN70" s="99"/>
      <c r="AO70" s="99"/>
      <c r="AP70" s="67"/>
    </row>
    <row r="71" spans="1:42" ht="12" customHeight="1">
      <c r="A71" s="205"/>
      <c r="B71" s="205"/>
      <c r="C71" s="205"/>
      <c r="D71" s="205"/>
      <c r="E71" s="205"/>
      <c r="F71" s="205"/>
      <c r="G71" s="205"/>
      <c r="H71" s="205"/>
      <c r="I71" s="205"/>
      <c r="J71" s="205"/>
      <c r="K71" s="205"/>
      <c r="L71" s="206"/>
      <c r="M71" s="206"/>
      <c r="N71" s="206"/>
      <c r="O71" s="206"/>
      <c r="P71" s="206"/>
      <c r="Q71" s="206"/>
      <c r="R71" s="206"/>
      <c r="S71" s="206"/>
      <c r="T71" s="206"/>
      <c r="U71" s="206"/>
      <c r="V71" s="206"/>
      <c r="W71" s="216"/>
      <c r="X71" s="216"/>
      <c r="Y71" s="216"/>
      <c r="Z71" s="216"/>
      <c r="AA71" s="216"/>
      <c r="AB71" s="216"/>
      <c r="AC71" s="216"/>
      <c r="AD71" s="216"/>
      <c r="AE71" s="216"/>
      <c r="AF71" s="216"/>
      <c r="AG71" s="216"/>
      <c r="AH71" s="217"/>
      <c r="AI71" s="217"/>
      <c r="AJ71" s="217"/>
      <c r="AK71" s="217"/>
      <c r="AL71" s="217"/>
      <c r="AM71" s="70"/>
      <c r="AN71" s="70"/>
      <c r="AO71" s="70"/>
      <c r="AP71" s="67"/>
    </row>
    <row r="72" spans="1:42" s="70" customFormat="1" ht="15" customHeight="1"/>
    <row r="73" spans="1:42" s="70" customFormat="1" ht="15" customHeight="1"/>
    <row r="74" spans="1:42" s="70" customFormat="1" ht="15" customHeight="1"/>
    <row r="75" spans="1:42" s="70" customFormat="1" ht="15" customHeight="1"/>
    <row r="76" spans="1:42" s="70" customFormat="1" ht="15" customHeight="1"/>
    <row r="77" spans="1:42" s="70" customFormat="1" ht="15" customHeight="1"/>
    <row r="78" spans="1:42" s="70" customFormat="1" ht="15" customHeight="1"/>
    <row r="79" spans="1:42" s="70" customFormat="1" ht="15" customHeight="1"/>
    <row r="80" spans="1:42" s="70" customFormat="1" ht="15" customHeight="1"/>
    <row r="81" spans="39:41" s="70" customFormat="1" ht="15" customHeight="1"/>
    <row r="82" spans="39:41" s="70" customFormat="1" ht="15" customHeight="1"/>
    <row r="83" spans="39:41" s="70" customFormat="1" ht="15" customHeight="1"/>
    <row r="84" spans="39:41" s="70" customFormat="1" ht="15" customHeight="1"/>
    <row r="85" spans="39:41" s="70" customFormat="1" ht="15" customHeight="1">
      <c r="AM85" s="56"/>
      <c r="AN85" s="56"/>
      <c r="AO85" s="56"/>
    </row>
    <row r="86" spans="39:41" s="70" customFormat="1" ht="15" customHeight="1">
      <c r="AM86" s="56"/>
      <c r="AN86" s="56"/>
      <c r="AO86" s="56"/>
    </row>
    <row r="87" spans="39:41" s="70" customFormat="1" ht="15" customHeight="1">
      <c r="AM87" s="56"/>
      <c r="AN87" s="56"/>
      <c r="AO87" s="56"/>
    </row>
    <row r="88" spans="39:41" s="70" customFormat="1" ht="15" customHeight="1">
      <c r="AM88" s="56"/>
      <c r="AN88" s="56"/>
      <c r="AO88" s="56"/>
    </row>
    <row r="89" spans="39:41" ht="15" customHeight="1"/>
    <row r="90" spans="39:41" ht="13.5" customHeight="1"/>
    <row r="91" spans="39:41" ht="13.5" customHeight="1"/>
    <row r="92" spans="39:41" ht="13.5" customHeight="1"/>
    <row r="93" spans="39:41" ht="13.5" customHeight="1"/>
    <row r="94" spans="39:41" ht="13.5" customHeight="1"/>
    <row r="95" spans="39:41" ht="13.5" customHeight="1"/>
    <row r="96" spans="39:41"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sheetData>
  <mergeCells count="160">
    <mergeCell ref="A68:K68"/>
    <mergeCell ref="L68:V68"/>
    <mergeCell ref="W68:AG68"/>
    <mergeCell ref="AH68:AL69"/>
    <mergeCell ref="A69:K69"/>
    <mergeCell ref="L69:V69"/>
    <mergeCell ref="W69:AG69"/>
    <mergeCell ref="A70:K71"/>
    <mergeCell ref="L70:V71"/>
    <mergeCell ref="W70:AG71"/>
    <mergeCell ref="AH70:AL71"/>
    <mergeCell ref="A58:G59"/>
    <mergeCell ref="H58:AJ59"/>
    <mergeCell ref="A62:K63"/>
    <mergeCell ref="L62:V63"/>
    <mergeCell ref="W62:AG62"/>
    <mergeCell ref="AH62:AL63"/>
    <mergeCell ref="W63:AG63"/>
    <mergeCell ref="A64:K65"/>
    <mergeCell ref="L64:V65"/>
    <mergeCell ref="W64:AG65"/>
    <mergeCell ref="AH64:AL65"/>
    <mergeCell ref="A51:G52"/>
    <mergeCell ref="H51:N52"/>
    <mergeCell ref="O51:U52"/>
    <mergeCell ref="V51:AB52"/>
    <mergeCell ref="A53:G54"/>
    <mergeCell ref="H53:N54"/>
    <mergeCell ref="O53:U54"/>
    <mergeCell ref="V53:AB54"/>
    <mergeCell ref="A56:G57"/>
    <mergeCell ref="H56:AJ57"/>
    <mergeCell ref="A33:O34"/>
    <mergeCell ref="P33:T34"/>
    <mergeCell ref="U33:Y34"/>
    <mergeCell ref="Z33:AF34"/>
    <mergeCell ref="AG33:AK34"/>
    <mergeCell ref="AL33:AO34"/>
    <mergeCell ref="AM44:AO45"/>
    <mergeCell ref="A49:AB49"/>
    <mergeCell ref="A50:N50"/>
    <mergeCell ref="O50:AB50"/>
    <mergeCell ref="AL29:AO30"/>
    <mergeCell ref="A31:D32"/>
    <mergeCell ref="E31:G32"/>
    <mergeCell ref="H31:K32"/>
    <mergeCell ref="L31:O32"/>
    <mergeCell ref="P31:T32"/>
    <mergeCell ref="U31:Y32"/>
    <mergeCell ref="Z31:AB32"/>
    <mergeCell ref="AC31:AF32"/>
    <mergeCell ref="AG31:AK32"/>
    <mergeCell ref="AL31:AO32"/>
    <mergeCell ref="A29:D30"/>
    <mergeCell ref="E29:G30"/>
    <mergeCell ref="H29:K30"/>
    <mergeCell ref="L29:O30"/>
    <mergeCell ref="P29:T30"/>
    <mergeCell ref="U29:Y30"/>
    <mergeCell ref="Z29:AB30"/>
    <mergeCell ref="AC29:AF30"/>
    <mergeCell ref="AG29:AK30"/>
    <mergeCell ref="AL25:AO26"/>
    <mergeCell ref="A27:D28"/>
    <mergeCell ref="E27:G28"/>
    <mergeCell ref="H27:K28"/>
    <mergeCell ref="L27:O28"/>
    <mergeCell ref="P27:T28"/>
    <mergeCell ref="U27:Y28"/>
    <mergeCell ref="Z27:AB28"/>
    <mergeCell ref="AC27:AF28"/>
    <mergeCell ref="AG27:AK28"/>
    <mergeCell ref="AL27:AO28"/>
    <mergeCell ref="A25:D26"/>
    <mergeCell ref="E25:G26"/>
    <mergeCell ref="H25:K26"/>
    <mergeCell ref="L25:O26"/>
    <mergeCell ref="P25:T26"/>
    <mergeCell ref="U25:Y26"/>
    <mergeCell ref="Z25:AB26"/>
    <mergeCell ref="AC25:AF26"/>
    <mergeCell ref="AG25:AK26"/>
    <mergeCell ref="AL21:AO22"/>
    <mergeCell ref="A23:D24"/>
    <mergeCell ref="E23:G24"/>
    <mergeCell ref="H23:K24"/>
    <mergeCell ref="L23:O24"/>
    <mergeCell ref="P23:T24"/>
    <mergeCell ref="U23:Y24"/>
    <mergeCell ref="Z23:AB24"/>
    <mergeCell ref="AC23:AF24"/>
    <mergeCell ref="AG23:AK24"/>
    <mergeCell ref="AL23:AO24"/>
    <mergeCell ref="A21:D22"/>
    <mergeCell ref="E21:G22"/>
    <mergeCell ref="H21:K22"/>
    <mergeCell ref="L21:O22"/>
    <mergeCell ref="P21:T22"/>
    <mergeCell ref="U21:Y22"/>
    <mergeCell ref="Z21:AB22"/>
    <mergeCell ref="AC21:AF22"/>
    <mergeCell ref="AG21:AK22"/>
    <mergeCell ref="AL17:AO18"/>
    <mergeCell ref="A19:D20"/>
    <mergeCell ref="E19:G20"/>
    <mergeCell ref="H19:K20"/>
    <mergeCell ref="L19:O20"/>
    <mergeCell ref="P19:T20"/>
    <mergeCell ref="U19:Y20"/>
    <mergeCell ref="Z19:AB20"/>
    <mergeCell ref="AC19:AF20"/>
    <mergeCell ref="AG19:AK20"/>
    <mergeCell ref="AL19:AO20"/>
    <mergeCell ref="A17:D18"/>
    <mergeCell ref="E17:G18"/>
    <mergeCell ref="H17:K18"/>
    <mergeCell ref="L17:O18"/>
    <mergeCell ref="P17:T18"/>
    <mergeCell ref="U17:Y18"/>
    <mergeCell ref="Z17:AB18"/>
    <mergeCell ref="AC17:AF18"/>
    <mergeCell ref="AG17:AK18"/>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2:AO2"/>
    <mergeCell ref="A6:AO6"/>
    <mergeCell ref="A7:H7"/>
    <mergeCell ref="I7:K7"/>
    <mergeCell ref="L7:R7"/>
    <mergeCell ref="S7:U7"/>
    <mergeCell ref="V7:AB7"/>
    <mergeCell ref="AC7:AE7"/>
    <mergeCell ref="AF7:AL7"/>
    <mergeCell ref="AM7:AO7"/>
  </mergeCells>
  <phoneticPr fontId="46"/>
  <dataValidations count="3">
    <dataValidation type="decimal" operator="greaterThanOrEqual" allowBlank="1" showInputMessage="1" showErrorMessage="1" errorTitle="金額の入力" error="金額は0以上の数字で入力してください。カンマや「円」は不要です。「借入額」は万円、それ以外は円で入力します。" promptTitle="金額の入力" prompt="借入額は万円、残高・償還額は円で入力します。" sqref="H17 L17 P17 U17 AC17 AG17 AL17 H19 L19 P19 U19 AC19 AG19 AL19 H21 L21 P21 U21 AC21 AG21 AL21 H23 L23 P23 U23 AC23 AG23 AL23 H25 L25 P25 U25 AC25 AG25 AL25 H27 L27 P27 U27 AC27 AG27 AL27 H29 L29 P29 U29 AC29 AG29 AL29 H31 L31 P31 U31 AC31 AG31 AL31" xr:uid="{00000000-0002-0000-0300-000000000000}">
      <formula1>0</formula1>
      <formula2>0</formula2>
    </dataValidation>
    <dataValidation type="date" allowBlank="1" showInputMessage="1" showErrorMessage="1" errorTitle="日付の入力" error="日付で入力してください(例: 2024/4/1)。" promptTitle="日付の入力" prompt="借入日(借入予定日)を日付で入力してください。" sqref="E17 Z17 E19 Z19 E21 Z21 E23 Z23 E25 Z25 E27 Z27 E29 Z29 E31 Z31" xr:uid="{00000000-0002-0000-0300-000001000000}">
      <formula1>1</formula1>
      <formula2>73415</formula2>
    </dataValidation>
    <dataValidation type="decimal" operator="greaterThanOrEqual" allowBlank="1" showInputMessage="1" showErrorMessage="1" errorTitle="共済組合の既貸付" error="円単位の数字で入力してください(0以上)。" promptTitle="共済組合の既貸付" prompt="既に共済組合から借りている貸付金の毎月(C)・ボーナス(H)の償還額を円で入力します。なければ0。" sqref="A53 H53" xr:uid="{00000000-0002-0000-0300-000002000000}">
      <formula1>0</formula1>
      <formula2>0</formula2>
    </dataValidation>
  </dataValidations>
  <pageMargins left="0.65972222222222199" right="0.51180555555555596" top="0.49027777777777798" bottom="0.35416666666666702"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DC3E6"/>
  </sheetPr>
  <dimension ref="A1:Q367"/>
  <sheetViews>
    <sheetView zoomScaleNormal="100" workbookViewId="0">
      <pane xSplit="2" ySplit="6" topLeftCell="C7" activePane="bottomRight" state="frozen"/>
      <selection pane="topRight" activeCell="C1" sqref="C1"/>
      <selection pane="bottomLeft" activeCell="A7" sqref="A7"/>
      <selection pane="bottomRight"/>
    </sheetView>
  </sheetViews>
  <sheetFormatPr defaultColWidth="8.5546875" defaultRowHeight="13.2"/>
  <cols>
    <col min="1" max="1" width="8" customWidth="1"/>
    <col min="2" max="3" width="14" customWidth="1"/>
    <col min="4" max="4" width="12" customWidth="1"/>
    <col min="5" max="5" width="14" customWidth="1"/>
    <col min="6" max="8" width="16" customWidth="1"/>
    <col min="9" max="9" width="10" customWidth="1"/>
    <col min="10" max="10" width="14" customWidth="1"/>
    <col min="11" max="11" width="12" customWidth="1"/>
    <col min="12" max="12" width="14" customWidth="1"/>
    <col min="13" max="15" width="16" customWidth="1"/>
    <col min="16" max="17" width="14" customWidth="1"/>
  </cols>
  <sheetData>
    <row r="1" spans="1:17" ht="16.8">
      <c r="A1" s="100" t="s">
        <v>231</v>
      </c>
    </row>
    <row r="2" spans="1:17">
      <c r="A2" s="101" t="str">
        <f>"貸付区分:"&amp;申込シミュレーション!$C$9&amp;"　申込額:"&amp;TEXT(計算過程!$B$65,"#,##0")&amp;"円　利率:"&amp;TEXT(計算過程!$B$32,"0.00%")&amp;"　毎月償還:"&amp;計算過程!$B$71&amp;"回"</f>
        <v>貸付区分:普通貸付:自動車購入　申込額:1,500,000円　利率:1.26%　毎月償還:60回</v>
      </c>
    </row>
    <row r="3" spans="1:17">
      <c r="A3" s="22" t="s">
        <v>232</v>
      </c>
    </row>
    <row r="4" spans="1:17" ht="57.75" customHeight="1">
      <c r="A4" s="102" t="s">
        <v>233</v>
      </c>
      <c r="B4" s="102" t="s">
        <v>234</v>
      </c>
      <c r="C4" s="102" t="s">
        <v>235</v>
      </c>
      <c r="D4" s="102" t="s">
        <v>236</v>
      </c>
      <c r="E4" s="102" t="s">
        <v>237</v>
      </c>
      <c r="F4" s="102" t="s">
        <v>238</v>
      </c>
      <c r="G4" s="102" t="s">
        <v>239</v>
      </c>
      <c r="H4" s="102" t="s">
        <v>240</v>
      </c>
      <c r="I4" s="102" t="s">
        <v>241</v>
      </c>
      <c r="J4" s="102" t="s">
        <v>242</v>
      </c>
      <c r="K4" s="102" t="s">
        <v>243</v>
      </c>
      <c r="L4" s="102" t="s">
        <v>244</v>
      </c>
      <c r="M4" s="102" t="s">
        <v>245</v>
      </c>
      <c r="N4" s="102" t="s">
        <v>246</v>
      </c>
      <c r="O4" s="102" t="s">
        <v>247</v>
      </c>
      <c r="P4" s="102" t="s">
        <v>248</v>
      </c>
      <c r="Q4" s="102" t="s">
        <v>249</v>
      </c>
    </row>
    <row r="5" spans="1:17">
      <c r="A5" s="26" t="s">
        <v>250</v>
      </c>
      <c r="B5" s="103"/>
      <c r="C5" s="104">
        <f>SUM(C8:C367)</f>
        <v>1548535</v>
      </c>
      <c r="D5" s="104">
        <f>SUM(D8:D367)</f>
        <v>48535</v>
      </c>
      <c r="E5" s="104">
        <f>SUM(E8:E367)</f>
        <v>1500000</v>
      </c>
      <c r="F5" s="103"/>
      <c r="G5" s="103"/>
      <c r="H5" s="103"/>
      <c r="I5" s="103"/>
      <c r="J5" s="104">
        <f>SUM(J8:J367)</f>
        <v>0</v>
      </c>
      <c r="K5" s="104">
        <f>SUM(K8:K367)</f>
        <v>0</v>
      </c>
      <c r="L5" s="104">
        <f>SUM(L8:L367)</f>
        <v>0</v>
      </c>
      <c r="M5" s="103"/>
      <c r="N5" s="104">
        <f>SUM(N8:N367)</f>
        <v>1548535</v>
      </c>
      <c r="O5" s="103"/>
      <c r="P5" s="103"/>
      <c r="Q5" s="103"/>
    </row>
    <row r="6" spans="1:17" ht="31.5" customHeight="1">
      <c r="A6" s="105" t="s">
        <v>251</v>
      </c>
      <c r="B6" s="105" t="s">
        <v>252</v>
      </c>
      <c r="C6" s="105" t="s">
        <v>69</v>
      </c>
      <c r="D6" s="105" t="s">
        <v>86</v>
      </c>
      <c r="E6" s="105" t="s">
        <v>253</v>
      </c>
      <c r="F6" s="105" t="s">
        <v>254</v>
      </c>
      <c r="G6" s="105" t="s">
        <v>255</v>
      </c>
      <c r="H6" s="105" t="s">
        <v>256</v>
      </c>
      <c r="I6" s="105" t="s">
        <v>257</v>
      </c>
      <c r="J6" s="105" t="s">
        <v>218</v>
      </c>
      <c r="K6" s="105" t="s">
        <v>86</v>
      </c>
      <c r="L6" s="105" t="s">
        <v>253</v>
      </c>
      <c r="M6" s="105" t="s">
        <v>258</v>
      </c>
      <c r="N6" s="105" t="s">
        <v>259</v>
      </c>
      <c r="O6" s="105" t="s">
        <v>260</v>
      </c>
      <c r="P6" s="105" t="s">
        <v>261</v>
      </c>
      <c r="Q6" s="105" t="s">
        <v>262</v>
      </c>
    </row>
    <row r="7" spans="1:17">
      <c r="A7" s="55">
        <v>0</v>
      </c>
      <c r="B7" s="106" t="s">
        <v>263</v>
      </c>
      <c r="F7" s="107">
        <f>計算過程!$B$67-計算過程!$B$68</f>
        <v>1500000</v>
      </c>
      <c r="G7" s="107">
        <f>計算過程!$B$66</f>
        <v>0</v>
      </c>
      <c r="H7" s="107">
        <f>F7+G7</f>
        <v>1500000</v>
      </c>
      <c r="I7" s="106">
        <v>0</v>
      </c>
      <c r="M7" s="107">
        <f>計算過程!$B$68</f>
        <v>0</v>
      </c>
      <c r="O7" s="107">
        <f>H7+M7</f>
        <v>1500000</v>
      </c>
    </row>
    <row r="8" spans="1:17">
      <c r="A8" s="106">
        <f>IF(OR(計算過程!$B$98="",ROWS($A$8:A8)&gt;計算過程!$B$71),"",ROWS($A$8:A8))</f>
        <v>1</v>
      </c>
      <c r="B8" s="108">
        <f>IF(A8="","",EDATE(計算過程!$B$98,A8-1))</f>
        <v>46357</v>
      </c>
      <c r="C8" s="107">
        <f>IF(A8="","",IF(A8=計算過程!$B$71,D8+F7+G7,計算過程!$B$78))</f>
        <v>25809</v>
      </c>
      <c r="D8" s="107">
        <f>IF(A8="","",P8+Q8)</f>
        <v>1575</v>
      </c>
      <c r="E8" s="107">
        <f>IF(A8="","",C8-D8)</f>
        <v>24234</v>
      </c>
      <c r="F8" s="107">
        <f>IF(A8="","",IF(A8=計算過程!$B$71,0,MAX(0,F7-(計算過程!$B$76-P8))))</f>
        <v>1475766</v>
      </c>
      <c r="G8" s="107">
        <f>IF(A8="","",IF(A8=計算過程!$B$71,0,MAX(0,G7-(計算過程!$B$77-Q8))))</f>
        <v>0</v>
      </c>
      <c r="H8" s="107">
        <f>IF(A8="","",F8+G8)</f>
        <v>1475766</v>
      </c>
      <c r="I8" s="106">
        <f>IF(A8="","",IF(AND(OR(MONTH(B8)=6,MONTH(B8)=12),I7&lt;計算過程!$B$69),I7+1,I7))</f>
        <v>0</v>
      </c>
      <c r="J8" s="107">
        <f>IF(A8="","",IF(I8&gt;I7,IF(I8=計算過程!$B$69,M7+K8,計算過程!$B$81),0))</f>
        <v>0</v>
      </c>
      <c r="K8" s="107">
        <f>IF(A8="","",IF(I8&gt;I7,CHOOSE(計算過程!$B$72,ROUND(M7*計算過程!$B$79,0),ROUNDDOWN(M7*計算過程!$B$79,0),ROUNDUP(M7*計算過程!$B$79,0)),0))</f>
        <v>0</v>
      </c>
      <c r="L8" s="107">
        <f>IF(A8="","",J8-K8)</f>
        <v>0</v>
      </c>
      <c r="M8" s="107">
        <f>IF(A8="","",IF(I8&gt;I7,M7-L8,M7))</f>
        <v>0</v>
      </c>
      <c r="N8" s="107">
        <f>IF(A8="","",C8+J8)</f>
        <v>25809</v>
      </c>
      <c r="O8" s="107">
        <f>IF(A8="","",H8+M8)</f>
        <v>1475766</v>
      </c>
      <c r="P8" s="107">
        <f>IF(A8="","",CHOOSE(計算過程!$B$72,ROUND(F7*計算過程!$B$32/計算過程!$B$6,0),ROUNDDOWN(F7*計算過程!$B$32/計算過程!$B$6,0),ROUNDUP(F7*計算過程!$B$32/計算過程!$B$6,0)))</f>
        <v>1575</v>
      </c>
      <c r="Q8" s="107">
        <f>IF(A8="","",CHOOSE(計算過程!$B$72,ROUND(G7*計算過程!$B$33/計算過程!$B$6,0),ROUNDDOWN(G7*計算過程!$B$33/計算過程!$B$6,0),ROUNDUP(G7*計算過程!$B$33/計算過程!$B$6,0)))</f>
        <v>0</v>
      </c>
    </row>
    <row r="9" spans="1:17">
      <c r="A9" s="106">
        <f>IF(OR(計算過程!$B$98="",ROWS($A$8:A9)&gt;計算過程!$B$71),"",ROWS($A$8:A9))</f>
        <v>2</v>
      </c>
      <c r="B9" s="108">
        <f>IF(A9="","",EDATE(計算過程!$B$98,A9-1))</f>
        <v>46388</v>
      </c>
      <c r="C9" s="107">
        <f>IF(A9="","",IF(A9=計算過程!$B$71,D9+F8+G8,計算過程!$B$78))</f>
        <v>25809</v>
      </c>
      <c r="D9" s="107">
        <f>IF(A9="","",P9+Q9)</f>
        <v>1550</v>
      </c>
      <c r="E9" s="107">
        <f>IF(A9="","",C9-D9)</f>
        <v>24259</v>
      </c>
      <c r="F9" s="107">
        <f>IF(A9="","",IF(A9=計算過程!$B$71,0,MAX(0,F8-(計算過程!$B$76-P9))))</f>
        <v>1451507</v>
      </c>
      <c r="G9" s="107">
        <f>IF(A9="","",IF(A9=計算過程!$B$71,0,MAX(0,G8-(計算過程!$B$77-Q9))))</f>
        <v>0</v>
      </c>
      <c r="H9" s="107">
        <f>IF(A9="","",F9+G9)</f>
        <v>1451507</v>
      </c>
      <c r="I9" s="106">
        <f>IF(A9="","",IF(AND(OR(MONTH(B9)=6,MONTH(B9)=12),I8&lt;計算過程!$B$69),I8+1,I8))</f>
        <v>0</v>
      </c>
      <c r="J9" s="107">
        <f>IF(A9="","",IF(I9&gt;I8,IF(I9=計算過程!$B$69,M8+K9,計算過程!$B$81),0))</f>
        <v>0</v>
      </c>
      <c r="K9" s="107">
        <f>IF(A9="","",IF(I9&gt;I8,CHOOSE(計算過程!$B$72,ROUND(M8*計算過程!$B$79,0),ROUNDDOWN(M8*計算過程!$B$79,0),ROUNDUP(M8*計算過程!$B$79,0)),0))</f>
        <v>0</v>
      </c>
      <c r="L9" s="107">
        <f>IF(A9="","",J9-K9)</f>
        <v>0</v>
      </c>
      <c r="M9" s="107">
        <f>IF(A9="","",IF(I9&gt;I8,M8-L9,M8))</f>
        <v>0</v>
      </c>
      <c r="N9" s="107">
        <f>IF(A9="","",C9+J9)</f>
        <v>25809</v>
      </c>
      <c r="O9" s="107">
        <f>IF(A9="","",H9+M9)</f>
        <v>1451507</v>
      </c>
      <c r="P9" s="107">
        <f>IF(A9="","",CHOOSE(計算過程!$B$72,ROUND(F8*計算過程!$B$32/計算過程!$B$6,0),ROUNDDOWN(F8*計算過程!$B$32/計算過程!$B$6,0),ROUNDUP(F8*計算過程!$B$32/計算過程!$B$6,0)))</f>
        <v>1550</v>
      </c>
      <c r="Q9" s="107">
        <f>IF(A9="","",CHOOSE(計算過程!$B$72,ROUND(G8*計算過程!$B$33/計算過程!$B$6,0),ROUNDDOWN(G8*計算過程!$B$33/計算過程!$B$6,0),ROUNDUP(G8*計算過程!$B$33/計算過程!$B$6,0)))</f>
        <v>0</v>
      </c>
    </row>
    <row r="10" spans="1:17">
      <c r="A10" s="106">
        <f>IF(OR(計算過程!$B$98="",ROWS($A$8:A10)&gt;計算過程!$B$71),"",ROWS($A$8:A10))</f>
        <v>3</v>
      </c>
      <c r="B10" s="108">
        <f>IF(A10="","",EDATE(計算過程!$B$98,A10-1))</f>
        <v>46419</v>
      </c>
      <c r="C10" s="107">
        <f>IF(A10="","",IF(A10=計算過程!$B$71,D10+F9+G9,計算過程!$B$78))</f>
        <v>25809</v>
      </c>
      <c r="D10" s="107">
        <f>IF(A10="","",P10+Q10)</f>
        <v>1524</v>
      </c>
      <c r="E10" s="107">
        <f>IF(A10="","",C10-D10)</f>
        <v>24285</v>
      </c>
      <c r="F10" s="107">
        <f>IF(A10="","",IF(A10=計算過程!$B$71,0,MAX(0,F9-(計算過程!$B$76-P10))))</f>
        <v>1427222</v>
      </c>
      <c r="G10" s="107">
        <f>IF(A10="","",IF(A10=計算過程!$B$71,0,MAX(0,G9-(計算過程!$B$77-Q10))))</f>
        <v>0</v>
      </c>
      <c r="H10" s="107">
        <f>IF(A10="","",F10+G10)</f>
        <v>1427222</v>
      </c>
      <c r="I10" s="106">
        <f>IF(A10="","",IF(AND(OR(MONTH(B10)=6,MONTH(B10)=12),I9&lt;計算過程!$B$69),I9+1,I9))</f>
        <v>0</v>
      </c>
      <c r="J10" s="107">
        <f>IF(A10="","",IF(I10&gt;I9,IF(I10=計算過程!$B$69,M9+K10,計算過程!$B$81),0))</f>
        <v>0</v>
      </c>
      <c r="K10" s="107">
        <f>IF(A10="","",IF(I10&gt;I9,CHOOSE(計算過程!$B$72,ROUND(M9*計算過程!$B$79,0),ROUNDDOWN(M9*計算過程!$B$79,0),ROUNDUP(M9*計算過程!$B$79,0)),0))</f>
        <v>0</v>
      </c>
      <c r="L10" s="107">
        <f>IF(A10="","",J10-K10)</f>
        <v>0</v>
      </c>
      <c r="M10" s="107">
        <f>IF(A10="","",IF(I10&gt;I9,M9-L10,M9))</f>
        <v>0</v>
      </c>
      <c r="N10" s="107">
        <f>IF(A10="","",C10+J10)</f>
        <v>25809</v>
      </c>
      <c r="O10" s="107">
        <f>IF(A10="","",H10+M10)</f>
        <v>1427222</v>
      </c>
      <c r="P10" s="107">
        <f>IF(A10="","",CHOOSE(計算過程!$B$72,ROUND(F9*計算過程!$B$32/計算過程!$B$6,0),ROUNDDOWN(F9*計算過程!$B$32/計算過程!$B$6,0),ROUNDUP(F9*計算過程!$B$32/計算過程!$B$6,0)))</f>
        <v>1524</v>
      </c>
      <c r="Q10" s="107">
        <f>IF(A10="","",CHOOSE(計算過程!$B$72,ROUND(G9*計算過程!$B$33/計算過程!$B$6,0),ROUNDDOWN(G9*計算過程!$B$33/計算過程!$B$6,0),ROUNDUP(G9*計算過程!$B$33/計算過程!$B$6,0)))</f>
        <v>0</v>
      </c>
    </row>
    <row r="11" spans="1:17">
      <c r="A11" s="106">
        <f>IF(OR(計算過程!$B$98="",ROWS($A$8:A11)&gt;計算過程!$B$71),"",ROWS($A$8:A11))</f>
        <v>4</v>
      </c>
      <c r="B11" s="108">
        <f>IF(A11="","",EDATE(計算過程!$B$98,A11-1))</f>
        <v>46447</v>
      </c>
      <c r="C11" s="107">
        <f>IF(A11="","",IF(A11=計算過程!$B$71,D11+F10+G10,計算過程!$B$78))</f>
        <v>25809</v>
      </c>
      <c r="D11" s="107">
        <f>IF(A11="","",P11+Q11)</f>
        <v>1499</v>
      </c>
      <c r="E11" s="107">
        <f>IF(A11="","",C11-D11)</f>
        <v>24310</v>
      </c>
      <c r="F11" s="107">
        <f>IF(A11="","",IF(A11=計算過程!$B$71,0,MAX(0,F10-(計算過程!$B$76-P11))))</f>
        <v>1402912</v>
      </c>
      <c r="G11" s="107">
        <f>IF(A11="","",IF(A11=計算過程!$B$71,0,MAX(0,G10-(計算過程!$B$77-Q11))))</f>
        <v>0</v>
      </c>
      <c r="H11" s="107">
        <f>IF(A11="","",F11+G11)</f>
        <v>1402912</v>
      </c>
      <c r="I11" s="106">
        <f>IF(A11="","",IF(AND(OR(MONTH(B11)=6,MONTH(B11)=12),I10&lt;計算過程!$B$69),I10+1,I10))</f>
        <v>0</v>
      </c>
      <c r="J11" s="107">
        <f>IF(A11="","",IF(I11&gt;I10,IF(I11=計算過程!$B$69,M10+K11,計算過程!$B$81),0))</f>
        <v>0</v>
      </c>
      <c r="K11" s="107">
        <f>IF(A11="","",IF(I11&gt;I10,CHOOSE(計算過程!$B$72,ROUND(M10*計算過程!$B$79,0),ROUNDDOWN(M10*計算過程!$B$79,0),ROUNDUP(M10*計算過程!$B$79,0)),0))</f>
        <v>0</v>
      </c>
      <c r="L11" s="107">
        <f>IF(A11="","",J11-K11)</f>
        <v>0</v>
      </c>
      <c r="M11" s="107">
        <f>IF(A11="","",IF(I11&gt;I10,M10-L11,M10))</f>
        <v>0</v>
      </c>
      <c r="N11" s="107">
        <f>IF(A11="","",C11+J11)</f>
        <v>25809</v>
      </c>
      <c r="O11" s="107">
        <f>IF(A11="","",H11+M11)</f>
        <v>1402912</v>
      </c>
      <c r="P11" s="107">
        <f>IF(A11="","",CHOOSE(計算過程!$B$72,ROUND(F10*計算過程!$B$32/計算過程!$B$6,0),ROUNDDOWN(F10*計算過程!$B$32/計算過程!$B$6,0),ROUNDUP(F10*計算過程!$B$32/計算過程!$B$6,0)))</f>
        <v>1499</v>
      </c>
      <c r="Q11" s="107">
        <f>IF(A11="","",CHOOSE(計算過程!$B$72,ROUND(G10*計算過程!$B$33/計算過程!$B$6,0),ROUNDDOWN(G10*計算過程!$B$33/計算過程!$B$6,0),ROUNDUP(G10*計算過程!$B$33/計算過程!$B$6,0)))</f>
        <v>0</v>
      </c>
    </row>
    <row r="12" spans="1:17">
      <c r="A12" s="106">
        <f>IF(OR(計算過程!$B$98="",ROWS($A$8:A12)&gt;計算過程!$B$71),"",ROWS($A$8:A12))</f>
        <v>5</v>
      </c>
      <c r="B12" s="108">
        <f>IF(A12="","",EDATE(計算過程!$B$98,A12-1))</f>
        <v>46478</v>
      </c>
      <c r="C12" s="107">
        <f>IF(A12="","",IF(A12=計算過程!$B$71,D12+F11+G11,計算過程!$B$78))</f>
        <v>25809</v>
      </c>
      <c r="D12" s="107">
        <f>IF(A12="","",P12+Q12)</f>
        <v>1473</v>
      </c>
      <c r="E12" s="107">
        <f>IF(A12="","",C12-D12)</f>
        <v>24336</v>
      </c>
      <c r="F12" s="107">
        <f>IF(A12="","",IF(A12=計算過程!$B$71,0,MAX(0,F11-(計算過程!$B$76-P12))))</f>
        <v>1378576</v>
      </c>
      <c r="G12" s="107">
        <f>IF(A12="","",IF(A12=計算過程!$B$71,0,MAX(0,G11-(計算過程!$B$77-Q12))))</f>
        <v>0</v>
      </c>
      <c r="H12" s="107">
        <f>IF(A12="","",F12+G12)</f>
        <v>1378576</v>
      </c>
      <c r="I12" s="106">
        <f>IF(A12="","",IF(AND(OR(MONTH(B12)=6,MONTH(B12)=12),I11&lt;計算過程!$B$69),I11+1,I11))</f>
        <v>0</v>
      </c>
      <c r="J12" s="107">
        <f>IF(A12="","",IF(I12&gt;I11,IF(I12=計算過程!$B$69,M11+K12,計算過程!$B$81),0))</f>
        <v>0</v>
      </c>
      <c r="K12" s="107">
        <f>IF(A12="","",IF(I12&gt;I11,CHOOSE(計算過程!$B$72,ROUND(M11*計算過程!$B$79,0),ROUNDDOWN(M11*計算過程!$B$79,0),ROUNDUP(M11*計算過程!$B$79,0)),0))</f>
        <v>0</v>
      </c>
      <c r="L12" s="107">
        <f>IF(A12="","",J12-K12)</f>
        <v>0</v>
      </c>
      <c r="M12" s="107">
        <f>IF(A12="","",IF(I12&gt;I11,M11-L12,M11))</f>
        <v>0</v>
      </c>
      <c r="N12" s="107">
        <f>IF(A12="","",C12+J12)</f>
        <v>25809</v>
      </c>
      <c r="O12" s="107">
        <f>IF(A12="","",H12+M12)</f>
        <v>1378576</v>
      </c>
      <c r="P12" s="107">
        <f>IF(A12="","",CHOOSE(計算過程!$B$72,ROUND(F11*計算過程!$B$32/計算過程!$B$6,0),ROUNDDOWN(F11*計算過程!$B$32/計算過程!$B$6,0),ROUNDUP(F11*計算過程!$B$32/計算過程!$B$6,0)))</f>
        <v>1473</v>
      </c>
      <c r="Q12" s="107">
        <f>IF(A12="","",CHOOSE(計算過程!$B$72,ROUND(G11*計算過程!$B$33/計算過程!$B$6,0),ROUNDDOWN(G11*計算過程!$B$33/計算過程!$B$6,0),ROUNDUP(G11*計算過程!$B$33/計算過程!$B$6,0)))</f>
        <v>0</v>
      </c>
    </row>
    <row r="13" spans="1:17">
      <c r="A13" s="106">
        <f>IF(OR(計算過程!$B$98="",ROWS($A$8:A13)&gt;計算過程!$B$71),"",ROWS($A$8:A13))</f>
        <v>6</v>
      </c>
      <c r="B13" s="108">
        <f>IF(A13="","",EDATE(計算過程!$B$98,A13-1))</f>
        <v>46508</v>
      </c>
      <c r="C13" s="107">
        <f>IF(A13="","",IF(A13=計算過程!$B$71,D13+F12+G12,計算過程!$B$78))</f>
        <v>25809</v>
      </c>
      <c r="D13" s="107">
        <f>IF(A13="","",P13+Q13)</f>
        <v>1448</v>
      </c>
      <c r="E13" s="107">
        <f>IF(A13="","",C13-D13)</f>
        <v>24361</v>
      </c>
      <c r="F13" s="107">
        <f>IF(A13="","",IF(A13=計算過程!$B$71,0,MAX(0,F12-(計算過程!$B$76-P13))))</f>
        <v>1354215</v>
      </c>
      <c r="G13" s="107">
        <f>IF(A13="","",IF(A13=計算過程!$B$71,0,MAX(0,G12-(計算過程!$B$77-Q13))))</f>
        <v>0</v>
      </c>
      <c r="H13" s="107">
        <f>IF(A13="","",F13+G13)</f>
        <v>1354215</v>
      </c>
      <c r="I13" s="106">
        <f>IF(A13="","",IF(AND(OR(MONTH(B13)=6,MONTH(B13)=12),I12&lt;計算過程!$B$69),I12+1,I12))</f>
        <v>0</v>
      </c>
      <c r="J13" s="107">
        <f>IF(A13="","",IF(I13&gt;I12,IF(I13=計算過程!$B$69,M12+K13,計算過程!$B$81),0))</f>
        <v>0</v>
      </c>
      <c r="K13" s="107">
        <f>IF(A13="","",IF(I13&gt;I12,CHOOSE(計算過程!$B$72,ROUND(M12*計算過程!$B$79,0),ROUNDDOWN(M12*計算過程!$B$79,0),ROUNDUP(M12*計算過程!$B$79,0)),0))</f>
        <v>0</v>
      </c>
      <c r="L13" s="107">
        <f>IF(A13="","",J13-K13)</f>
        <v>0</v>
      </c>
      <c r="M13" s="107">
        <f>IF(A13="","",IF(I13&gt;I12,M12-L13,M12))</f>
        <v>0</v>
      </c>
      <c r="N13" s="107">
        <f>IF(A13="","",C13+J13)</f>
        <v>25809</v>
      </c>
      <c r="O13" s="107">
        <f>IF(A13="","",H13+M13)</f>
        <v>1354215</v>
      </c>
      <c r="P13" s="107">
        <f>IF(A13="","",CHOOSE(計算過程!$B$72,ROUND(F12*計算過程!$B$32/計算過程!$B$6,0),ROUNDDOWN(F12*計算過程!$B$32/計算過程!$B$6,0),ROUNDUP(F12*計算過程!$B$32/計算過程!$B$6,0)))</f>
        <v>1448</v>
      </c>
      <c r="Q13" s="107">
        <f>IF(A13="","",CHOOSE(計算過程!$B$72,ROUND(G12*計算過程!$B$33/計算過程!$B$6,0),ROUNDDOWN(G12*計算過程!$B$33/計算過程!$B$6,0),ROUNDUP(G12*計算過程!$B$33/計算過程!$B$6,0)))</f>
        <v>0</v>
      </c>
    </row>
    <row r="14" spans="1:17">
      <c r="A14" s="106">
        <f>IF(OR(計算過程!$B$98="",ROWS($A$8:A14)&gt;計算過程!$B$71),"",ROWS($A$8:A14))</f>
        <v>7</v>
      </c>
      <c r="B14" s="108">
        <f>IF(A14="","",EDATE(計算過程!$B$98,A14-1))</f>
        <v>46539</v>
      </c>
      <c r="C14" s="107">
        <f>IF(A14="","",IF(A14=計算過程!$B$71,D14+F13+G13,計算過程!$B$78))</f>
        <v>25809</v>
      </c>
      <c r="D14" s="107">
        <f>IF(A14="","",P14+Q14)</f>
        <v>1422</v>
      </c>
      <c r="E14" s="107">
        <f>IF(A14="","",C14-D14)</f>
        <v>24387</v>
      </c>
      <c r="F14" s="107">
        <f>IF(A14="","",IF(A14=計算過程!$B$71,0,MAX(0,F13-(計算過程!$B$76-P14))))</f>
        <v>1329828</v>
      </c>
      <c r="G14" s="107">
        <f>IF(A14="","",IF(A14=計算過程!$B$71,0,MAX(0,G13-(計算過程!$B$77-Q14))))</f>
        <v>0</v>
      </c>
      <c r="H14" s="107">
        <f>IF(A14="","",F14+G14)</f>
        <v>1329828</v>
      </c>
      <c r="I14" s="106">
        <f>IF(A14="","",IF(AND(OR(MONTH(B14)=6,MONTH(B14)=12),I13&lt;計算過程!$B$69),I13+1,I13))</f>
        <v>0</v>
      </c>
      <c r="J14" s="107">
        <f>IF(A14="","",IF(I14&gt;I13,IF(I14=計算過程!$B$69,M13+K14,計算過程!$B$81),0))</f>
        <v>0</v>
      </c>
      <c r="K14" s="107">
        <f>IF(A14="","",IF(I14&gt;I13,CHOOSE(計算過程!$B$72,ROUND(M13*計算過程!$B$79,0),ROUNDDOWN(M13*計算過程!$B$79,0),ROUNDUP(M13*計算過程!$B$79,0)),0))</f>
        <v>0</v>
      </c>
      <c r="L14" s="107">
        <f>IF(A14="","",J14-K14)</f>
        <v>0</v>
      </c>
      <c r="M14" s="107">
        <f>IF(A14="","",IF(I14&gt;I13,M13-L14,M13))</f>
        <v>0</v>
      </c>
      <c r="N14" s="107">
        <f>IF(A14="","",C14+J14)</f>
        <v>25809</v>
      </c>
      <c r="O14" s="107">
        <f>IF(A14="","",H14+M14)</f>
        <v>1329828</v>
      </c>
      <c r="P14" s="107">
        <f>IF(A14="","",CHOOSE(計算過程!$B$72,ROUND(F13*計算過程!$B$32/計算過程!$B$6,0),ROUNDDOWN(F13*計算過程!$B$32/計算過程!$B$6,0),ROUNDUP(F13*計算過程!$B$32/計算過程!$B$6,0)))</f>
        <v>1422</v>
      </c>
      <c r="Q14" s="107">
        <f>IF(A14="","",CHOOSE(計算過程!$B$72,ROUND(G13*計算過程!$B$33/計算過程!$B$6,0),ROUNDDOWN(G13*計算過程!$B$33/計算過程!$B$6,0),ROUNDUP(G13*計算過程!$B$33/計算過程!$B$6,0)))</f>
        <v>0</v>
      </c>
    </row>
    <row r="15" spans="1:17">
      <c r="A15" s="106">
        <f>IF(OR(計算過程!$B$98="",ROWS($A$8:A15)&gt;計算過程!$B$71),"",ROWS($A$8:A15))</f>
        <v>8</v>
      </c>
      <c r="B15" s="108">
        <f>IF(A15="","",EDATE(計算過程!$B$98,A15-1))</f>
        <v>46569</v>
      </c>
      <c r="C15" s="107">
        <f>IF(A15="","",IF(A15=計算過程!$B$71,D15+F14+G14,計算過程!$B$78))</f>
        <v>25809</v>
      </c>
      <c r="D15" s="107">
        <f>IF(A15="","",P15+Q15)</f>
        <v>1396</v>
      </c>
      <c r="E15" s="107">
        <f>IF(A15="","",C15-D15)</f>
        <v>24413</v>
      </c>
      <c r="F15" s="107">
        <f>IF(A15="","",IF(A15=計算過程!$B$71,0,MAX(0,F14-(計算過程!$B$76-P15))))</f>
        <v>1305415</v>
      </c>
      <c r="G15" s="107">
        <f>IF(A15="","",IF(A15=計算過程!$B$71,0,MAX(0,G14-(計算過程!$B$77-Q15))))</f>
        <v>0</v>
      </c>
      <c r="H15" s="107">
        <f>IF(A15="","",F15+G15)</f>
        <v>1305415</v>
      </c>
      <c r="I15" s="106">
        <f>IF(A15="","",IF(AND(OR(MONTH(B15)=6,MONTH(B15)=12),I14&lt;計算過程!$B$69),I14+1,I14))</f>
        <v>0</v>
      </c>
      <c r="J15" s="107">
        <f>IF(A15="","",IF(I15&gt;I14,IF(I15=計算過程!$B$69,M14+K15,計算過程!$B$81),0))</f>
        <v>0</v>
      </c>
      <c r="K15" s="107">
        <f>IF(A15="","",IF(I15&gt;I14,CHOOSE(計算過程!$B$72,ROUND(M14*計算過程!$B$79,0),ROUNDDOWN(M14*計算過程!$B$79,0),ROUNDUP(M14*計算過程!$B$79,0)),0))</f>
        <v>0</v>
      </c>
      <c r="L15" s="107">
        <f>IF(A15="","",J15-K15)</f>
        <v>0</v>
      </c>
      <c r="M15" s="107">
        <f>IF(A15="","",IF(I15&gt;I14,M14-L15,M14))</f>
        <v>0</v>
      </c>
      <c r="N15" s="107">
        <f>IF(A15="","",C15+J15)</f>
        <v>25809</v>
      </c>
      <c r="O15" s="107">
        <f>IF(A15="","",H15+M15)</f>
        <v>1305415</v>
      </c>
      <c r="P15" s="107">
        <f>IF(A15="","",CHOOSE(計算過程!$B$72,ROUND(F14*計算過程!$B$32/計算過程!$B$6,0),ROUNDDOWN(F14*計算過程!$B$32/計算過程!$B$6,0),ROUNDUP(F14*計算過程!$B$32/計算過程!$B$6,0)))</f>
        <v>1396</v>
      </c>
      <c r="Q15" s="107">
        <f>IF(A15="","",CHOOSE(計算過程!$B$72,ROUND(G14*計算過程!$B$33/計算過程!$B$6,0),ROUNDDOWN(G14*計算過程!$B$33/計算過程!$B$6,0),ROUNDUP(G14*計算過程!$B$33/計算過程!$B$6,0)))</f>
        <v>0</v>
      </c>
    </row>
    <row r="16" spans="1:17">
      <c r="A16" s="106">
        <f>IF(OR(計算過程!$B$98="",ROWS($A$8:A16)&gt;計算過程!$B$71),"",ROWS($A$8:A16))</f>
        <v>9</v>
      </c>
      <c r="B16" s="108">
        <f>IF(A16="","",EDATE(計算過程!$B$98,A16-1))</f>
        <v>46600</v>
      </c>
      <c r="C16" s="107">
        <f>IF(A16="","",IF(A16=計算過程!$B$71,D16+F15+G15,計算過程!$B$78))</f>
        <v>25809</v>
      </c>
      <c r="D16" s="107">
        <f>IF(A16="","",P16+Q16)</f>
        <v>1371</v>
      </c>
      <c r="E16" s="107">
        <f>IF(A16="","",C16-D16)</f>
        <v>24438</v>
      </c>
      <c r="F16" s="107">
        <f>IF(A16="","",IF(A16=計算過程!$B$71,0,MAX(0,F15-(計算過程!$B$76-P16))))</f>
        <v>1280977</v>
      </c>
      <c r="G16" s="107">
        <f>IF(A16="","",IF(A16=計算過程!$B$71,0,MAX(0,G15-(計算過程!$B$77-Q16))))</f>
        <v>0</v>
      </c>
      <c r="H16" s="107">
        <f>IF(A16="","",F16+G16)</f>
        <v>1280977</v>
      </c>
      <c r="I16" s="106">
        <f>IF(A16="","",IF(AND(OR(MONTH(B16)=6,MONTH(B16)=12),I15&lt;計算過程!$B$69),I15+1,I15))</f>
        <v>0</v>
      </c>
      <c r="J16" s="107">
        <f>IF(A16="","",IF(I16&gt;I15,IF(I16=計算過程!$B$69,M15+K16,計算過程!$B$81),0))</f>
        <v>0</v>
      </c>
      <c r="K16" s="107">
        <f>IF(A16="","",IF(I16&gt;I15,CHOOSE(計算過程!$B$72,ROUND(M15*計算過程!$B$79,0),ROUNDDOWN(M15*計算過程!$B$79,0),ROUNDUP(M15*計算過程!$B$79,0)),0))</f>
        <v>0</v>
      </c>
      <c r="L16" s="107">
        <f>IF(A16="","",J16-K16)</f>
        <v>0</v>
      </c>
      <c r="M16" s="107">
        <f>IF(A16="","",IF(I16&gt;I15,M15-L16,M15))</f>
        <v>0</v>
      </c>
      <c r="N16" s="107">
        <f>IF(A16="","",C16+J16)</f>
        <v>25809</v>
      </c>
      <c r="O16" s="107">
        <f>IF(A16="","",H16+M16)</f>
        <v>1280977</v>
      </c>
      <c r="P16" s="107">
        <f>IF(A16="","",CHOOSE(計算過程!$B$72,ROUND(F15*計算過程!$B$32/計算過程!$B$6,0),ROUNDDOWN(F15*計算過程!$B$32/計算過程!$B$6,0),ROUNDUP(F15*計算過程!$B$32/計算過程!$B$6,0)))</f>
        <v>1371</v>
      </c>
      <c r="Q16" s="107">
        <f>IF(A16="","",CHOOSE(計算過程!$B$72,ROUND(G15*計算過程!$B$33/計算過程!$B$6,0),ROUNDDOWN(G15*計算過程!$B$33/計算過程!$B$6,0),ROUNDUP(G15*計算過程!$B$33/計算過程!$B$6,0)))</f>
        <v>0</v>
      </c>
    </row>
    <row r="17" spans="1:17">
      <c r="A17" s="106">
        <f>IF(OR(計算過程!$B$98="",ROWS($A$8:A17)&gt;計算過程!$B$71),"",ROWS($A$8:A17))</f>
        <v>10</v>
      </c>
      <c r="B17" s="108">
        <f>IF(A17="","",EDATE(計算過程!$B$98,A17-1))</f>
        <v>46631</v>
      </c>
      <c r="C17" s="107">
        <f>IF(A17="","",IF(A17=計算過程!$B$71,D17+F16+G16,計算過程!$B$78))</f>
        <v>25809</v>
      </c>
      <c r="D17" s="107">
        <f>IF(A17="","",P17+Q17)</f>
        <v>1345</v>
      </c>
      <c r="E17" s="107">
        <f>IF(A17="","",C17-D17)</f>
        <v>24464</v>
      </c>
      <c r="F17" s="107">
        <f>IF(A17="","",IF(A17=計算過程!$B$71,0,MAX(0,F16-(計算過程!$B$76-P17))))</f>
        <v>1256513</v>
      </c>
      <c r="G17" s="107">
        <f>IF(A17="","",IF(A17=計算過程!$B$71,0,MAX(0,G16-(計算過程!$B$77-Q17))))</f>
        <v>0</v>
      </c>
      <c r="H17" s="107">
        <f>IF(A17="","",F17+G17)</f>
        <v>1256513</v>
      </c>
      <c r="I17" s="106">
        <f>IF(A17="","",IF(AND(OR(MONTH(B17)=6,MONTH(B17)=12),I16&lt;計算過程!$B$69),I16+1,I16))</f>
        <v>0</v>
      </c>
      <c r="J17" s="107">
        <f>IF(A17="","",IF(I17&gt;I16,IF(I17=計算過程!$B$69,M16+K17,計算過程!$B$81),0))</f>
        <v>0</v>
      </c>
      <c r="K17" s="107">
        <f>IF(A17="","",IF(I17&gt;I16,CHOOSE(計算過程!$B$72,ROUND(M16*計算過程!$B$79,0),ROUNDDOWN(M16*計算過程!$B$79,0),ROUNDUP(M16*計算過程!$B$79,0)),0))</f>
        <v>0</v>
      </c>
      <c r="L17" s="107">
        <f>IF(A17="","",J17-K17)</f>
        <v>0</v>
      </c>
      <c r="M17" s="107">
        <f>IF(A17="","",IF(I17&gt;I16,M16-L17,M16))</f>
        <v>0</v>
      </c>
      <c r="N17" s="107">
        <f>IF(A17="","",C17+J17)</f>
        <v>25809</v>
      </c>
      <c r="O17" s="107">
        <f>IF(A17="","",H17+M17)</f>
        <v>1256513</v>
      </c>
      <c r="P17" s="107">
        <f>IF(A17="","",CHOOSE(計算過程!$B$72,ROUND(F16*計算過程!$B$32/計算過程!$B$6,0),ROUNDDOWN(F16*計算過程!$B$32/計算過程!$B$6,0),ROUNDUP(F16*計算過程!$B$32/計算過程!$B$6,0)))</f>
        <v>1345</v>
      </c>
      <c r="Q17" s="107">
        <f>IF(A17="","",CHOOSE(計算過程!$B$72,ROUND(G16*計算過程!$B$33/計算過程!$B$6,0),ROUNDDOWN(G16*計算過程!$B$33/計算過程!$B$6,0),ROUNDUP(G16*計算過程!$B$33/計算過程!$B$6,0)))</f>
        <v>0</v>
      </c>
    </row>
    <row r="18" spans="1:17">
      <c r="A18" s="106">
        <f>IF(OR(計算過程!$B$98="",ROWS($A$8:A18)&gt;計算過程!$B$71),"",ROWS($A$8:A18))</f>
        <v>11</v>
      </c>
      <c r="B18" s="108">
        <f>IF(A18="","",EDATE(計算過程!$B$98,A18-1))</f>
        <v>46661</v>
      </c>
      <c r="C18" s="107">
        <f>IF(A18="","",IF(A18=計算過程!$B$71,D18+F17+G17,計算過程!$B$78))</f>
        <v>25809</v>
      </c>
      <c r="D18" s="107">
        <f>IF(A18="","",P18+Q18)</f>
        <v>1319</v>
      </c>
      <c r="E18" s="107">
        <f>IF(A18="","",C18-D18)</f>
        <v>24490</v>
      </c>
      <c r="F18" s="107">
        <f>IF(A18="","",IF(A18=計算過程!$B$71,0,MAX(0,F17-(計算過程!$B$76-P18))))</f>
        <v>1232023</v>
      </c>
      <c r="G18" s="107">
        <f>IF(A18="","",IF(A18=計算過程!$B$71,0,MAX(0,G17-(計算過程!$B$77-Q18))))</f>
        <v>0</v>
      </c>
      <c r="H18" s="107">
        <f>IF(A18="","",F18+G18)</f>
        <v>1232023</v>
      </c>
      <c r="I18" s="106">
        <f>IF(A18="","",IF(AND(OR(MONTH(B18)=6,MONTH(B18)=12),I17&lt;計算過程!$B$69),I17+1,I17))</f>
        <v>0</v>
      </c>
      <c r="J18" s="107">
        <f>IF(A18="","",IF(I18&gt;I17,IF(I18=計算過程!$B$69,M17+K18,計算過程!$B$81),0))</f>
        <v>0</v>
      </c>
      <c r="K18" s="107">
        <f>IF(A18="","",IF(I18&gt;I17,CHOOSE(計算過程!$B$72,ROUND(M17*計算過程!$B$79,0),ROUNDDOWN(M17*計算過程!$B$79,0),ROUNDUP(M17*計算過程!$B$79,0)),0))</f>
        <v>0</v>
      </c>
      <c r="L18" s="107">
        <f>IF(A18="","",J18-K18)</f>
        <v>0</v>
      </c>
      <c r="M18" s="107">
        <f>IF(A18="","",IF(I18&gt;I17,M17-L18,M17))</f>
        <v>0</v>
      </c>
      <c r="N18" s="107">
        <f>IF(A18="","",C18+J18)</f>
        <v>25809</v>
      </c>
      <c r="O18" s="107">
        <f>IF(A18="","",H18+M18)</f>
        <v>1232023</v>
      </c>
      <c r="P18" s="107">
        <f>IF(A18="","",CHOOSE(計算過程!$B$72,ROUND(F17*計算過程!$B$32/計算過程!$B$6,0),ROUNDDOWN(F17*計算過程!$B$32/計算過程!$B$6,0),ROUNDUP(F17*計算過程!$B$32/計算過程!$B$6,0)))</f>
        <v>1319</v>
      </c>
      <c r="Q18" s="107">
        <f>IF(A18="","",CHOOSE(計算過程!$B$72,ROUND(G17*計算過程!$B$33/計算過程!$B$6,0),ROUNDDOWN(G17*計算過程!$B$33/計算過程!$B$6,0),ROUNDUP(G17*計算過程!$B$33/計算過程!$B$6,0)))</f>
        <v>0</v>
      </c>
    </row>
    <row r="19" spans="1:17">
      <c r="A19" s="106">
        <f>IF(OR(計算過程!$B$98="",ROWS($A$8:A19)&gt;計算過程!$B$71),"",ROWS($A$8:A19))</f>
        <v>12</v>
      </c>
      <c r="B19" s="108">
        <f>IF(A19="","",EDATE(計算過程!$B$98,A19-1))</f>
        <v>46692</v>
      </c>
      <c r="C19" s="107">
        <f>IF(A19="","",IF(A19=計算過程!$B$71,D19+F18+G18,計算過程!$B$78))</f>
        <v>25809</v>
      </c>
      <c r="D19" s="107">
        <f>IF(A19="","",P19+Q19)</f>
        <v>1294</v>
      </c>
      <c r="E19" s="107">
        <f>IF(A19="","",C19-D19)</f>
        <v>24515</v>
      </c>
      <c r="F19" s="107">
        <f>IF(A19="","",IF(A19=計算過程!$B$71,0,MAX(0,F18-(計算過程!$B$76-P19))))</f>
        <v>1207508</v>
      </c>
      <c r="G19" s="107">
        <f>IF(A19="","",IF(A19=計算過程!$B$71,0,MAX(0,G18-(計算過程!$B$77-Q19))))</f>
        <v>0</v>
      </c>
      <c r="H19" s="107">
        <f>IF(A19="","",F19+G19)</f>
        <v>1207508</v>
      </c>
      <c r="I19" s="106">
        <f>IF(A19="","",IF(AND(OR(MONTH(B19)=6,MONTH(B19)=12),I18&lt;計算過程!$B$69),I18+1,I18))</f>
        <v>0</v>
      </c>
      <c r="J19" s="107">
        <f>IF(A19="","",IF(I19&gt;I18,IF(I19=計算過程!$B$69,M18+K19,計算過程!$B$81),0))</f>
        <v>0</v>
      </c>
      <c r="K19" s="107">
        <f>IF(A19="","",IF(I19&gt;I18,CHOOSE(計算過程!$B$72,ROUND(M18*計算過程!$B$79,0),ROUNDDOWN(M18*計算過程!$B$79,0),ROUNDUP(M18*計算過程!$B$79,0)),0))</f>
        <v>0</v>
      </c>
      <c r="L19" s="107">
        <f>IF(A19="","",J19-K19)</f>
        <v>0</v>
      </c>
      <c r="M19" s="107">
        <f>IF(A19="","",IF(I19&gt;I18,M18-L19,M18))</f>
        <v>0</v>
      </c>
      <c r="N19" s="107">
        <f>IF(A19="","",C19+J19)</f>
        <v>25809</v>
      </c>
      <c r="O19" s="107">
        <f>IF(A19="","",H19+M19)</f>
        <v>1207508</v>
      </c>
      <c r="P19" s="107">
        <f>IF(A19="","",CHOOSE(計算過程!$B$72,ROUND(F18*計算過程!$B$32/計算過程!$B$6,0),ROUNDDOWN(F18*計算過程!$B$32/計算過程!$B$6,0),ROUNDUP(F18*計算過程!$B$32/計算過程!$B$6,0)))</f>
        <v>1294</v>
      </c>
      <c r="Q19" s="107">
        <f>IF(A19="","",CHOOSE(計算過程!$B$72,ROUND(G18*計算過程!$B$33/計算過程!$B$6,0),ROUNDDOWN(G18*計算過程!$B$33/計算過程!$B$6,0),ROUNDUP(G18*計算過程!$B$33/計算過程!$B$6,0)))</f>
        <v>0</v>
      </c>
    </row>
    <row r="20" spans="1:17">
      <c r="A20" s="106">
        <f>IF(OR(計算過程!$B$98="",ROWS($A$8:A20)&gt;計算過程!$B$71),"",ROWS($A$8:A20))</f>
        <v>13</v>
      </c>
      <c r="B20" s="108">
        <f>IF(A20="","",EDATE(計算過程!$B$98,A20-1))</f>
        <v>46722</v>
      </c>
      <c r="C20" s="107">
        <f>IF(A20="","",IF(A20=計算過程!$B$71,D20+F19+G19,計算過程!$B$78))</f>
        <v>25809</v>
      </c>
      <c r="D20" s="107">
        <f>IF(A20="","",P20+Q20)</f>
        <v>1268</v>
      </c>
      <c r="E20" s="107">
        <f>IF(A20="","",C20-D20)</f>
        <v>24541</v>
      </c>
      <c r="F20" s="107">
        <f>IF(A20="","",IF(A20=計算過程!$B$71,0,MAX(0,F19-(計算過程!$B$76-P20))))</f>
        <v>1182967</v>
      </c>
      <c r="G20" s="107">
        <f>IF(A20="","",IF(A20=計算過程!$B$71,0,MAX(0,G19-(計算過程!$B$77-Q20))))</f>
        <v>0</v>
      </c>
      <c r="H20" s="107">
        <f>IF(A20="","",F20+G20)</f>
        <v>1182967</v>
      </c>
      <c r="I20" s="106">
        <f>IF(A20="","",IF(AND(OR(MONTH(B20)=6,MONTH(B20)=12),I19&lt;計算過程!$B$69),I19+1,I19))</f>
        <v>0</v>
      </c>
      <c r="J20" s="107">
        <f>IF(A20="","",IF(I20&gt;I19,IF(I20=計算過程!$B$69,M19+K20,計算過程!$B$81),0))</f>
        <v>0</v>
      </c>
      <c r="K20" s="107">
        <f>IF(A20="","",IF(I20&gt;I19,CHOOSE(計算過程!$B$72,ROUND(M19*計算過程!$B$79,0),ROUNDDOWN(M19*計算過程!$B$79,0),ROUNDUP(M19*計算過程!$B$79,0)),0))</f>
        <v>0</v>
      </c>
      <c r="L20" s="107">
        <f>IF(A20="","",J20-K20)</f>
        <v>0</v>
      </c>
      <c r="M20" s="107">
        <f>IF(A20="","",IF(I20&gt;I19,M19-L20,M19))</f>
        <v>0</v>
      </c>
      <c r="N20" s="107">
        <f>IF(A20="","",C20+J20)</f>
        <v>25809</v>
      </c>
      <c r="O20" s="107">
        <f>IF(A20="","",H20+M20)</f>
        <v>1182967</v>
      </c>
      <c r="P20" s="107">
        <f>IF(A20="","",CHOOSE(計算過程!$B$72,ROUND(F19*計算過程!$B$32/計算過程!$B$6,0),ROUNDDOWN(F19*計算過程!$B$32/計算過程!$B$6,0),ROUNDUP(F19*計算過程!$B$32/計算過程!$B$6,0)))</f>
        <v>1268</v>
      </c>
      <c r="Q20" s="107">
        <f>IF(A20="","",CHOOSE(計算過程!$B$72,ROUND(G19*計算過程!$B$33/計算過程!$B$6,0),ROUNDDOWN(G19*計算過程!$B$33/計算過程!$B$6,0),ROUNDUP(G19*計算過程!$B$33/計算過程!$B$6,0)))</f>
        <v>0</v>
      </c>
    </row>
    <row r="21" spans="1:17">
      <c r="A21" s="106">
        <f>IF(OR(計算過程!$B$98="",ROWS($A$8:A21)&gt;計算過程!$B$71),"",ROWS($A$8:A21))</f>
        <v>14</v>
      </c>
      <c r="B21" s="108">
        <f>IF(A21="","",EDATE(計算過程!$B$98,A21-1))</f>
        <v>46753</v>
      </c>
      <c r="C21" s="107">
        <f>IF(A21="","",IF(A21=計算過程!$B$71,D21+F20+G20,計算過程!$B$78))</f>
        <v>25809</v>
      </c>
      <c r="D21" s="107">
        <f>IF(A21="","",P21+Q21)</f>
        <v>1242</v>
      </c>
      <c r="E21" s="107">
        <f>IF(A21="","",C21-D21)</f>
        <v>24567</v>
      </c>
      <c r="F21" s="107">
        <f>IF(A21="","",IF(A21=計算過程!$B$71,0,MAX(0,F20-(計算過程!$B$76-P21))))</f>
        <v>1158400</v>
      </c>
      <c r="G21" s="107">
        <f>IF(A21="","",IF(A21=計算過程!$B$71,0,MAX(0,G20-(計算過程!$B$77-Q21))))</f>
        <v>0</v>
      </c>
      <c r="H21" s="107">
        <f>IF(A21="","",F21+G21)</f>
        <v>1158400</v>
      </c>
      <c r="I21" s="106">
        <f>IF(A21="","",IF(AND(OR(MONTH(B21)=6,MONTH(B21)=12),I20&lt;計算過程!$B$69),I20+1,I20))</f>
        <v>0</v>
      </c>
      <c r="J21" s="107">
        <f>IF(A21="","",IF(I21&gt;I20,IF(I21=計算過程!$B$69,M20+K21,計算過程!$B$81),0))</f>
        <v>0</v>
      </c>
      <c r="K21" s="107">
        <f>IF(A21="","",IF(I21&gt;I20,CHOOSE(計算過程!$B$72,ROUND(M20*計算過程!$B$79,0),ROUNDDOWN(M20*計算過程!$B$79,0),ROUNDUP(M20*計算過程!$B$79,0)),0))</f>
        <v>0</v>
      </c>
      <c r="L21" s="107">
        <f>IF(A21="","",J21-K21)</f>
        <v>0</v>
      </c>
      <c r="M21" s="107">
        <f>IF(A21="","",IF(I21&gt;I20,M20-L21,M20))</f>
        <v>0</v>
      </c>
      <c r="N21" s="107">
        <f>IF(A21="","",C21+J21)</f>
        <v>25809</v>
      </c>
      <c r="O21" s="107">
        <f>IF(A21="","",H21+M21)</f>
        <v>1158400</v>
      </c>
      <c r="P21" s="107">
        <f>IF(A21="","",CHOOSE(計算過程!$B$72,ROUND(F20*計算過程!$B$32/計算過程!$B$6,0),ROUNDDOWN(F20*計算過程!$B$32/計算過程!$B$6,0),ROUNDUP(F20*計算過程!$B$32/計算過程!$B$6,0)))</f>
        <v>1242</v>
      </c>
      <c r="Q21" s="107">
        <f>IF(A21="","",CHOOSE(計算過程!$B$72,ROUND(G20*計算過程!$B$33/計算過程!$B$6,0),ROUNDDOWN(G20*計算過程!$B$33/計算過程!$B$6,0),ROUNDUP(G20*計算過程!$B$33/計算過程!$B$6,0)))</f>
        <v>0</v>
      </c>
    </row>
    <row r="22" spans="1:17">
      <c r="A22" s="106">
        <f>IF(OR(計算過程!$B$98="",ROWS($A$8:A22)&gt;計算過程!$B$71),"",ROWS($A$8:A22))</f>
        <v>15</v>
      </c>
      <c r="B22" s="108">
        <f>IF(A22="","",EDATE(計算過程!$B$98,A22-1))</f>
        <v>46784</v>
      </c>
      <c r="C22" s="107">
        <f>IF(A22="","",IF(A22=計算過程!$B$71,D22+F21+G21,計算過程!$B$78))</f>
        <v>25809</v>
      </c>
      <c r="D22" s="107">
        <f>IF(A22="","",P22+Q22)</f>
        <v>1216</v>
      </c>
      <c r="E22" s="107">
        <f>IF(A22="","",C22-D22)</f>
        <v>24593</v>
      </c>
      <c r="F22" s="107">
        <f>IF(A22="","",IF(A22=計算過程!$B$71,0,MAX(0,F21-(計算過程!$B$76-P22))))</f>
        <v>1133807</v>
      </c>
      <c r="G22" s="107">
        <f>IF(A22="","",IF(A22=計算過程!$B$71,0,MAX(0,G21-(計算過程!$B$77-Q22))))</f>
        <v>0</v>
      </c>
      <c r="H22" s="107">
        <f>IF(A22="","",F22+G22)</f>
        <v>1133807</v>
      </c>
      <c r="I22" s="106">
        <f>IF(A22="","",IF(AND(OR(MONTH(B22)=6,MONTH(B22)=12),I21&lt;計算過程!$B$69),I21+1,I21))</f>
        <v>0</v>
      </c>
      <c r="J22" s="107">
        <f>IF(A22="","",IF(I22&gt;I21,IF(I22=計算過程!$B$69,M21+K22,計算過程!$B$81),0))</f>
        <v>0</v>
      </c>
      <c r="K22" s="107">
        <f>IF(A22="","",IF(I22&gt;I21,CHOOSE(計算過程!$B$72,ROUND(M21*計算過程!$B$79,0),ROUNDDOWN(M21*計算過程!$B$79,0),ROUNDUP(M21*計算過程!$B$79,0)),0))</f>
        <v>0</v>
      </c>
      <c r="L22" s="107">
        <f>IF(A22="","",J22-K22)</f>
        <v>0</v>
      </c>
      <c r="M22" s="107">
        <f>IF(A22="","",IF(I22&gt;I21,M21-L22,M21))</f>
        <v>0</v>
      </c>
      <c r="N22" s="107">
        <f>IF(A22="","",C22+J22)</f>
        <v>25809</v>
      </c>
      <c r="O22" s="107">
        <f>IF(A22="","",H22+M22)</f>
        <v>1133807</v>
      </c>
      <c r="P22" s="107">
        <f>IF(A22="","",CHOOSE(計算過程!$B$72,ROUND(F21*計算過程!$B$32/計算過程!$B$6,0),ROUNDDOWN(F21*計算過程!$B$32/計算過程!$B$6,0),ROUNDUP(F21*計算過程!$B$32/計算過程!$B$6,0)))</f>
        <v>1216</v>
      </c>
      <c r="Q22" s="107">
        <f>IF(A22="","",CHOOSE(計算過程!$B$72,ROUND(G21*計算過程!$B$33/計算過程!$B$6,0),ROUNDDOWN(G21*計算過程!$B$33/計算過程!$B$6,0),ROUNDUP(G21*計算過程!$B$33/計算過程!$B$6,0)))</f>
        <v>0</v>
      </c>
    </row>
    <row r="23" spans="1:17">
      <c r="A23" s="106">
        <f>IF(OR(計算過程!$B$98="",ROWS($A$8:A23)&gt;計算過程!$B$71),"",ROWS($A$8:A23))</f>
        <v>16</v>
      </c>
      <c r="B23" s="108">
        <f>IF(A23="","",EDATE(計算過程!$B$98,A23-1))</f>
        <v>46813</v>
      </c>
      <c r="C23" s="107">
        <f>IF(A23="","",IF(A23=計算過程!$B$71,D23+F22+G22,計算過程!$B$78))</f>
        <v>25809</v>
      </c>
      <c r="D23" s="107">
        <f>IF(A23="","",P23+Q23)</f>
        <v>1190</v>
      </c>
      <c r="E23" s="107">
        <f>IF(A23="","",C23-D23)</f>
        <v>24619</v>
      </c>
      <c r="F23" s="107">
        <f>IF(A23="","",IF(A23=計算過程!$B$71,0,MAX(0,F22-(計算過程!$B$76-P23))))</f>
        <v>1109188</v>
      </c>
      <c r="G23" s="107">
        <f>IF(A23="","",IF(A23=計算過程!$B$71,0,MAX(0,G22-(計算過程!$B$77-Q23))))</f>
        <v>0</v>
      </c>
      <c r="H23" s="107">
        <f>IF(A23="","",F23+G23)</f>
        <v>1109188</v>
      </c>
      <c r="I23" s="106">
        <f>IF(A23="","",IF(AND(OR(MONTH(B23)=6,MONTH(B23)=12),I22&lt;計算過程!$B$69),I22+1,I22))</f>
        <v>0</v>
      </c>
      <c r="J23" s="107">
        <f>IF(A23="","",IF(I23&gt;I22,IF(I23=計算過程!$B$69,M22+K23,計算過程!$B$81),0))</f>
        <v>0</v>
      </c>
      <c r="K23" s="107">
        <f>IF(A23="","",IF(I23&gt;I22,CHOOSE(計算過程!$B$72,ROUND(M22*計算過程!$B$79,0),ROUNDDOWN(M22*計算過程!$B$79,0),ROUNDUP(M22*計算過程!$B$79,0)),0))</f>
        <v>0</v>
      </c>
      <c r="L23" s="107">
        <f>IF(A23="","",J23-K23)</f>
        <v>0</v>
      </c>
      <c r="M23" s="107">
        <f>IF(A23="","",IF(I23&gt;I22,M22-L23,M22))</f>
        <v>0</v>
      </c>
      <c r="N23" s="107">
        <f>IF(A23="","",C23+J23)</f>
        <v>25809</v>
      </c>
      <c r="O23" s="107">
        <f>IF(A23="","",H23+M23)</f>
        <v>1109188</v>
      </c>
      <c r="P23" s="107">
        <f>IF(A23="","",CHOOSE(計算過程!$B$72,ROUND(F22*計算過程!$B$32/計算過程!$B$6,0),ROUNDDOWN(F22*計算過程!$B$32/計算過程!$B$6,0),ROUNDUP(F22*計算過程!$B$32/計算過程!$B$6,0)))</f>
        <v>1190</v>
      </c>
      <c r="Q23" s="107">
        <f>IF(A23="","",CHOOSE(計算過程!$B$72,ROUND(G22*計算過程!$B$33/計算過程!$B$6,0),ROUNDDOWN(G22*計算過程!$B$33/計算過程!$B$6,0),ROUNDUP(G22*計算過程!$B$33/計算過程!$B$6,0)))</f>
        <v>0</v>
      </c>
    </row>
    <row r="24" spans="1:17">
      <c r="A24" s="106">
        <f>IF(OR(計算過程!$B$98="",ROWS($A$8:A24)&gt;計算過程!$B$71),"",ROWS($A$8:A24))</f>
        <v>17</v>
      </c>
      <c r="B24" s="108">
        <f>IF(A24="","",EDATE(計算過程!$B$98,A24-1))</f>
        <v>46844</v>
      </c>
      <c r="C24" s="107">
        <f>IF(A24="","",IF(A24=計算過程!$B$71,D24+F23+G23,計算過程!$B$78))</f>
        <v>25809</v>
      </c>
      <c r="D24" s="107">
        <f>IF(A24="","",P24+Q24)</f>
        <v>1165</v>
      </c>
      <c r="E24" s="107">
        <f>IF(A24="","",C24-D24)</f>
        <v>24644</v>
      </c>
      <c r="F24" s="107">
        <f>IF(A24="","",IF(A24=計算過程!$B$71,0,MAX(0,F23-(計算過程!$B$76-P24))))</f>
        <v>1084544</v>
      </c>
      <c r="G24" s="107">
        <f>IF(A24="","",IF(A24=計算過程!$B$71,0,MAX(0,G23-(計算過程!$B$77-Q24))))</f>
        <v>0</v>
      </c>
      <c r="H24" s="107">
        <f>IF(A24="","",F24+G24)</f>
        <v>1084544</v>
      </c>
      <c r="I24" s="106">
        <f>IF(A24="","",IF(AND(OR(MONTH(B24)=6,MONTH(B24)=12),I23&lt;計算過程!$B$69),I23+1,I23))</f>
        <v>0</v>
      </c>
      <c r="J24" s="107">
        <f>IF(A24="","",IF(I24&gt;I23,IF(I24=計算過程!$B$69,M23+K24,計算過程!$B$81),0))</f>
        <v>0</v>
      </c>
      <c r="K24" s="107">
        <f>IF(A24="","",IF(I24&gt;I23,CHOOSE(計算過程!$B$72,ROUND(M23*計算過程!$B$79,0),ROUNDDOWN(M23*計算過程!$B$79,0),ROUNDUP(M23*計算過程!$B$79,0)),0))</f>
        <v>0</v>
      </c>
      <c r="L24" s="107">
        <f>IF(A24="","",J24-K24)</f>
        <v>0</v>
      </c>
      <c r="M24" s="107">
        <f>IF(A24="","",IF(I24&gt;I23,M23-L24,M23))</f>
        <v>0</v>
      </c>
      <c r="N24" s="107">
        <f>IF(A24="","",C24+J24)</f>
        <v>25809</v>
      </c>
      <c r="O24" s="107">
        <f>IF(A24="","",H24+M24)</f>
        <v>1084544</v>
      </c>
      <c r="P24" s="107">
        <f>IF(A24="","",CHOOSE(計算過程!$B$72,ROUND(F23*計算過程!$B$32/計算過程!$B$6,0),ROUNDDOWN(F23*計算過程!$B$32/計算過程!$B$6,0),ROUNDUP(F23*計算過程!$B$32/計算過程!$B$6,0)))</f>
        <v>1165</v>
      </c>
      <c r="Q24" s="107">
        <f>IF(A24="","",CHOOSE(計算過程!$B$72,ROUND(G23*計算過程!$B$33/計算過程!$B$6,0),ROUNDDOWN(G23*計算過程!$B$33/計算過程!$B$6,0),ROUNDUP(G23*計算過程!$B$33/計算過程!$B$6,0)))</f>
        <v>0</v>
      </c>
    </row>
    <row r="25" spans="1:17">
      <c r="A25" s="106">
        <f>IF(OR(計算過程!$B$98="",ROWS($A$8:A25)&gt;計算過程!$B$71),"",ROWS($A$8:A25))</f>
        <v>18</v>
      </c>
      <c r="B25" s="108">
        <f>IF(A25="","",EDATE(計算過程!$B$98,A25-1))</f>
        <v>46874</v>
      </c>
      <c r="C25" s="107">
        <f>IF(A25="","",IF(A25=計算過程!$B$71,D25+F24+G24,計算過程!$B$78))</f>
        <v>25809</v>
      </c>
      <c r="D25" s="107">
        <f>IF(A25="","",P25+Q25)</f>
        <v>1139</v>
      </c>
      <c r="E25" s="107">
        <f>IF(A25="","",C25-D25)</f>
        <v>24670</v>
      </c>
      <c r="F25" s="107">
        <f>IF(A25="","",IF(A25=計算過程!$B$71,0,MAX(0,F24-(計算過程!$B$76-P25))))</f>
        <v>1059874</v>
      </c>
      <c r="G25" s="107">
        <f>IF(A25="","",IF(A25=計算過程!$B$71,0,MAX(0,G24-(計算過程!$B$77-Q25))))</f>
        <v>0</v>
      </c>
      <c r="H25" s="107">
        <f>IF(A25="","",F25+G25)</f>
        <v>1059874</v>
      </c>
      <c r="I25" s="106">
        <f>IF(A25="","",IF(AND(OR(MONTH(B25)=6,MONTH(B25)=12),I24&lt;計算過程!$B$69),I24+1,I24))</f>
        <v>0</v>
      </c>
      <c r="J25" s="107">
        <f>IF(A25="","",IF(I25&gt;I24,IF(I25=計算過程!$B$69,M24+K25,計算過程!$B$81),0))</f>
        <v>0</v>
      </c>
      <c r="K25" s="107">
        <f>IF(A25="","",IF(I25&gt;I24,CHOOSE(計算過程!$B$72,ROUND(M24*計算過程!$B$79,0),ROUNDDOWN(M24*計算過程!$B$79,0),ROUNDUP(M24*計算過程!$B$79,0)),0))</f>
        <v>0</v>
      </c>
      <c r="L25" s="107">
        <f>IF(A25="","",J25-K25)</f>
        <v>0</v>
      </c>
      <c r="M25" s="107">
        <f>IF(A25="","",IF(I25&gt;I24,M24-L25,M24))</f>
        <v>0</v>
      </c>
      <c r="N25" s="107">
        <f>IF(A25="","",C25+J25)</f>
        <v>25809</v>
      </c>
      <c r="O25" s="107">
        <f>IF(A25="","",H25+M25)</f>
        <v>1059874</v>
      </c>
      <c r="P25" s="107">
        <f>IF(A25="","",CHOOSE(計算過程!$B$72,ROUND(F24*計算過程!$B$32/計算過程!$B$6,0),ROUNDDOWN(F24*計算過程!$B$32/計算過程!$B$6,0),ROUNDUP(F24*計算過程!$B$32/計算過程!$B$6,0)))</f>
        <v>1139</v>
      </c>
      <c r="Q25" s="107">
        <f>IF(A25="","",CHOOSE(計算過程!$B$72,ROUND(G24*計算過程!$B$33/計算過程!$B$6,0),ROUNDDOWN(G24*計算過程!$B$33/計算過程!$B$6,0),ROUNDUP(G24*計算過程!$B$33/計算過程!$B$6,0)))</f>
        <v>0</v>
      </c>
    </row>
    <row r="26" spans="1:17">
      <c r="A26" s="106">
        <f>IF(OR(計算過程!$B$98="",ROWS($A$8:A26)&gt;計算過程!$B$71),"",ROWS($A$8:A26))</f>
        <v>19</v>
      </c>
      <c r="B26" s="108">
        <f>IF(A26="","",EDATE(計算過程!$B$98,A26-1))</f>
        <v>46905</v>
      </c>
      <c r="C26" s="107">
        <f>IF(A26="","",IF(A26=計算過程!$B$71,D26+F25+G25,計算過程!$B$78))</f>
        <v>25809</v>
      </c>
      <c r="D26" s="107">
        <f>IF(A26="","",P26+Q26)</f>
        <v>1113</v>
      </c>
      <c r="E26" s="107">
        <f>IF(A26="","",C26-D26)</f>
        <v>24696</v>
      </c>
      <c r="F26" s="107">
        <f>IF(A26="","",IF(A26=計算過程!$B$71,0,MAX(0,F25-(計算過程!$B$76-P26))))</f>
        <v>1035178</v>
      </c>
      <c r="G26" s="107">
        <f>IF(A26="","",IF(A26=計算過程!$B$71,0,MAX(0,G25-(計算過程!$B$77-Q26))))</f>
        <v>0</v>
      </c>
      <c r="H26" s="107">
        <f>IF(A26="","",F26+G26)</f>
        <v>1035178</v>
      </c>
      <c r="I26" s="106">
        <f>IF(A26="","",IF(AND(OR(MONTH(B26)=6,MONTH(B26)=12),I25&lt;計算過程!$B$69),I25+1,I25))</f>
        <v>0</v>
      </c>
      <c r="J26" s="107">
        <f>IF(A26="","",IF(I26&gt;I25,IF(I26=計算過程!$B$69,M25+K26,計算過程!$B$81),0))</f>
        <v>0</v>
      </c>
      <c r="K26" s="107">
        <f>IF(A26="","",IF(I26&gt;I25,CHOOSE(計算過程!$B$72,ROUND(M25*計算過程!$B$79,0),ROUNDDOWN(M25*計算過程!$B$79,0),ROUNDUP(M25*計算過程!$B$79,0)),0))</f>
        <v>0</v>
      </c>
      <c r="L26" s="107">
        <f>IF(A26="","",J26-K26)</f>
        <v>0</v>
      </c>
      <c r="M26" s="107">
        <f>IF(A26="","",IF(I26&gt;I25,M25-L26,M25))</f>
        <v>0</v>
      </c>
      <c r="N26" s="107">
        <f>IF(A26="","",C26+J26)</f>
        <v>25809</v>
      </c>
      <c r="O26" s="107">
        <f>IF(A26="","",H26+M26)</f>
        <v>1035178</v>
      </c>
      <c r="P26" s="107">
        <f>IF(A26="","",CHOOSE(計算過程!$B$72,ROUND(F25*計算過程!$B$32/計算過程!$B$6,0),ROUNDDOWN(F25*計算過程!$B$32/計算過程!$B$6,0),ROUNDUP(F25*計算過程!$B$32/計算過程!$B$6,0)))</f>
        <v>1113</v>
      </c>
      <c r="Q26" s="107">
        <f>IF(A26="","",CHOOSE(計算過程!$B$72,ROUND(G25*計算過程!$B$33/計算過程!$B$6,0),ROUNDDOWN(G25*計算過程!$B$33/計算過程!$B$6,0),ROUNDUP(G25*計算過程!$B$33/計算過程!$B$6,0)))</f>
        <v>0</v>
      </c>
    </row>
    <row r="27" spans="1:17">
      <c r="A27" s="106">
        <f>IF(OR(計算過程!$B$98="",ROWS($A$8:A27)&gt;計算過程!$B$71),"",ROWS($A$8:A27))</f>
        <v>20</v>
      </c>
      <c r="B27" s="108">
        <f>IF(A27="","",EDATE(計算過程!$B$98,A27-1))</f>
        <v>46935</v>
      </c>
      <c r="C27" s="107">
        <f>IF(A27="","",IF(A27=計算過程!$B$71,D27+F26+G26,計算過程!$B$78))</f>
        <v>25809</v>
      </c>
      <c r="D27" s="107">
        <f>IF(A27="","",P27+Q27)</f>
        <v>1087</v>
      </c>
      <c r="E27" s="107">
        <f>IF(A27="","",C27-D27)</f>
        <v>24722</v>
      </c>
      <c r="F27" s="107">
        <f>IF(A27="","",IF(A27=計算過程!$B$71,0,MAX(0,F26-(計算過程!$B$76-P27))))</f>
        <v>1010456</v>
      </c>
      <c r="G27" s="107">
        <f>IF(A27="","",IF(A27=計算過程!$B$71,0,MAX(0,G26-(計算過程!$B$77-Q27))))</f>
        <v>0</v>
      </c>
      <c r="H27" s="107">
        <f>IF(A27="","",F27+G27)</f>
        <v>1010456</v>
      </c>
      <c r="I27" s="106">
        <f>IF(A27="","",IF(AND(OR(MONTH(B27)=6,MONTH(B27)=12),I26&lt;計算過程!$B$69),I26+1,I26))</f>
        <v>0</v>
      </c>
      <c r="J27" s="107">
        <f>IF(A27="","",IF(I27&gt;I26,IF(I27=計算過程!$B$69,M26+K27,計算過程!$B$81),0))</f>
        <v>0</v>
      </c>
      <c r="K27" s="107">
        <f>IF(A27="","",IF(I27&gt;I26,CHOOSE(計算過程!$B$72,ROUND(M26*計算過程!$B$79,0),ROUNDDOWN(M26*計算過程!$B$79,0),ROUNDUP(M26*計算過程!$B$79,0)),0))</f>
        <v>0</v>
      </c>
      <c r="L27" s="107">
        <f>IF(A27="","",J27-K27)</f>
        <v>0</v>
      </c>
      <c r="M27" s="107">
        <f>IF(A27="","",IF(I27&gt;I26,M26-L27,M26))</f>
        <v>0</v>
      </c>
      <c r="N27" s="107">
        <f>IF(A27="","",C27+J27)</f>
        <v>25809</v>
      </c>
      <c r="O27" s="107">
        <f>IF(A27="","",H27+M27)</f>
        <v>1010456</v>
      </c>
      <c r="P27" s="107">
        <f>IF(A27="","",CHOOSE(計算過程!$B$72,ROUND(F26*計算過程!$B$32/計算過程!$B$6,0),ROUNDDOWN(F26*計算過程!$B$32/計算過程!$B$6,0),ROUNDUP(F26*計算過程!$B$32/計算過程!$B$6,0)))</f>
        <v>1087</v>
      </c>
      <c r="Q27" s="107">
        <f>IF(A27="","",CHOOSE(計算過程!$B$72,ROUND(G26*計算過程!$B$33/計算過程!$B$6,0),ROUNDDOWN(G26*計算過程!$B$33/計算過程!$B$6,0),ROUNDUP(G26*計算過程!$B$33/計算過程!$B$6,0)))</f>
        <v>0</v>
      </c>
    </row>
    <row r="28" spans="1:17">
      <c r="A28" s="106">
        <f>IF(OR(計算過程!$B$98="",ROWS($A$8:A28)&gt;計算過程!$B$71),"",ROWS($A$8:A28))</f>
        <v>21</v>
      </c>
      <c r="B28" s="108">
        <f>IF(A28="","",EDATE(計算過程!$B$98,A28-1))</f>
        <v>46966</v>
      </c>
      <c r="C28" s="107">
        <f>IF(A28="","",IF(A28=計算過程!$B$71,D28+F27+G27,計算過程!$B$78))</f>
        <v>25809</v>
      </c>
      <c r="D28" s="107">
        <f>IF(A28="","",P28+Q28)</f>
        <v>1061</v>
      </c>
      <c r="E28" s="107">
        <f>IF(A28="","",C28-D28)</f>
        <v>24748</v>
      </c>
      <c r="F28" s="107">
        <f>IF(A28="","",IF(A28=計算過程!$B$71,0,MAX(0,F27-(計算過程!$B$76-P28))))</f>
        <v>985708</v>
      </c>
      <c r="G28" s="107">
        <f>IF(A28="","",IF(A28=計算過程!$B$71,0,MAX(0,G27-(計算過程!$B$77-Q28))))</f>
        <v>0</v>
      </c>
      <c r="H28" s="107">
        <f>IF(A28="","",F28+G28)</f>
        <v>985708</v>
      </c>
      <c r="I28" s="106">
        <f>IF(A28="","",IF(AND(OR(MONTH(B28)=6,MONTH(B28)=12),I27&lt;計算過程!$B$69),I27+1,I27))</f>
        <v>0</v>
      </c>
      <c r="J28" s="107">
        <f>IF(A28="","",IF(I28&gt;I27,IF(I28=計算過程!$B$69,M27+K28,計算過程!$B$81),0))</f>
        <v>0</v>
      </c>
      <c r="K28" s="107">
        <f>IF(A28="","",IF(I28&gt;I27,CHOOSE(計算過程!$B$72,ROUND(M27*計算過程!$B$79,0),ROUNDDOWN(M27*計算過程!$B$79,0),ROUNDUP(M27*計算過程!$B$79,0)),0))</f>
        <v>0</v>
      </c>
      <c r="L28" s="107">
        <f>IF(A28="","",J28-K28)</f>
        <v>0</v>
      </c>
      <c r="M28" s="107">
        <f>IF(A28="","",IF(I28&gt;I27,M27-L28,M27))</f>
        <v>0</v>
      </c>
      <c r="N28" s="107">
        <f>IF(A28="","",C28+J28)</f>
        <v>25809</v>
      </c>
      <c r="O28" s="107">
        <f>IF(A28="","",H28+M28)</f>
        <v>985708</v>
      </c>
      <c r="P28" s="107">
        <f>IF(A28="","",CHOOSE(計算過程!$B$72,ROUND(F27*計算過程!$B$32/計算過程!$B$6,0),ROUNDDOWN(F27*計算過程!$B$32/計算過程!$B$6,0),ROUNDUP(F27*計算過程!$B$32/計算過程!$B$6,0)))</f>
        <v>1061</v>
      </c>
      <c r="Q28" s="107">
        <f>IF(A28="","",CHOOSE(計算過程!$B$72,ROUND(G27*計算過程!$B$33/計算過程!$B$6,0),ROUNDDOWN(G27*計算過程!$B$33/計算過程!$B$6,0),ROUNDUP(G27*計算過程!$B$33/計算過程!$B$6,0)))</f>
        <v>0</v>
      </c>
    </row>
    <row r="29" spans="1:17">
      <c r="A29" s="106">
        <f>IF(OR(計算過程!$B$98="",ROWS($A$8:A29)&gt;計算過程!$B$71),"",ROWS($A$8:A29))</f>
        <v>22</v>
      </c>
      <c r="B29" s="108">
        <f>IF(A29="","",EDATE(計算過程!$B$98,A29-1))</f>
        <v>46997</v>
      </c>
      <c r="C29" s="107">
        <f>IF(A29="","",IF(A29=計算過程!$B$71,D29+F28+G28,計算過程!$B$78))</f>
        <v>25809</v>
      </c>
      <c r="D29" s="107">
        <f>IF(A29="","",P29+Q29)</f>
        <v>1035</v>
      </c>
      <c r="E29" s="107">
        <f>IF(A29="","",C29-D29)</f>
        <v>24774</v>
      </c>
      <c r="F29" s="107">
        <f>IF(A29="","",IF(A29=計算過程!$B$71,0,MAX(0,F28-(計算過程!$B$76-P29))))</f>
        <v>960934</v>
      </c>
      <c r="G29" s="107">
        <f>IF(A29="","",IF(A29=計算過程!$B$71,0,MAX(0,G28-(計算過程!$B$77-Q29))))</f>
        <v>0</v>
      </c>
      <c r="H29" s="107">
        <f>IF(A29="","",F29+G29)</f>
        <v>960934</v>
      </c>
      <c r="I29" s="106">
        <f>IF(A29="","",IF(AND(OR(MONTH(B29)=6,MONTH(B29)=12),I28&lt;計算過程!$B$69),I28+1,I28))</f>
        <v>0</v>
      </c>
      <c r="J29" s="107">
        <f>IF(A29="","",IF(I29&gt;I28,IF(I29=計算過程!$B$69,M28+K29,計算過程!$B$81),0))</f>
        <v>0</v>
      </c>
      <c r="K29" s="107">
        <f>IF(A29="","",IF(I29&gt;I28,CHOOSE(計算過程!$B$72,ROUND(M28*計算過程!$B$79,0),ROUNDDOWN(M28*計算過程!$B$79,0),ROUNDUP(M28*計算過程!$B$79,0)),0))</f>
        <v>0</v>
      </c>
      <c r="L29" s="107">
        <f>IF(A29="","",J29-K29)</f>
        <v>0</v>
      </c>
      <c r="M29" s="107">
        <f>IF(A29="","",IF(I29&gt;I28,M28-L29,M28))</f>
        <v>0</v>
      </c>
      <c r="N29" s="107">
        <f>IF(A29="","",C29+J29)</f>
        <v>25809</v>
      </c>
      <c r="O29" s="107">
        <f>IF(A29="","",H29+M29)</f>
        <v>960934</v>
      </c>
      <c r="P29" s="107">
        <f>IF(A29="","",CHOOSE(計算過程!$B$72,ROUND(F28*計算過程!$B$32/計算過程!$B$6,0),ROUNDDOWN(F28*計算過程!$B$32/計算過程!$B$6,0),ROUNDUP(F28*計算過程!$B$32/計算過程!$B$6,0)))</f>
        <v>1035</v>
      </c>
      <c r="Q29" s="107">
        <f>IF(A29="","",CHOOSE(計算過程!$B$72,ROUND(G28*計算過程!$B$33/計算過程!$B$6,0),ROUNDDOWN(G28*計算過程!$B$33/計算過程!$B$6,0),ROUNDUP(G28*計算過程!$B$33/計算過程!$B$6,0)))</f>
        <v>0</v>
      </c>
    </row>
    <row r="30" spans="1:17">
      <c r="A30" s="106">
        <f>IF(OR(計算過程!$B$98="",ROWS($A$8:A30)&gt;計算過程!$B$71),"",ROWS($A$8:A30))</f>
        <v>23</v>
      </c>
      <c r="B30" s="108">
        <f>IF(A30="","",EDATE(計算過程!$B$98,A30-1))</f>
        <v>47027</v>
      </c>
      <c r="C30" s="107">
        <f>IF(A30="","",IF(A30=計算過程!$B$71,D30+F29+G29,計算過程!$B$78))</f>
        <v>25809</v>
      </c>
      <c r="D30" s="107">
        <f>IF(A30="","",P30+Q30)</f>
        <v>1009</v>
      </c>
      <c r="E30" s="107">
        <f>IF(A30="","",C30-D30)</f>
        <v>24800</v>
      </c>
      <c r="F30" s="107">
        <f>IF(A30="","",IF(A30=計算過程!$B$71,0,MAX(0,F29-(計算過程!$B$76-P30))))</f>
        <v>936134</v>
      </c>
      <c r="G30" s="107">
        <f>IF(A30="","",IF(A30=計算過程!$B$71,0,MAX(0,G29-(計算過程!$B$77-Q30))))</f>
        <v>0</v>
      </c>
      <c r="H30" s="107">
        <f>IF(A30="","",F30+G30)</f>
        <v>936134</v>
      </c>
      <c r="I30" s="106">
        <f>IF(A30="","",IF(AND(OR(MONTH(B30)=6,MONTH(B30)=12),I29&lt;計算過程!$B$69),I29+1,I29))</f>
        <v>0</v>
      </c>
      <c r="J30" s="107">
        <f>IF(A30="","",IF(I30&gt;I29,IF(I30=計算過程!$B$69,M29+K30,計算過程!$B$81),0))</f>
        <v>0</v>
      </c>
      <c r="K30" s="107">
        <f>IF(A30="","",IF(I30&gt;I29,CHOOSE(計算過程!$B$72,ROUND(M29*計算過程!$B$79,0),ROUNDDOWN(M29*計算過程!$B$79,0),ROUNDUP(M29*計算過程!$B$79,0)),0))</f>
        <v>0</v>
      </c>
      <c r="L30" s="107">
        <f>IF(A30="","",J30-K30)</f>
        <v>0</v>
      </c>
      <c r="M30" s="107">
        <f>IF(A30="","",IF(I30&gt;I29,M29-L30,M29))</f>
        <v>0</v>
      </c>
      <c r="N30" s="107">
        <f>IF(A30="","",C30+J30)</f>
        <v>25809</v>
      </c>
      <c r="O30" s="107">
        <f>IF(A30="","",H30+M30)</f>
        <v>936134</v>
      </c>
      <c r="P30" s="107">
        <f>IF(A30="","",CHOOSE(計算過程!$B$72,ROUND(F29*計算過程!$B$32/計算過程!$B$6,0),ROUNDDOWN(F29*計算過程!$B$32/計算過程!$B$6,0),ROUNDUP(F29*計算過程!$B$32/計算過程!$B$6,0)))</f>
        <v>1009</v>
      </c>
      <c r="Q30" s="107">
        <f>IF(A30="","",CHOOSE(計算過程!$B$72,ROUND(G29*計算過程!$B$33/計算過程!$B$6,0),ROUNDDOWN(G29*計算過程!$B$33/計算過程!$B$6,0),ROUNDUP(G29*計算過程!$B$33/計算過程!$B$6,0)))</f>
        <v>0</v>
      </c>
    </row>
    <row r="31" spans="1:17">
      <c r="A31" s="106">
        <f>IF(OR(計算過程!$B$98="",ROWS($A$8:A31)&gt;計算過程!$B$71),"",ROWS($A$8:A31))</f>
        <v>24</v>
      </c>
      <c r="B31" s="108">
        <f>IF(A31="","",EDATE(計算過程!$B$98,A31-1))</f>
        <v>47058</v>
      </c>
      <c r="C31" s="107">
        <f>IF(A31="","",IF(A31=計算過程!$B$71,D31+F30+G30,計算過程!$B$78))</f>
        <v>25809</v>
      </c>
      <c r="D31" s="107">
        <f>IF(A31="","",P31+Q31)</f>
        <v>983</v>
      </c>
      <c r="E31" s="107">
        <f>IF(A31="","",C31-D31)</f>
        <v>24826</v>
      </c>
      <c r="F31" s="107">
        <f>IF(A31="","",IF(A31=計算過程!$B$71,0,MAX(0,F30-(計算過程!$B$76-P31))))</f>
        <v>911308</v>
      </c>
      <c r="G31" s="107">
        <f>IF(A31="","",IF(A31=計算過程!$B$71,0,MAX(0,G30-(計算過程!$B$77-Q31))))</f>
        <v>0</v>
      </c>
      <c r="H31" s="107">
        <f>IF(A31="","",F31+G31)</f>
        <v>911308</v>
      </c>
      <c r="I31" s="106">
        <f>IF(A31="","",IF(AND(OR(MONTH(B31)=6,MONTH(B31)=12),I30&lt;計算過程!$B$69),I30+1,I30))</f>
        <v>0</v>
      </c>
      <c r="J31" s="107">
        <f>IF(A31="","",IF(I31&gt;I30,IF(I31=計算過程!$B$69,M30+K31,計算過程!$B$81),0))</f>
        <v>0</v>
      </c>
      <c r="K31" s="107">
        <f>IF(A31="","",IF(I31&gt;I30,CHOOSE(計算過程!$B$72,ROUND(M30*計算過程!$B$79,0),ROUNDDOWN(M30*計算過程!$B$79,0),ROUNDUP(M30*計算過程!$B$79,0)),0))</f>
        <v>0</v>
      </c>
      <c r="L31" s="107">
        <f>IF(A31="","",J31-K31)</f>
        <v>0</v>
      </c>
      <c r="M31" s="107">
        <f>IF(A31="","",IF(I31&gt;I30,M30-L31,M30))</f>
        <v>0</v>
      </c>
      <c r="N31" s="107">
        <f>IF(A31="","",C31+J31)</f>
        <v>25809</v>
      </c>
      <c r="O31" s="107">
        <f>IF(A31="","",H31+M31)</f>
        <v>911308</v>
      </c>
      <c r="P31" s="107">
        <f>IF(A31="","",CHOOSE(計算過程!$B$72,ROUND(F30*計算過程!$B$32/計算過程!$B$6,0),ROUNDDOWN(F30*計算過程!$B$32/計算過程!$B$6,0),ROUNDUP(F30*計算過程!$B$32/計算過程!$B$6,0)))</f>
        <v>983</v>
      </c>
      <c r="Q31" s="107">
        <f>IF(A31="","",CHOOSE(計算過程!$B$72,ROUND(G30*計算過程!$B$33/計算過程!$B$6,0),ROUNDDOWN(G30*計算過程!$B$33/計算過程!$B$6,0),ROUNDUP(G30*計算過程!$B$33/計算過程!$B$6,0)))</f>
        <v>0</v>
      </c>
    </row>
    <row r="32" spans="1:17">
      <c r="A32" s="106">
        <f>IF(OR(計算過程!$B$98="",ROWS($A$8:A32)&gt;計算過程!$B$71),"",ROWS($A$8:A32))</f>
        <v>25</v>
      </c>
      <c r="B32" s="108">
        <f>IF(A32="","",EDATE(計算過程!$B$98,A32-1))</f>
        <v>47088</v>
      </c>
      <c r="C32" s="107">
        <f>IF(A32="","",IF(A32=計算過程!$B$71,D32+F31+G31,計算過程!$B$78))</f>
        <v>25809</v>
      </c>
      <c r="D32" s="107">
        <f>IF(A32="","",P32+Q32)</f>
        <v>957</v>
      </c>
      <c r="E32" s="107">
        <f>IF(A32="","",C32-D32)</f>
        <v>24852</v>
      </c>
      <c r="F32" s="107">
        <f>IF(A32="","",IF(A32=計算過程!$B$71,0,MAX(0,F31-(計算過程!$B$76-P32))))</f>
        <v>886456</v>
      </c>
      <c r="G32" s="107">
        <f>IF(A32="","",IF(A32=計算過程!$B$71,0,MAX(0,G31-(計算過程!$B$77-Q32))))</f>
        <v>0</v>
      </c>
      <c r="H32" s="107">
        <f>IF(A32="","",F32+G32)</f>
        <v>886456</v>
      </c>
      <c r="I32" s="106">
        <f>IF(A32="","",IF(AND(OR(MONTH(B32)=6,MONTH(B32)=12),I31&lt;計算過程!$B$69),I31+1,I31))</f>
        <v>0</v>
      </c>
      <c r="J32" s="107">
        <f>IF(A32="","",IF(I32&gt;I31,IF(I32=計算過程!$B$69,M31+K32,計算過程!$B$81),0))</f>
        <v>0</v>
      </c>
      <c r="K32" s="107">
        <f>IF(A32="","",IF(I32&gt;I31,CHOOSE(計算過程!$B$72,ROUND(M31*計算過程!$B$79,0),ROUNDDOWN(M31*計算過程!$B$79,0),ROUNDUP(M31*計算過程!$B$79,0)),0))</f>
        <v>0</v>
      </c>
      <c r="L32" s="107">
        <f>IF(A32="","",J32-K32)</f>
        <v>0</v>
      </c>
      <c r="M32" s="107">
        <f>IF(A32="","",IF(I32&gt;I31,M31-L32,M31))</f>
        <v>0</v>
      </c>
      <c r="N32" s="107">
        <f>IF(A32="","",C32+J32)</f>
        <v>25809</v>
      </c>
      <c r="O32" s="107">
        <f>IF(A32="","",H32+M32)</f>
        <v>886456</v>
      </c>
      <c r="P32" s="107">
        <f>IF(A32="","",CHOOSE(計算過程!$B$72,ROUND(F31*計算過程!$B$32/計算過程!$B$6,0),ROUNDDOWN(F31*計算過程!$B$32/計算過程!$B$6,0),ROUNDUP(F31*計算過程!$B$32/計算過程!$B$6,0)))</f>
        <v>957</v>
      </c>
      <c r="Q32" s="107">
        <f>IF(A32="","",CHOOSE(計算過程!$B$72,ROUND(G31*計算過程!$B$33/計算過程!$B$6,0),ROUNDDOWN(G31*計算過程!$B$33/計算過程!$B$6,0),ROUNDUP(G31*計算過程!$B$33/計算過程!$B$6,0)))</f>
        <v>0</v>
      </c>
    </row>
    <row r="33" spans="1:17">
      <c r="A33" s="106">
        <f>IF(OR(計算過程!$B$98="",ROWS($A$8:A33)&gt;計算過程!$B$71),"",ROWS($A$8:A33))</f>
        <v>26</v>
      </c>
      <c r="B33" s="108">
        <f>IF(A33="","",EDATE(計算過程!$B$98,A33-1))</f>
        <v>47119</v>
      </c>
      <c r="C33" s="107">
        <f>IF(A33="","",IF(A33=計算過程!$B$71,D33+F32+G32,計算過程!$B$78))</f>
        <v>25809</v>
      </c>
      <c r="D33" s="107">
        <f>IF(A33="","",P33+Q33)</f>
        <v>931</v>
      </c>
      <c r="E33" s="107">
        <f>IF(A33="","",C33-D33)</f>
        <v>24878</v>
      </c>
      <c r="F33" s="107">
        <f>IF(A33="","",IF(A33=計算過程!$B$71,0,MAX(0,F32-(計算過程!$B$76-P33))))</f>
        <v>861578</v>
      </c>
      <c r="G33" s="107">
        <f>IF(A33="","",IF(A33=計算過程!$B$71,0,MAX(0,G32-(計算過程!$B$77-Q33))))</f>
        <v>0</v>
      </c>
      <c r="H33" s="107">
        <f>IF(A33="","",F33+G33)</f>
        <v>861578</v>
      </c>
      <c r="I33" s="106">
        <f>IF(A33="","",IF(AND(OR(MONTH(B33)=6,MONTH(B33)=12),I32&lt;計算過程!$B$69),I32+1,I32))</f>
        <v>0</v>
      </c>
      <c r="J33" s="107">
        <f>IF(A33="","",IF(I33&gt;I32,IF(I33=計算過程!$B$69,M32+K33,計算過程!$B$81),0))</f>
        <v>0</v>
      </c>
      <c r="K33" s="107">
        <f>IF(A33="","",IF(I33&gt;I32,CHOOSE(計算過程!$B$72,ROUND(M32*計算過程!$B$79,0),ROUNDDOWN(M32*計算過程!$B$79,0),ROUNDUP(M32*計算過程!$B$79,0)),0))</f>
        <v>0</v>
      </c>
      <c r="L33" s="107">
        <f>IF(A33="","",J33-K33)</f>
        <v>0</v>
      </c>
      <c r="M33" s="107">
        <f>IF(A33="","",IF(I33&gt;I32,M32-L33,M32))</f>
        <v>0</v>
      </c>
      <c r="N33" s="107">
        <f>IF(A33="","",C33+J33)</f>
        <v>25809</v>
      </c>
      <c r="O33" s="107">
        <f>IF(A33="","",H33+M33)</f>
        <v>861578</v>
      </c>
      <c r="P33" s="107">
        <f>IF(A33="","",CHOOSE(計算過程!$B$72,ROUND(F32*計算過程!$B$32/計算過程!$B$6,0),ROUNDDOWN(F32*計算過程!$B$32/計算過程!$B$6,0),ROUNDUP(F32*計算過程!$B$32/計算過程!$B$6,0)))</f>
        <v>931</v>
      </c>
      <c r="Q33" s="107">
        <f>IF(A33="","",CHOOSE(計算過程!$B$72,ROUND(G32*計算過程!$B$33/計算過程!$B$6,0),ROUNDDOWN(G32*計算過程!$B$33/計算過程!$B$6,0),ROUNDUP(G32*計算過程!$B$33/計算過程!$B$6,0)))</f>
        <v>0</v>
      </c>
    </row>
    <row r="34" spans="1:17">
      <c r="A34" s="106">
        <f>IF(OR(計算過程!$B$98="",ROWS($A$8:A34)&gt;計算過程!$B$71),"",ROWS($A$8:A34))</f>
        <v>27</v>
      </c>
      <c r="B34" s="108">
        <f>IF(A34="","",EDATE(計算過程!$B$98,A34-1))</f>
        <v>47150</v>
      </c>
      <c r="C34" s="107">
        <f>IF(A34="","",IF(A34=計算過程!$B$71,D34+F33+G33,計算過程!$B$78))</f>
        <v>25809</v>
      </c>
      <c r="D34" s="107">
        <f>IF(A34="","",P34+Q34)</f>
        <v>905</v>
      </c>
      <c r="E34" s="107">
        <f>IF(A34="","",C34-D34)</f>
        <v>24904</v>
      </c>
      <c r="F34" s="107">
        <f>IF(A34="","",IF(A34=計算過程!$B$71,0,MAX(0,F33-(計算過程!$B$76-P34))))</f>
        <v>836674</v>
      </c>
      <c r="G34" s="107">
        <f>IF(A34="","",IF(A34=計算過程!$B$71,0,MAX(0,G33-(計算過程!$B$77-Q34))))</f>
        <v>0</v>
      </c>
      <c r="H34" s="107">
        <f>IF(A34="","",F34+G34)</f>
        <v>836674</v>
      </c>
      <c r="I34" s="106">
        <f>IF(A34="","",IF(AND(OR(MONTH(B34)=6,MONTH(B34)=12),I33&lt;計算過程!$B$69),I33+1,I33))</f>
        <v>0</v>
      </c>
      <c r="J34" s="107">
        <f>IF(A34="","",IF(I34&gt;I33,IF(I34=計算過程!$B$69,M33+K34,計算過程!$B$81),0))</f>
        <v>0</v>
      </c>
      <c r="K34" s="107">
        <f>IF(A34="","",IF(I34&gt;I33,CHOOSE(計算過程!$B$72,ROUND(M33*計算過程!$B$79,0),ROUNDDOWN(M33*計算過程!$B$79,0),ROUNDUP(M33*計算過程!$B$79,0)),0))</f>
        <v>0</v>
      </c>
      <c r="L34" s="107">
        <f>IF(A34="","",J34-K34)</f>
        <v>0</v>
      </c>
      <c r="M34" s="107">
        <f>IF(A34="","",IF(I34&gt;I33,M33-L34,M33))</f>
        <v>0</v>
      </c>
      <c r="N34" s="107">
        <f>IF(A34="","",C34+J34)</f>
        <v>25809</v>
      </c>
      <c r="O34" s="107">
        <f>IF(A34="","",H34+M34)</f>
        <v>836674</v>
      </c>
      <c r="P34" s="107">
        <f>IF(A34="","",CHOOSE(計算過程!$B$72,ROUND(F33*計算過程!$B$32/計算過程!$B$6,0),ROUNDDOWN(F33*計算過程!$B$32/計算過程!$B$6,0),ROUNDUP(F33*計算過程!$B$32/計算過程!$B$6,0)))</f>
        <v>905</v>
      </c>
      <c r="Q34" s="107">
        <f>IF(A34="","",CHOOSE(計算過程!$B$72,ROUND(G33*計算過程!$B$33/計算過程!$B$6,0),ROUNDDOWN(G33*計算過程!$B$33/計算過程!$B$6,0),ROUNDUP(G33*計算過程!$B$33/計算過程!$B$6,0)))</f>
        <v>0</v>
      </c>
    </row>
    <row r="35" spans="1:17">
      <c r="A35" s="106">
        <f>IF(OR(計算過程!$B$98="",ROWS($A$8:A35)&gt;計算過程!$B$71),"",ROWS($A$8:A35))</f>
        <v>28</v>
      </c>
      <c r="B35" s="108">
        <f>IF(A35="","",EDATE(計算過程!$B$98,A35-1))</f>
        <v>47178</v>
      </c>
      <c r="C35" s="107">
        <f>IF(A35="","",IF(A35=計算過程!$B$71,D35+F34+G34,計算過程!$B$78))</f>
        <v>25809</v>
      </c>
      <c r="D35" s="107">
        <f>IF(A35="","",P35+Q35)</f>
        <v>879</v>
      </c>
      <c r="E35" s="107">
        <f>IF(A35="","",C35-D35)</f>
        <v>24930</v>
      </c>
      <c r="F35" s="107">
        <f>IF(A35="","",IF(A35=計算過程!$B$71,0,MAX(0,F34-(計算過程!$B$76-P35))))</f>
        <v>811744</v>
      </c>
      <c r="G35" s="107">
        <f>IF(A35="","",IF(A35=計算過程!$B$71,0,MAX(0,G34-(計算過程!$B$77-Q35))))</f>
        <v>0</v>
      </c>
      <c r="H35" s="107">
        <f>IF(A35="","",F35+G35)</f>
        <v>811744</v>
      </c>
      <c r="I35" s="106">
        <f>IF(A35="","",IF(AND(OR(MONTH(B35)=6,MONTH(B35)=12),I34&lt;計算過程!$B$69),I34+1,I34))</f>
        <v>0</v>
      </c>
      <c r="J35" s="107">
        <f>IF(A35="","",IF(I35&gt;I34,IF(I35=計算過程!$B$69,M34+K35,計算過程!$B$81),0))</f>
        <v>0</v>
      </c>
      <c r="K35" s="107">
        <f>IF(A35="","",IF(I35&gt;I34,CHOOSE(計算過程!$B$72,ROUND(M34*計算過程!$B$79,0),ROUNDDOWN(M34*計算過程!$B$79,0),ROUNDUP(M34*計算過程!$B$79,0)),0))</f>
        <v>0</v>
      </c>
      <c r="L35" s="107">
        <f>IF(A35="","",J35-K35)</f>
        <v>0</v>
      </c>
      <c r="M35" s="107">
        <f>IF(A35="","",IF(I35&gt;I34,M34-L35,M34))</f>
        <v>0</v>
      </c>
      <c r="N35" s="107">
        <f>IF(A35="","",C35+J35)</f>
        <v>25809</v>
      </c>
      <c r="O35" s="107">
        <f>IF(A35="","",H35+M35)</f>
        <v>811744</v>
      </c>
      <c r="P35" s="107">
        <f>IF(A35="","",CHOOSE(計算過程!$B$72,ROUND(F34*計算過程!$B$32/計算過程!$B$6,0),ROUNDDOWN(F34*計算過程!$B$32/計算過程!$B$6,0),ROUNDUP(F34*計算過程!$B$32/計算過程!$B$6,0)))</f>
        <v>879</v>
      </c>
      <c r="Q35" s="107">
        <f>IF(A35="","",CHOOSE(計算過程!$B$72,ROUND(G34*計算過程!$B$33/計算過程!$B$6,0),ROUNDDOWN(G34*計算過程!$B$33/計算過程!$B$6,0),ROUNDUP(G34*計算過程!$B$33/計算過程!$B$6,0)))</f>
        <v>0</v>
      </c>
    </row>
    <row r="36" spans="1:17">
      <c r="A36" s="106">
        <f>IF(OR(計算過程!$B$98="",ROWS($A$8:A36)&gt;計算過程!$B$71),"",ROWS($A$8:A36))</f>
        <v>29</v>
      </c>
      <c r="B36" s="108">
        <f>IF(A36="","",EDATE(計算過程!$B$98,A36-1))</f>
        <v>47209</v>
      </c>
      <c r="C36" s="107">
        <f>IF(A36="","",IF(A36=計算過程!$B$71,D36+F35+G35,計算過程!$B$78))</f>
        <v>25809</v>
      </c>
      <c r="D36" s="107">
        <f>IF(A36="","",P36+Q36)</f>
        <v>852</v>
      </c>
      <c r="E36" s="107">
        <f>IF(A36="","",C36-D36)</f>
        <v>24957</v>
      </c>
      <c r="F36" s="107">
        <f>IF(A36="","",IF(A36=計算過程!$B$71,0,MAX(0,F35-(計算過程!$B$76-P36))))</f>
        <v>786787</v>
      </c>
      <c r="G36" s="107">
        <f>IF(A36="","",IF(A36=計算過程!$B$71,0,MAX(0,G35-(計算過程!$B$77-Q36))))</f>
        <v>0</v>
      </c>
      <c r="H36" s="107">
        <f>IF(A36="","",F36+G36)</f>
        <v>786787</v>
      </c>
      <c r="I36" s="106">
        <f>IF(A36="","",IF(AND(OR(MONTH(B36)=6,MONTH(B36)=12),I35&lt;計算過程!$B$69),I35+1,I35))</f>
        <v>0</v>
      </c>
      <c r="J36" s="107">
        <f>IF(A36="","",IF(I36&gt;I35,IF(I36=計算過程!$B$69,M35+K36,計算過程!$B$81),0))</f>
        <v>0</v>
      </c>
      <c r="K36" s="107">
        <f>IF(A36="","",IF(I36&gt;I35,CHOOSE(計算過程!$B$72,ROUND(M35*計算過程!$B$79,0),ROUNDDOWN(M35*計算過程!$B$79,0),ROUNDUP(M35*計算過程!$B$79,0)),0))</f>
        <v>0</v>
      </c>
      <c r="L36" s="107">
        <f>IF(A36="","",J36-K36)</f>
        <v>0</v>
      </c>
      <c r="M36" s="107">
        <f>IF(A36="","",IF(I36&gt;I35,M35-L36,M35))</f>
        <v>0</v>
      </c>
      <c r="N36" s="107">
        <f>IF(A36="","",C36+J36)</f>
        <v>25809</v>
      </c>
      <c r="O36" s="107">
        <f>IF(A36="","",H36+M36)</f>
        <v>786787</v>
      </c>
      <c r="P36" s="107">
        <f>IF(A36="","",CHOOSE(計算過程!$B$72,ROUND(F35*計算過程!$B$32/計算過程!$B$6,0),ROUNDDOWN(F35*計算過程!$B$32/計算過程!$B$6,0),ROUNDUP(F35*計算過程!$B$32/計算過程!$B$6,0)))</f>
        <v>852</v>
      </c>
      <c r="Q36" s="107">
        <f>IF(A36="","",CHOOSE(計算過程!$B$72,ROUND(G35*計算過程!$B$33/計算過程!$B$6,0),ROUNDDOWN(G35*計算過程!$B$33/計算過程!$B$6,0),ROUNDUP(G35*計算過程!$B$33/計算過程!$B$6,0)))</f>
        <v>0</v>
      </c>
    </row>
    <row r="37" spans="1:17">
      <c r="A37" s="106">
        <f>IF(OR(計算過程!$B$98="",ROWS($A$8:A37)&gt;計算過程!$B$71),"",ROWS($A$8:A37))</f>
        <v>30</v>
      </c>
      <c r="B37" s="108">
        <f>IF(A37="","",EDATE(計算過程!$B$98,A37-1))</f>
        <v>47239</v>
      </c>
      <c r="C37" s="107">
        <f>IF(A37="","",IF(A37=計算過程!$B$71,D37+F36+G36,計算過程!$B$78))</f>
        <v>25809</v>
      </c>
      <c r="D37" s="107">
        <f>IF(A37="","",P37+Q37)</f>
        <v>826</v>
      </c>
      <c r="E37" s="107">
        <f>IF(A37="","",C37-D37)</f>
        <v>24983</v>
      </c>
      <c r="F37" s="107">
        <f>IF(A37="","",IF(A37=計算過程!$B$71,0,MAX(0,F36-(計算過程!$B$76-P37))))</f>
        <v>761804</v>
      </c>
      <c r="G37" s="107">
        <f>IF(A37="","",IF(A37=計算過程!$B$71,0,MAX(0,G36-(計算過程!$B$77-Q37))))</f>
        <v>0</v>
      </c>
      <c r="H37" s="107">
        <f>IF(A37="","",F37+G37)</f>
        <v>761804</v>
      </c>
      <c r="I37" s="106">
        <f>IF(A37="","",IF(AND(OR(MONTH(B37)=6,MONTH(B37)=12),I36&lt;計算過程!$B$69),I36+1,I36))</f>
        <v>0</v>
      </c>
      <c r="J37" s="107">
        <f>IF(A37="","",IF(I37&gt;I36,IF(I37=計算過程!$B$69,M36+K37,計算過程!$B$81),0))</f>
        <v>0</v>
      </c>
      <c r="K37" s="107">
        <f>IF(A37="","",IF(I37&gt;I36,CHOOSE(計算過程!$B$72,ROUND(M36*計算過程!$B$79,0),ROUNDDOWN(M36*計算過程!$B$79,0),ROUNDUP(M36*計算過程!$B$79,0)),0))</f>
        <v>0</v>
      </c>
      <c r="L37" s="107">
        <f>IF(A37="","",J37-K37)</f>
        <v>0</v>
      </c>
      <c r="M37" s="107">
        <f>IF(A37="","",IF(I37&gt;I36,M36-L37,M36))</f>
        <v>0</v>
      </c>
      <c r="N37" s="107">
        <f>IF(A37="","",C37+J37)</f>
        <v>25809</v>
      </c>
      <c r="O37" s="107">
        <f>IF(A37="","",H37+M37)</f>
        <v>761804</v>
      </c>
      <c r="P37" s="107">
        <f>IF(A37="","",CHOOSE(計算過程!$B$72,ROUND(F36*計算過程!$B$32/計算過程!$B$6,0),ROUNDDOWN(F36*計算過程!$B$32/計算過程!$B$6,0),ROUNDUP(F36*計算過程!$B$32/計算過程!$B$6,0)))</f>
        <v>826</v>
      </c>
      <c r="Q37" s="107">
        <f>IF(A37="","",CHOOSE(計算過程!$B$72,ROUND(G36*計算過程!$B$33/計算過程!$B$6,0),ROUNDDOWN(G36*計算過程!$B$33/計算過程!$B$6,0),ROUNDUP(G36*計算過程!$B$33/計算過程!$B$6,0)))</f>
        <v>0</v>
      </c>
    </row>
    <row r="38" spans="1:17">
      <c r="A38" s="106">
        <f>IF(OR(計算過程!$B$98="",ROWS($A$8:A38)&gt;計算過程!$B$71),"",ROWS($A$8:A38))</f>
        <v>31</v>
      </c>
      <c r="B38" s="108">
        <f>IF(A38="","",EDATE(計算過程!$B$98,A38-1))</f>
        <v>47270</v>
      </c>
      <c r="C38" s="107">
        <f>IF(A38="","",IF(A38=計算過程!$B$71,D38+F37+G37,計算過程!$B$78))</f>
        <v>25809</v>
      </c>
      <c r="D38" s="107">
        <f>IF(A38="","",P38+Q38)</f>
        <v>800</v>
      </c>
      <c r="E38" s="107">
        <f>IF(A38="","",C38-D38)</f>
        <v>25009</v>
      </c>
      <c r="F38" s="107">
        <f>IF(A38="","",IF(A38=計算過程!$B$71,0,MAX(0,F37-(計算過程!$B$76-P38))))</f>
        <v>736795</v>
      </c>
      <c r="G38" s="107">
        <f>IF(A38="","",IF(A38=計算過程!$B$71,0,MAX(0,G37-(計算過程!$B$77-Q38))))</f>
        <v>0</v>
      </c>
      <c r="H38" s="107">
        <f>IF(A38="","",F38+G38)</f>
        <v>736795</v>
      </c>
      <c r="I38" s="106">
        <f>IF(A38="","",IF(AND(OR(MONTH(B38)=6,MONTH(B38)=12),I37&lt;計算過程!$B$69),I37+1,I37))</f>
        <v>0</v>
      </c>
      <c r="J38" s="107">
        <f>IF(A38="","",IF(I38&gt;I37,IF(I38=計算過程!$B$69,M37+K38,計算過程!$B$81),0))</f>
        <v>0</v>
      </c>
      <c r="K38" s="107">
        <f>IF(A38="","",IF(I38&gt;I37,CHOOSE(計算過程!$B$72,ROUND(M37*計算過程!$B$79,0),ROUNDDOWN(M37*計算過程!$B$79,0),ROUNDUP(M37*計算過程!$B$79,0)),0))</f>
        <v>0</v>
      </c>
      <c r="L38" s="107">
        <f>IF(A38="","",J38-K38)</f>
        <v>0</v>
      </c>
      <c r="M38" s="107">
        <f>IF(A38="","",IF(I38&gt;I37,M37-L38,M37))</f>
        <v>0</v>
      </c>
      <c r="N38" s="107">
        <f>IF(A38="","",C38+J38)</f>
        <v>25809</v>
      </c>
      <c r="O38" s="107">
        <f>IF(A38="","",H38+M38)</f>
        <v>736795</v>
      </c>
      <c r="P38" s="107">
        <f>IF(A38="","",CHOOSE(計算過程!$B$72,ROUND(F37*計算過程!$B$32/計算過程!$B$6,0),ROUNDDOWN(F37*計算過程!$B$32/計算過程!$B$6,0),ROUNDUP(F37*計算過程!$B$32/計算過程!$B$6,0)))</f>
        <v>800</v>
      </c>
      <c r="Q38" s="107">
        <f>IF(A38="","",CHOOSE(計算過程!$B$72,ROUND(G37*計算過程!$B$33/計算過程!$B$6,0),ROUNDDOWN(G37*計算過程!$B$33/計算過程!$B$6,0),ROUNDUP(G37*計算過程!$B$33/計算過程!$B$6,0)))</f>
        <v>0</v>
      </c>
    </row>
    <row r="39" spans="1:17">
      <c r="A39" s="106">
        <f>IF(OR(計算過程!$B$98="",ROWS($A$8:A39)&gt;計算過程!$B$71),"",ROWS($A$8:A39))</f>
        <v>32</v>
      </c>
      <c r="B39" s="108">
        <f>IF(A39="","",EDATE(計算過程!$B$98,A39-1))</f>
        <v>47300</v>
      </c>
      <c r="C39" s="107">
        <f>IF(A39="","",IF(A39=計算過程!$B$71,D39+F38+G38,計算過程!$B$78))</f>
        <v>25809</v>
      </c>
      <c r="D39" s="107">
        <f>IF(A39="","",P39+Q39)</f>
        <v>774</v>
      </c>
      <c r="E39" s="107">
        <f>IF(A39="","",C39-D39)</f>
        <v>25035</v>
      </c>
      <c r="F39" s="107">
        <f>IF(A39="","",IF(A39=計算過程!$B$71,0,MAX(0,F38-(計算過程!$B$76-P39))))</f>
        <v>711760</v>
      </c>
      <c r="G39" s="107">
        <f>IF(A39="","",IF(A39=計算過程!$B$71,0,MAX(0,G38-(計算過程!$B$77-Q39))))</f>
        <v>0</v>
      </c>
      <c r="H39" s="107">
        <f>IF(A39="","",F39+G39)</f>
        <v>711760</v>
      </c>
      <c r="I39" s="106">
        <f>IF(A39="","",IF(AND(OR(MONTH(B39)=6,MONTH(B39)=12),I38&lt;計算過程!$B$69),I38+1,I38))</f>
        <v>0</v>
      </c>
      <c r="J39" s="107">
        <f>IF(A39="","",IF(I39&gt;I38,IF(I39=計算過程!$B$69,M38+K39,計算過程!$B$81),0))</f>
        <v>0</v>
      </c>
      <c r="K39" s="107">
        <f>IF(A39="","",IF(I39&gt;I38,CHOOSE(計算過程!$B$72,ROUND(M38*計算過程!$B$79,0),ROUNDDOWN(M38*計算過程!$B$79,0),ROUNDUP(M38*計算過程!$B$79,0)),0))</f>
        <v>0</v>
      </c>
      <c r="L39" s="107">
        <f>IF(A39="","",J39-K39)</f>
        <v>0</v>
      </c>
      <c r="M39" s="107">
        <f>IF(A39="","",IF(I39&gt;I38,M38-L39,M38))</f>
        <v>0</v>
      </c>
      <c r="N39" s="107">
        <f>IF(A39="","",C39+J39)</f>
        <v>25809</v>
      </c>
      <c r="O39" s="107">
        <f>IF(A39="","",H39+M39)</f>
        <v>711760</v>
      </c>
      <c r="P39" s="107">
        <f>IF(A39="","",CHOOSE(計算過程!$B$72,ROUND(F38*計算過程!$B$32/計算過程!$B$6,0),ROUNDDOWN(F38*計算過程!$B$32/計算過程!$B$6,0),ROUNDUP(F38*計算過程!$B$32/計算過程!$B$6,0)))</f>
        <v>774</v>
      </c>
      <c r="Q39" s="107">
        <f>IF(A39="","",CHOOSE(計算過程!$B$72,ROUND(G38*計算過程!$B$33/計算過程!$B$6,0),ROUNDDOWN(G38*計算過程!$B$33/計算過程!$B$6,0),ROUNDUP(G38*計算過程!$B$33/計算過程!$B$6,0)))</f>
        <v>0</v>
      </c>
    </row>
    <row r="40" spans="1:17">
      <c r="A40" s="106">
        <f>IF(OR(計算過程!$B$98="",ROWS($A$8:A40)&gt;計算過程!$B$71),"",ROWS($A$8:A40))</f>
        <v>33</v>
      </c>
      <c r="B40" s="108">
        <f>IF(A40="","",EDATE(計算過程!$B$98,A40-1))</f>
        <v>47331</v>
      </c>
      <c r="C40" s="107">
        <f>IF(A40="","",IF(A40=計算過程!$B$71,D40+F39+G39,計算過程!$B$78))</f>
        <v>25809</v>
      </c>
      <c r="D40" s="107">
        <f>IF(A40="","",P40+Q40)</f>
        <v>747</v>
      </c>
      <c r="E40" s="107">
        <f>IF(A40="","",C40-D40)</f>
        <v>25062</v>
      </c>
      <c r="F40" s="107">
        <f>IF(A40="","",IF(A40=計算過程!$B$71,0,MAX(0,F39-(計算過程!$B$76-P40))))</f>
        <v>686698</v>
      </c>
      <c r="G40" s="107">
        <f>IF(A40="","",IF(A40=計算過程!$B$71,0,MAX(0,G39-(計算過程!$B$77-Q40))))</f>
        <v>0</v>
      </c>
      <c r="H40" s="107">
        <f>IF(A40="","",F40+G40)</f>
        <v>686698</v>
      </c>
      <c r="I40" s="106">
        <f>IF(A40="","",IF(AND(OR(MONTH(B40)=6,MONTH(B40)=12),I39&lt;計算過程!$B$69),I39+1,I39))</f>
        <v>0</v>
      </c>
      <c r="J40" s="107">
        <f>IF(A40="","",IF(I40&gt;I39,IF(I40=計算過程!$B$69,M39+K40,計算過程!$B$81),0))</f>
        <v>0</v>
      </c>
      <c r="K40" s="107">
        <f>IF(A40="","",IF(I40&gt;I39,CHOOSE(計算過程!$B$72,ROUND(M39*計算過程!$B$79,0),ROUNDDOWN(M39*計算過程!$B$79,0),ROUNDUP(M39*計算過程!$B$79,0)),0))</f>
        <v>0</v>
      </c>
      <c r="L40" s="107">
        <f>IF(A40="","",J40-K40)</f>
        <v>0</v>
      </c>
      <c r="M40" s="107">
        <f>IF(A40="","",IF(I40&gt;I39,M39-L40,M39))</f>
        <v>0</v>
      </c>
      <c r="N40" s="107">
        <f>IF(A40="","",C40+J40)</f>
        <v>25809</v>
      </c>
      <c r="O40" s="107">
        <f>IF(A40="","",H40+M40)</f>
        <v>686698</v>
      </c>
      <c r="P40" s="107">
        <f>IF(A40="","",CHOOSE(計算過程!$B$72,ROUND(F39*計算過程!$B$32/計算過程!$B$6,0),ROUNDDOWN(F39*計算過程!$B$32/計算過程!$B$6,0),ROUNDUP(F39*計算過程!$B$32/計算過程!$B$6,0)))</f>
        <v>747</v>
      </c>
      <c r="Q40" s="107">
        <f>IF(A40="","",CHOOSE(計算過程!$B$72,ROUND(G39*計算過程!$B$33/計算過程!$B$6,0),ROUNDDOWN(G39*計算過程!$B$33/計算過程!$B$6,0),ROUNDUP(G39*計算過程!$B$33/計算過程!$B$6,0)))</f>
        <v>0</v>
      </c>
    </row>
    <row r="41" spans="1:17">
      <c r="A41" s="106">
        <f>IF(OR(計算過程!$B$98="",ROWS($A$8:A41)&gt;計算過程!$B$71),"",ROWS($A$8:A41))</f>
        <v>34</v>
      </c>
      <c r="B41" s="108">
        <f>IF(A41="","",EDATE(計算過程!$B$98,A41-1))</f>
        <v>47362</v>
      </c>
      <c r="C41" s="107">
        <f>IF(A41="","",IF(A41=計算過程!$B$71,D41+F40+G40,計算過程!$B$78))</f>
        <v>25809</v>
      </c>
      <c r="D41" s="107">
        <f>IF(A41="","",P41+Q41)</f>
        <v>721</v>
      </c>
      <c r="E41" s="107">
        <f>IF(A41="","",C41-D41)</f>
        <v>25088</v>
      </c>
      <c r="F41" s="107">
        <f>IF(A41="","",IF(A41=計算過程!$B$71,0,MAX(0,F40-(計算過程!$B$76-P41))))</f>
        <v>661610</v>
      </c>
      <c r="G41" s="107">
        <f>IF(A41="","",IF(A41=計算過程!$B$71,0,MAX(0,G40-(計算過程!$B$77-Q41))))</f>
        <v>0</v>
      </c>
      <c r="H41" s="107">
        <f>IF(A41="","",F41+G41)</f>
        <v>661610</v>
      </c>
      <c r="I41" s="106">
        <f>IF(A41="","",IF(AND(OR(MONTH(B41)=6,MONTH(B41)=12),I40&lt;計算過程!$B$69),I40+1,I40))</f>
        <v>0</v>
      </c>
      <c r="J41" s="107">
        <f>IF(A41="","",IF(I41&gt;I40,IF(I41=計算過程!$B$69,M40+K41,計算過程!$B$81),0))</f>
        <v>0</v>
      </c>
      <c r="K41" s="107">
        <f>IF(A41="","",IF(I41&gt;I40,CHOOSE(計算過程!$B$72,ROUND(M40*計算過程!$B$79,0),ROUNDDOWN(M40*計算過程!$B$79,0),ROUNDUP(M40*計算過程!$B$79,0)),0))</f>
        <v>0</v>
      </c>
      <c r="L41" s="107">
        <f>IF(A41="","",J41-K41)</f>
        <v>0</v>
      </c>
      <c r="M41" s="107">
        <f>IF(A41="","",IF(I41&gt;I40,M40-L41,M40))</f>
        <v>0</v>
      </c>
      <c r="N41" s="107">
        <f>IF(A41="","",C41+J41)</f>
        <v>25809</v>
      </c>
      <c r="O41" s="107">
        <f>IF(A41="","",H41+M41)</f>
        <v>661610</v>
      </c>
      <c r="P41" s="107">
        <f>IF(A41="","",CHOOSE(計算過程!$B$72,ROUND(F40*計算過程!$B$32/計算過程!$B$6,0),ROUNDDOWN(F40*計算過程!$B$32/計算過程!$B$6,0),ROUNDUP(F40*計算過程!$B$32/計算過程!$B$6,0)))</f>
        <v>721</v>
      </c>
      <c r="Q41" s="107">
        <f>IF(A41="","",CHOOSE(計算過程!$B$72,ROUND(G40*計算過程!$B$33/計算過程!$B$6,0),ROUNDDOWN(G40*計算過程!$B$33/計算過程!$B$6,0),ROUNDUP(G40*計算過程!$B$33/計算過程!$B$6,0)))</f>
        <v>0</v>
      </c>
    </row>
    <row r="42" spans="1:17">
      <c r="A42" s="106">
        <f>IF(OR(計算過程!$B$98="",ROWS($A$8:A42)&gt;計算過程!$B$71),"",ROWS($A$8:A42))</f>
        <v>35</v>
      </c>
      <c r="B42" s="108">
        <f>IF(A42="","",EDATE(計算過程!$B$98,A42-1))</f>
        <v>47392</v>
      </c>
      <c r="C42" s="107">
        <f>IF(A42="","",IF(A42=計算過程!$B$71,D42+F41+G41,計算過程!$B$78))</f>
        <v>25809</v>
      </c>
      <c r="D42" s="107">
        <f>IF(A42="","",P42+Q42)</f>
        <v>695</v>
      </c>
      <c r="E42" s="107">
        <f>IF(A42="","",C42-D42)</f>
        <v>25114</v>
      </c>
      <c r="F42" s="107">
        <f>IF(A42="","",IF(A42=計算過程!$B$71,0,MAX(0,F41-(計算過程!$B$76-P42))))</f>
        <v>636496</v>
      </c>
      <c r="G42" s="107">
        <f>IF(A42="","",IF(A42=計算過程!$B$71,0,MAX(0,G41-(計算過程!$B$77-Q42))))</f>
        <v>0</v>
      </c>
      <c r="H42" s="107">
        <f>IF(A42="","",F42+G42)</f>
        <v>636496</v>
      </c>
      <c r="I42" s="106">
        <f>IF(A42="","",IF(AND(OR(MONTH(B42)=6,MONTH(B42)=12),I41&lt;計算過程!$B$69),I41+1,I41))</f>
        <v>0</v>
      </c>
      <c r="J42" s="107">
        <f>IF(A42="","",IF(I42&gt;I41,IF(I42=計算過程!$B$69,M41+K42,計算過程!$B$81),0))</f>
        <v>0</v>
      </c>
      <c r="K42" s="107">
        <f>IF(A42="","",IF(I42&gt;I41,CHOOSE(計算過程!$B$72,ROUND(M41*計算過程!$B$79,0),ROUNDDOWN(M41*計算過程!$B$79,0),ROUNDUP(M41*計算過程!$B$79,0)),0))</f>
        <v>0</v>
      </c>
      <c r="L42" s="107">
        <f>IF(A42="","",J42-K42)</f>
        <v>0</v>
      </c>
      <c r="M42" s="107">
        <f>IF(A42="","",IF(I42&gt;I41,M41-L42,M41))</f>
        <v>0</v>
      </c>
      <c r="N42" s="107">
        <f>IF(A42="","",C42+J42)</f>
        <v>25809</v>
      </c>
      <c r="O42" s="107">
        <f>IF(A42="","",H42+M42)</f>
        <v>636496</v>
      </c>
      <c r="P42" s="107">
        <f>IF(A42="","",CHOOSE(計算過程!$B$72,ROUND(F41*計算過程!$B$32/計算過程!$B$6,0),ROUNDDOWN(F41*計算過程!$B$32/計算過程!$B$6,0),ROUNDUP(F41*計算過程!$B$32/計算過程!$B$6,0)))</f>
        <v>695</v>
      </c>
      <c r="Q42" s="107">
        <f>IF(A42="","",CHOOSE(計算過程!$B$72,ROUND(G41*計算過程!$B$33/計算過程!$B$6,0),ROUNDDOWN(G41*計算過程!$B$33/計算過程!$B$6,0),ROUNDUP(G41*計算過程!$B$33/計算過程!$B$6,0)))</f>
        <v>0</v>
      </c>
    </row>
    <row r="43" spans="1:17">
      <c r="A43" s="106">
        <f>IF(OR(計算過程!$B$98="",ROWS($A$8:A43)&gt;計算過程!$B$71),"",ROWS($A$8:A43))</f>
        <v>36</v>
      </c>
      <c r="B43" s="108">
        <f>IF(A43="","",EDATE(計算過程!$B$98,A43-1))</f>
        <v>47423</v>
      </c>
      <c r="C43" s="107">
        <f>IF(A43="","",IF(A43=計算過程!$B$71,D43+F42+G42,計算過程!$B$78))</f>
        <v>25809</v>
      </c>
      <c r="D43" s="107">
        <f>IF(A43="","",P43+Q43)</f>
        <v>668</v>
      </c>
      <c r="E43" s="107">
        <f>IF(A43="","",C43-D43)</f>
        <v>25141</v>
      </c>
      <c r="F43" s="107">
        <f>IF(A43="","",IF(A43=計算過程!$B$71,0,MAX(0,F42-(計算過程!$B$76-P43))))</f>
        <v>611355</v>
      </c>
      <c r="G43" s="107">
        <f>IF(A43="","",IF(A43=計算過程!$B$71,0,MAX(0,G42-(計算過程!$B$77-Q43))))</f>
        <v>0</v>
      </c>
      <c r="H43" s="107">
        <f>IF(A43="","",F43+G43)</f>
        <v>611355</v>
      </c>
      <c r="I43" s="106">
        <f>IF(A43="","",IF(AND(OR(MONTH(B43)=6,MONTH(B43)=12),I42&lt;計算過程!$B$69),I42+1,I42))</f>
        <v>0</v>
      </c>
      <c r="J43" s="107">
        <f>IF(A43="","",IF(I43&gt;I42,IF(I43=計算過程!$B$69,M42+K43,計算過程!$B$81),0))</f>
        <v>0</v>
      </c>
      <c r="K43" s="107">
        <f>IF(A43="","",IF(I43&gt;I42,CHOOSE(計算過程!$B$72,ROUND(M42*計算過程!$B$79,0),ROUNDDOWN(M42*計算過程!$B$79,0),ROUNDUP(M42*計算過程!$B$79,0)),0))</f>
        <v>0</v>
      </c>
      <c r="L43" s="107">
        <f>IF(A43="","",J43-K43)</f>
        <v>0</v>
      </c>
      <c r="M43" s="107">
        <f>IF(A43="","",IF(I43&gt;I42,M42-L43,M42))</f>
        <v>0</v>
      </c>
      <c r="N43" s="107">
        <f>IF(A43="","",C43+J43)</f>
        <v>25809</v>
      </c>
      <c r="O43" s="107">
        <f>IF(A43="","",H43+M43)</f>
        <v>611355</v>
      </c>
      <c r="P43" s="107">
        <f>IF(A43="","",CHOOSE(計算過程!$B$72,ROUND(F42*計算過程!$B$32/計算過程!$B$6,0),ROUNDDOWN(F42*計算過程!$B$32/計算過程!$B$6,0),ROUNDUP(F42*計算過程!$B$32/計算過程!$B$6,0)))</f>
        <v>668</v>
      </c>
      <c r="Q43" s="107">
        <f>IF(A43="","",CHOOSE(計算過程!$B$72,ROUND(G42*計算過程!$B$33/計算過程!$B$6,0),ROUNDDOWN(G42*計算過程!$B$33/計算過程!$B$6,0),ROUNDUP(G42*計算過程!$B$33/計算過程!$B$6,0)))</f>
        <v>0</v>
      </c>
    </row>
    <row r="44" spans="1:17">
      <c r="A44" s="106">
        <f>IF(OR(計算過程!$B$98="",ROWS($A$8:A44)&gt;計算過程!$B$71),"",ROWS($A$8:A44))</f>
        <v>37</v>
      </c>
      <c r="B44" s="108">
        <f>IF(A44="","",EDATE(計算過程!$B$98,A44-1))</f>
        <v>47453</v>
      </c>
      <c r="C44" s="107">
        <f>IF(A44="","",IF(A44=計算過程!$B$71,D44+F43+G43,計算過程!$B$78))</f>
        <v>25809</v>
      </c>
      <c r="D44" s="107">
        <f>IF(A44="","",P44+Q44)</f>
        <v>642</v>
      </c>
      <c r="E44" s="107">
        <f>IF(A44="","",C44-D44)</f>
        <v>25167</v>
      </c>
      <c r="F44" s="107">
        <f>IF(A44="","",IF(A44=計算過程!$B$71,0,MAX(0,F43-(計算過程!$B$76-P44))))</f>
        <v>586188</v>
      </c>
      <c r="G44" s="107">
        <f>IF(A44="","",IF(A44=計算過程!$B$71,0,MAX(0,G43-(計算過程!$B$77-Q44))))</f>
        <v>0</v>
      </c>
      <c r="H44" s="107">
        <f>IF(A44="","",F44+G44)</f>
        <v>586188</v>
      </c>
      <c r="I44" s="106">
        <f>IF(A44="","",IF(AND(OR(MONTH(B44)=6,MONTH(B44)=12),I43&lt;計算過程!$B$69),I43+1,I43))</f>
        <v>0</v>
      </c>
      <c r="J44" s="107">
        <f>IF(A44="","",IF(I44&gt;I43,IF(I44=計算過程!$B$69,M43+K44,計算過程!$B$81),0))</f>
        <v>0</v>
      </c>
      <c r="K44" s="107">
        <f>IF(A44="","",IF(I44&gt;I43,CHOOSE(計算過程!$B$72,ROUND(M43*計算過程!$B$79,0),ROUNDDOWN(M43*計算過程!$B$79,0),ROUNDUP(M43*計算過程!$B$79,0)),0))</f>
        <v>0</v>
      </c>
      <c r="L44" s="107">
        <f>IF(A44="","",J44-K44)</f>
        <v>0</v>
      </c>
      <c r="M44" s="107">
        <f>IF(A44="","",IF(I44&gt;I43,M43-L44,M43))</f>
        <v>0</v>
      </c>
      <c r="N44" s="107">
        <f>IF(A44="","",C44+J44)</f>
        <v>25809</v>
      </c>
      <c r="O44" s="107">
        <f>IF(A44="","",H44+M44)</f>
        <v>586188</v>
      </c>
      <c r="P44" s="107">
        <f>IF(A44="","",CHOOSE(計算過程!$B$72,ROUND(F43*計算過程!$B$32/計算過程!$B$6,0),ROUNDDOWN(F43*計算過程!$B$32/計算過程!$B$6,0),ROUNDUP(F43*計算過程!$B$32/計算過程!$B$6,0)))</f>
        <v>642</v>
      </c>
      <c r="Q44" s="107">
        <f>IF(A44="","",CHOOSE(計算過程!$B$72,ROUND(G43*計算過程!$B$33/計算過程!$B$6,0),ROUNDDOWN(G43*計算過程!$B$33/計算過程!$B$6,0),ROUNDUP(G43*計算過程!$B$33/計算過程!$B$6,0)))</f>
        <v>0</v>
      </c>
    </row>
    <row r="45" spans="1:17">
      <c r="A45" s="106">
        <f>IF(OR(計算過程!$B$98="",ROWS($A$8:A45)&gt;計算過程!$B$71),"",ROWS($A$8:A45))</f>
        <v>38</v>
      </c>
      <c r="B45" s="108">
        <f>IF(A45="","",EDATE(計算過程!$B$98,A45-1))</f>
        <v>47484</v>
      </c>
      <c r="C45" s="107">
        <f>IF(A45="","",IF(A45=計算過程!$B$71,D45+F44+G44,計算過程!$B$78))</f>
        <v>25809</v>
      </c>
      <c r="D45" s="107">
        <f>IF(A45="","",P45+Q45)</f>
        <v>615</v>
      </c>
      <c r="E45" s="107">
        <f>IF(A45="","",C45-D45)</f>
        <v>25194</v>
      </c>
      <c r="F45" s="107">
        <f>IF(A45="","",IF(A45=計算過程!$B$71,0,MAX(0,F44-(計算過程!$B$76-P45))))</f>
        <v>560994</v>
      </c>
      <c r="G45" s="107">
        <f>IF(A45="","",IF(A45=計算過程!$B$71,0,MAX(0,G44-(計算過程!$B$77-Q45))))</f>
        <v>0</v>
      </c>
      <c r="H45" s="107">
        <f>IF(A45="","",F45+G45)</f>
        <v>560994</v>
      </c>
      <c r="I45" s="106">
        <f>IF(A45="","",IF(AND(OR(MONTH(B45)=6,MONTH(B45)=12),I44&lt;計算過程!$B$69),I44+1,I44))</f>
        <v>0</v>
      </c>
      <c r="J45" s="107">
        <f>IF(A45="","",IF(I45&gt;I44,IF(I45=計算過程!$B$69,M44+K45,計算過程!$B$81),0))</f>
        <v>0</v>
      </c>
      <c r="K45" s="107">
        <f>IF(A45="","",IF(I45&gt;I44,CHOOSE(計算過程!$B$72,ROUND(M44*計算過程!$B$79,0),ROUNDDOWN(M44*計算過程!$B$79,0),ROUNDUP(M44*計算過程!$B$79,0)),0))</f>
        <v>0</v>
      </c>
      <c r="L45" s="107">
        <f>IF(A45="","",J45-K45)</f>
        <v>0</v>
      </c>
      <c r="M45" s="107">
        <f>IF(A45="","",IF(I45&gt;I44,M44-L45,M44))</f>
        <v>0</v>
      </c>
      <c r="N45" s="107">
        <f>IF(A45="","",C45+J45)</f>
        <v>25809</v>
      </c>
      <c r="O45" s="107">
        <f>IF(A45="","",H45+M45)</f>
        <v>560994</v>
      </c>
      <c r="P45" s="107">
        <f>IF(A45="","",CHOOSE(計算過程!$B$72,ROUND(F44*計算過程!$B$32/計算過程!$B$6,0),ROUNDDOWN(F44*計算過程!$B$32/計算過程!$B$6,0),ROUNDUP(F44*計算過程!$B$32/計算過程!$B$6,0)))</f>
        <v>615</v>
      </c>
      <c r="Q45" s="107">
        <f>IF(A45="","",CHOOSE(計算過程!$B$72,ROUND(G44*計算過程!$B$33/計算過程!$B$6,0),ROUNDDOWN(G44*計算過程!$B$33/計算過程!$B$6,0),ROUNDUP(G44*計算過程!$B$33/計算過程!$B$6,0)))</f>
        <v>0</v>
      </c>
    </row>
    <row r="46" spans="1:17">
      <c r="A46" s="106">
        <f>IF(OR(計算過程!$B$98="",ROWS($A$8:A46)&gt;計算過程!$B$71),"",ROWS($A$8:A46))</f>
        <v>39</v>
      </c>
      <c r="B46" s="108">
        <f>IF(A46="","",EDATE(計算過程!$B$98,A46-1))</f>
        <v>47515</v>
      </c>
      <c r="C46" s="107">
        <f>IF(A46="","",IF(A46=計算過程!$B$71,D46+F45+G45,計算過程!$B$78))</f>
        <v>25809</v>
      </c>
      <c r="D46" s="107">
        <f>IF(A46="","",P46+Q46)</f>
        <v>589</v>
      </c>
      <c r="E46" s="107">
        <f>IF(A46="","",C46-D46)</f>
        <v>25220</v>
      </c>
      <c r="F46" s="107">
        <f>IF(A46="","",IF(A46=計算過程!$B$71,0,MAX(0,F45-(計算過程!$B$76-P46))))</f>
        <v>535774</v>
      </c>
      <c r="G46" s="107">
        <f>IF(A46="","",IF(A46=計算過程!$B$71,0,MAX(0,G45-(計算過程!$B$77-Q46))))</f>
        <v>0</v>
      </c>
      <c r="H46" s="107">
        <f>IF(A46="","",F46+G46)</f>
        <v>535774</v>
      </c>
      <c r="I46" s="106">
        <f>IF(A46="","",IF(AND(OR(MONTH(B46)=6,MONTH(B46)=12),I45&lt;計算過程!$B$69),I45+1,I45))</f>
        <v>0</v>
      </c>
      <c r="J46" s="107">
        <f>IF(A46="","",IF(I46&gt;I45,IF(I46=計算過程!$B$69,M45+K46,計算過程!$B$81),0))</f>
        <v>0</v>
      </c>
      <c r="K46" s="107">
        <f>IF(A46="","",IF(I46&gt;I45,CHOOSE(計算過程!$B$72,ROUND(M45*計算過程!$B$79,0),ROUNDDOWN(M45*計算過程!$B$79,0),ROUNDUP(M45*計算過程!$B$79,0)),0))</f>
        <v>0</v>
      </c>
      <c r="L46" s="107">
        <f>IF(A46="","",J46-K46)</f>
        <v>0</v>
      </c>
      <c r="M46" s="107">
        <f>IF(A46="","",IF(I46&gt;I45,M45-L46,M45))</f>
        <v>0</v>
      </c>
      <c r="N46" s="107">
        <f>IF(A46="","",C46+J46)</f>
        <v>25809</v>
      </c>
      <c r="O46" s="107">
        <f>IF(A46="","",H46+M46)</f>
        <v>535774</v>
      </c>
      <c r="P46" s="107">
        <f>IF(A46="","",CHOOSE(計算過程!$B$72,ROUND(F45*計算過程!$B$32/計算過程!$B$6,0),ROUNDDOWN(F45*計算過程!$B$32/計算過程!$B$6,0),ROUNDUP(F45*計算過程!$B$32/計算過程!$B$6,0)))</f>
        <v>589</v>
      </c>
      <c r="Q46" s="107">
        <f>IF(A46="","",CHOOSE(計算過程!$B$72,ROUND(G45*計算過程!$B$33/計算過程!$B$6,0),ROUNDDOWN(G45*計算過程!$B$33/計算過程!$B$6,0),ROUNDUP(G45*計算過程!$B$33/計算過程!$B$6,0)))</f>
        <v>0</v>
      </c>
    </row>
    <row r="47" spans="1:17">
      <c r="A47" s="106">
        <f>IF(OR(計算過程!$B$98="",ROWS($A$8:A47)&gt;計算過程!$B$71),"",ROWS($A$8:A47))</f>
        <v>40</v>
      </c>
      <c r="B47" s="108">
        <f>IF(A47="","",EDATE(計算過程!$B$98,A47-1))</f>
        <v>47543</v>
      </c>
      <c r="C47" s="107">
        <f>IF(A47="","",IF(A47=計算過程!$B$71,D47+F46+G46,計算過程!$B$78))</f>
        <v>25809</v>
      </c>
      <c r="D47" s="107">
        <f>IF(A47="","",P47+Q47)</f>
        <v>563</v>
      </c>
      <c r="E47" s="107">
        <f>IF(A47="","",C47-D47)</f>
        <v>25246</v>
      </c>
      <c r="F47" s="107">
        <f>IF(A47="","",IF(A47=計算過程!$B$71,0,MAX(0,F46-(計算過程!$B$76-P47))))</f>
        <v>510528</v>
      </c>
      <c r="G47" s="107">
        <f>IF(A47="","",IF(A47=計算過程!$B$71,0,MAX(0,G46-(計算過程!$B$77-Q47))))</f>
        <v>0</v>
      </c>
      <c r="H47" s="107">
        <f>IF(A47="","",F47+G47)</f>
        <v>510528</v>
      </c>
      <c r="I47" s="106">
        <f>IF(A47="","",IF(AND(OR(MONTH(B47)=6,MONTH(B47)=12),I46&lt;計算過程!$B$69),I46+1,I46))</f>
        <v>0</v>
      </c>
      <c r="J47" s="107">
        <f>IF(A47="","",IF(I47&gt;I46,IF(I47=計算過程!$B$69,M46+K47,計算過程!$B$81),0))</f>
        <v>0</v>
      </c>
      <c r="K47" s="107">
        <f>IF(A47="","",IF(I47&gt;I46,CHOOSE(計算過程!$B$72,ROUND(M46*計算過程!$B$79,0),ROUNDDOWN(M46*計算過程!$B$79,0),ROUNDUP(M46*計算過程!$B$79,0)),0))</f>
        <v>0</v>
      </c>
      <c r="L47" s="107">
        <f>IF(A47="","",J47-K47)</f>
        <v>0</v>
      </c>
      <c r="M47" s="107">
        <f>IF(A47="","",IF(I47&gt;I46,M46-L47,M46))</f>
        <v>0</v>
      </c>
      <c r="N47" s="107">
        <f>IF(A47="","",C47+J47)</f>
        <v>25809</v>
      </c>
      <c r="O47" s="107">
        <f>IF(A47="","",H47+M47)</f>
        <v>510528</v>
      </c>
      <c r="P47" s="107">
        <f>IF(A47="","",CHOOSE(計算過程!$B$72,ROUND(F46*計算過程!$B$32/計算過程!$B$6,0),ROUNDDOWN(F46*計算過程!$B$32/計算過程!$B$6,0),ROUNDUP(F46*計算過程!$B$32/計算過程!$B$6,0)))</f>
        <v>563</v>
      </c>
      <c r="Q47" s="107">
        <f>IF(A47="","",CHOOSE(計算過程!$B$72,ROUND(G46*計算過程!$B$33/計算過程!$B$6,0),ROUNDDOWN(G46*計算過程!$B$33/計算過程!$B$6,0),ROUNDUP(G46*計算過程!$B$33/計算過程!$B$6,0)))</f>
        <v>0</v>
      </c>
    </row>
    <row r="48" spans="1:17">
      <c r="A48" s="106">
        <f>IF(OR(計算過程!$B$98="",ROWS($A$8:A48)&gt;計算過程!$B$71),"",ROWS($A$8:A48))</f>
        <v>41</v>
      </c>
      <c r="B48" s="108">
        <f>IF(A48="","",EDATE(計算過程!$B$98,A48-1))</f>
        <v>47574</v>
      </c>
      <c r="C48" s="107">
        <f>IF(A48="","",IF(A48=計算過程!$B$71,D48+F47+G47,計算過程!$B$78))</f>
        <v>25809</v>
      </c>
      <c r="D48" s="107">
        <f>IF(A48="","",P48+Q48)</f>
        <v>536</v>
      </c>
      <c r="E48" s="107">
        <f>IF(A48="","",C48-D48)</f>
        <v>25273</v>
      </c>
      <c r="F48" s="107">
        <f>IF(A48="","",IF(A48=計算過程!$B$71,0,MAX(0,F47-(計算過程!$B$76-P48))))</f>
        <v>485255</v>
      </c>
      <c r="G48" s="107">
        <f>IF(A48="","",IF(A48=計算過程!$B$71,0,MAX(0,G47-(計算過程!$B$77-Q48))))</f>
        <v>0</v>
      </c>
      <c r="H48" s="107">
        <f>IF(A48="","",F48+G48)</f>
        <v>485255</v>
      </c>
      <c r="I48" s="106">
        <f>IF(A48="","",IF(AND(OR(MONTH(B48)=6,MONTH(B48)=12),I47&lt;計算過程!$B$69),I47+1,I47))</f>
        <v>0</v>
      </c>
      <c r="J48" s="107">
        <f>IF(A48="","",IF(I48&gt;I47,IF(I48=計算過程!$B$69,M47+K48,計算過程!$B$81),0))</f>
        <v>0</v>
      </c>
      <c r="K48" s="107">
        <f>IF(A48="","",IF(I48&gt;I47,CHOOSE(計算過程!$B$72,ROUND(M47*計算過程!$B$79,0),ROUNDDOWN(M47*計算過程!$B$79,0),ROUNDUP(M47*計算過程!$B$79,0)),0))</f>
        <v>0</v>
      </c>
      <c r="L48" s="107">
        <f>IF(A48="","",J48-K48)</f>
        <v>0</v>
      </c>
      <c r="M48" s="107">
        <f>IF(A48="","",IF(I48&gt;I47,M47-L48,M47))</f>
        <v>0</v>
      </c>
      <c r="N48" s="107">
        <f>IF(A48="","",C48+J48)</f>
        <v>25809</v>
      </c>
      <c r="O48" s="107">
        <f>IF(A48="","",H48+M48)</f>
        <v>485255</v>
      </c>
      <c r="P48" s="107">
        <f>IF(A48="","",CHOOSE(計算過程!$B$72,ROUND(F47*計算過程!$B$32/計算過程!$B$6,0),ROUNDDOWN(F47*計算過程!$B$32/計算過程!$B$6,0),ROUNDUP(F47*計算過程!$B$32/計算過程!$B$6,0)))</f>
        <v>536</v>
      </c>
      <c r="Q48" s="107">
        <f>IF(A48="","",CHOOSE(計算過程!$B$72,ROUND(G47*計算過程!$B$33/計算過程!$B$6,0),ROUNDDOWN(G47*計算過程!$B$33/計算過程!$B$6,0),ROUNDUP(G47*計算過程!$B$33/計算過程!$B$6,0)))</f>
        <v>0</v>
      </c>
    </row>
    <row r="49" spans="1:17">
      <c r="A49" s="106">
        <f>IF(OR(計算過程!$B$98="",ROWS($A$8:A49)&gt;計算過程!$B$71),"",ROWS($A$8:A49))</f>
        <v>42</v>
      </c>
      <c r="B49" s="108">
        <f>IF(A49="","",EDATE(計算過程!$B$98,A49-1))</f>
        <v>47604</v>
      </c>
      <c r="C49" s="107">
        <f>IF(A49="","",IF(A49=計算過程!$B$71,D49+F48+G48,計算過程!$B$78))</f>
        <v>25809</v>
      </c>
      <c r="D49" s="107">
        <f>IF(A49="","",P49+Q49)</f>
        <v>510</v>
      </c>
      <c r="E49" s="107">
        <f>IF(A49="","",C49-D49)</f>
        <v>25299</v>
      </c>
      <c r="F49" s="107">
        <f>IF(A49="","",IF(A49=計算過程!$B$71,0,MAX(0,F48-(計算過程!$B$76-P49))))</f>
        <v>459956</v>
      </c>
      <c r="G49" s="107">
        <f>IF(A49="","",IF(A49=計算過程!$B$71,0,MAX(0,G48-(計算過程!$B$77-Q49))))</f>
        <v>0</v>
      </c>
      <c r="H49" s="107">
        <f>IF(A49="","",F49+G49)</f>
        <v>459956</v>
      </c>
      <c r="I49" s="106">
        <f>IF(A49="","",IF(AND(OR(MONTH(B49)=6,MONTH(B49)=12),I48&lt;計算過程!$B$69),I48+1,I48))</f>
        <v>0</v>
      </c>
      <c r="J49" s="107">
        <f>IF(A49="","",IF(I49&gt;I48,IF(I49=計算過程!$B$69,M48+K49,計算過程!$B$81),0))</f>
        <v>0</v>
      </c>
      <c r="K49" s="107">
        <f>IF(A49="","",IF(I49&gt;I48,CHOOSE(計算過程!$B$72,ROUND(M48*計算過程!$B$79,0),ROUNDDOWN(M48*計算過程!$B$79,0),ROUNDUP(M48*計算過程!$B$79,0)),0))</f>
        <v>0</v>
      </c>
      <c r="L49" s="107">
        <f>IF(A49="","",J49-K49)</f>
        <v>0</v>
      </c>
      <c r="M49" s="107">
        <f>IF(A49="","",IF(I49&gt;I48,M48-L49,M48))</f>
        <v>0</v>
      </c>
      <c r="N49" s="107">
        <f>IF(A49="","",C49+J49)</f>
        <v>25809</v>
      </c>
      <c r="O49" s="107">
        <f>IF(A49="","",H49+M49)</f>
        <v>459956</v>
      </c>
      <c r="P49" s="107">
        <f>IF(A49="","",CHOOSE(計算過程!$B$72,ROUND(F48*計算過程!$B$32/計算過程!$B$6,0),ROUNDDOWN(F48*計算過程!$B$32/計算過程!$B$6,0),ROUNDUP(F48*計算過程!$B$32/計算過程!$B$6,0)))</f>
        <v>510</v>
      </c>
      <c r="Q49" s="107">
        <f>IF(A49="","",CHOOSE(計算過程!$B$72,ROUND(G48*計算過程!$B$33/計算過程!$B$6,0),ROUNDDOWN(G48*計算過程!$B$33/計算過程!$B$6,0),ROUNDUP(G48*計算過程!$B$33/計算過程!$B$6,0)))</f>
        <v>0</v>
      </c>
    </row>
    <row r="50" spans="1:17">
      <c r="A50" s="106">
        <f>IF(OR(計算過程!$B$98="",ROWS($A$8:A50)&gt;計算過程!$B$71),"",ROWS($A$8:A50))</f>
        <v>43</v>
      </c>
      <c r="B50" s="108">
        <f>IF(A50="","",EDATE(計算過程!$B$98,A50-1))</f>
        <v>47635</v>
      </c>
      <c r="C50" s="107">
        <f>IF(A50="","",IF(A50=計算過程!$B$71,D50+F49+G49,計算過程!$B$78))</f>
        <v>25809</v>
      </c>
      <c r="D50" s="107">
        <f>IF(A50="","",P50+Q50)</f>
        <v>483</v>
      </c>
      <c r="E50" s="107">
        <f>IF(A50="","",C50-D50)</f>
        <v>25326</v>
      </c>
      <c r="F50" s="107">
        <f>IF(A50="","",IF(A50=計算過程!$B$71,0,MAX(0,F49-(計算過程!$B$76-P50))))</f>
        <v>434630</v>
      </c>
      <c r="G50" s="107">
        <f>IF(A50="","",IF(A50=計算過程!$B$71,0,MAX(0,G49-(計算過程!$B$77-Q50))))</f>
        <v>0</v>
      </c>
      <c r="H50" s="107">
        <f>IF(A50="","",F50+G50)</f>
        <v>434630</v>
      </c>
      <c r="I50" s="106">
        <f>IF(A50="","",IF(AND(OR(MONTH(B50)=6,MONTH(B50)=12),I49&lt;計算過程!$B$69),I49+1,I49))</f>
        <v>0</v>
      </c>
      <c r="J50" s="107">
        <f>IF(A50="","",IF(I50&gt;I49,IF(I50=計算過程!$B$69,M49+K50,計算過程!$B$81),0))</f>
        <v>0</v>
      </c>
      <c r="K50" s="107">
        <f>IF(A50="","",IF(I50&gt;I49,CHOOSE(計算過程!$B$72,ROUND(M49*計算過程!$B$79,0),ROUNDDOWN(M49*計算過程!$B$79,0),ROUNDUP(M49*計算過程!$B$79,0)),0))</f>
        <v>0</v>
      </c>
      <c r="L50" s="107">
        <f>IF(A50="","",J50-K50)</f>
        <v>0</v>
      </c>
      <c r="M50" s="107">
        <f>IF(A50="","",IF(I50&gt;I49,M49-L50,M49))</f>
        <v>0</v>
      </c>
      <c r="N50" s="107">
        <f>IF(A50="","",C50+J50)</f>
        <v>25809</v>
      </c>
      <c r="O50" s="107">
        <f>IF(A50="","",H50+M50)</f>
        <v>434630</v>
      </c>
      <c r="P50" s="107">
        <f>IF(A50="","",CHOOSE(計算過程!$B$72,ROUND(F49*計算過程!$B$32/計算過程!$B$6,0),ROUNDDOWN(F49*計算過程!$B$32/計算過程!$B$6,0),ROUNDUP(F49*計算過程!$B$32/計算過程!$B$6,0)))</f>
        <v>483</v>
      </c>
      <c r="Q50" s="107">
        <f>IF(A50="","",CHOOSE(計算過程!$B$72,ROUND(G49*計算過程!$B$33/計算過程!$B$6,0),ROUNDDOWN(G49*計算過程!$B$33/計算過程!$B$6,0),ROUNDUP(G49*計算過程!$B$33/計算過程!$B$6,0)))</f>
        <v>0</v>
      </c>
    </row>
    <row r="51" spans="1:17">
      <c r="A51" s="106">
        <f>IF(OR(計算過程!$B$98="",ROWS($A$8:A51)&gt;計算過程!$B$71),"",ROWS($A$8:A51))</f>
        <v>44</v>
      </c>
      <c r="B51" s="108">
        <f>IF(A51="","",EDATE(計算過程!$B$98,A51-1))</f>
        <v>47665</v>
      </c>
      <c r="C51" s="107">
        <f>IF(A51="","",IF(A51=計算過程!$B$71,D51+F50+G50,計算過程!$B$78))</f>
        <v>25809</v>
      </c>
      <c r="D51" s="107">
        <f>IF(A51="","",P51+Q51)</f>
        <v>456</v>
      </c>
      <c r="E51" s="107">
        <f>IF(A51="","",C51-D51)</f>
        <v>25353</v>
      </c>
      <c r="F51" s="107">
        <f>IF(A51="","",IF(A51=計算過程!$B$71,0,MAX(0,F50-(計算過程!$B$76-P51))))</f>
        <v>409277</v>
      </c>
      <c r="G51" s="107">
        <f>IF(A51="","",IF(A51=計算過程!$B$71,0,MAX(0,G50-(計算過程!$B$77-Q51))))</f>
        <v>0</v>
      </c>
      <c r="H51" s="107">
        <f>IF(A51="","",F51+G51)</f>
        <v>409277</v>
      </c>
      <c r="I51" s="106">
        <f>IF(A51="","",IF(AND(OR(MONTH(B51)=6,MONTH(B51)=12),I50&lt;計算過程!$B$69),I50+1,I50))</f>
        <v>0</v>
      </c>
      <c r="J51" s="107">
        <f>IF(A51="","",IF(I51&gt;I50,IF(I51=計算過程!$B$69,M50+K51,計算過程!$B$81),0))</f>
        <v>0</v>
      </c>
      <c r="K51" s="107">
        <f>IF(A51="","",IF(I51&gt;I50,CHOOSE(計算過程!$B$72,ROUND(M50*計算過程!$B$79,0),ROUNDDOWN(M50*計算過程!$B$79,0),ROUNDUP(M50*計算過程!$B$79,0)),0))</f>
        <v>0</v>
      </c>
      <c r="L51" s="107">
        <f>IF(A51="","",J51-K51)</f>
        <v>0</v>
      </c>
      <c r="M51" s="107">
        <f>IF(A51="","",IF(I51&gt;I50,M50-L51,M50))</f>
        <v>0</v>
      </c>
      <c r="N51" s="107">
        <f>IF(A51="","",C51+J51)</f>
        <v>25809</v>
      </c>
      <c r="O51" s="107">
        <f>IF(A51="","",H51+M51)</f>
        <v>409277</v>
      </c>
      <c r="P51" s="107">
        <f>IF(A51="","",CHOOSE(計算過程!$B$72,ROUND(F50*計算過程!$B$32/計算過程!$B$6,0),ROUNDDOWN(F50*計算過程!$B$32/計算過程!$B$6,0),ROUNDUP(F50*計算過程!$B$32/計算過程!$B$6,0)))</f>
        <v>456</v>
      </c>
      <c r="Q51" s="107">
        <f>IF(A51="","",CHOOSE(計算過程!$B$72,ROUND(G50*計算過程!$B$33/計算過程!$B$6,0),ROUNDDOWN(G50*計算過程!$B$33/計算過程!$B$6,0),ROUNDUP(G50*計算過程!$B$33/計算過程!$B$6,0)))</f>
        <v>0</v>
      </c>
    </row>
    <row r="52" spans="1:17">
      <c r="A52" s="106">
        <f>IF(OR(計算過程!$B$98="",ROWS($A$8:A52)&gt;計算過程!$B$71),"",ROWS($A$8:A52))</f>
        <v>45</v>
      </c>
      <c r="B52" s="108">
        <f>IF(A52="","",EDATE(計算過程!$B$98,A52-1))</f>
        <v>47696</v>
      </c>
      <c r="C52" s="107">
        <f>IF(A52="","",IF(A52=計算過程!$B$71,D52+F51+G51,計算過程!$B$78))</f>
        <v>25809</v>
      </c>
      <c r="D52" s="107">
        <f>IF(A52="","",P52+Q52)</f>
        <v>430</v>
      </c>
      <c r="E52" s="107">
        <f>IF(A52="","",C52-D52)</f>
        <v>25379</v>
      </c>
      <c r="F52" s="107">
        <f>IF(A52="","",IF(A52=計算過程!$B$71,0,MAX(0,F51-(計算過程!$B$76-P52))))</f>
        <v>383898</v>
      </c>
      <c r="G52" s="107">
        <f>IF(A52="","",IF(A52=計算過程!$B$71,0,MAX(0,G51-(計算過程!$B$77-Q52))))</f>
        <v>0</v>
      </c>
      <c r="H52" s="107">
        <f>IF(A52="","",F52+G52)</f>
        <v>383898</v>
      </c>
      <c r="I52" s="106">
        <f>IF(A52="","",IF(AND(OR(MONTH(B52)=6,MONTH(B52)=12),I51&lt;計算過程!$B$69),I51+1,I51))</f>
        <v>0</v>
      </c>
      <c r="J52" s="107">
        <f>IF(A52="","",IF(I52&gt;I51,IF(I52=計算過程!$B$69,M51+K52,計算過程!$B$81),0))</f>
        <v>0</v>
      </c>
      <c r="K52" s="107">
        <f>IF(A52="","",IF(I52&gt;I51,CHOOSE(計算過程!$B$72,ROUND(M51*計算過程!$B$79,0),ROUNDDOWN(M51*計算過程!$B$79,0),ROUNDUP(M51*計算過程!$B$79,0)),0))</f>
        <v>0</v>
      </c>
      <c r="L52" s="107">
        <f>IF(A52="","",J52-K52)</f>
        <v>0</v>
      </c>
      <c r="M52" s="107">
        <f>IF(A52="","",IF(I52&gt;I51,M51-L52,M51))</f>
        <v>0</v>
      </c>
      <c r="N52" s="107">
        <f>IF(A52="","",C52+J52)</f>
        <v>25809</v>
      </c>
      <c r="O52" s="107">
        <f>IF(A52="","",H52+M52)</f>
        <v>383898</v>
      </c>
      <c r="P52" s="107">
        <f>IF(A52="","",CHOOSE(計算過程!$B$72,ROUND(F51*計算過程!$B$32/計算過程!$B$6,0),ROUNDDOWN(F51*計算過程!$B$32/計算過程!$B$6,0),ROUNDUP(F51*計算過程!$B$32/計算過程!$B$6,0)))</f>
        <v>430</v>
      </c>
      <c r="Q52" s="107">
        <f>IF(A52="","",CHOOSE(計算過程!$B$72,ROUND(G51*計算過程!$B$33/計算過程!$B$6,0),ROUNDDOWN(G51*計算過程!$B$33/計算過程!$B$6,0),ROUNDUP(G51*計算過程!$B$33/計算過程!$B$6,0)))</f>
        <v>0</v>
      </c>
    </row>
    <row r="53" spans="1:17">
      <c r="A53" s="106">
        <f>IF(OR(計算過程!$B$98="",ROWS($A$8:A53)&gt;計算過程!$B$71),"",ROWS($A$8:A53))</f>
        <v>46</v>
      </c>
      <c r="B53" s="108">
        <f>IF(A53="","",EDATE(計算過程!$B$98,A53-1))</f>
        <v>47727</v>
      </c>
      <c r="C53" s="107">
        <f>IF(A53="","",IF(A53=計算過程!$B$71,D53+F52+G52,計算過程!$B$78))</f>
        <v>25809</v>
      </c>
      <c r="D53" s="107">
        <f>IF(A53="","",P53+Q53)</f>
        <v>403</v>
      </c>
      <c r="E53" s="107">
        <f>IF(A53="","",C53-D53)</f>
        <v>25406</v>
      </c>
      <c r="F53" s="107">
        <f>IF(A53="","",IF(A53=計算過程!$B$71,0,MAX(0,F52-(計算過程!$B$76-P53))))</f>
        <v>358492</v>
      </c>
      <c r="G53" s="107">
        <f>IF(A53="","",IF(A53=計算過程!$B$71,0,MAX(0,G52-(計算過程!$B$77-Q53))))</f>
        <v>0</v>
      </c>
      <c r="H53" s="107">
        <f>IF(A53="","",F53+G53)</f>
        <v>358492</v>
      </c>
      <c r="I53" s="106">
        <f>IF(A53="","",IF(AND(OR(MONTH(B53)=6,MONTH(B53)=12),I52&lt;計算過程!$B$69),I52+1,I52))</f>
        <v>0</v>
      </c>
      <c r="J53" s="107">
        <f>IF(A53="","",IF(I53&gt;I52,IF(I53=計算過程!$B$69,M52+K53,計算過程!$B$81),0))</f>
        <v>0</v>
      </c>
      <c r="K53" s="107">
        <f>IF(A53="","",IF(I53&gt;I52,CHOOSE(計算過程!$B$72,ROUND(M52*計算過程!$B$79,0),ROUNDDOWN(M52*計算過程!$B$79,0),ROUNDUP(M52*計算過程!$B$79,0)),0))</f>
        <v>0</v>
      </c>
      <c r="L53" s="107">
        <f>IF(A53="","",J53-K53)</f>
        <v>0</v>
      </c>
      <c r="M53" s="107">
        <f>IF(A53="","",IF(I53&gt;I52,M52-L53,M52))</f>
        <v>0</v>
      </c>
      <c r="N53" s="107">
        <f>IF(A53="","",C53+J53)</f>
        <v>25809</v>
      </c>
      <c r="O53" s="107">
        <f>IF(A53="","",H53+M53)</f>
        <v>358492</v>
      </c>
      <c r="P53" s="107">
        <f>IF(A53="","",CHOOSE(計算過程!$B$72,ROUND(F52*計算過程!$B$32/計算過程!$B$6,0),ROUNDDOWN(F52*計算過程!$B$32/計算過程!$B$6,0),ROUNDUP(F52*計算過程!$B$32/計算過程!$B$6,0)))</f>
        <v>403</v>
      </c>
      <c r="Q53" s="107">
        <f>IF(A53="","",CHOOSE(計算過程!$B$72,ROUND(G52*計算過程!$B$33/計算過程!$B$6,0),ROUNDDOWN(G52*計算過程!$B$33/計算過程!$B$6,0),ROUNDUP(G52*計算過程!$B$33/計算過程!$B$6,0)))</f>
        <v>0</v>
      </c>
    </row>
    <row r="54" spans="1:17">
      <c r="A54" s="106">
        <f>IF(OR(計算過程!$B$98="",ROWS($A$8:A54)&gt;計算過程!$B$71),"",ROWS($A$8:A54))</f>
        <v>47</v>
      </c>
      <c r="B54" s="108">
        <f>IF(A54="","",EDATE(計算過程!$B$98,A54-1))</f>
        <v>47757</v>
      </c>
      <c r="C54" s="107">
        <f>IF(A54="","",IF(A54=計算過程!$B$71,D54+F53+G53,計算過程!$B$78))</f>
        <v>25809</v>
      </c>
      <c r="D54" s="107">
        <f>IF(A54="","",P54+Q54)</f>
        <v>376</v>
      </c>
      <c r="E54" s="107">
        <f>IF(A54="","",C54-D54)</f>
        <v>25433</v>
      </c>
      <c r="F54" s="107">
        <f>IF(A54="","",IF(A54=計算過程!$B$71,0,MAX(0,F53-(計算過程!$B$76-P54))))</f>
        <v>333059</v>
      </c>
      <c r="G54" s="107">
        <f>IF(A54="","",IF(A54=計算過程!$B$71,0,MAX(0,G53-(計算過程!$B$77-Q54))))</f>
        <v>0</v>
      </c>
      <c r="H54" s="107">
        <f>IF(A54="","",F54+G54)</f>
        <v>333059</v>
      </c>
      <c r="I54" s="106">
        <f>IF(A54="","",IF(AND(OR(MONTH(B54)=6,MONTH(B54)=12),I53&lt;計算過程!$B$69),I53+1,I53))</f>
        <v>0</v>
      </c>
      <c r="J54" s="107">
        <f>IF(A54="","",IF(I54&gt;I53,IF(I54=計算過程!$B$69,M53+K54,計算過程!$B$81),0))</f>
        <v>0</v>
      </c>
      <c r="K54" s="107">
        <f>IF(A54="","",IF(I54&gt;I53,CHOOSE(計算過程!$B$72,ROUND(M53*計算過程!$B$79,0),ROUNDDOWN(M53*計算過程!$B$79,0),ROUNDUP(M53*計算過程!$B$79,0)),0))</f>
        <v>0</v>
      </c>
      <c r="L54" s="107">
        <f>IF(A54="","",J54-K54)</f>
        <v>0</v>
      </c>
      <c r="M54" s="107">
        <f>IF(A54="","",IF(I54&gt;I53,M53-L54,M53))</f>
        <v>0</v>
      </c>
      <c r="N54" s="107">
        <f>IF(A54="","",C54+J54)</f>
        <v>25809</v>
      </c>
      <c r="O54" s="107">
        <f>IF(A54="","",H54+M54)</f>
        <v>333059</v>
      </c>
      <c r="P54" s="107">
        <f>IF(A54="","",CHOOSE(計算過程!$B$72,ROUND(F53*計算過程!$B$32/計算過程!$B$6,0),ROUNDDOWN(F53*計算過程!$B$32/計算過程!$B$6,0),ROUNDUP(F53*計算過程!$B$32/計算過程!$B$6,0)))</f>
        <v>376</v>
      </c>
      <c r="Q54" s="107">
        <f>IF(A54="","",CHOOSE(計算過程!$B$72,ROUND(G53*計算過程!$B$33/計算過程!$B$6,0),ROUNDDOWN(G53*計算過程!$B$33/計算過程!$B$6,0),ROUNDUP(G53*計算過程!$B$33/計算過程!$B$6,0)))</f>
        <v>0</v>
      </c>
    </row>
    <row r="55" spans="1:17">
      <c r="A55" s="106">
        <f>IF(OR(計算過程!$B$98="",ROWS($A$8:A55)&gt;計算過程!$B$71),"",ROWS($A$8:A55))</f>
        <v>48</v>
      </c>
      <c r="B55" s="108">
        <f>IF(A55="","",EDATE(計算過程!$B$98,A55-1))</f>
        <v>47788</v>
      </c>
      <c r="C55" s="107">
        <f>IF(A55="","",IF(A55=計算過程!$B$71,D55+F54+G54,計算過程!$B$78))</f>
        <v>25809</v>
      </c>
      <c r="D55" s="107">
        <f>IF(A55="","",P55+Q55)</f>
        <v>350</v>
      </c>
      <c r="E55" s="107">
        <f>IF(A55="","",C55-D55)</f>
        <v>25459</v>
      </c>
      <c r="F55" s="107">
        <f>IF(A55="","",IF(A55=計算過程!$B$71,0,MAX(0,F54-(計算過程!$B$76-P55))))</f>
        <v>307600</v>
      </c>
      <c r="G55" s="107">
        <f>IF(A55="","",IF(A55=計算過程!$B$71,0,MAX(0,G54-(計算過程!$B$77-Q55))))</f>
        <v>0</v>
      </c>
      <c r="H55" s="107">
        <f>IF(A55="","",F55+G55)</f>
        <v>307600</v>
      </c>
      <c r="I55" s="106">
        <f>IF(A55="","",IF(AND(OR(MONTH(B55)=6,MONTH(B55)=12),I54&lt;計算過程!$B$69),I54+1,I54))</f>
        <v>0</v>
      </c>
      <c r="J55" s="107">
        <f>IF(A55="","",IF(I55&gt;I54,IF(I55=計算過程!$B$69,M54+K55,計算過程!$B$81),0))</f>
        <v>0</v>
      </c>
      <c r="K55" s="107">
        <f>IF(A55="","",IF(I55&gt;I54,CHOOSE(計算過程!$B$72,ROUND(M54*計算過程!$B$79,0),ROUNDDOWN(M54*計算過程!$B$79,0),ROUNDUP(M54*計算過程!$B$79,0)),0))</f>
        <v>0</v>
      </c>
      <c r="L55" s="107">
        <f>IF(A55="","",J55-K55)</f>
        <v>0</v>
      </c>
      <c r="M55" s="107">
        <f>IF(A55="","",IF(I55&gt;I54,M54-L55,M54))</f>
        <v>0</v>
      </c>
      <c r="N55" s="107">
        <f>IF(A55="","",C55+J55)</f>
        <v>25809</v>
      </c>
      <c r="O55" s="107">
        <f>IF(A55="","",H55+M55)</f>
        <v>307600</v>
      </c>
      <c r="P55" s="107">
        <f>IF(A55="","",CHOOSE(計算過程!$B$72,ROUND(F54*計算過程!$B$32/計算過程!$B$6,0),ROUNDDOWN(F54*計算過程!$B$32/計算過程!$B$6,0),ROUNDUP(F54*計算過程!$B$32/計算過程!$B$6,0)))</f>
        <v>350</v>
      </c>
      <c r="Q55" s="107">
        <f>IF(A55="","",CHOOSE(計算過程!$B$72,ROUND(G54*計算過程!$B$33/計算過程!$B$6,0),ROUNDDOWN(G54*計算過程!$B$33/計算過程!$B$6,0),ROUNDUP(G54*計算過程!$B$33/計算過程!$B$6,0)))</f>
        <v>0</v>
      </c>
    </row>
    <row r="56" spans="1:17">
      <c r="A56" s="106">
        <f>IF(OR(計算過程!$B$98="",ROWS($A$8:A56)&gt;計算過程!$B$71),"",ROWS($A$8:A56))</f>
        <v>49</v>
      </c>
      <c r="B56" s="108">
        <f>IF(A56="","",EDATE(計算過程!$B$98,A56-1))</f>
        <v>47818</v>
      </c>
      <c r="C56" s="107">
        <f>IF(A56="","",IF(A56=計算過程!$B$71,D56+F55+G55,計算過程!$B$78))</f>
        <v>25809</v>
      </c>
      <c r="D56" s="107">
        <f>IF(A56="","",P56+Q56)</f>
        <v>323</v>
      </c>
      <c r="E56" s="107">
        <f>IF(A56="","",C56-D56)</f>
        <v>25486</v>
      </c>
      <c r="F56" s="107">
        <f>IF(A56="","",IF(A56=計算過程!$B$71,0,MAX(0,F55-(計算過程!$B$76-P56))))</f>
        <v>282114</v>
      </c>
      <c r="G56" s="107">
        <f>IF(A56="","",IF(A56=計算過程!$B$71,0,MAX(0,G55-(計算過程!$B$77-Q56))))</f>
        <v>0</v>
      </c>
      <c r="H56" s="107">
        <f>IF(A56="","",F56+G56)</f>
        <v>282114</v>
      </c>
      <c r="I56" s="106">
        <f>IF(A56="","",IF(AND(OR(MONTH(B56)=6,MONTH(B56)=12),I55&lt;計算過程!$B$69),I55+1,I55))</f>
        <v>0</v>
      </c>
      <c r="J56" s="107">
        <f>IF(A56="","",IF(I56&gt;I55,IF(I56=計算過程!$B$69,M55+K56,計算過程!$B$81),0))</f>
        <v>0</v>
      </c>
      <c r="K56" s="107">
        <f>IF(A56="","",IF(I56&gt;I55,CHOOSE(計算過程!$B$72,ROUND(M55*計算過程!$B$79,0),ROUNDDOWN(M55*計算過程!$B$79,0),ROUNDUP(M55*計算過程!$B$79,0)),0))</f>
        <v>0</v>
      </c>
      <c r="L56" s="107">
        <f>IF(A56="","",J56-K56)</f>
        <v>0</v>
      </c>
      <c r="M56" s="107">
        <f>IF(A56="","",IF(I56&gt;I55,M55-L56,M55))</f>
        <v>0</v>
      </c>
      <c r="N56" s="107">
        <f>IF(A56="","",C56+J56)</f>
        <v>25809</v>
      </c>
      <c r="O56" s="107">
        <f>IF(A56="","",H56+M56)</f>
        <v>282114</v>
      </c>
      <c r="P56" s="107">
        <f>IF(A56="","",CHOOSE(計算過程!$B$72,ROUND(F55*計算過程!$B$32/計算過程!$B$6,0),ROUNDDOWN(F55*計算過程!$B$32/計算過程!$B$6,0),ROUNDUP(F55*計算過程!$B$32/計算過程!$B$6,0)))</f>
        <v>323</v>
      </c>
      <c r="Q56" s="107">
        <f>IF(A56="","",CHOOSE(計算過程!$B$72,ROUND(G55*計算過程!$B$33/計算過程!$B$6,0),ROUNDDOWN(G55*計算過程!$B$33/計算過程!$B$6,0),ROUNDUP(G55*計算過程!$B$33/計算過程!$B$6,0)))</f>
        <v>0</v>
      </c>
    </row>
    <row r="57" spans="1:17">
      <c r="A57" s="106">
        <f>IF(OR(計算過程!$B$98="",ROWS($A$8:A57)&gt;計算過程!$B$71),"",ROWS($A$8:A57))</f>
        <v>50</v>
      </c>
      <c r="B57" s="108">
        <f>IF(A57="","",EDATE(計算過程!$B$98,A57-1))</f>
        <v>47849</v>
      </c>
      <c r="C57" s="107">
        <f>IF(A57="","",IF(A57=計算過程!$B$71,D57+F56+G56,計算過程!$B$78))</f>
        <v>25809</v>
      </c>
      <c r="D57" s="107">
        <f>IF(A57="","",P57+Q57)</f>
        <v>296</v>
      </c>
      <c r="E57" s="107">
        <f>IF(A57="","",C57-D57)</f>
        <v>25513</v>
      </c>
      <c r="F57" s="107">
        <f>IF(A57="","",IF(A57=計算過程!$B$71,0,MAX(0,F56-(計算過程!$B$76-P57))))</f>
        <v>256601</v>
      </c>
      <c r="G57" s="107">
        <f>IF(A57="","",IF(A57=計算過程!$B$71,0,MAX(0,G56-(計算過程!$B$77-Q57))))</f>
        <v>0</v>
      </c>
      <c r="H57" s="107">
        <f>IF(A57="","",F57+G57)</f>
        <v>256601</v>
      </c>
      <c r="I57" s="106">
        <f>IF(A57="","",IF(AND(OR(MONTH(B57)=6,MONTH(B57)=12),I56&lt;計算過程!$B$69),I56+1,I56))</f>
        <v>0</v>
      </c>
      <c r="J57" s="107">
        <f>IF(A57="","",IF(I57&gt;I56,IF(I57=計算過程!$B$69,M56+K57,計算過程!$B$81),0))</f>
        <v>0</v>
      </c>
      <c r="K57" s="107">
        <f>IF(A57="","",IF(I57&gt;I56,CHOOSE(計算過程!$B$72,ROUND(M56*計算過程!$B$79,0),ROUNDDOWN(M56*計算過程!$B$79,0),ROUNDUP(M56*計算過程!$B$79,0)),0))</f>
        <v>0</v>
      </c>
      <c r="L57" s="107">
        <f>IF(A57="","",J57-K57)</f>
        <v>0</v>
      </c>
      <c r="M57" s="107">
        <f>IF(A57="","",IF(I57&gt;I56,M56-L57,M56))</f>
        <v>0</v>
      </c>
      <c r="N57" s="107">
        <f>IF(A57="","",C57+J57)</f>
        <v>25809</v>
      </c>
      <c r="O57" s="107">
        <f>IF(A57="","",H57+M57)</f>
        <v>256601</v>
      </c>
      <c r="P57" s="107">
        <f>IF(A57="","",CHOOSE(計算過程!$B$72,ROUND(F56*計算過程!$B$32/計算過程!$B$6,0),ROUNDDOWN(F56*計算過程!$B$32/計算過程!$B$6,0),ROUNDUP(F56*計算過程!$B$32/計算過程!$B$6,0)))</f>
        <v>296</v>
      </c>
      <c r="Q57" s="107">
        <f>IF(A57="","",CHOOSE(計算過程!$B$72,ROUND(G56*計算過程!$B$33/計算過程!$B$6,0),ROUNDDOWN(G56*計算過程!$B$33/計算過程!$B$6,0),ROUNDUP(G56*計算過程!$B$33/計算過程!$B$6,0)))</f>
        <v>0</v>
      </c>
    </row>
    <row r="58" spans="1:17">
      <c r="A58" s="106">
        <f>IF(OR(計算過程!$B$98="",ROWS($A$8:A58)&gt;計算過程!$B$71),"",ROWS($A$8:A58))</f>
        <v>51</v>
      </c>
      <c r="B58" s="108">
        <f>IF(A58="","",EDATE(計算過程!$B$98,A58-1))</f>
        <v>47880</v>
      </c>
      <c r="C58" s="107">
        <f>IF(A58="","",IF(A58=計算過程!$B$71,D58+F57+G57,計算過程!$B$78))</f>
        <v>25809</v>
      </c>
      <c r="D58" s="107">
        <f>IF(A58="","",P58+Q58)</f>
        <v>269</v>
      </c>
      <c r="E58" s="107">
        <f>IF(A58="","",C58-D58)</f>
        <v>25540</v>
      </c>
      <c r="F58" s="107">
        <f>IF(A58="","",IF(A58=計算過程!$B$71,0,MAX(0,F57-(計算過程!$B$76-P58))))</f>
        <v>231061</v>
      </c>
      <c r="G58" s="107">
        <f>IF(A58="","",IF(A58=計算過程!$B$71,0,MAX(0,G57-(計算過程!$B$77-Q58))))</f>
        <v>0</v>
      </c>
      <c r="H58" s="107">
        <f>IF(A58="","",F58+G58)</f>
        <v>231061</v>
      </c>
      <c r="I58" s="106">
        <f>IF(A58="","",IF(AND(OR(MONTH(B58)=6,MONTH(B58)=12),I57&lt;計算過程!$B$69),I57+1,I57))</f>
        <v>0</v>
      </c>
      <c r="J58" s="107">
        <f>IF(A58="","",IF(I58&gt;I57,IF(I58=計算過程!$B$69,M57+K58,計算過程!$B$81),0))</f>
        <v>0</v>
      </c>
      <c r="K58" s="107">
        <f>IF(A58="","",IF(I58&gt;I57,CHOOSE(計算過程!$B$72,ROUND(M57*計算過程!$B$79,0),ROUNDDOWN(M57*計算過程!$B$79,0),ROUNDUP(M57*計算過程!$B$79,0)),0))</f>
        <v>0</v>
      </c>
      <c r="L58" s="107">
        <f>IF(A58="","",J58-K58)</f>
        <v>0</v>
      </c>
      <c r="M58" s="107">
        <f>IF(A58="","",IF(I58&gt;I57,M57-L58,M57))</f>
        <v>0</v>
      </c>
      <c r="N58" s="107">
        <f>IF(A58="","",C58+J58)</f>
        <v>25809</v>
      </c>
      <c r="O58" s="107">
        <f>IF(A58="","",H58+M58)</f>
        <v>231061</v>
      </c>
      <c r="P58" s="107">
        <f>IF(A58="","",CHOOSE(計算過程!$B$72,ROUND(F57*計算過程!$B$32/計算過程!$B$6,0),ROUNDDOWN(F57*計算過程!$B$32/計算過程!$B$6,0),ROUNDUP(F57*計算過程!$B$32/計算過程!$B$6,0)))</f>
        <v>269</v>
      </c>
      <c r="Q58" s="107">
        <f>IF(A58="","",CHOOSE(計算過程!$B$72,ROUND(G57*計算過程!$B$33/計算過程!$B$6,0),ROUNDDOWN(G57*計算過程!$B$33/計算過程!$B$6,0),ROUNDUP(G57*計算過程!$B$33/計算過程!$B$6,0)))</f>
        <v>0</v>
      </c>
    </row>
    <row r="59" spans="1:17">
      <c r="A59" s="106">
        <f>IF(OR(計算過程!$B$98="",ROWS($A$8:A59)&gt;計算過程!$B$71),"",ROWS($A$8:A59))</f>
        <v>52</v>
      </c>
      <c r="B59" s="108">
        <f>IF(A59="","",EDATE(計算過程!$B$98,A59-1))</f>
        <v>47908</v>
      </c>
      <c r="C59" s="107">
        <f>IF(A59="","",IF(A59=計算過程!$B$71,D59+F58+G58,計算過程!$B$78))</f>
        <v>25809</v>
      </c>
      <c r="D59" s="107">
        <f>IF(A59="","",P59+Q59)</f>
        <v>243</v>
      </c>
      <c r="E59" s="107">
        <f>IF(A59="","",C59-D59)</f>
        <v>25566</v>
      </c>
      <c r="F59" s="107">
        <f>IF(A59="","",IF(A59=計算過程!$B$71,0,MAX(0,F58-(計算過程!$B$76-P59))))</f>
        <v>205495</v>
      </c>
      <c r="G59" s="107">
        <f>IF(A59="","",IF(A59=計算過程!$B$71,0,MAX(0,G58-(計算過程!$B$77-Q59))))</f>
        <v>0</v>
      </c>
      <c r="H59" s="107">
        <f>IF(A59="","",F59+G59)</f>
        <v>205495</v>
      </c>
      <c r="I59" s="106">
        <f>IF(A59="","",IF(AND(OR(MONTH(B59)=6,MONTH(B59)=12),I58&lt;計算過程!$B$69),I58+1,I58))</f>
        <v>0</v>
      </c>
      <c r="J59" s="107">
        <f>IF(A59="","",IF(I59&gt;I58,IF(I59=計算過程!$B$69,M58+K59,計算過程!$B$81),0))</f>
        <v>0</v>
      </c>
      <c r="K59" s="107">
        <f>IF(A59="","",IF(I59&gt;I58,CHOOSE(計算過程!$B$72,ROUND(M58*計算過程!$B$79,0),ROUNDDOWN(M58*計算過程!$B$79,0),ROUNDUP(M58*計算過程!$B$79,0)),0))</f>
        <v>0</v>
      </c>
      <c r="L59" s="107">
        <f>IF(A59="","",J59-K59)</f>
        <v>0</v>
      </c>
      <c r="M59" s="107">
        <f>IF(A59="","",IF(I59&gt;I58,M58-L59,M58))</f>
        <v>0</v>
      </c>
      <c r="N59" s="107">
        <f>IF(A59="","",C59+J59)</f>
        <v>25809</v>
      </c>
      <c r="O59" s="107">
        <f>IF(A59="","",H59+M59)</f>
        <v>205495</v>
      </c>
      <c r="P59" s="107">
        <f>IF(A59="","",CHOOSE(計算過程!$B$72,ROUND(F58*計算過程!$B$32/計算過程!$B$6,0),ROUNDDOWN(F58*計算過程!$B$32/計算過程!$B$6,0),ROUNDUP(F58*計算過程!$B$32/計算過程!$B$6,0)))</f>
        <v>243</v>
      </c>
      <c r="Q59" s="107">
        <f>IF(A59="","",CHOOSE(計算過程!$B$72,ROUND(G58*計算過程!$B$33/計算過程!$B$6,0),ROUNDDOWN(G58*計算過程!$B$33/計算過程!$B$6,0),ROUNDUP(G58*計算過程!$B$33/計算過程!$B$6,0)))</f>
        <v>0</v>
      </c>
    </row>
    <row r="60" spans="1:17">
      <c r="A60" s="106">
        <f>IF(OR(計算過程!$B$98="",ROWS($A$8:A60)&gt;計算過程!$B$71),"",ROWS($A$8:A60))</f>
        <v>53</v>
      </c>
      <c r="B60" s="108">
        <f>IF(A60="","",EDATE(計算過程!$B$98,A60-1))</f>
        <v>47939</v>
      </c>
      <c r="C60" s="107">
        <f>IF(A60="","",IF(A60=計算過程!$B$71,D60+F59+G59,計算過程!$B$78))</f>
        <v>25809</v>
      </c>
      <c r="D60" s="107">
        <f>IF(A60="","",P60+Q60)</f>
        <v>216</v>
      </c>
      <c r="E60" s="107">
        <f>IF(A60="","",C60-D60)</f>
        <v>25593</v>
      </c>
      <c r="F60" s="107">
        <f>IF(A60="","",IF(A60=計算過程!$B$71,0,MAX(0,F59-(計算過程!$B$76-P60))))</f>
        <v>179902</v>
      </c>
      <c r="G60" s="107">
        <f>IF(A60="","",IF(A60=計算過程!$B$71,0,MAX(0,G59-(計算過程!$B$77-Q60))))</f>
        <v>0</v>
      </c>
      <c r="H60" s="107">
        <f>IF(A60="","",F60+G60)</f>
        <v>179902</v>
      </c>
      <c r="I60" s="106">
        <f>IF(A60="","",IF(AND(OR(MONTH(B60)=6,MONTH(B60)=12),I59&lt;計算過程!$B$69),I59+1,I59))</f>
        <v>0</v>
      </c>
      <c r="J60" s="107">
        <f>IF(A60="","",IF(I60&gt;I59,IF(I60=計算過程!$B$69,M59+K60,計算過程!$B$81),0))</f>
        <v>0</v>
      </c>
      <c r="K60" s="107">
        <f>IF(A60="","",IF(I60&gt;I59,CHOOSE(計算過程!$B$72,ROUND(M59*計算過程!$B$79,0),ROUNDDOWN(M59*計算過程!$B$79,0),ROUNDUP(M59*計算過程!$B$79,0)),0))</f>
        <v>0</v>
      </c>
      <c r="L60" s="107">
        <f>IF(A60="","",J60-K60)</f>
        <v>0</v>
      </c>
      <c r="M60" s="107">
        <f>IF(A60="","",IF(I60&gt;I59,M59-L60,M59))</f>
        <v>0</v>
      </c>
      <c r="N60" s="107">
        <f>IF(A60="","",C60+J60)</f>
        <v>25809</v>
      </c>
      <c r="O60" s="107">
        <f>IF(A60="","",H60+M60)</f>
        <v>179902</v>
      </c>
      <c r="P60" s="107">
        <f>IF(A60="","",CHOOSE(計算過程!$B$72,ROUND(F59*計算過程!$B$32/計算過程!$B$6,0),ROUNDDOWN(F59*計算過程!$B$32/計算過程!$B$6,0),ROUNDUP(F59*計算過程!$B$32/計算過程!$B$6,0)))</f>
        <v>216</v>
      </c>
      <c r="Q60" s="107">
        <f>IF(A60="","",CHOOSE(計算過程!$B$72,ROUND(G59*計算過程!$B$33/計算過程!$B$6,0),ROUNDDOWN(G59*計算過程!$B$33/計算過程!$B$6,0),ROUNDUP(G59*計算過程!$B$33/計算過程!$B$6,0)))</f>
        <v>0</v>
      </c>
    </row>
    <row r="61" spans="1:17">
      <c r="A61" s="106">
        <f>IF(OR(計算過程!$B$98="",ROWS($A$8:A61)&gt;計算過程!$B$71),"",ROWS($A$8:A61))</f>
        <v>54</v>
      </c>
      <c r="B61" s="108">
        <f>IF(A61="","",EDATE(計算過程!$B$98,A61-1))</f>
        <v>47969</v>
      </c>
      <c r="C61" s="107">
        <f>IF(A61="","",IF(A61=計算過程!$B$71,D61+F60+G60,計算過程!$B$78))</f>
        <v>25809</v>
      </c>
      <c r="D61" s="107">
        <f>IF(A61="","",P61+Q61)</f>
        <v>189</v>
      </c>
      <c r="E61" s="107">
        <f>IF(A61="","",C61-D61)</f>
        <v>25620</v>
      </c>
      <c r="F61" s="107">
        <f>IF(A61="","",IF(A61=計算過程!$B$71,0,MAX(0,F60-(計算過程!$B$76-P61))))</f>
        <v>154282</v>
      </c>
      <c r="G61" s="107">
        <f>IF(A61="","",IF(A61=計算過程!$B$71,0,MAX(0,G60-(計算過程!$B$77-Q61))))</f>
        <v>0</v>
      </c>
      <c r="H61" s="107">
        <f>IF(A61="","",F61+G61)</f>
        <v>154282</v>
      </c>
      <c r="I61" s="106">
        <f>IF(A61="","",IF(AND(OR(MONTH(B61)=6,MONTH(B61)=12),I60&lt;計算過程!$B$69),I60+1,I60))</f>
        <v>0</v>
      </c>
      <c r="J61" s="107">
        <f>IF(A61="","",IF(I61&gt;I60,IF(I61=計算過程!$B$69,M60+K61,計算過程!$B$81),0))</f>
        <v>0</v>
      </c>
      <c r="K61" s="107">
        <f>IF(A61="","",IF(I61&gt;I60,CHOOSE(計算過程!$B$72,ROUND(M60*計算過程!$B$79,0),ROUNDDOWN(M60*計算過程!$B$79,0),ROUNDUP(M60*計算過程!$B$79,0)),0))</f>
        <v>0</v>
      </c>
      <c r="L61" s="107">
        <f>IF(A61="","",J61-K61)</f>
        <v>0</v>
      </c>
      <c r="M61" s="107">
        <f>IF(A61="","",IF(I61&gt;I60,M60-L61,M60))</f>
        <v>0</v>
      </c>
      <c r="N61" s="107">
        <f>IF(A61="","",C61+J61)</f>
        <v>25809</v>
      </c>
      <c r="O61" s="107">
        <f>IF(A61="","",H61+M61)</f>
        <v>154282</v>
      </c>
      <c r="P61" s="107">
        <f>IF(A61="","",CHOOSE(計算過程!$B$72,ROUND(F60*計算過程!$B$32/計算過程!$B$6,0),ROUNDDOWN(F60*計算過程!$B$32/計算過程!$B$6,0),ROUNDUP(F60*計算過程!$B$32/計算過程!$B$6,0)))</f>
        <v>189</v>
      </c>
      <c r="Q61" s="107">
        <f>IF(A61="","",CHOOSE(計算過程!$B$72,ROUND(G60*計算過程!$B$33/計算過程!$B$6,0),ROUNDDOWN(G60*計算過程!$B$33/計算過程!$B$6,0),ROUNDUP(G60*計算過程!$B$33/計算過程!$B$6,0)))</f>
        <v>0</v>
      </c>
    </row>
    <row r="62" spans="1:17">
      <c r="A62" s="106">
        <f>IF(OR(計算過程!$B$98="",ROWS($A$8:A62)&gt;計算過程!$B$71),"",ROWS($A$8:A62))</f>
        <v>55</v>
      </c>
      <c r="B62" s="108">
        <f>IF(A62="","",EDATE(計算過程!$B$98,A62-1))</f>
        <v>48000</v>
      </c>
      <c r="C62" s="107">
        <f>IF(A62="","",IF(A62=計算過程!$B$71,D62+F61+G61,計算過程!$B$78))</f>
        <v>25809</v>
      </c>
      <c r="D62" s="107">
        <f>IF(A62="","",P62+Q62)</f>
        <v>162</v>
      </c>
      <c r="E62" s="107">
        <f>IF(A62="","",C62-D62)</f>
        <v>25647</v>
      </c>
      <c r="F62" s="107">
        <f>IF(A62="","",IF(A62=計算過程!$B$71,0,MAX(0,F61-(計算過程!$B$76-P62))))</f>
        <v>128635</v>
      </c>
      <c r="G62" s="107">
        <f>IF(A62="","",IF(A62=計算過程!$B$71,0,MAX(0,G61-(計算過程!$B$77-Q62))))</f>
        <v>0</v>
      </c>
      <c r="H62" s="107">
        <f>IF(A62="","",F62+G62)</f>
        <v>128635</v>
      </c>
      <c r="I62" s="106">
        <f>IF(A62="","",IF(AND(OR(MONTH(B62)=6,MONTH(B62)=12),I61&lt;計算過程!$B$69),I61+1,I61))</f>
        <v>0</v>
      </c>
      <c r="J62" s="107">
        <f>IF(A62="","",IF(I62&gt;I61,IF(I62=計算過程!$B$69,M61+K62,計算過程!$B$81),0))</f>
        <v>0</v>
      </c>
      <c r="K62" s="107">
        <f>IF(A62="","",IF(I62&gt;I61,CHOOSE(計算過程!$B$72,ROUND(M61*計算過程!$B$79,0),ROUNDDOWN(M61*計算過程!$B$79,0),ROUNDUP(M61*計算過程!$B$79,0)),0))</f>
        <v>0</v>
      </c>
      <c r="L62" s="107">
        <f>IF(A62="","",J62-K62)</f>
        <v>0</v>
      </c>
      <c r="M62" s="107">
        <f>IF(A62="","",IF(I62&gt;I61,M61-L62,M61))</f>
        <v>0</v>
      </c>
      <c r="N62" s="107">
        <f>IF(A62="","",C62+J62)</f>
        <v>25809</v>
      </c>
      <c r="O62" s="107">
        <f>IF(A62="","",H62+M62)</f>
        <v>128635</v>
      </c>
      <c r="P62" s="107">
        <f>IF(A62="","",CHOOSE(計算過程!$B$72,ROUND(F61*計算過程!$B$32/計算過程!$B$6,0),ROUNDDOWN(F61*計算過程!$B$32/計算過程!$B$6,0),ROUNDUP(F61*計算過程!$B$32/計算過程!$B$6,0)))</f>
        <v>162</v>
      </c>
      <c r="Q62" s="107">
        <f>IF(A62="","",CHOOSE(計算過程!$B$72,ROUND(G61*計算過程!$B$33/計算過程!$B$6,0),ROUNDDOWN(G61*計算過程!$B$33/計算過程!$B$6,0),ROUNDUP(G61*計算過程!$B$33/計算過程!$B$6,0)))</f>
        <v>0</v>
      </c>
    </row>
    <row r="63" spans="1:17">
      <c r="A63" s="106">
        <f>IF(OR(計算過程!$B$98="",ROWS($A$8:A63)&gt;計算過程!$B$71),"",ROWS($A$8:A63))</f>
        <v>56</v>
      </c>
      <c r="B63" s="108">
        <f>IF(A63="","",EDATE(計算過程!$B$98,A63-1))</f>
        <v>48030</v>
      </c>
      <c r="C63" s="107">
        <f>IF(A63="","",IF(A63=計算過程!$B$71,D63+F62+G62,計算過程!$B$78))</f>
        <v>25809</v>
      </c>
      <c r="D63" s="107">
        <f>IF(A63="","",P63+Q63)</f>
        <v>135</v>
      </c>
      <c r="E63" s="107">
        <f>IF(A63="","",C63-D63)</f>
        <v>25674</v>
      </c>
      <c r="F63" s="107">
        <f>IF(A63="","",IF(A63=計算過程!$B$71,0,MAX(0,F62-(計算過程!$B$76-P63))))</f>
        <v>102961</v>
      </c>
      <c r="G63" s="107">
        <f>IF(A63="","",IF(A63=計算過程!$B$71,0,MAX(0,G62-(計算過程!$B$77-Q63))))</f>
        <v>0</v>
      </c>
      <c r="H63" s="107">
        <f>IF(A63="","",F63+G63)</f>
        <v>102961</v>
      </c>
      <c r="I63" s="106">
        <f>IF(A63="","",IF(AND(OR(MONTH(B63)=6,MONTH(B63)=12),I62&lt;計算過程!$B$69),I62+1,I62))</f>
        <v>0</v>
      </c>
      <c r="J63" s="107">
        <f>IF(A63="","",IF(I63&gt;I62,IF(I63=計算過程!$B$69,M62+K63,計算過程!$B$81),0))</f>
        <v>0</v>
      </c>
      <c r="K63" s="107">
        <f>IF(A63="","",IF(I63&gt;I62,CHOOSE(計算過程!$B$72,ROUND(M62*計算過程!$B$79,0),ROUNDDOWN(M62*計算過程!$B$79,0),ROUNDUP(M62*計算過程!$B$79,0)),0))</f>
        <v>0</v>
      </c>
      <c r="L63" s="107">
        <f>IF(A63="","",J63-K63)</f>
        <v>0</v>
      </c>
      <c r="M63" s="107">
        <f>IF(A63="","",IF(I63&gt;I62,M62-L63,M62))</f>
        <v>0</v>
      </c>
      <c r="N63" s="107">
        <f>IF(A63="","",C63+J63)</f>
        <v>25809</v>
      </c>
      <c r="O63" s="107">
        <f>IF(A63="","",H63+M63)</f>
        <v>102961</v>
      </c>
      <c r="P63" s="107">
        <f>IF(A63="","",CHOOSE(計算過程!$B$72,ROUND(F62*計算過程!$B$32/計算過程!$B$6,0),ROUNDDOWN(F62*計算過程!$B$32/計算過程!$B$6,0),ROUNDUP(F62*計算過程!$B$32/計算過程!$B$6,0)))</f>
        <v>135</v>
      </c>
      <c r="Q63" s="107">
        <f>IF(A63="","",CHOOSE(計算過程!$B$72,ROUND(G62*計算過程!$B$33/計算過程!$B$6,0),ROUNDDOWN(G62*計算過程!$B$33/計算過程!$B$6,0),ROUNDUP(G62*計算過程!$B$33/計算過程!$B$6,0)))</f>
        <v>0</v>
      </c>
    </row>
    <row r="64" spans="1:17">
      <c r="A64" s="106">
        <f>IF(OR(計算過程!$B$98="",ROWS($A$8:A64)&gt;計算過程!$B$71),"",ROWS($A$8:A64))</f>
        <v>57</v>
      </c>
      <c r="B64" s="108">
        <f>IF(A64="","",EDATE(計算過程!$B$98,A64-1))</f>
        <v>48061</v>
      </c>
      <c r="C64" s="107">
        <f>IF(A64="","",IF(A64=計算過程!$B$71,D64+F63+G63,計算過程!$B$78))</f>
        <v>25809</v>
      </c>
      <c r="D64" s="107">
        <f>IF(A64="","",P64+Q64)</f>
        <v>108</v>
      </c>
      <c r="E64" s="107">
        <f>IF(A64="","",C64-D64)</f>
        <v>25701</v>
      </c>
      <c r="F64" s="107">
        <f>IF(A64="","",IF(A64=計算過程!$B$71,0,MAX(0,F63-(計算過程!$B$76-P64))))</f>
        <v>77260</v>
      </c>
      <c r="G64" s="107">
        <f>IF(A64="","",IF(A64=計算過程!$B$71,0,MAX(0,G63-(計算過程!$B$77-Q64))))</f>
        <v>0</v>
      </c>
      <c r="H64" s="107">
        <f>IF(A64="","",F64+G64)</f>
        <v>77260</v>
      </c>
      <c r="I64" s="106">
        <f>IF(A64="","",IF(AND(OR(MONTH(B64)=6,MONTH(B64)=12),I63&lt;計算過程!$B$69),I63+1,I63))</f>
        <v>0</v>
      </c>
      <c r="J64" s="107">
        <f>IF(A64="","",IF(I64&gt;I63,IF(I64=計算過程!$B$69,M63+K64,計算過程!$B$81),0))</f>
        <v>0</v>
      </c>
      <c r="K64" s="107">
        <f>IF(A64="","",IF(I64&gt;I63,CHOOSE(計算過程!$B$72,ROUND(M63*計算過程!$B$79,0),ROUNDDOWN(M63*計算過程!$B$79,0),ROUNDUP(M63*計算過程!$B$79,0)),0))</f>
        <v>0</v>
      </c>
      <c r="L64" s="107">
        <f>IF(A64="","",J64-K64)</f>
        <v>0</v>
      </c>
      <c r="M64" s="107">
        <f>IF(A64="","",IF(I64&gt;I63,M63-L64,M63))</f>
        <v>0</v>
      </c>
      <c r="N64" s="107">
        <f>IF(A64="","",C64+J64)</f>
        <v>25809</v>
      </c>
      <c r="O64" s="107">
        <f>IF(A64="","",H64+M64)</f>
        <v>77260</v>
      </c>
      <c r="P64" s="107">
        <f>IF(A64="","",CHOOSE(計算過程!$B$72,ROUND(F63*計算過程!$B$32/計算過程!$B$6,0),ROUNDDOWN(F63*計算過程!$B$32/計算過程!$B$6,0),ROUNDUP(F63*計算過程!$B$32/計算過程!$B$6,0)))</f>
        <v>108</v>
      </c>
      <c r="Q64" s="107">
        <f>IF(A64="","",CHOOSE(計算過程!$B$72,ROUND(G63*計算過程!$B$33/計算過程!$B$6,0),ROUNDDOWN(G63*計算過程!$B$33/計算過程!$B$6,0),ROUNDUP(G63*計算過程!$B$33/計算過程!$B$6,0)))</f>
        <v>0</v>
      </c>
    </row>
    <row r="65" spans="1:17">
      <c r="A65" s="106">
        <f>IF(OR(計算過程!$B$98="",ROWS($A$8:A65)&gt;計算過程!$B$71),"",ROWS($A$8:A65))</f>
        <v>58</v>
      </c>
      <c r="B65" s="108">
        <f>IF(A65="","",EDATE(計算過程!$B$98,A65-1))</f>
        <v>48092</v>
      </c>
      <c r="C65" s="107">
        <f>IF(A65="","",IF(A65=計算過程!$B$71,D65+F64+G64,計算過程!$B$78))</f>
        <v>25809</v>
      </c>
      <c r="D65" s="107">
        <f>IF(A65="","",P65+Q65)</f>
        <v>81</v>
      </c>
      <c r="E65" s="107">
        <f>IF(A65="","",C65-D65)</f>
        <v>25728</v>
      </c>
      <c r="F65" s="107">
        <f>IF(A65="","",IF(A65=計算過程!$B$71,0,MAX(0,F64-(計算過程!$B$76-P65))))</f>
        <v>51532</v>
      </c>
      <c r="G65" s="107">
        <f>IF(A65="","",IF(A65=計算過程!$B$71,0,MAX(0,G64-(計算過程!$B$77-Q65))))</f>
        <v>0</v>
      </c>
      <c r="H65" s="107">
        <f>IF(A65="","",F65+G65)</f>
        <v>51532</v>
      </c>
      <c r="I65" s="106">
        <f>IF(A65="","",IF(AND(OR(MONTH(B65)=6,MONTH(B65)=12),I64&lt;計算過程!$B$69),I64+1,I64))</f>
        <v>0</v>
      </c>
      <c r="J65" s="107">
        <f>IF(A65="","",IF(I65&gt;I64,IF(I65=計算過程!$B$69,M64+K65,計算過程!$B$81),0))</f>
        <v>0</v>
      </c>
      <c r="K65" s="107">
        <f>IF(A65="","",IF(I65&gt;I64,CHOOSE(計算過程!$B$72,ROUND(M64*計算過程!$B$79,0),ROUNDDOWN(M64*計算過程!$B$79,0),ROUNDUP(M64*計算過程!$B$79,0)),0))</f>
        <v>0</v>
      </c>
      <c r="L65" s="107">
        <f>IF(A65="","",J65-K65)</f>
        <v>0</v>
      </c>
      <c r="M65" s="107">
        <f>IF(A65="","",IF(I65&gt;I64,M64-L65,M64))</f>
        <v>0</v>
      </c>
      <c r="N65" s="107">
        <f>IF(A65="","",C65+J65)</f>
        <v>25809</v>
      </c>
      <c r="O65" s="107">
        <f>IF(A65="","",H65+M65)</f>
        <v>51532</v>
      </c>
      <c r="P65" s="107">
        <f>IF(A65="","",CHOOSE(計算過程!$B$72,ROUND(F64*計算過程!$B$32/計算過程!$B$6,0),ROUNDDOWN(F64*計算過程!$B$32/計算過程!$B$6,0),ROUNDUP(F64*計算過程!$B$32/計算過程!$B$6,0)))</f>
        <v>81</v>
      </c>
      <c r="Q65" s="107">
        <f>IF(A65="","",CHOOSE(計算過程!$B$72,ROUND(G64*計算過程!$B$33/計算過程!$B$6,0),ROUNDDOWN(G64*計算過程!$B$33/計算過程!$B$6,0),ROUNDUP(G64*計算過程!$B$33/計算過程!$B$6,0)))</f>
        <v>0</v>
      </c>
    </row>
    <row r="66" spans="1:17">
      <c r="A66" s="106">
        <f>IF(OR(計算過程!$B$98="",ROWS($A$8:A66)&gt;計算過程!$B$71),"",ROWS($A$8:A66))</f>
        <v>59</v>
      </c>
      <c r="B66" s="108">
        <f>IF(A66="","",EDATE(計算過程!$B$98,A66-1))</f>
        <v>48122</v>
      </c>
      <c r="C66" s="107">
        <f>IF(A66="","",IF(A66=計算過程!$B$71,D66+F65+G65,計算過程!$B$78))</f>
        <v>25809</v>
      </c>
      <c r="D66" s="107">
        <f>IF(A66="","",P66+Q66)</f>
        <v>54</v>
      </c>
      <c r="E66" s="107">
        <f>IF(A66="","",C66-D66)</f>
        <v>25755</v>
      </c>
      <c r="F66" s="107">
        <f>IF(A66="","",IF(A66=計算過程!$B$71,0,MAX(0,F65-(計算過程!$B$76-P66))))</f>
        <v>25777</v>
      </c>
      <c r="G66" s="107">
        <f>IF(A66="","",IF(A66=計算過程!$B$71,0,MAX(0,G65-(計算過程!$B$77-Q66))))</f>
        <v>0</v>
      </c>
      <c r="H66" s="107">
        <f>IF(A66="","",F66+G66)</f>
        <v>25777</v>
      </c>
      <c r="I66" s="106">
        <f>IF(A66="","",IF(AND(OR(MONTH(B66)=6,MONTH(B66)=12),I65&lt;計算過程!$B$69),I65+1,I65))</f>
        <v>0</v>
      </c>
      <c r="J66" s="107">
        <f>IF(A66="","",IF(I66&gt;I65,IF(I66=計算過程!$B$69,M65+K66,計算過程!$B$81),0))</f>
        <v>0</v>
      </c>
      <c r="K66" s="107">
        <f>IF(A66="","",IF(I66&gt;I65,CHOOSE(計算過程!$B$72,ROUND(M65*計算過程!$B$79,0),ROUNDDOWN(M65*計算過程!$B$79,0),ROUNDUP(M65*計算過程!$B$79,0)),0))</f>
        <v>0</v>
      </c>
      <c r="L66" s="107">
        <f>IF(A66="","",J66-K66)</f>
        <v>0</v>
      </c>
      <c r="M66" s="107">
        <f>IF(A66="","",IF(I66&gt;I65,M65-L66,M65))</f>
        <v>0</v>
      </c>
      <c r="N66" s="107">
        <f>IF(A66="","",C66+J66)</f>
        <v>25809</v>
      </c>
      <c r="O66" s="107">
        <f>IF(A66="","",H66+M66)</f>
        <v>25777</v>
      </c>
      <c r="P66" s="107">
        <f>IF(A66="","",CHOOSE(計算過程!$B$72,ROUND(F65*計算過程!$B$32/計算過程!$B$6,0),ROUNDDOWN(F65*計算過程!$B$32/計算過程!$B$6,0),ROUNDUP(F65*計算過程!$B$32/計算過程!$B$6,0)))</f>
        <v>54</v>
      </c>
      <c r="Q66" s="107">
        <f>IF(A66="","",CHOOSE(計算過程!$B$72,ROUND(G65*計算過程!$B$33/計算過程!$B$6,0),ROUNDDOWN(G65*計算過程!$B$33/計算過程!$B$6,0),ROUNDUP(G65*計算過程!$B$33/計算過程!$B$6,0)))</f>
        <v>0</v>
      </c>
    </row>
    <row r="67" spans="1:17">
      <c r="A67" s="106">
        <f>IF(OR(計算過程!$B$98="",ROWS($A$8:A67)&gt;計算過程!$B$71),"",ROWS($A$8:A67))</f>
        <v>60</v>
      </c>
      <c r="B67" s="108">
        <f>IF(A67="","",EDATE(計算過程!$B$98,A67-1))</f>
        <v>48153</v>
      </c>
      <c r="C67" s="107">
        <f>IF(A67="","",IF(A67=計算過程!$B$71,D67+F66+G66,計算過程!$B$78))</f>
        <v>25804</v>
      </c>
      <c r="D67" s="107">
        <f>IF(A67="","",P67+Q67)</f>
        <v>27</v>
      </c>
      <c r="E67" s="107">
        <f>IF(A67="","",C67-D67)</f>
        <v>25777</v>
      </c>
      <c r="F67" s="107">
        <f>IF(A67="","",IF(A67=計算過程!$B$71,0,MAX(0,F66-(計算過程!$B$76-P67))))</f>
        <v>0</v>
      </c>
      <c r="G67" s="107">
        <f>IF(A67="","",IF(A67=計算過程!$B$71,0,MAX(0,G66-(計算過程!$B$77-Q67))))</f>
        <v>0</v>
      </c>
      <c r="H67" s="107">
        <f>IF(A67="","",F67+G67)</f>
        <v>0</v>
      </c>
      <c r="I67" s="106">
        <f>IF(A67="","",IF(AND(OR(MONTH(B67)=6,MONTH(B67)=12),I66&lt;計算過程!$B$69),I66+1,I66))</f>
        <v>0</v>
      </c>
      <c r="J67" s="107">
        <f>IF(A67="","",IF(I67&gt;I66,IF(I67=計算過程!$B$69,M66+K67,計算過程!$B$81),0))</f>
        <v>0</v>
      </c>
      <c r="K67" s="107">
        <f>IF(A67="","",IF(I67&gt;I66,CHOOSE(計算過程!$B$72,ROUND(M66*計算過程!$B$79,0),ROUNDDOWN(M66*計算過程!$B$79,0),ROUNDUP(M66*計算過程!$B$79,0)),0))</f>
        <v>0</v>
      </c>
      <c r="L67" s="107">
        <f>IF(A67="","",J67-K67)</f>
        <v>0</v>
      </c>
      <c r="M67" s="107">
        <f>IF(A67="","",IF(I67&gt;I66,M66-L67,M66))</f>
        <v>0</v>
      </c>
      <c r="N67" s="107">
        <f>IF(A67="","",C67+J67)</f>
        <v>25804</v>
      </c>
      <c r="O67" s="107">
        <f>IF(A67="","",H67+M67)</f>
        <v>0</v>
      </c>
      <c r="P67" s="107">
        <f>IF(A67="","",CHOOSE(計算過程!$B$72,ROUND(F66*計算過程!$B$32/計算過程!$B$6,0),ROUNDDOWN(F66*計算過程!$B$32/計算過程!$B$6,0),ROUNDUP(F66*計算過程!$B$32/計算過程!$B$6,0)))</f>
        <v>27</v>
      </c>
      <c r="Q67" s="107">
        <f>IF(A67="","",CHOOSE(計算過程!$B$72,ROUND(G66*計算過程!$B$33/計算過程!$B$6,0),ROUNDDOWN(G66*計算過程!$B$33/計算過程!$B$6,0),ROUNDUP(G66*計算過程!$B$33/計算過程!$B$6,0)))</f>
        <v>0</v>
      </c>
    </row>
    <row r="68" spans="1:17">
      <c r="A68" s="106" t="str">
        <f>IF(OR(計算過程!$B$98="",ROWS($A$8:A68)&gt;計算過程!$B$71),"",ROWS($A$8:A68))</f>
        <v/>
      </c>
      <c r="B68" s="108" t="str">
        <f>IF(A68="","",EDATE(計算過程!$B$98,A68-1))</f>
        <v/>
      </c>
      <c r="C68" s="107" t="str">
        <f>IF(A68="","",IF(A68=計算過程!$B$71,D68+F67+G67,計算過程!$B$78))</f>
        <v/>
      </c>
      <c r="D68" s="107" t="str">
        <f>IF(A68="","",P68+Q68)</f>
        <v/>
      </c>
      <c r="E68" s="107" t="str">
        <f>IF(A68="","",C68-D68)</f>
        <v/>
      </c>
      <c r="F68" s="107" t="str">
        <f>IF(A68="","",IF(A68=計算過程!$B$71,0,MAX(0,F67-(計算過程!$B$76-P68))))</f>
        <v/>
      </c>
      <c r="G68" s="107" t="str">
        <f>IF(A68="","",IF(A68=計算過程!$B$71,0,MAX(0,G67-(計算過程!$B$77-Q68))))</f>
        <v/>
      </c>
      <c r="H68" s="107" t="str">
        <f>IF(A68="","",F68+G68)</f>
        <v/>
      </c>
      <c r="I68" s="106" t="str">
        <f>IF(A68="","",IF(AND(OR(MONTH(B68)=6,MONTH(B68)=12),I67&lt;計算過程!$B$69),I67+1,I67))</f>
        <v/>
      </c>
      <c r="J68" s="107" t="str">
        <f>IF(A68="","",IF(I68&gt;I67,IF(I68=計算過程!$B$69,M67+K68,計算過程!$B$81),0))</f>
        <v/>
      </c>
      <c r="K68" s="107" t="str">
        <f>IF(A68="","",IF(I68&gt;I67,CHOOSE(計算過程!$B$72,ROUND(M67*計算過程!$B$79,0),ROUNDDOWN(M67*計算過程!$B$79,0),ROUNDUP(M67*計算過程!$B$79,0)),0))</f>
        <v/>
      </c>
      <c r="L68" s="107" t="str">
        <f>IF(A68="","",J68-K68)</f>
        <v/>
      </c>
      <c r="M68" s="107" t="str">
        <f>IF(A68="","",IF(I68&gt;I67,M67-L68,M67))</f>
        <v/>
      </c>
      <c r="N68" s="107" t="str">
        <f>IF(A68="","",C68+J68)</f>
        <v/>
      </c>
      <c r="O68" s="107" t="str">
        <f>IF(A68="","",H68+M68)</f>
        <v/>
      </c>
      <c r="P68" s="107" t="str">
        <f>IF(A68="","",CHOOSE(計算過程!$B$72,ROUND(F67*計算過程!$B$32/計算過程!$B$6,0),ROUNDDOWN(F67*計算過程!$B$32/計算過程!$B$6,0),ROUNDUP(F67*計算過程!$B$32/計算過程!$B$6,0)))</f>
        <v/>
      </c>
      <c r="Q68" s="107" t="str">
        <f>IF(A68="","",CHOOSE(計算過程!$B$72,ROUND(G67*計算過程!$B$33/計算過程!$B$6,0),ROUNDDOWN(G67*計算過程!$B$33/計算過程!$B$6,0),ROUNDUP(G67*計算過程!$B$33/計算過程!$B$6,0)))</f>
        <v/>
      </c>
    </row>
    <row r="69" spans="1:17">
      <c r="A69" s="106" t="str">
        <f>IF(OR(計算過程!$B$98="",ROWS($A$8:A69)&gt;計算過程!$B$71),"",ROWS($A$8:A69))</f>
        <v/>
      </c>
      <c r="B69" s="108" t="str">
        <f>IF(A69="","",EDATE(計算過程!$B$98,A69-1))</f>
        <v/>
      </c>
      <c r="C69" s="107" t="str">
        <f>IF(A69="","",IF(A69=計算過程!$B$71,D69+F68+G68,計算過程!$B$78))</f>
        <v/>
      </c>
      <c r="D69" s="107" t="str">
        <f>IF(A69="","",P69+Q69)</f>
        <v/>
      </c>
      <c r="E69" s="107" t="str">
        <f>IF(A69="","",C69-D69)</f>
        <v/>
      </c>
      <c r="F69" s="107" t="str">
        <f>IF(A69="","",IF(A69=計算過程!$B$71,0,MAX(0,F68-(計算過程!$B$76-P69))))</f>
        <v/>
      </c>
      <c r="G69" s="107" t="str">
        <f>IF(A69="","",IF(A69=計算過程!$B$71,0,MAX(0,G68-(計算過程!$B$77-Q69))))</f>
        <v/>
      </c>
      <c r="H69" s="107" t="str">
        <f>IF(A69="","",F69+G69)</f>
        <v/>
      </c>
      <c r="I69" s="106" t="str">
        <f>IF(A69="","",IF(AND(OR(MONTH(B69)=6,MONTH(B69)=12),I68&lt;計算過程!$B$69),I68+1,I68))</f>
        <v/>
      </c>
      <c r="J69" s="107" t="str">
        <f>IF(A69="","",IF(I69&gt;I68,IF(I69=計算過程!$B$69,M68+K69,計算過程!$B$81),0))</f>
        <v/>
      </c>
      <c r="K69" s="107" t="str">
        <f>IF(A69="","",IF(I69&gt;I68,CHOOSE(計算過程!$B$72,ROUND(M68*計算過程!$B$79,0),ROUNDDOWN(M68*計算過程!$B$79,0),ROUNDUP(M68*計算過程!$B$79,0)),0))</f>
        <v/>
      </c>
      <c r="L69" s="107" t="str">
        <f>IF(A69="","",J69-K69)</f>
        <v/>
      </c>
      <c r="M69" s="107" t="str">
        <f>IF(A69="","",IF(I69&gt;I68,M68-L69,M68))</f>
        <v/>
      </c>
      <c r="N69" s="107" t="str">
        <f>IF(A69="","",C69+J69)</f>
        <v/>
      </c>
      <c r="O69" s="107" t="str">
        <f>IF(A69="","",H69+M69)</f>
        <v/>
      </c>
      <c r="P69" s="107" t="str">
        <f>IF(A69="","",CHOOSE(計算過程!$B$72,ROUND(F68*計算過程!$B$32/計算過程!$B$6,0),ROUNDDOWN(F68*計算過程!$B$32/計算過程!$B$6,0),ROUNDUP(F68*計算過程!$B$32/計算過程!$B$6,0)))</f>
        <v/>
      </c>
      <c r="Q69" s="107" t="str">
        <f>IF(A69="","",CHOOSE(計算過程!$B$72,ROUND(G68*計算過程!$B$33/計算過程!$B$6,0),ROUNDDOWN(G68*計算過程!$B$33/計算過程!$B$6,0),ROUNDUP(G68*計算過程!$B$33/計算過程!$B$6,0)))</f>
        <v/>
      </c>
    </row>
    <row r="70" spans="1:17">
      <c r="A70" s="106" t="str">
        <f>IF(OR(計算過程!$B$98="",ROWS($A$8:A70)&gt;計算過程!$B$71),"",ROWS($A$8:A70))</f>
        <v/>
      </c>
      <c r="B70" s="108" t="str">
        <f>IF(A70="","",EDATE(計算過程!$B$98,A70-1))</f>
        <v/>
      </c>
      <c r="C70" s="107" t="str">
        <f>IF(A70="","",IF(A70=計算過程!$B$71,D70+F69+G69,計算過程!$B$78))</f>
        <v/>
      </c>
      <c r="D70" s="107" t="str">
        <f>IF(A70="","",P70+Q70)</f>
        <v/>
      </c>
      <c r="E70" s="107" t="str">
        <f>IF(A70="","",C70-D70)</f>
        <v/>
      </c>
      <c r="F70" s="107" t="str">
        <f>IF(A70="","",IF(A70=計算過程!$B$71,0,MAX(0,F69-(計算過程!$B$76-P70))))</f>
        <v/>
      </c>
      <c r="G70" s="107" t="str">
        <f>IF(A70="","",IF(A70=計算過程!$B$71,0,MAX(0,G69-(計算過程!$B$77-Q70))))</f>
        <v/>
      </c>
      <c r="H70" s="107" t="str">
        <f>IF(A70="","",F70+G70)</f>
        <v/>
      </c>
      <c r="I70" s="106" t="str">
        <f>IF(A70="","",IF(AND(OR(MONTH(B70)=6,MONTH(B70)=12),I69&lt;計算過程!$B$69),I69+1,I69))</f>
        <v/>
      </c>
      <c r="J70" s="107" t="str">
        <f>IF(A70="","",IF(I70&gt;I69,IF(I70=計算過程!$B$69,M69+K70,計算過程!$B$81),0))</f>
        <v/>
      </c>
      <c r="K70" s="107" t="str">
        <f>IF(A70="","",IF(I70&gt;I69,CHOOSE(計算過程!$B$72,ROUND(M69*計算過程!$B$79,0),ROUNDDOWN(M69*計算過程!$B$79,0),ROUNDUP(M69*計算過程!$B$79,0)),0))</f>
        <v/>
      </c>
      <c r="L70" s="107" t="str">
        <f>IF(A70="","",J70-K70)</f>
        <v/>
      </c>
      <c r="M70" s="107" t="str">
        <f>IF(A70="","",IF(I70&gt;I69,M69-L70,M69))</f>
        <v/>
      </c>
      <c r="N70" s="107" t="str">
        <f>IF(A70="","",C70+J70)</f>
        <v/>
      </c>
      <c r="O70" s="107" t="str">
        <f>IF(A70="","",H70+M70)</f>
        <v/>
      </c>
      <c r="P70" s="107" t="str">
        <f>IF(A70="","",CHOOSE(計算過程!$B$72,ROUND(F69*計算過程!$B$32/計算過程!$B$6,0),ROUNDDOWN(F69*計算過程!$B$32/計算過程!$B$6,0),ROUNDUP(F69*計算過程!$B$32/計算過程!$B$6,0)))</f>
        <v/>
      </c>
      <c r="Q70" s="107" t="str">
        <f>IF(A70="","",CHOOSE(計算過程!$B$72,ROUND(G69*計算過程!$B$33/計算過程!$B$6,0),ROUNDDOWN(G69*計算過程!$B$33/計算過程!$B$6,0),ROUNDUP(G69*計算過程!$B$33/計算過程!$B$6,0)))</f>
        <v/>
      </c>
    </row>
    <row r="71" spans="1:17">
      <c r="A71" s="106" t="str">
        <f>IF(OR(計算過程!$B$98="",ROWS($A$8:A71)&gt;計算過程!$B$71),"",ROWS($A$8:A71))</f>
        <v/>
      </c>
      <c r="B71" s="108" t="str">
        <f>IF(A71="","",EDATE(計算過程!$B$98,A71-1))</f>
        <v/>
      </c>
      <c r="C71" s="107" t="str">
        <f>IF(A71="","",IF(A71=計算過程!$B$71,D71+F70+G70,計算過程!$B$78))</f>
        <v/>
      </c>
      <c r="D71" s="107" t="str">
        <f>IF(A71="","",P71+Q71)</f>
        <v/>
      </c>
      <c r="E71" s="107" t="str">
        <f>IF(A71="","",C71-D71)</f>
        <v/>
      </c>
      <c r="F71" s="107" t="str">
        <f>IF(A71="","",IF(A71=計算過程!$B$71,0,MAX(0,F70-(計算過程!$B$76-P71))))</f>
        <v/>
      </c>
      <c r="G71" s="107" t="str">
        <f>IF(A71="","",IF(A71=計算過程!$B$71,0,MAX(0,G70-(計算過程!$B$77-Q71))))</f>
        <v/>
      </c>
      <c r="H71" s="107" t="str">
        <f>IF(A71="","",F71+G71)</f>
        <v/>
      </c>
      <c r="I71" s="106" t="str">
        <f>IF(A71="","",IF(AND(OR(MONTH(B71)=6,MONTH(B71)=12),I70&lt;計算過程!$B$69),I70+1,I70))</f>
        <v/>
      </c>
      <c r="J71" s="107" t="str">
        <f>IF(A71="","",IF(I71&gt;I70,IF(I71=計算過程!$B$69,M70+K71,計算過程!$B$81),0))</f>
        <v/>
      </c>
      <c r="K71" s="107" t="str">
        <f>IF(A71="","",IF(I71&gt;I70,CHOOSE(計算過程!$B$72,ROUND(M70*計算過程!$B$79,0),ROUNDDOWN(M70*計算過程!$B$79,0),ROUNDUP(M70*計算過程!$B$79,0)),0))</f>
        <v/>
      </c>
      <c r="L71" s="107" t="str">
        <f>IF(A71="","",J71-K71)</f>
        <v/>
      </c>
      <c r="M71" s="107" t="str">
        <f>IF(A71="","",IF(I71&gt;I70,M70-L71,M70))</f>
        <v/>
      </c>
      <c r="N71" s="107" t="str">
        <f>IF(A71="","",C71+J71)</f>
        <v/>
      </c>
      <c r="O71" s="107" t="str">
        <f>IF(A71="","",H71+M71)</f>
        <v/>
      </c>
      <c r="P71" s="107" t="str">
        <f>IF(A71="","",CHOOSE(計算過程!$B$72,ROUND(F70*計算過程!$B$32/計算過程!$B$6,0),ROUNDDOWN(F70*計算過程!$B$32/計算過程!$B$6,0),ROUNDUP(F70*計算過程!$B$32/計算過程!$B$6,0)))</f>
        <v/>
      </c>
      <c r="Q71" s="107" t="str">
        <f>IF(A71="","",CHOOSE(計算過程!$B$72,ROUND(G70*計算過程!$B$33/計算過程!$B$6,0),ROUNDDOWN(G70*計算過程!$B$33/計算過程!$B$6,0),ROUNDUP(G70*計算過程!$B$33/計算過程!$B$6,0)))</f>
        <v/>
      </c>
    </row>
    <row r="72" spans="1:17">
      <c r="A72" s="106" t="str">
        <f>IF(OR(計算過程!$B$98="",ROWS($A$8:A72)&gt;計算過程!$B$71),"",ROWS($A$8:A72))</f>
        <v/>
      </c>
      <c r="B72" s="108" t="str">
        <f>IF(A72="","",EDATE(計算過程!$B$98,A72-1))</f>
        <v/>
      </c>
      <c r="C72" s="107" t="str">
        <f>IF(A72="","",IF(A72=計算過程!$B$71,D72+F71+G71,計算過程!$B$78))</f>
        <v/>
      </c>
      <c r="D72" s="107" t="str">
        <f>IF(A72="","",P72+Q72)</f>
        <v/>
      </c>
      <c r="E72" s="107" t="str">
        <f>IF(A72="","",C72-D72)</f>
        <v/>
      </c>
      <c r="F72" s="107" t="str">
        <f>IF(A72="","",IF(A72=計算過程!$B$71,0,MAX(0,F71-(計算過程!$B$76-P72))))</f>
        <v/>
      </c>
      <c r="G72" s="107" t="str">
        <f>IF(A72="","",IF(A72=計算過程!$B$71,0,MAX(0,G71-(計算過程!$B$77-Q72))))</f>
        <v/>
      </c>
      <c r="H72" s="107" t="str">
        <f>IF(A72="","",F72+G72)</f>
        <v/>
      </c>
      <c r="I72" s="106" t="str">
        <f>IF(A72="","",IF(AND(OR(MONTH(B72)=6,MONTH(B72)=12),I71&lt;計算過程!$B$69),I71+1,I71))</f>
        <v/>
      </c>
      <c r="J72" s="107" t="str">
        <f>IF(A72="","",IF(I72&gt;I71,IF(I72=計算過程!$B$69,M71+K72,計算過程!$B$81),0))</f>
        <v/>
      </c>
      <c r="K72" s="107" t="str">
        <f>IF(A72="","",IF(I72&gt;I71,CHOOSE(計算過程!$B$72,ROUND(M71*計算過程!$B$79,0),ROUNDDOWN(M71*計算過程!$B$79,0),ROUNDUP(M71*計算過程!$B$79,0)),0))</f>
        <v/>
      </c>
      <c r="L72" s="107" t="str">
        <f>IF(A72="","",J72-K72)</f>
        <v/>
      </c>
      <c r="M72" s="107" t="str">
        <f>IF(A72="","",IF(I72&gt;I71,M71-L72,M71))</f>
        <v/>
      </c>
      <c r="N72" s="107" t="str">
        <f>IF(A72="","",C72+J72)</f>
        <v/>
      </c>
      <c r="O72" s="107" t="str">
        <f>IF(A72="","",H72+M72)</f>
        <v/>
      </c>
      <c r="P72" s="107" t="str">
        <f>IF(A72="","",CHOOSE(計算過程!$B$72,ROUND(F71*計算過程!$B$32/計算過程!$B$6,0),ROUNDDOWN(F71*計算過程!$B$32/計算過程!$B$6,0),ROUNDUP(F71*計算過程!$B$32/計算過程!$B$6,0)))</f>
        <v/>
      </c>
      <c r="Q72" s="107" t="str">
        <f>IF(A72="","",CHOOSE(計算過程!$B$72,ROUND(G71*計算過程!$B$33/計算過程!$B$6,0),ROUNDDOWN(G71*計算過程!$B$33/計算過程!$B$6,0),ROUNDUP(G71*計算過程!$B$33/計算過程!$B$6,0)))</f>
        <v/>
      </c>
    </row>
    <row r="73" spans="1:17">
      <c r="A73" s="106" t="str">
        <f>IF(OR(計算過程!$B$98="",ROWS($A$8:A73)&gt;計算過程!$B$71),"",ROWS($A$8:A73))</f>
        <v/>
      </c>
      <c r="B73" s="108" t="str">
        <f>IF(A73="","",EDATE(計算過程!$B$98,A73-1))</f>
        <v/>
      </c>
      <c r="C73" s="107" t="str">
        <f>IF(A73="","",IF(A73=計算過程!$B$71,D73+F72+G72,計算過程!$B$78))</f>
        <v/>
      </c>
      <c r="D73" s="107" t="str">
        <f>IF(A73="","",P73+Q73)</f>
        <v/>
      </c>
      <c r="E73" s="107" t="str">
        <f>IF(A73="","",C73-D73)</f>
        <v/>
      </c>
      <c r="F73" s="107" t="str">
        <f>IF(A73="","",IF(A73=計算過程!$B$71,0,MAX(0,F72-(計算過程!$B$76-P73))))</f>
        <v/>
      </c>
      <c r="G73" s="107" t="str">
        <f>IF(A73="","",IF(A73=計算過程!$B$71,0,MAX(0,G72-(計算過程!$B$77-Q73))))</f>
        <v/>
      </c>
      <c r="H73" s="107" t="str">
        <f>IF(A73="","",F73+G73)</f>
        <v/>
      </c>
      <c r="I73" s="106" t="str">
        <f>IF(A73="","",IF(AND(OR(MONTH(B73)=6,MONTH(B73)=12),I72&lt;計算過程!$B$69),I72+1,I72))</f>
        <v/>
      </c>
      <c r="J73" s="107" t="str">
        <f>IF(A73="","",IF(I73&gt;I72,IF(I73=計算過程!$B$69,M72+K73,計算過程!$B$81),0))</f>
        <v/>
      </c>
      <c r="K73" s="107" t="str">
        <f>IF(A73="","",IF(I73&gt;I72,CHOOSE(計算過程!$B$72,ROUND(M72*計算過程!$B$79,0),ROUNDDOWN(M72*計算過程!$B$79,0),ROUNDUP(M72*計算過程!$B$79,0)),0))</f>
        <v/>
      </c>
      <c r="L73" s="107" t="str">
        <f>IF(A73="","",J73-K73)</f>
        <v/>
      </c>
      <c r="M73" s="107" t="str">
        <f>IF(A73="","",IF(I73&gt;I72,M72-L73,M72))</f>
        <v/>
      </c>
      <c r="N73" s="107" t="str">
        <f>IF(A73="","",C73+J73)</f>
        <v/>
      </c>
      <c r="O73" s="107" t="str">
        <f>IF(A73="","",H73+M73)</f>
        <v/>
      </c>
      <c r="P73" s="107" t="str">
        <f>IF(A73="","",CHOOSE(計算過程!$B$72,ROUND(F72*計算過程!$B$32/計算過程!$B$6,0),ROUNDDOWN(F72*計算過程!$B$32/計算過程!$B$6,0),ROUNDUP(F72*計算過程!$B$32/計算過程!$B$6,0)))</f>
        <v/>
      </c>
      <c r="Q73" s="107" t="str">
        <f>IF(A73="","",CHOOSE(計算過程!$B$72,ROUND(G72*計算過程!$B$33/計算過程!$B$6,0),ROUNDDOWN(G72*計算過程!$B$33/計算過程!$B$6,0),ROUNDUP(G72*計算過程!$B$33/計算過程!$B$6,0)))</f>
        <v/>
      </c>
    </row>
    <row r="74" spans="1:17">
      <c r="A74" s="106" t="str">
        <f>IF(OR(計算過程!$B$98="",ROWS($A$8:A74)&gt;計算過程!$B$71),"",ROWS($A$8:A74))</f>
        <v/>
      </c>
      <c r="B74" s="108" t="str">
        <f>IF(A74="","",EDATE(計算過程!$B$98,A74-1))</f>
        <v/>
      </c>
      <c r="C74" s="107" t="str">
        <f>IF(A74="","",IF(A74=計算過程!$B$71,D74+F73+G73,計算過程!$B$78))</f>
        <v/>
      </c>
      <c r="D74" s="107" t="str">
        <f>IF(A74="","",P74+Q74)</f>
        <v/>
      </c>
      <c r="E74" s="107" t="str">
        <f>IF(A74="","",C74-D74)</f>
        <v/>
      </c>
      <c r="F74" s="107" t="str">
        <f>IF(A74="","",IF(A74=計算過程!$B$71,0,MAX(0,F73-(計算過程!$B$76-P74))))</f>
        <v/>
      </c>
      <c r="G74" s="107" t="str">
        <f>IF(A74="","",IF(A74=計算過程!$B$71,0,MAX(0,G73-(計算過程!$B$77-Q74))))</f>
        <v/>
      </c>
      <c r="H74" s="107" t="str">
        <f>IF(A74="","",F74+G74)</f>
        <v/>
      </c>
      <c r="I74" s="106" t="str">
        <f>IF(A74="","",IF(AND(OR(MONTH(B74)=6,MONTH(B74)=12),I73&lt;計算過程!$B$69),I73+1,I73))</f>
        <v/>
      </c>
      <c r="J74" s="107" t="str">
        <f>IF(A74="","",IF(I74&gt;I73,IF(I74=計算過程!$B$69,M73+K74,計算過程!$B$81),0))</f>
        <v/>
      </c>
      <c r="K74" s="107" t="str">
        <f>IF(A74="","",IF(I74&gt;I73,CHOOSE(計算過程!$B$72,ROUND(M73*計算過程!$B$79,0),ROUNDDOWN(M73*計算過程!$B$79,0),ROUNDUP(M73*計算過程!$B$79,0)),0))</f>
        <v/>
      </c>
      <c r="L74" s="107" t="str">
        <f>IF(A74="","",J74-K74)</f>
        <v/>
      </c>
      <c r="M74" s="107" t="str">
        <f>IF(A74="","",IF(I74&gt;I73,M73-L74,M73))</f>
        <v/>
      </c>
      <c r="N74" s="107" t="str">
        <f>IF(A74="","",C74+J74)</f>
        <v/>
      </c>
      <c r="O74" s="107" t="str">
        <f>IF(A74="","",H74+M74)</f>
        <v/>
      </c>
      <c r="P74" s="107" t="str">
        <f>IF(A74="","",CHOOSE(計算過程!$B$72,ROUND(F73*計算過程!$B$32/計算過程!$B$6,0),ROUNDDOWN(F73*計算過程!$B$32/計算過程!$B$6,0),ROUNDUP(F73*計算過程!$B$32/計算過程!$B$6,0)))</f>
        <v/>
      </c>
      <c r="Q74" s="107" t="str">
        <f>IF(A74="","",CHOOSE(計算過程!$B$72,ROUND(G73*計算過程!$B$33/計算過程!$B$6,0),ROUNDDOWN(G73*計算過程!$B$33/計算過程!$B$6,0),ROUNDUP(G73*計算過程!$B$33/計算過程!$B$6,0)))</f>
        <v/>
      </c>
    </row>
    <row r="75" spans="1:17">
      <c r="A75" s="106" t="str">
        <f>IF(OR(計算過程!$B$98="",ROWS($A$8:A75)&gt;計算過程!$B$71),"",ROWS($A$8:A75))</f>
        <v/>
      </c>
      <c r="B75" s="108" t="str">
        <f>IF(A75="","",EDATE(計算過程!$B$98,A75-1))</f>
        <v/>
      </c>
      <c r="C75" s="107" t="str">
        <f>IF(A75="","",IF(A75=計算過程!$B$71,D75+F74+G74,計算過程!$B$78))</f>
        <v/>
      </c>
      <c r="D75" s="107" t="str">
        <f>IF(A75="","",P75+Q75)</f>
        <v/>
      </c>
      <c r="E75" s="107" t="str">
        <f>IF(A75="","",C75-D75)</f>
        <v/>
      </c>
      <c r="F75" s="107" t="str">
        <f>IF(A75="","",IF(A75=計算過程!$B$71,0,MAX(0,F74-(計算過程!$B$76-P75))))</f>
        <v/>
      </c>
      <c r="G75" s="107" t="str">
        <f>IF(A75="","",IF(A75=計算過程!$B$71,0,MAX(0,G74-(計算過程!$B$77-Q75))))</f>
        <v/>
      </c>
      <c r="H75" s="107" t="str">
        <f>IF(A75="","",F75+G75)</f>
        <v/>
      </c>
      <c r="I75" s="106" t="str">
        <f>IF(A75="","",IF(AND(OR(MONTH(B75)=6,MONTH(B75)=12),I74&lt;計算過程!$B$69),I74+1,I74))</f>
        <v/>
      </c>
      <c r="J75" s="107" t="str">
        <f>IF(A75="","",IF(I75&gt;I74,IF(I75=計算過程!$B$69,M74+K75,計算過程!$B$81),0))</f>
        <v/>
      </c>
      <c r="K75" s="107" t="str">
        <f>IF(A75="","",IF(I75&gt;I74,CHOOSE(計算過程!$B$72,ROUND(M74*計算過程!$B$79,0),ROUNDDOWN(M74*計算過程!$B$79,0),ROUNDUP(M74*計算過程!$B$79,0)),0))</f>
        <v/>
      </c>
      <c r="L75" s="107" t="str">
        <f>IF(A75="","",J75-K75)</f>
        <v/>
      </c>
      <c r="M75" s="107" t="str">
        <f>IF(A75="","",IF(I75&gt;I74,M74-L75,M74))</f>
        <v/>
      </c>
      <c r="N75" s="107" t="str">
        <f>IF(A75="","",C75+J75)</f>
        <v/>
      </c>
      <c r="O75" s="107" t="str">
        <f>IF(A75="","",H75+M75)</f>
        <v/>
      </c>
      <c r="P75" s="107" t="str">
        <f>IF(A75="","",CHOOSE(計算過程!$B$72,ROUND(F74*計算過程!$B$32/計算過程!$B$6,0),ROUNDDOWN(F74*計算過程!$B$32/計算過程!$B$6,0),ROUNDUP(F74*計算過程!$B$32/計算過程!$B$6,0)))</f>
        <v/>
      </c>
      <c r="Q75" s="107" t="str">
        <f>IF(A75="","",CHOOSE(計算過程!$B$72,ROUND(G74*計算過程!$B$33/計算過程!$B$6,0),ROUNDDOWN(G74*計算過程!$B$33/計算過程!$B$6,0),ROUNDUP(G74*計算過程!$B$33/計算過程!$B$6,0)))</f>
        <v/>
      </c>
    </row>
    <row r="76" spans="1:17">
      <c r="A76" s="106" t="str">
        <f>IF(OR(計算過程!$B$98="",ROWS($A$8:A76)&gt;計算過程!$B$71),"",ROWS($A$8:A76))</f>
        <v/>
      </c>
      <c r="B76" s="108" t="str">
        <f>IF(A76="","",EDATE(計算過程!$B$98,A76-1))</f>
        <v/>
      </c>
      <c r="C76" s="107" t="str">
        <f>IF(A76="","",IF(A76=計算過程!$B$71,D76+F75+G75,計算過程!$B$78))</f>
        <v/>
      </c>
      <c r="D76" s="107" t="str">
        <f>IF(A76="","",P76+Q76)</f>
        <v/>
      </c>
      <c r="E76" s="107" t="str">
        <f>IF(A76="","",C76-D76)</f>
        <v/>
      </c>
      <c r="F76" s="107" t="str">
        <f>IF(A76="","",IF(A76=計算過程!$B$71,0,MAX(0,F75-(計算過程!$B$76-P76))))</f>
        <v/>
      </c>
      <c r="G76" s="107" t="str">
        <f>IF(A76="","",IF(A76=計算過程!$B$71,0,MAX(0,G75-(計算過程!$B$77-Q76))))</f>
        <v/>
      </c>
      <c r="H76" s="107" t="str">
        <f>IF(A76="","",F76+G76)</f>
        <v/>
      </c>
      <c r="I76" s="106" t="str">
        <f>IF(A76="","",IF(AND(OR(MONTH(B76)=6,MONTH(B76)=12),I75&lt;計算過程!$B$69),I75+1,I75))</f>
        <v/>
      </c>
      <c r="J76" s="107" t="str">
        <f>IF(A76="","",IF(I76&gt;I75,IF(I76=計算過程!$B$69,M75+K76,計算過程!$B$81),0))</f>
        <v/>
      </c>
      <c r="K76" s="107" t="str">
        <f>IF(A76="","",IF(I76&gt;I75,CHOOSE(計算過程!$B$72,ROUND(M75*計算過程!$B$79,0),ROUNDDOWN(M75*計算過程!$B$79,0),ROUNDUP(M75*計算過程!$B$79,0)),0))</f>
        <v/>
      </c>
      <c r="L76" s="107" t="str">
        <f>IF(A76="","",J76-K76)</f>
        <v/>
      </c>
      <c r="M76" s="107" t="str">
        <f>IF(A76="","",IF(I76&gt;I75,M75-L76,M75))</f>
        <v/>
      </c>
      <c r="N76" s="107" t="str">
        <f>IF(A76="","",C76+J76)</f>
        <v/>
      </c>
      <c r="O76" s="107" t="str">
        <f>IF(A76="","",H76+M76)</f>
        <v/>
      </c>
      <c r="P76" s="107" t="str">
        <f>IF(A76="","",CHOOSE(計算過程!$B$72,ROUND(F75*計算過程!$B$32/計算過程!$B$6,0),ROUNDDOWN(F75*計算過程!$B$32/計算過程!$B$6,0),ROUNDUP(F75*計算過程!$B$32/計算過程!$B$6,0)))</f>
        <v/>
      </c>
      <c r="Q76" s="107" t="str">
        <f>IF(A76="","",CHOOSE(計算過程!$B$72,ROUND(G75*計算過程!$B$33/計算過程!$B$6,0),ROUNDDOWN(G75*計算過程!$B$33/計算過程!$B$6,0),ROUNDUP(G75*計算過程!$B$33/計算過程!$B$6,0)))</f>
        <v/>
      </c>
    </row>
    <row r="77" spans="1:17">
      <c r="A77" s="106" t="str">
        <f>IF(OR(計算過程!$B$98="",ROWS($A$8:A77)&gt;計算過程!$B$71),"",ROWS($A$8:A77))</f>
        <v/>
      </c>
      <c r="B77" s="108" t="str">
        <f>IF(A77="","",EDATE(計算過程!$B$98,A77-1))</f>
        <v/>
      </c>
      <c r="C77" s="107" t="str">
        <f>IF(A77="","",IF(A77=計算過程!$B$71,D77+F76+G76,計算過程!$B$78))</f>
        <v/>
      </c>
      <c r="D77" s="107" t="str">
        <f>IF(A77="","",P77+Q77)</f>
        <v/>
      </c>
      <c r="E77" s="107" t="str">
        <f>IF(A77="","",C77-D77)</f>
        <v/>
      </c>
      <c r="F77" s="107" t="str">
        <f>IF(A77="","",IF(A77=計算過程!$B$71,0,MAX(0,F76-(計算過程!$B$76-P77))))</f>
        <v/>
      </c>
      <c r="G77" s="107" t="str">
        <f>IF(A77="","",IF(A77=計算過程!$B$71,0,MAX(0,G76-(計算過程!$B$77-Q77))))</f>
        <v/>
      </c>
      <c r="H77" s="107" t="str">
        <f>IF(A77="","",F77+G77)</f>
        <v/>
      </c>
      <c r="I77" s="106" t="str">
        <f>IF(A77="","",IF(AND(OR(MONTH(B77)=6,MONTH(B77)=12),I76&lt;計算過程!$B$69),I76+1,I76))</f>
        <v/>
      </c>
      <c r="J77" s="107" t="str">
        <f>IF(A77="","",IF(I77&gt;I76,IF(I77=計算過程!$B$69,M76+K77,計算過程!$B$81),0))</f>
        <v/>
      </c>
      <c r="K77" s="107" t="str">
        <f>IF(A77="","",IF(I77&gt;I76,CHOOSE(計算過程!$B$72,ROUND(M76*計算過程!$B$79,0),ROUNDDOWN(M76*計算過程!$B$79,0),ROUNDUP(M76*計算過程!$B$79,0)),0))</f>
        <v/>
      </c>
      <c r="L77" s="107" t="str">
        <f>IF(A77="","",J77-K77)</f>
        <v/>
      </c>
      <c r="M77" s="107" t="str">
        <f>IF(A77="","",IF(I77&gt;I76,M76-L77,M76))</f>
        <v/>
      </c>
      <c r="N77" s="107" t="str">
        <f>IF(A77="","",C77+J77)</f>
        <v/>
      </c>
      <c r="O77" s="107" t="str">
        <f>IF(A77="","",H77+M77)</f>
        <v/>
      </c>
      <c r="P77" s="107" t="str">
        <f>IF(A77="","",CHOOSE(計算過程!$B$72,ROUND(F76*計算過程!$B$32/計算過程!$B$6,0),ROUNDDOWN(F76*計算過程!$B$32/計算過程!$B$6,0),ROUNDUP(F76*計算過程!$B$32/計算過程!$B$6,0)))</f>
        <v/>
      </c>
      <c r="Q77" s="107" t="str">
        <f>IF(A77="","",CHOOSE(計算過程!$B$72,ROUND(G76*計算過程!$B$33/計算過程!$B$6,0),ROUNDDOWN(G76*計算過程!$B$33/計算過程!$B$6,0),ROUNDUP(G76*計算過程!$B$33/計算過程!$B$6,0)))</f>
        <v/>
      </c>
    </row>
    <row r="78" spans="1:17">
      <c r="A78" s="106" t="str">
        <f>IF(OR(計算過程!$B$98="",ROWS($A$8:A78)&gt;計算過程!$B$71),"",ROWS($A$8:A78))</f>
        <v/>
      </c>
      <c r="B78" s="108" t="str">
        <f>IF(A78="","",EDATE(計算過程!$B$98,A78-1))</f>
        <v/>
      </c>
      <c r="C78" s="107" t="str">
        <f>IF(A78="","",IF(A78=計算過程!$B$71,D78+F77+G77,計算過程!$B$78))</f>
        <v/>
      </c>
      <c r="D78" s="107" t="str">
        <f>IF(A78="","",P78+Q78)</f>
        <v/>
      </c>
      <c r="E78" s="107" t="str">
        <f>IF(A78="","",C78-D78)</f>
        <v/>
      </c>
      <c r="F78" s="107" t="str">
        <f>IF(A78="","",IF(A78=計算過程!$B$71,0,MAX(0,F77-(計算過程!$B$76-P78))))</f>
        <v/>
      </c>
      <c r="G78" s="107" t="str">
        <f>IF(A78="","",IF(A78=計算過程!$B$71,0,MAX(0,G77-(計算過程!$B$77-Q78))))</f>
        <v/>
      </c>
      <c r="H78" s="107" t="str">
        <f>IF(A78="","",F78+G78)</f>
        <v/>
      </c>
      <c r="I78" s="106" t="str">
        <f>IF(A78="","",IF(AND(OR(MONTH(B78)=6,MONTH(B78)=12),I77&lt;計算過程!$B$69),I77+1,I77))</f>
        <v/>
      </c>
      <c r="J78" s="107" t="str">
        <f>IF(A78="","",IF(I78&gt;I77,IF(I78=計算過程!$B$69,M77+K78,計算過程!$B$81),0))</f>
        <v/>
      </c>
      <c r="K78" s="107" t="str">
        <f>IF(A78="","",IF(I78&gt;I77,CHOOSE(計算過程!$B$72,ROUND(M77*計算過程!$B$79,0),ROUNDDOWN(M77*計算過程!$B$79,0),ROUNDUP(M77*計算過程!$B$79,0)),0))</f>
        <v/>
      </c>
      <c r="L78" s="107" t="str">
        <f>IF(A78="","",J78-K78)</f>
        <v/>
      </c>
      <c r="M78" s="107" t="str">
        <f>IF(A78="","",IF(I78&gt;I77,M77-L78,M77))</f>
        <v/>
      </c>
      <c r="N78" s="107" t="str">
        <f>IF(A78="","",C78+J78)</f>
        <v/>
      </c>
      <c r="O78" s="107" t="str">
        <f>IF(A78="","",H78+M78)</f>
        <v/>
      </c>
      <c r="P78" s="107" t="str">
        <f>IF(A78="","",CHOOSE(計算過程!$B$72,ROUND(F77*計算過程!$B$32/計算過程!$B$6,0),ROUNDDOWN(F77*計算過程!$B$32/計算過程!$B$6,0),ROUNDUP(F77*計算過程!$B$32/計算過程!$B$6,0)))</f>
        <v/>
      </c>
      <c r="Q78" s="107" t="str">
        <f>IF(A78="","",CHOOSE(計算過程!$B$72,ROUND(G77*計算過程!$B$33/計算過程!$B$6,0),ROUNDDOWN(G77*計算過程!$B$33/計算過程!$B$6,0),ROUNDUP(G77*計算過程!$B$33/計算過程!$B$6,0)))</f>
        <v/>
      </c>
    </row>
    <row r="79" spans="1:17">
      <c r="A79" s="106" t="str">
        <f>IF(OR(計算過程!$B$98="",ROWS($A$8:A79)&gt;計算過程!$B$71),"",ROWS($A$8:A79))</f>
        <v/>
      </c>
      <c r="B79" s="108" t="str">
        <f>IF(A79="","",EDATE(計算過程!$B$98,A79-1))</f>
        <v/>
      </c>
      <c r="C79" s="107" t="str">
        <f>IF(A79="","",IF(A79=計算過程!$B$71,D79+F78+G78,計算過程!$B$78))</f>
        <v/>
      </c>
      <c r="D79" s="107" t="str">
        <f>IF(A79="","",P79+Q79)</f>
        <v/>
      </c>
      <c r="E79" s="107" t="str">
        <f>IF(A79="","",C79-D79)</f>
        <v/>
      </c>
      <c r="F79" s="107" t="str">
        <f>IF(A79="","",IF(A79=計算過程!$B$71,0,MAX(0,F78-(計算過程!$B$76-P79))))</f>
        <v/>
      </c>
      <c r="G79" s="107" t="str">
        <f>IF(A79="","",IF(A79=計算過程!$B$71,0,MAX(0,G78-(計算過程!$B$77-Q79))))</f>
        <v/>
      </c>
      <c r="H79" s="107" t="str">
        <f>IF(A79="","",F79+G79)</f>
        <v/>
      </c>
      <c r="I79" s="106" t="str">
        <f>IF(A79="","",IF(AND(OR(MONTH(B79)=6,MONTH(B79)=12),I78&lt;計算過程!$B$69),I78+1,I78))</f>
        <v/>
      </c>
      <c r="J79" s="107" t="str">
        <f>IF(A79="","",IF(I79&gt;I78,IF(I79=計算過程!$B$69,M78+K79,計算過程!$B$81),0))</f>
        <v/>
      </c>
      <c r="K79" s="107" t="str">
        <f>IF(A79="","",IF(I79&gt;I78,CHOOSE(計算過程!$B$72,ROUND(M78*計算過程!$B$79,0),ROUNDDOWN(M78*計算過程!$B$79,0),ROUNDUP(M78*計算過程!$B$79,0)),0))</f>
        <v/>
      </c>
      <c r="L79" s="107" t="str">
        <f>IF(A79="","",J79-K79)</f>
        <v/>
      </c>
      <c r="M79" s="107" t="str">
        <f>IF(A79="","",IF(I79&gt;I78,M78-L79,M78))</f>
        <v/>
      </c>
      <c r="N79" s="107" t="str">
        <f>IF(A79="","",C79+J79)</f>
        <v/>
      </c>
      <c r="O79" s="107" t="str">
        <f>IF(A79="","",H79+M79)</f>
        <v/>
      </c>
      <c r="P79" s="107" t="str">
        <f>IF(A79="","",CHOOSE(計算過程!$B$72,ROUND(F78*計算過程!$B$32/計算過程!$B$6,0),ROUNDDOWN(F78*計算過程!$B$32/計算過程!$B$6,0),ROUNDUP(F78*計算過程!$B$32/計算過程!$B$6,0)))</f>
        <v/>
      </c>
      <c r="Q79" s="107" t="str">
        <f>IF(A79="","",CHOOSE(計算過程!$B$72,ROUND(G78*計算過程!$B$33/計算過程!$B$6,0),ROUNDDOWN(G78*計算過程!$B$33/計算過程!$B$6,0),ROUNDUP(G78*計算過程!$B$33/計算過程!$B$6,0)))</f>
        <v/>
      </c>
    </row>
    <row r="80" spans="1:17">
      <c r="A80" s="106" t="str">
        <f>IF(OR(計算過程!$B$98="",ROWS($A$8:A80)&gt;計算過程!$B$71),"",ROWS($A$8:A80))</f>
        <v/>
      </c>
      <c r="B80" s="108" t="str">
        <f>IF(A80="","",EDATE(計算過程!$B$98,A80-1))</f>
        <v/>
      </c>
      <c r="C80" s="107" t="str">
        <f>IF(A80="","",IF(A80=計算過程!$B$71,D80+F79+G79,計算過程!$B$78))</f>
        <v/>
      </c>
      <c r="D80" s="107" t="str">
        <f>IF(A80="","",P80+Q80)</f>
        <v/>
      </c>
      <c r="E80" s="107" t="str">
        <f>IF(A80="","",C80-D80)</f>
        <v/>
      </c>
      <c r="F80" s="107" t="str">
        <f>IF(A80="","",IF(A80=計算過程!$B$71,0,MAX(0,F79-(計算過程!$B$76-P80))))</f>
        <v/>
      </c>
      <c r="G80" s="107" t="str">
        <f>IF(A80="","",IF(A80=計算過程!$B$71,0,MAX(0,G79-(計算過程!$B$77-Q80))))</f>
        <v/>
      </c>
      <c r="H80" s="107" t="str">
        <f>IF(A80="","",F80+G80)</f>
        <v/>
      </c>
      <c r="I80" s="106" t="str">
        <f>IF(A80="","",IF(AND(OR(MONTH(B80)=6,MONTH(B80)=12),I79&lt;計算過程!$B$69),I79+1,I79))</f>
        <v/>
      </c>
      <c r="J80" s="107" t="str">
        <f>IF(A80="","",IF(I80&gt;I79,IF(I80=計算過程!$B$69,M79+K80,計算過程!$B$81),0))</f>
        <v/>
      </c>
      <c r="K80" s="107" t="str">
        <f>IF(A80="","",IF(I80&gt;I79,CHOOSE(計算過程!$B$72,ROUND(M79*計算過程!$B$79,0),ROUNDDOWN(M79*計算過程!$B$79,0),ROUNDUP(M79*計算過程!$B$79,0)),0))</f>
        <v/>
      </c>
      <c r="L80" s="107" t="str">
        <f>IF(A80="","",J80-K80)</f>
        <v/>
      </c>
      <c r="M80" s="107" t="str">
        <f>IF(A80="","",IF(I80&gt;I79,M79-L80,M79))</f>
        <v/>
      </c>
      <c r="N80" s="107" t="str">
        <f>IF(A80="","",C80+J80)</f>
        <v/>
      </c>
      <c r="O80" s="107" t="str">
        <f>IF(A80="","",H80+M80)</f>
        <v/>
      </c>
      <c r="P80" s="107" t="str">
        <f>IF(A80="","",CHOOSE(計算過程!$B$72,ROUND(F79*計算過程!$B$32/計算過程!$B$6,0),ROUNDDOWN(F79*計算過程!$B$32/計算過程!$B$6,0),ROUNDUP(F79*計算過程!$B$32/計算過程!$B$6,0)))</f>
        <v/>
      </c>
      <c r="Q80" s="107" t="str">
        <f>IF(A80="","",CHOOSE(計算過程!$B$72,ROUND(G79*計算過程!$B$33/計算過程!$B$6,0),ROUNDDOWN(G79*計算過程!$B$33/計算過程!$B$6,0),ROUNDUP(G79*計算過程!$B$33/計算過程!$B$6,0)))</f>
        <v/>
      </c>
    </row>
    <row r="81" spans="1:17">
      <c r="A81" s="106" t="str">
        <f>IF(OR(計算過程!$B$98="",ROWS($A$8:A81)&gt;計算過程!$B$71),"",ROWS($A$8:A81))</f>
        <v/>
      </c>
      <c r="B81" s="108" t="str">
        <f>IF(A81="","",EDATE(計算過程!$B$98,A81-1))</f>
        <v/>
      </c>
      <c r="C81" s="107" t="str">
        <f>IF(A81="","",IF(A81=計算過程!$B$71,D81+F80+G80,計算過程!$B$78))</f>
        <v/>
      </c>
      <c r="D81" s="107" t="str">
        <f>IF(A81="","",P81+Q81)</f>
        <v/>
      </c>
      <c r="E81" s="107" t="str">
        <f>IF(A81="","",C81-D81)</f>
        <v/>
      </c>
      <c r="F81" s="107" t="str">
        <f>IF(A81="","",IF(A81=計算過程!$B$71,0,MAX(0,F80-(計算過程!$B$76-P81))))</f>
        <v/>
      </c>
      <c r="G81" s="107" t="str">
        <f>IF(A81="","",IF(A81=計算過程!$B$71,0,MAX(0,G80-(計算過程!$B$77-Q81))))</f>
        <v/>
      </c>
      <c r="H81" s="107" t="str">
        <f>IF(A81="","",F81+G81)</f>
        <v/>
      </c>
      <c r="I81" s="106" t="str">
        <f>IF(A81="","",IF(AND(OR(MONTH(B81)=6,MONTH(B81)=12),I80&lt;計算過程!$B$69),I80+1,I80))</f>
        <v/>
      </c>
      <c r="J81" s="107" t="str">
        <f>IF(A81="","",IF(I81&gt;I80,IF(I81=計算過程!$B$69,M80+K81,計算過程!$B$81),0))</f>
        <v/>
      </c>
      <c r="K81" s="107" t="str">
        <f>IF(A81="","",IF(I81&gt;I80,CHOOSE(計算過程!$B$72,ROUND(M80*計算過程!$B$79,0),ROUNDDOWN(M80*計算過程!$B$79,0),ROUNDUP(M80*計算過程!$B$79,0)),0))</f>
        <v/>
      </c>
      <c r="L81" s="107" t="str">
        <f>IF(A81="","",J81-K81)</f>
        <v/>
      </c>
      <c r="M81" s="107" t="str">
        <f>IF(A81="","",IF(I81&gt;I80,M80-L81,M80))</f>
        <v/>
      </c>
      <c r="N81" s="107" t="str">
        <f>IF(A81="","",C81+J81)</f>
        <v/>
      </c>
      <c r="O81" s="107" t="str">
        <f>IF(A81="","",H81+M81)</f>
        <v/>
      </c>
      <c r="P81" s="107" t="str">
        <f>IF(A81="","",CHOOSE(計算過程!$B$72,ROUND(F80*計算過程!$B$32/計算過程!$B$6,0),ROUNDDOWN(F80*計算過程!$B$32/計算過程!$B$6,0),ROUNDUP(F80*計算過程!$B$32/計算過程!$B$6,0)))</f>
        <v/>
      </c>
      <c r="Q81" s="107" t="str">
        <f>IF(A81="","",CHOOSE(計算過程!$B$72,ROUND(G80*計算過程!$B$33/計算過程!$B$6,0),ROUNDDOWN(G80*計算過程!$B$33/計算過程!$B$6,0),ROUNDUP(G80*計算過程!$B$33/計算過程!$B$6,0)))</f>
        <v/>
      </c>
    </row>
    <row r="82" spans="1:17">
      <c r="A82" s="106" t="str">
        <f>IF(OR(計算過程!$B$98="",ROWS($A$8:A82)&gt;計算過程!$B$71),"",ROWS($A$8:A82))</f>
        <v/>
      </c>
      <c r="B82" s="108" t="str">
        <f>IF(A82="","",EDATE(計算過程!$B$98,A82-1))</f>
        <v/>
      </c>
      <c r="C82" s="107" t="str">
        <f>IF(A82="","",IF(A82=計算過程!$B$71,D82+F81+G81,計算過程!$B$78))</f>
        <v/>
      </c>
      <c r="D82" s="107" t="str">
        <f>IF(A82="","",P82+Q82)</f>
        <v/>
      </c>
      <c r="E82" s="107" t="str">
        <f>IF(A82="","",C82-D82)</f>
        <v/>
      </c>
      <c r="F82" s="107" t="str">
        <f>IF(A82="","",IF(A82=計算過程!$B$71,0,MAX(0,F81-(計算過程!$B$76-P82))))</f>
        <v/>
      </c>
      <c r="G82" s="107" t="str">
        <f>IF(A82="","",IF(A82=計算過程!$B$71,0,MAX(0,G81-(計算過程!$B$77-Q82))))</f>
        <v/>
      </c>
      <c r="H82" s="107" t="str">
        <f>IF(A82="","",F82+G82)</f>
        <v/>
      </c>
      <c r="I82" s="106" t="str">
        <f>IF(A82="","",IF(AND(OR(MONTH(B82)=6,MONTH(B82)=12),I81&lt;計算過程!$B$69),I81+1,I81))</f>
        <v/>
      </c>
      <c r="J82" s="107" t="str">
        <f>IF(A82="","",IF(I82&gt;I81,IF(I82=計算過程!$B$69,M81+K82,計算過程!$B$81),0))</f>
        <v/>
      </c>
      <c r="K82" s="107" t="str">
        <f>IF(A82="","",IF(I82&gt;I81,CHOOSE(計算過程!$B$72,ROUND(M81*計算過程!$B$79,0),ROUNDDOWN(M81*計算過程!$B$79,0),ROUNDUP(M81*計算過程!$B$79,0)),0))</f>
        <v/>
      </c>
      <c r="L82" s="107" t="str">
        <f>IF(A82="","",J82-K82)</f>
        <v/>
      </c>
      <c r="M82" s="107" t="str">
        <f>IF(A82="","",IF(I82&gt;I81,M81-L82,M81))</f>
        <v/>
      </c>
      <c r="N82" s="107" t="str">
        <f>IF(A82="","",C82+J82)</f>
        <v/>
      </c>
      <c r="O82" s="107" t="str">
        <f>IF(A82="","",H82+M82)</f>
        <v/>
      </c>
      <c r="P82" s="107" t="str">
        <f>IF(A82="","",CHOOSE(計算過程!$B$72,ROUND(F81*計算過程!$B$32/計算過程!$B$6,0),ROUNDDOWN(F81*計算過程!$B$32/計算過程!$B$6,0),ROUNDUP(F81*計算過程!$B$32/計算過程!$B$6,0)))</f>
        <v/>
      </c>
      <c r="Q82" s="107" t="str">
        <f>IF(A82="","",CHOOSE(計算過程!$B$72,ROUND(G81*計算過程!$B$33/計算過程!$B$6,0),ROUNDDOWN(G81*計算過程!$B$33/計算過程!$B$6,0),ROUNDUP(G81*計算過程!$B$33/計算過程!$B$6,0)))</f>
        <v/>
      </c>
    </row>
    <row r="83" spans="1:17">
      <c r="A83" s="106" t="str">
        <f>IF(OR(計算過程!$B$98="",ROWS($A$8:A83)&gt;計算過程!$B$71),"",ROWS($A$8:A83))</f>
        <v/>
      </c>
      <c r="B83" s="108" t="str">
        <f>IF(A83="","",EDATE(計算過程!$B$98,A83-1))</f>
        <v/>
      </c>
      <c r="C83" s="107" t="str">
        <f>IF(A83="","",IF(A83=計算過程!$B$71,D83+F82+G82,計算過程!$B$78))</f>
        <v/>
      </c>
      <c r="D83" s="107" t="str">
        <f>IF(A83="","",P83+Q83)</f>
        <v/>
      </c>
      <c r="E83" s="107" t="str">
        <f>IF(A83="","",C83-D83)</f>
        <v/>
      </c>
      <c r="F83" s="107" t="str">
        <f>IF(A83="","",IF(A83=計算過程!$B$71,0,MAX(0,F82-(計算過程!$B$76-P83))))</f>
        <v/>
      </c>
      <c r="G83" s="107" t="str">
        <f>IF(A83="","",IF(A83=計算過程!$B$71,0,MAX(0,G82-(計算過程!$B$77-Q83))))</f>
        <v/>
      </c>
      <c r="H83" s="107" t="str">
        <f>IF(A83="","",F83+G83)</f>
        <v/>
      </c>
      <c r="I83" s="106" t="str">
        <f>IF(A83="","",IF(AND(OR(MONTH(B83)=6,MONTH(B83)=12),I82&lt;計算過程!$B$69),I82+1,I82))</f>
        <v/>
      </c>
      <c r="J83" s="107" t="str">
        <f>IF(A83="","",IF(I83&gt;I82,IF(I83=計算過程!$B$69,M82+K83,計算過程!$B$81),0))</f>
        <v/>
      </c>
      <c r="K83" s="107" t="str">
        <f>IF(A83="","",IF(I83&gt;I82,CHOOSE(計算過程!$B$72,ROUND(M82*計算過程!$B$79,0),ROUNDDOWN(M82*計算過程!$B$79,0),ROUNDUP(M82*計算過程!$B$79,0)),0))</f>
        <v/>
      </c>
      <c r="L83" s="107" t="str">
        <f>IF(A83="","",J83-K83)</f>
        <v/>
      </c>
      <c r="M83" s="107" t="str">
        <f>IF(A83="","",IF(I83&gt;I82,M82-L83,M82))</f>
        <v/>
      </c>
      <c r="N83" s="107" t="str">
        <f>IF(A83="","",C83+J83)</f>
        <v/>
      </c>
      <c r="O83" s="107" t="str">
        <f>IF(A83="","",H83+M83)</f>
        <v/>
      </c>
      <c r="P83" s="107" t="str">
        <f>IF(A83="","",CHOOSE(計算過程!$B$72,ROUND(F82*計算過程!$B$32/計算過程!$B$6,0),ROUNDDOWN(F82*計算過程!$B$32/計算過程!$B$6,0),ROUNDUP(F82*計算過程!$B$32/計算過程!$B$6,0)))</f>
        <v/>
      </c>
      <c r="Q83" s="107" t="str">
        <f>IF(A83="","",CHOOSE(計算過程!$B$72,ROUND(G82*計算過程!$B$33/計算過程!$B$6,0),ROUNDDOWN(G82*計算過程!$B$33/計算過程!$B$6,0),ROUNDUP(G82*計算過程!$B$33/計算過程!$B$6,0)))</f>
        <v/>
      </c>
    </row>
    <row r="84" spans="1:17">
      <c r="A84" s="106" t="str">
        <f>IF(OR(計算過程!$B$98="",ROWS($A$8:A84)&gt;計算過程!$B$71),"",ROWS($A$8:A84))</f>
        <v/>
      </c>
      <c r="B84" s="108" t="str">
        <f>IF(A84="","",EDATE(計算過程!$B$98,A84-1))</f>
        <v/>
      </c>
      <c r="C84" s="107" t="str">
        <f>IF(A84="","",IF(A84=計算過程!$B$71,D84+F83+G83,計算過程!$B$78))</f>
        <v/>
      </c>
      <c r="D84" s="107" t="str">
        <f>IF(A84="","",P84+Q84)</f>
        <v/>
      </c>
      <c r="E84" s="107" t="str">
        <f>IF(A84="","",C84-D84)</f>
        <v/>
      </c>
      <c r="F84" s="107" t="str">
        <f>IF(A84="","",IF(A84=計算過程!$B$71,0,MAX(0,F83-(計算過程!$B$76-P84))))</f>
        <v/>
      </c>
      <c r="G84" s="107" t="str">
        <f>IF(A84="","",IF(A84=計算過程!$B$71,0,MAX(0,G83-(計算過程!$B$77-Q84))))</f>
        <v/>
      </c>
      <c r="H84" s="107" t="str">
        <f>IF(A84="","",F84+G84)</f>
        <v/>
      </c>
      <c r="I84" s="106" t="str">
        <f>IF(A84="","",IF(AND(OR(MONTH(B84)=6,MONTH(B84)=12),I83&lt;計算過程!$B$69),I83+1,I83))</f>
        <v/>
      </c>
      <c r="J84" s="107" t="str">
        <f>IF(A84="","",IF(I84&gt;I83,IF(I84=計算過程!$B$69,M83+K84,計算過程!$B$81),0))</f>
        <v/>
      </c>
      <c r="K84" s="107" t="str">
        <f>IF(A84="","",IF(I84&gt;I83,CHOOSE(計算過程!$B$72,ROUND(M83*計算過程!$B$79,0),ROUNDDOWN(M83*計算過程!$B$79,0),ROUNDUP(M83*計算過程!$B$79,0)),0))</f>
        <v/>
      </c>
      <c r="L84" s="107" t="str">
        <f>IF(A84="","",J84-K84)</f>
        <v/>
      </c>
      <c r="M84" s="107" t="str">
        <f>IF(A84="","",IF(I84&gt;I83,M83-L84,M83))</f>
        <v/>
      </c>
      <c r="N84" s="107" t="str">
        <f>IF(A84="","",C84+J84)</f>
        <v/>
      </c>
      <c r="O84" s="107" t="str">
        <f>IF(A84="","",H84+M84)</f>
        <v/>
      </c>
      <c r="P84" s="107" t="str">
        <f>IF(A84="","",CHOOSE(計算過程!$B$72,ROUND(F83*計算過程!$B$32/計算過程!$B$6,0),ROUNDDOWN(F83*計算過程!$B$32/計算過程!$B$6,0),ROUNDUP(F83*計算過程!$B$32/計算過程!$B$6,0)))</f>
        <v/>
      </c>
      <c r="Q84" s="107" t="str">
        <f>IF(A84="","",CHOOSE(計算過程!$B$72,ROUND(G83*計算過程!$B$33/計算過程!$B$6,0),ROUNDDOWN(G83*計算過程!$B$33/計算過程!$B$6,0),ROUNDUP(G83*計算過程!$B$33/計算過程!$B$6,0)))</f>
        <v/>
      </c>
    </row>
    <row r="85" spans="1:17">
      <c r="A85" s="106" t="str">
        <f>IF(OR(計算過程!$B$98="",ROWS($A$8:A85)&gt;計算過程!$B$71),"",ROWS($A$8:A85))</f>
        <v/>
      </c>
      <c r="B85" s="108" t="str">
        <f>IF(A85="","",EDATE(計算過程!$B$98,A85-1))</f>
        <v/>
      </c>
      <c r="C85" s="107" t="str">
        <f>IF(A85="","",IF(A85=計算過程!$B$71,D85+F84+G84,計算過程!$B$78))</f>
        <v/>
      </c>
      <c r="D85" s="107" t="str">
        <f>IF(A85="","",P85+Q85)</f>
        <v/>
      </c>
      <c r="E85" s="107" t="str">
        <f>IF(A85="","",C85-D85)</f>
        <v/>
      </c>
      <c r="F85" s="107" t="str">
        <f>IF(A85="","",IF(A85=計算過程!$B$71,0,MAX(0,F84-(計算過程!$B$76-P85))))</f>
        <v/>
      </c>
      <c r="G85" s="107" t="str">
        <f>IF(A85="","",IF(A85=計算過程!$B$71,0,MAX(0,G84-(計算過程!$B$77-Q85))))</f>
        <v/>
      </c>
      <c r="H85" s="107" t="str">
        <f>IF(A85="","",F85+G85)</f>
        <v/>
      </c>
      <c r="I85" s="106" t="str">
        <f>IF(A85="","",IF(AND(OR(MONTH(B85)=6,MONTH(B85)=12),I84&lt;計算過程!$B$69),I84+1,I84))</f>
        <v/>
      </c>
      <c r="J85" s="107" t="str">
        <f>IF(A85="","",IF(I85&gt;I84,IF(I85=計算過程!$B$69,M84+K85,計算過程!$B$81),0))</f>
        <v/>
      </c>
      <c r="K85" s="107" t="str">
        <f>IF(A85="","",IF(I85&gt;I84,CHOOSE(計算過程!$B$72,ROUND(M84*計算過程!$B$79,0),ROUNDDOWN(M84*計算過程!$B$79,0),ROUNDUP(M84*計算過程!$B$79,0)),0))</f>
        <v/>
      </c>
      <c r="L85" s="107" t="str">
        <f>IF(A85="","",J85-K85)</f>
        <v/>
      </c>
      <c r="M85" s="107" t="str">
        <f>IF(A85="","",IF(I85&gt;I84,M84-L85,M84))</f>
        <v/>
      </c>
      <c r="N85" s="107" t="str">
        <f>IF(A85="","",C85+J85)</f>
        <v/>
      </c>
      <c r="O85" s="107" t="str">
        <f>IF(A85="","",H85+M85)</f>
        <v/>
      </c>
      <c r="P85" s="107" t="str">
        <f>IF(A85="","",CHOOSE(計算過程!$B$72,ROUND(F84*計算過程!$B$32/計算過程!$B$6,0),ROUNDDOWN(F84*計算過程!$B$32/計算過程!$B$6,0),ROUNDUP(F84*計算過程!$B$32/計算過程!$B$6,0)))</f>
        <v/>
      </c>
      <c r="Q85" s="107" t="str">
        <f>IF(A85="","",CHOOSE(計算過程!$B$72,ROUND(G84*計算過程!$B$33/計算過程!$B$6,0),ROUNDDOWN(G84*計算過程!$B$33/計算過程!$B$6,0),ROUNDUP(G84*計算過程!$B$33/計算過程!$B$6,0)))</f>
        <v/>
      </c>
    </row>
    <row r="86" spans="1:17">
      <c r="A86" s="106" t="str">
        <f>IF(OR(計算過程!$B$98="",ROWS($A$8:A86)&gt;計算過程!$B$71),"",ROWS($A$8:A86))</f>
        <v/>
      </c>
      <c r="B86" s="108" t="str">
        <f>IF(A86="","",EDATE(計算過程!$B$98,A86-1))</f>
        <v/>
      </c>
      <c r="C86" s="107" t="str">
        <f>IF(A86="","",IF(A86=計算過程!$B$71,D86+F85+G85,計算過程!$B$78))</f>
        <v/>
      </c>
      <c r="D86" s="107" t="str">
        <f>IF(A86="","",P86+Q86)</f>
        <v/>
      </c>
      <c r="E86" s="107" t="str">
        <f>IF(A86="","",C86-D86)</f>
        <v/>
      </c>
      <c r="F86" s="107" t="str">
        <f>IF(A86="","",IF(A86=計算過程!$B$71,0,MAX(0,F85-(計算過程!$B$76-P86))))</f>
        <v/>
      </c>
      <c r="G86" s="107" t="str">
        <f>IF(A86="","",IF(A86=計算過程!$B$71,0,MAX(0,G85-(計算過程!$B$77-Q86))))</f>
        <v/>
      </c>
      <c r="H86" s="107" t="str">
        <f>IF(A86="","",F86+G86)</f>
        <v/>
      </c>
      <c r="I86" s="106" t="str">
        <f>IF(A86="","",IF(AND(OR(MONTH(B86)=6,MONTH(B86)=12),I85&lt;計算過程!$B$69),I85+1,I85))</f>
        <v/>
      </c>
      <c r="J86" s="107" t="str">
        <f>IF(A86="","",IF(I86&gt;I85,IF(I86=計算過程!$B$69,M85+K86,計算過程!$B$81),0))</f>
        <v/>
      </c>
      <c r="K86" s="107" t="str">
        <f>IF(A86="","",IF(I86&gt;I85,CHOOSE(計算過程!$B$72,ROUND(M85*計算過程!$B$79,0),ROUNDDOWN(M85*計算過程!$B$79,0),ROUNDUP(M85*計算過程!$B$79,0)),0))</f>
        <v/>
      </c>
      <c r="L86" s="107" t="str">
        <f>IF(A86="","",J86-K86)</f>
        <v/>
      </c>
      <c r="M86" s="107" t="str">
        <f>IF(A86="","",IF(I86&gt;I85,M85-L86,M85))</f>
        <v/>
      </c>
      <c r="N86" s="107" t="str">
        <f>IF(A86="","",C86+J86)</f>
        <v/>
      </c>
      <c r="O86" s="107" t="str">
        <f>IF(A86="","",H86+M86)</f>
        <v/>
      </c>
      <c r="P86" s="107" t="str">
        <f>IF(A86="","",CHOOSE(計算過程!$B$72,ROUND(F85*計算過程!$B$32/計算過程!$B$6,0),ROUNDDOWN(F85*計算過程!$B$32/計算過程!$B$6,0),ROUNDUP(F85*計算過程!$B$32/計算過程!$B$6,0)))</f>
        <v/>
      </c>
      <c r="Q86" s="107" t="str">
        <f>IF(A86="","",CHOOSE(計算過程!$B$72,ROUND(G85*計算過程!$B$33/計算過程!$B$6,0),ROUNDDOWN(G85*計算過程!$B$33/計算過程!$B$6,0),ROUNDUP(G85*計算過程!$B$33/計算過程!$B$6,0)))</f>
        <v/>
      </c>
    </row>
    <row r="87" spans="1:17">
      <c r="A87" s="106" t="str">
        <f>IF(OR(計算過程!$B$98="",ROWS($A$8:A87)&gt;計算過程!$B$71),"",ROWS($A$8:A87))</f>
        <v/>
      </c>
      <c r="B87" s="108" t="str">
        <f>IF(A87="","",EDATE(計算過程!$B$98,A87-1))</f>
        <v/>
      </c>
      <c r="C87" s="107" t="str">
        <f>IF(A87="","",IF(A87=計算過程!$B$71,D87+F86+G86,計算過程!$B$78))</f>
        <v/>
      </c>
      <c r="D87" s="107" t="str">
        <f>IF(A87="","",P87+Q87)</f>
        <v/>
      </c>
      <c r="E87" s="107" t="str">
        <f>IF(A87="","",C87-D87)</f>
        <v/>
      </c>
      <c r="F87" s="107" t="str">
        <f>IF(A87="","",IF(A87=計算過程!$B$71,0,MAX(0,F86-(計算過程!$B$76-P87))))</f>
        <v/>
      </c>
      <c r="G87" s="107" t="str">
        <f>IF(A87="","",IF(A87=計算過程!$B$71,0,MAX(0,G86-(計算過程!$B$77-Q87))))</f>
        <v/>
      </c>
      <c r="H87" s="107" t="str">
        <f>IF(A87="","",F87+G87)</f>
        <v/>
      </c>
      <c r="I87" s="106" t="str">
        <f>IF(A87="","",IF(AND(OR(MONTH(B87)=6,MONTH(B87)=12),I86&lt;計算過程!$B$69),I86+1,I86))</f>
        <v/>
      </c>
      <c r="J87" s="107" t="str">
        <f>IF(A87="","",IF(I87&gt;I86,IF(I87=計算過程!$B$69,M86+K87,計算過程!$B$81),0))</f>
        <v/>
      </c>
      <c r="K87" s="107" t="str">
        <f>IF(A87="","",IF(I87&gt;I86,CHOOSE(計算過程!$B$72,ROUND(M86*計算過程!$B$79,0),ROUNDDOWN(M86*計算過程!$B$79,0),ROUNDUP(M86*計算過程!$B$79,0)),0))</f>
        <v/>
      </c>
      <c r="L87" s="107" t="str">
        <f>IF(A87="","",J87-K87)</f>
        <v/>
      </c>
      <c r="M87" s="107" t="str">
        <f>IF(A87="","",IF(I87&gt;I86,M86-L87,M86))</f>
        <v/>
      </c>
      <c r="N87" s="107" t="str">
        <f>IF(A87="","",C87+J87)</f>
        <v/>
      </c>
      <c r="O87" s="107" t="str">
        <f>IF(A87="","",H87+M87)</f>
        <v/>
      </c>
      <c r="P87" s="107" t="str">
        <f>IF(A87="","",CHOOSE(計算過程!$B$72,ROUND(F86*計算過程!$B$32/計算過程!$B$6,0),ROUNDDOWN(F86*計算過程!$B$32/計算過程!$B$6,0),ROUNDUP(F86*計算過程!$B$32/計算過程!$B$6,0)))</f>
        <v/>
      </c>
      <c r="Q87" s="107" t="str">
        <f>IF(A87="","",CHOOSE(計算過程!$B$72,ROUND(G86*計算過程!$B$33/計算過程!$B$6,0),ROUNDDOWN(G86*計算過程!$B$33/計算過程!$B$6,0),ROUNDUP(G86*計算過程!$B$33/計算過程!$B$6,0)))</f>
        <v/>
      </c>
    </row>
    <row r="88" spans="1:17">
      <c r="A88" s="106" t="str">
        <f>IF(OR(計算過程!$B$98="",ROWS($A$8:A88)&gt;計算過程!$B$71),"",ROWS($A$8:A88))</f>
        <v/>
      </c>
      <c r="B88" s="108" t="str">
        <f>IF(A88="","",EDATE(計算過程!$B$98,A88-1))</f>
        <v/>
      </c>
      <c r="C88" s="107" t="str">
        <f>IF(A88="","",IF(A88=計算過程!$B$71,D88+F87+G87,計算過程!$B$78))</f>
        <v/>
      </c>
      <c r="D88" s="107" t="str">
        <f>IF(A88="","",P88+Q88)</f>
        <v/>
      </c>
      <c r="E88" s="107" t="str">
        <f>IF(A88="","",C88-D88)</f>
        <v/>
      </c>
      <c r="F88" s="107" t="str">
        <f>IF(A88="","",IF(A88=計算過程!$B$71,0,MAX(0,F87-(計算過程!$B$76-P88))))</f>
        <v/>
      </c>
      <c r="G88" s="107" t="str">
        <f>IF(A88="","",IF(A88=計算過程!$B$71,0,MAX(0,G87-(計算過程!$B$77-Q88))))</f>
        <v/>
      </c>
      <c r="H88" s="107" t="str">
        <f>IF(A88="","",F88+G88)</f>
        <v/>
      </c>
      <c r="I88" s="106" t="str">
        <f>IF(A88="","",IF(AND(OR(MONTH(B88)=6,MONTH(B88)=12),I87&lt;計算過程!$B$69),I87+1,I87))</f>
        <v/>
      </c>
      <c r="J88" s="107" t="str">
        <f>IF(A88="","",IF(I88&gt;I87,IF(I88=計算過程!$B$69,M87+K88,計算過程!$B$81),0))</f>
        <v/>
      </c>
      <c r="K88" s="107" t="str">
        <f>IF(A88="","",IF(I88&gt;I87,CHOOSE(計算過程!$B$72,ROUND(M87*計算過程!$B$79,0),ROUNDDOWN(M87*計算過程!$B$79,0),ROUNDUP(M87*計算過程!$B$79,0)),0))</f>
        <v/>
      </c>
      <c r="L88" s="107" t="str">
        <f>IF(A88="","",J88-K88)</f>
        <v/>
      </c>
      <c r="M88" s="107" t="str">
        <f>IF(A88="","",IF(I88&gt;I87,M87-L88,M87))</f>
        <v/>
      </c>
      <c r="N88" s="107" t="str">
        <f>IF(A88="","",C88+J88)</f>
        <v/>
      </c>
      <c r="O88" s="107" t="str">
        <f>IF(A88="","",H88+M88)</f>
        <v/>
      </c>
      <c r="P88" s="107" t="str">
        <f>IF(A88="","",CHOOSE(計算過程!$B$72,ROUND(F87*計算過程!$B$32/計算過程!$B$6,0),ROUNDDOWN(F87*計算過程!$B$32/計算過程!$B$6,0),ROUNDUP(F87*計算過程!$B$32/計算過程!$B$6,0)))</f>
        <v/>
      </c>
      <c r="Q88" s="107" t="str">
        <f>IF(A88="","",CHOOSE(計算過程!$B$72,ROUND(G87*計算過程!$B$33/計算過程!$B$6,0),ROUNDDOWN(G87*計算過程!$B$33/計算過程!$B$6,0),ROUNDUP(G87*計算過程!$B$33/計算過程!$B$6,0)))</f>
        <v/>
      </c>
    </row>
    <row r="89" spans="1:17">
      <c r="A89" s="106" t="str">
        <f>IF(OR(計算過程!$B$98="",ROWS($A$8:A89)&gt;計算過程!$B$71),"",ROWS($A$8:A89))</f>
        <v/>
      </c>
      <c r="B89" s="108" t="str">
        <f>IF(A89="","",EDATE(計算過程!$B$98,A89-1))</f>
        <v/>
      </c>
      <c r="C89" s="107" t="str">
        <f>IF(A89="","",IF(A89=計算過程!$B$71,D89+F88+G88,計算過程!$B$78))</f>
        <v/>
      </c>
      <c r="D89" s="107" t="str">
        <f>IF(A89="","",P89+Q89)</f>
        <v/>
      </c>
      <c r="E89" s="107" t="str">
        <f>IF(A89="","",C89-D89)</f>
        <v/>
      </c>
      <c r="F89" s="107" t="str">
        <f>IF(A89="","",IF(A89=計算過程!$B$71,0,MAX(0,F88-(計算過程!$B$76-P89))))</f>
        <v/>
      </c>
      <c r="G89" s="107" t="str">
        <f>IF(A89="","",IF(A89=計算過程!$B$71,0,MAX(0,G88-(計算過程!$B$77-Q89))))</f>
        <v/>
      </c>
      <c r="H89" s="107" t="str">
        <f>IF(A89="","",F89+G89)</f>
        <v/>
      </c>
      <c r="I89" s="106" t="str">
        <f>IF(A89="","",IF(AND(OR(MONTH(B89)=6,MONTH(B89)=12),I88&lt;計算過程!$B$69),I88+1,I88))</f>
        <v/>
      </c>
      <c r="J89" s="107" t="str">
        <f>IF(A89="","",IF(I89&gt;I88,IF(I89=計算過程!$B$69,M88+K89,計算過程!$B$81),0))</f>
        <v/>
      </c>
      <c r="K89" s="107" t="str">
        <f>IF(A89="","",IF(I89&gt;I88,CHOOSE(計算過程!$B$72,ROUND(M88*計算過程!$B$79,0),ROUNDDOWN(M88*計算過程!$B$79,0),ROUNDUP(M88*計算過程!$B$79,0)),0))</f>
        <v/>
      </c>
      <c r="L89" s="107" t="str">
        <f>IF(A89="","",J89-K89)</f>
        <v/>
      </c>
      <c r="M89" s="107" t="str">
        <f>IF(A89="","",IF(I89&gt;I88,M88-L89,M88))</f>
        <v/>
      </c>
      <c r="N89" s="107" t="str">
        <f>IF(A89="","",C89+J89)</f>
        <v/>
      </c>
      <c r="O89" s="107" t="str">
        <f>IF(A89="","",H89+M89)</f>
        <v/>
      </c>
      <c r="P89" s="107" t="str">
        <f>IF(A89="","",CHOOSE(計算過程!$B$72,ROUND(F88*計算過程!$B$32/計算過程!$B$6,0),ROUNDDOWN(F88*計算過程!$B$32/計算過程!$B$6,0),ROUNDUP(F88*計算過程!$B$32/計算過程!$B$6,0)))</f>
        <v/>
      </c>
      <c r="Q89" s="107" t="str">
        <f>IF(A89="","",CHOOSE(計算過程!$B$72,ROUND(G88*計算過程!$B$33/計算過程!$B$6,0),ROUNDDOWN(G88*計算過程!$B$33/計算過程!$B$6,0),ROUNDUP(G88*計算過程!$B$33/計算過程!$B$6,0)))</f>
        <v/>
      </c>
    </row>
    <row r="90" spans="1:17">
      <c r="A90" s="106" t="str">
        <f>IF(OR(計算過程!$B$98="",ROWS($A$8:A90)&gt;計算過程!$B$71),"",ROWS($A$8:A90))</f>
        <v/>
      </c>
      <c r="B90" s="108" t="str">
        <f>IF(A90="","",EDATE(計算過程!$B$98,A90-1))</f>
        <v/>
      </c>
      <c r="C90" s="107" t="str">
        <f>IF(A90="","",IF(A90=計算過程!$B$71,D90+F89+G89,計算過程!$B$78))</f>
        <v/>
      </c>
      <c r="D90" s="107" t="str">
        <f>IF(A90="","",P90+Q90)</f>
        <v/>
      </c>
      <c r="E90" s="107" t="str">
        <f>IF(A90="","",C90-D90)</f>
        <v/>
      </c>
      <c r="F90" s="107" t="str">
        <f>IF(A90="","",IF(A90=計算過程!$B$71,0,MAX(0,F89-(計算過程!$B$76-P90))))</f>
        <v/>
      </c>
      <c r="G90" s="107" t="str">
        <f>IF(A90="","",IF(A90=計算過程!$B$71,0,MAX(0,G89-(計算過程!$B$77-Q90))))</f>
        <v/>
      </c>
      <c r="H90" s="107" t="str">
        <f>IF(A90="","",F90+G90)</f>
        <v/>
      </c>
      <c r="I90" s="106" t="str">
        <f>IF(A90="","",IF(AND(OR(MONTH(B90)=6,MONTH(B90)=12),I89&lt;計算過程!$B$69),I89+1,I89))</f>
        <v/>
      </c>
      <c r="J90" s="107" t="str">
        <f>IF(A90="","",IF(I90&gt;I89,IF(I90=計算過程!$B$69,M89+K90,計算過程!$B$81),0))</f>
        <v/>
      </c>
      <c r="K90" s="107" t="str">
        <f>IF(A90="","",IF(I90&gt;I89,CHOOSE(計算過程!$B$72,ROUND(M89*計算過程!$B$79,0),ROUNDDOWN(M89*計算過程!$B$79,0),ROUNDUP(M89*計算過程!$B$79,0)),0))</f>
        <v/>
      </c>
      <c r="L90" s="107" t="str">
        <f>IF(A90="","",J90-K90)</f>
        <v/>
      </c>
      <c r="M90" s="107" t="str">
        <f>IF(A90="","",IF(I90&gt;I89,M89-L90,M89))</f>
        <v/>
      </c>
      <c r="N90" s="107" t="str">
        <f>IF(A90="","",C90+J90)</f>
        <v/>
      </c>
      <c r="O90" s="107" t="str">
        <f>IF(A90="","",H90+M90)</f>
        <v/>
      </c>
      <c r="P90" s="107" t="str">
        <f>IF(A90="","",CHOOSE(計算過程!$B$72,ROUND(F89*計算過程!$B$32/計算過程!$B$6,0),ROUNDDOWN(F89*計算過程!$B$32/計算過程!$B$6,0),ROUNDUP(F89*計算過程!$B$32/計算過程!$B$6,0)))</f>
        <v/>
      </c>
      <c r="Q90" s="107" t="str">
        <f>IF(A90="","",CHOOSE(計算過程!$B$72,ROUND(G89*計算過程!$B$33/計算過程!$B$6,0),ROUNDDOWN(G89*計算過程!$B$33/計算過程!$B$6,0),ROUNDUP(G89*計算過程!$B$33/計算過程!$B$6,0)))</f>
        <v/>
      </c>
    </row>
    <row r="91" spans="1:17">
      <c r="A91" s="106" t="str">
        <f>IF(OR(計算過程!$B$98="",ROWS($A$8:A91)&gt;計算過程!$B$71),"",ROWS($A$8:A91))</f>
        <v/>
      </c>
      <c r="B91" s="108" t="str">
        <f>IF(A91="","",EDATE(計算過程!$B$98,A91-1))</f>
        <v/>
      </c>
      <c r="C91" s="107" t="str">
        <f>IF(A91="","",IF(A91=計算過程!$B$71,D91+F90+G90,計算過程!$B$78))</f>
        <v/>
      </c>
      <c r="D91" s="107" t="str">
        <f>IF(A91="","",P91+Q91)</f>
        <v/>
      </c>
      <c r="E91" s="107" t="str">
        <f>IF(A91="","",C91-D91)</f>
        <v/>
      </c>
      <c r="F91" s="107" t="str">
        <f>IF(A91="","",IF(A91=計算過程!$B$71,0,MAX(0,F90-(計算過程!$B$76-P91))))</f>
        <v/>
      </c>
      <c r="G91" s="107" t="str">
        <f>IF(A91="","",IF(A91=計算過程!$B$71,0,MAX(0,G90-(計算過程!$B$77-Q91))))</f>
        <v/>
      </c>
      <c r="H91" s="107" t="str">
        <f>IF(A91="","",F91+G91)</f>
        <v/>
      </c>
      <c r="I91" s="106" t="str">
        <f>IF(A91="","",IF(AND(OR(MONTH(B91)=6,MONTH(B91)=12),I90&lt;計算過程!$B$69),I90+1,I90))</f>
        <v/>
      </c>
      <c r="J91" s="107" t="str">
        <f>IF(A91="","",IF(I91&gt;I90,IF(I91=計算過程!$B$69,M90+K91,計算過程!$B$81),0))</f>
        <v/>
      </c>
      <c r="K91" s="107" t="str">
        <f>IF(A91="","",IF(I91&gt;I90,CHOOSE(計算過程!$B$72,ROUND(M90*計算過程!$B$79,0),ROUNDDOWN(M90*計算過程!$B$79,0),ROUNDUP(M90*計算過程!$B$79,0)),0))</f>
        <v/>
      </c>
      <c r="L91" s="107" t="str">
        <f>IF(A91="","",J91-K91)</f>
        <v/>
      </c>
      <c r="M91" s="107" t="str">
        <f>IF(A91="","",IF(I91&gt;I90,M90-L91,M90))</f>
        <v/>
      </c>
      <c r="N91" s="107" t="str">
        <f>IF(A91="","",C91+J91)</f>
        <v/>
      </c>
      <c r="O91" s="107" t="str">
        <f>IF(A91="","",H91+M91)</f>
        <v/>
      </c>
      <c r="P91" s="107" t="str">
        <f>IF(A91="","",CHOOSE(計算過程!$B$72,ROUND(F90*計算過程!$B$32/計算過程!$B$6,0),ROUNDDOWN(F90*計算過程!$B$32/計算過程!$B$6,0),ROUNDUP(F90*計算過程!$B$32/計算過程!$B$6,0)))</f>
        <v/>
      </c>
      <c r="Q91" s="107" t="str">
        <f>IF(A91="","",CHOOSE(計算過程!$B$72,ROUND(G90*計算過程!$B$33/計算過程!$B$6,0),ROUNDDOWN(G90*計算過程!$B$33/計算過程!$B$6,0),ROUNDUP(G90*計算過程!$B$33/計算過程!$B$6,0)))</f>
        <v/>
      </c>
    </row>
    <row r="92" spans="1:17">
      <c r="A92" s="106" t="str">
        <f>IF(OR(計算過程!$B$98="",ROWS($A$8:A92)&gt;計算過程!$B$71),"",ROWS($A$8:A92))</f>
        <v/>
      </c>
      <c r="B92" s="108" t="str">
        <f>IF(A92="","",EDATE(計算過程!$B$98,A92-1))</f>
        <v/>
      </c>
      <c r="C92" s="107" t="str">
        <f>IF(A92="","",IF(A92=計算過程!$B$71,D92+F91+G91,計算過程!$B$78))</f>
        <v/>
      </c>
      <c r="D92" s="107" t="str">
        <f>IF(A92="","",P92+Q92)</f>
        <v/>
      </c>
      <c r="E92" s="107" t="str">
        <f>IF(A92="","",C92-D92)</f>
        <v/>
      </c>
      <c r="F92" s="107" t="str">
        <f>IF(A92="","",IF(A92=計算過程!$B$71,0,MAX(0,F91-(計算過程!$B$76-P92))))</f>
        <v/>
      </c>
      <c r="G92" s="107" t="str">
        <f>IF(A92="","",IF(A92=計算過程!$B$71,0,MAX(0,G91-(計算過程!$B$77-Q92))))</f>
        <v/>
      </c>
      <c r="H92" s="107" t="str">
        <f>IF(A92="","",F92+G92)</f>
        <v/>
      </c>
      <c r="I92" s="106" t="str">
        <f>IF(A92="","",IF(AND(OR(MONTH(B92)=6,MONTH(B92)=12),I91&lt;計算過程!$B$69),I91+1,I91))</f>
        <v/>
      </c>
      <c r="J92" s="107" t="str">
        <f>IF(A92="","",IF(I92&gt;I91,IF(I92=計算過程!$B$69,M91+K92,計算過程!$B$81),0))</f>
        <v/>
      </c>
      <c r="K92" s="107" t="str">
        <f>IF(A92="","",IF(I92&gt;I91,CHOOSE(計算過程!$B$72,ROUND(M91*計算過程!$B$79,0),ROUNDDOWN(M91*計算過程!$B$79,0),ROUNDUP(M91*計算過程!$B$79,0)),0))</f>
        <v/>
      </c>
      <c r="L92" s="107" t="str">
        <f>IF(A92="","",J92-K92)</f>
        <v/>
      </c>
      <c r="M92" s="107" t="str">
        <f>IF(A92="","",IF(I92&gt;I91,M91-L92,M91))</f>
        <v/>
      </c>
      <c r="N92" s="107" t="str">
        <f>IF(A92="","",C92+J92)</f>
        <v/>
      </c>
      <c r="O92" s="107" t="str">
        <f>IF(A92="","",H92+M92)</f>
        <v/>
      </c>
      <c r="P92" s="107" t="str">
        <f>IF(A92="","",CHOOSE(計算過程!$B$72,ROUND(F91*計算過程!$B$32/計算過程!$B$6,0),ROUNDDOWN(F91*計算過程!$B$32/計算過程!$B$6,0),ROUNDUP(F91*計算過程!$B$32/計算過程!$B$6,0)))</f>
        <v/>
      </c>
      <c r="Q92" s="107" t="str">
        <f>IF(A92="","",CHOOSE(計算過程!$B$72,ROUND(G91*計算過程!$B$33/計算過程!$B$6,0),ROUNDDOWN(G91*計算過程!$B$33/計算過程!$B$6,0),ROUNDUP(G91*計算過程!$B$33/計算過程!$B$6,0)))</f>
        <v/>
      </c>
    </row>
    <row r="93" spans="1:17">
      <c r="A93" s="106" t="str">
        <f>IF(OR(計算過程!$B$98="",ROWS($A$8:A93)&gt;計算過程!$B$71),"",ROWS($A$8:A93))</f>
        <v/>
      </c>
      <c r="B93" s="108" t="str">
        <f>IF(A93="","",EDATE(計算過程!$B$98,A93-1))</f>
        <v/>
      </c>
      <c r="C93" s="107" t="str">
        <f>IF(A93="","",IF(A93=計算過程!$B$71,D93+F92+G92,計算過程!$B$78))</f>
        <v/>
      </c>
      <c r="D93" s="107" t="str">
        <f>IF(A93="","",P93+Q93)</f>
        <v/>
      </c>
      <c r="E93" s="107" t="str">
        <f>IF(A93="","",C93-D93)</f>
        <v/>
      </c>
      <c r="F93" s="107" t="str">
        <f>IF(A93="","",IF(A93=計算過程!$B$71,0,MAX(0,F92-(計算過程!$B$76-P93))))</f>
        <v/>
      </c>
      <c r="G93" s="107" t="str">
        <f>IF(A93="","",IF(A93=計算過程!$B$71,0,MAX(0,G92-(計算過程!$B$77-Q93))))</f>
        <v/>
      </c>
      <c r="H93" s="107" t="str">
        <f>IF(A93="","",F93+G93)</f>
        <v/>
      </c>
      <c r="I93" s="106" t="str">
        <f>IF(A93="","",IF(AND(OR(MONTH(B93)=6,MONTH(B93)=12),I92&lt;計算過程!$B$69),I92+1,I92))</f>
        <v/>
      </c>
      <c r="J93" s="107" t="str">
        <f>IF(A93="","",IF(I93&gt;I92,IF(I93=計算過程!$B$69,M92+K93,計算過程!$B$81),0))</f>
        <v/>
      </c>
      <c r="K93" s="107" t="str">
        <f>IF(A93="","",IF(I93&gt;I92,CHOOSE(計算過程!$B$72,ROUND(M92*計算過程!$B$79,0),ROUNDDOWN(M92*計算過程!$B$79,0),ROUNDUP(M92*計算過程!$B$79,0)),0))</f>
        <v/>
      </c>
      <c r="L93" s="107" t="str">
        <f>IF(A93="","",J93-K93)</f>
        <v/>
      </c>
      <c r="M93" s="107" t="str">
        <f>IF(A93="","",IF(I93&gt;I92,M92-L93,M92))</f>
        <v/>
      </c>
      <c r="N93" s="107" t="str">
        <f>IF(A93="","",C93+J93)</f>
        <v/>
      </c>
      <c r="O93" s="107" t="str">
        <f>IF(A93="","",H93+M93)</f>
        <v/>
      </c>
      <c r="P93" s="107" t="str">
        <f>IF(A93="","",CHOOSE(計算過程!$B$72,ROUND(F92*計算過程!$B$32/計算過程!$B$6,0),ROUNDDOWN(F92*計算過程!$B$32/計算過程!$B$6,0),ROUNDUP(F92*計算過程!$B$32/計算過程!$B$6,0)))</f>
        <v/>
      </c>
      <c r="Q93" s="107" t="str">
        <f>IF(A93="","",CHOOSE(計算過程!$B$72,ROUND(G92*計算過程!$B$33/計算過程!$B$6,0),ROUNDDOWN(G92*計算過程!$B$33/計算過程!$B$6,0),ROUNDUP(G92*計算過程!$B$33/計算過程!$B$6,0)))</f>
        <v/>
      </c>
    </row>
    <row r="94" spans="1:17">
      <c r="A94" s="106" t="str">
        <f>IF(OR(計算過程!$B$98="",ROWS($A$8:A94)&gt;計算過程!$B$71),"",ROWS($A$8:A94))</f>
        <v/>
      </c>
      <c r="B94" s="108" t="str">
        <f>IF(A94="","",EDATE(計算過程!$B$98,A94-1))</f>
        <v/>
      </c>
      <c r="C94" s="107" t="str">
        <f>IF(A94="","",IF(A94=計算過程!$B$71,D94+F93+G93,計算過程!$B$78))</f>
        <v/>
      </c>
      <c r="D94" s="107" t="str">
        <f>IF(A94="","",P94+Q94)</f>
        <v/>
      </c>
      <c r="E94" s="107" t="str">
        <f>IF(A94="","",C94-D94)</f>
        <v/>
      </c>
      <c r="F94" s="107" t="str">
        <f>IF(A94="","",IF(A94=計算過程!$B$71,0,MAX(0,F93-(計算過程!$B$76-P94))))</f>
        <v/>
      </c>
      <c r="G94" s="107" t="str">
        <f>IF(A94="","",IF(A94=計算過程!$B$71,0,MAX(0,G93-(計算過程!$B$77-Q94))))</f>
        <v/>
      </c>
      <c r="H94" s="107" t="str">
        <f>IF(A94="","",F94+G94)</f>
        <v/>
      </c>
      <c r="I94" s="106" t="str">
        <f>IF(A94="","",IF(AND(OR(MONTH(B94)=6,MONTH(B94)=12),I93&lt;計算過程!$B$69),I93+1,I93))</f>
        <v/>
      </c>
      <c r="J94" s="107" t="str">
        <f>IF(A94="","",IF(I94&gt;I93,IF(I94=計算過程!$B$69,M93+K94,計算過程!$B$81),0))</f>
        <v/>
      </c>
      <c r="K94" s="107" t="str">
        <f>IF(A94="","",IF(I94&gt;I93,CHOOSE(計算過程!$B$72,ROUND(M93*計算過程!$B$79,0),ROUNDDOWN(M93*計算過程!$B$79,0),ROUNDUP(M93*計算過程!$B$79,0)),0))</f>
        <v/>
      </c>
      <c r="L94" s="107" t="str">
        <f>IF(A94="","",J94-K94)</f>
        <v/>
      </c>
      <c r="M94" s="107" t="str">
        <f>IF(A94="","",IF(I94&gt;I93,M93-L94,M93))</f>
        <v/>
      </c>
      <c r="N94" s="107" t="str">
        <f>IF(A94="","",C94+J94)</f>
        <v/>
      </c>
      <c r="O94" s="107" t="str">
        <f>IF(A94="","",H94+M94)</f>
        <v/>
      </c>
      <c r="P94" s="107" t="str">
        <f>IF(A94="","",CHOOSE(計算過程!$B$72,ROUND(F93*計算過程!$B$32/計算過程!$B$6,0),ROUNDDOWN(F93*計算過程!$B$32/計算過程!$B$6,0),ROUNDUP(F93*計算過程!$B$32/計算過程!$B$6,0)))</f>
        <v/>
      </c>
      <c r="Q94" s="107" t="str">
        <f>IF(A94="","",CHOOSE(計算過程!$B$72,ROUND(G93*計算過程!$B$33/計算過程!$B$6,0),ROUNDDOWN(G93*計算過程!$B$33/計算過程!$B$6,0),ROUNDUP(G93*計算過程!$B$33/計算過程!$B$6,0)))</f>
        <v/>
      </c>
    </row>
    <row r="95" spans="1:17">
      <c r="A95" s="106" t="str">
        <f>IF(OR(計算過程!$B$98="",ROWS($A$8:A95)&gt;計算過程!$B$71),"",ROWS($A$8:A95))</f>
        <v/>
      </c>
      <c r="B95" s="108" t="str">
        <f>IF(A95="","",EDATE(計算過程!$B$98,A95-1))</f>
        <v/>
      </c>
      <c r="C95" s="107" t="str">
        <f>IF(A95="","",IF(A95=計算過程!$B$71,D95+F94+G94,計算過程!$B$78))</f>
        <v/>
      </c>
      <c r="D95" s="107" t="str">
        <f>IF(A95="","",P95+Q95)</f>
        <v/>
      </c>
      <c r="E95" s="107" t="str">
        <f>IF(A95="","",C95-D95)</f>
        <v/>
      </c>
      <c r="F95" s="107" t="str">
        <f>IF(A95="","",IF(A95=計算過程!$B$71,0,MAX(0,F94-(計算過程!$B$76-P95))))</f>
        <v/>
      </c>
      <c r="G95" s="107" t="str">
        <f>IF(A95="","",IF(A95=計算過程!$B$71,0,MAX(0,G94-(計算過程!$B$77-Q95))))</f>
        <v/>
      </c>
      <c r="H95" s="107" t="str">
        <f>IF(A95="","",F95+G95)</f>
        <v/>
      </c>
      <c r="I95" s="106" t="str">
        <f>IF(A95="","",IF(AND(OR(MONTH(B95)=6,MONTH(B95)=12),I94&lt;計算過程!$B$69),I94+1,I94))</f>
        <v/>
      </c>
      <c r="J95" s="107" t="str">
        <f>IF(A95="","",IF(I95&gt;I94,IF(I95=計算過程!$B$69,M94+K95,計算過程!$B$81),0))</f>
        <v/>
      </c>
      <c r="K95" s="107" t="str">
        <f>IF(A95="","",IF(I95&gt;I94,CHOOSE(計算過程!$B$72,ROUND(M94*計算過程!$B$79,0),ROUNDDOWN(M94*計算過程!$B$79,0),ROUNDUP(M94*計算過程!$B$79,0)),0))</f>
        <v/>
      </c>
      <c r="L95" s="107" t="str">
        <f>IF(A95="","",J95-K95)</f>
        <v/>
      </c>
      <c r="M95" s="107" t="str">
        <f>IF(A95="","",IF(I95&gt;I94,M94-L95,M94))</f>
        <v/>
      </c>
      <c r="N95" s="107" t="str">
        <f>IF(A95="","",C95+J95)</f>
        <v/>
      </c>
      <c r="O95" s="107" t="str">
        <f>IF(A95="","",H95+M95)</f>
        <v/>
      </c>
      <c r="P95" s="107" t="str">
        <f>IF(A95="","",CHOOSE(計算過程!$B$72,ROUND(F94*計算過程!$B$32/計算過程!$B$6,0),ROUNDDOWN(F94*計算過程!$B$32/計算過程!$B$6,0),ROUNDUP(F94*計算過程!$B$32/計算過程!$B$6,0)))</f>
        <v/>
      </c>
      <c r="Q95" s="107" t="str">
        <f>IF(A95="","",CHOOSE(計算過程!$B$72,ROUND(G94*計算過程!$B$33/計算過程!$B$6,0),ROUNDDOWN(G94*計算過程!$B$33/計算過程!$B$6,0),ROUNDUP(G94*計算過程!$B$33/計算過程!$B$6,0)))</f>
        <v/>
      </c>
    </row>
    <row r="96" spans="1:17">
      <c r="A96" s="106" t="str">
        <f>IF(OR(計算過程!$B$98="",ROWS($A$8:A96)&gt;計算過程!$B$71),"",ROWS($A$8:A96))</f>
        <v/>
      </c>
      <c r="B96" s="108" t="str">
        <f>IF(A96="","",EDATE(計算過程!$B$98,A96-1))</f>
        <v/>
      </c>
      <c r="C96" s="107" t="str">
        <f>IF(A96="","",IF(A96=計算過程!$B$71,D96+F95+G95,計算過程!$B$78))</f>
        <v/>
      </c>
      <c r="D96" s="107" t="str">
        <f>IF(A96="","",P96+Q96)</f>
        <v/>
      </c>
      <c r="E96" s="107" t="str">
        <f>IF(A96="","",C96-D96)</f>
        <v/>
      </c>
      <c r="F96" s="107" t="str">
        <f>IF(A96="","",IF(A96=計算過程!$B$71,0,MAX(0,F95-(計算過程!$B$76-P96))))</f>
        <v/>
      </c>
      <c r="G96" s="107" t="str">
        <f>IF(A96="","",IF(A96=計算過程!$B$71,0,MAX(0,G95-(計算過程!$B$77-Q96))))</f>
        <v/>
      </c>
      <c r="H96" s="107" t="str">
        <f>IF(A96="","",F96+G96)</f>
        <v/>
      </c>
      <c r="I96" s="106" t="str">
        <f>IF(A96="","",IF(AND(OR(MONTH(B96)=6,MONTH(B96)=12),I95&lt;計算過程!$B$69),I95+1,I95))</f>
        <v/>
      </c>
      <c r="J96" s="107" t="str">
        <f>IF(A96="","",IF(I96&gt;I95,IF(I96=計算過程!$B$69,M95+K96,計算過程!$B$81),0))</f>
        <v/>
      </c>
      <c r="K96" s="107" t="str">
        <f>IF(A96="","",IF(I96&gt;I95,CHOOSE(計算過程!$B$72,ROUND(M95*計算過程!$B$79,0),ROUNDDOWN(M95*計算過程!$B$79,0),ROUNDUP(M95*計算過程!$B$79,0)),0))</f>
        <v/>
      </c>
      <c r="L96" s="107" t="str">
        <f>IF(A96="","",J96-K96)</f>
        <v/>
      </c>
      <c r="M96" s="107" t="str">
        <f>IF(A96="","",IF(I96&gt;I95,M95-L96,M95))</f>
        <v/>
      </c>
      <c r="N96" s="107" t="str">
        <f>IF(A96="","",C96+J96)</f>
        <v/>
      </c>
      <c r="O96" s="107" t="str">
        <f>IF(A96="","",H96+M96)</f>
        <v/>
      </c>
      <c r="P96" s="107" t="str">
        <f>IF(A96="","",CHOOSE(計算過程!$B$72,ROUND(F95*計算過程!$B$32/計算過程!$B$6,0),ROUNDDOWN(F95*計算過程!$B$32/計算過程!$B$6,0),ROUNDUP(F95*計算過程!$B$32/計算過程!$B$6,0)))</f>
        <v/>
      </c>
      <c r="Q96" s="107" t="str">
        <f>IF(A96="","",CHOOSE(計算過程!$B$72,ROUND(G95*計算過程!$B$33/計算過程!$B$6,0),ROUNDDOWN(G95*計算過程!$B$33/計算過程!$B$6,0),ROUNDUP(G95*計算過程!$B$33/計算過程!$B$6,0)))</f>
        <v/>
      </c>
    </row>
    <row r="97" spans="1:17">
      <c r="A97" s="106" t="str">
        <f>IF(OR(計算過程!$B$98="",ROWS($A$8:A97)&gt;計算過程!$B$71),"",ROWS($A$8:A97))</f>
        <v/>
      </c>
      <c r="B97" s="108" t="str">
        <f>IF(A97="","",EDATE(計算過程!$B$98,A97-1))</f>
        <v/>
      </c>
      <c r="C97" s="107" t="str">
        <f>IF(A97="","",IF(A97=計算過程!$B$71,D97+F96+G96,計算過程!$B$78))</f>
        <v/>
      </c>
      <c r="D97" s="107" t="str">
        <f>IF(A97="","",P97+Q97)</f>
        <v/>
      </c>
      <c r="E97" s="107" t="str">
        <f>IF(A97="","",C97-D97)</f>
        <v/>
      </c>
      <c r="F97" s="107" t="str">
        <f>IF(A97="","",IF(A97=計算過程!$B$71,0,MAX(0,F96-(計算過程!$B$76-P97))))</f>
        <v/>
      </c>
      <c r="G97" s="107" t="str">
        <f>IF(A97="","",IF(A97=計算過程!$B$71,0,MAX(0,G96-(計算過程!$B$77-Q97))))</f>
        <v/>
      </c>
      <c r="H97" s="107" t="str">
        <f>IF(A97="","",F97+G97)</f>
        <v/>
      </c>
      <c r="I97" s="106" t="str">
        <f>IF(A97="","",IF(AND(OR(MONTH(B97)=6,MONTH(B97)=12),I96&lt;計算過程!$B$69),I96+1,I96))</f>
        <v/>
      </c>
      <c r="J97" s="107" t="str">
        <f>IF(A97="","",IF(I97&gt;I96,IF(I97=計算過程!$B$69,M96+K97,計算過程!$B$81),0))</f>
        <v/>
      </c>
      <c r="K97" s="107" t="str">
        <f>IF(A97="","",IF(I97&gt;I96,CHOOSE(計算過程!$B$72,ROUND(M96*計算過程!$B$79,0),ROUNDDOWN(M96*計算過程!$B$79,0),ROUNDUP(M96*計算過程!$B$79,0)),0))</f>
        <v/>
      </c>
      <c r="L97" s="107" t="str">
        <f>IF(A97="","",J97-K97)</f>
        <v/>
      </c>
      <c r="M97" s="107" t="str">
        <f>IF(A97="","",IF(I97&gt;I96,M96-L97,M96))</f>
        <v/>
      </c>
      <c r="N97" s="107" t="str">
        <f>IF(A97="","",C97+J97)</f>
        <v/>
      </c>
      <c r="O97" s="107" t="str">
        <f>IF(A97="","",H97+M97)</f>
        <v/>
      </c>
      <c r="P97" s="107" t="str">
        <f>IF(A97="","",CHOOSE(計算過程!$B$72,ROUND(F96*計算過程!$B$32/計算過程!$B$6,0),ROUNDDOWN(F96*計算過程!$B$32/計算過程!$B$6,0),ROUNDUP(F96*計算過程!$B$32/計算過程!$B$6,0)))</f>
        <v/>
      </c>
      <c r="Q97" s="107" t="str">
        <f>IF(A97="","",CHOOSE(計算過程!$B$72,ROUND(G96*計算過程!$B$33/計算過程!$B$6,0),ROUNDDOWN(G96*計算過程!$B$33/計算過程!$B$6,0),ROUNDUP(G96*計算過程!$B$33/計算過程!$B$6,0)))</f>
        <v/>
      </c>
    </row>
    <row r="98" spans="1:17">
      <c r="A98" s="106" t="str">
        <f>IF(OR(計算過程!$B$98="",ROWS($A$8:A98)&gt;計算過程!$B$71),"",ROWS($A$8:A98))</f>
        <v/>
      </c>
      <c r="B98" s="108" t="str">
        <f>IF(A98="","",EDATE(計算過程!$B$98,A98-1))</f>
        <v/>
      </c>
      <c r="C98" s="107" t="str">
        <f>IF(A98="","",IF(A98=計算過程!$B$71,D98+F97+G97,計算過程!$B$78))</f>
        <v/>
      </c>
      <c r="D98" s="107" t="str">
        <f>IF(A98="","",P98+Q98)</f>
        <v/>
      </c>
      <c r="E98" s="107" t="str">
        <f>IF(A98="","",C98-D98)</f>
        <v/>
      </c>
      <c r="F98" s="107" t="str">
        <f>IF(A98="","",IF(A98=計算過程!$B$71,0,MAX(0,F97-(計算過程!$B$76-P98))))</f>
        <v/>
      </c>
      <c r="G98" s="107" t="str">
        <f>IF(A98="","",IF(A98=計算過程!$B$71,0,MAX(0,G97-(計算過程!$B$77-Q98))))</f>
        <v/>
      </c>
      <c r="H98" s="107" t="str">
        <f>IF(A98="","",F98+G98)</f>
        <v/>
      </c>
      <c r="I98" s="106" t="str">
        <f>IF(A98="","",IF(AND(OR(MONTH(B98)=6,MONTH(B98)=12),I97&lt;計算過程!$B$69),I97+1,I97))</f>
        <v/>
      </c>
      <c r="J98" s="107" t="str">
        <f>IF(A98="","",IF(I98&gt;I97,IF(I98=計算過程!$B$69,M97+K98,計算過程!$B$81),0))</f>
        <v/>
      </c>
      <c r="K98" s="107" t="str">
        <f>IF(A98="","",IF(I98&gt;I97,CHOOSE(計算過程!$B$72,ROUND(M97*計算過程!$B$79,0),ROUNDDOWN(M97*計算過程!$B$79,0),ROUNDUP(M97*計算過程!$B$79,0)),0))</f>
        <v/>
      </c>
      <c r="L98" s="107" t="str">
        <f>IF(A98="","",J98-K98)</f>
        <v/>
      </c>
      <c r="M98" s="107" t="str">
        <f>IF(A98="","",IF(I98&gt;I97,M97-L98,M97))</f>
        <v/>
      </c>
      <c r="N98" s="107" t="str">
        <f>IF(A98="","",C98+J98)</f>
        <v/>
      </c>
      <c r="O98" s="107" t="str">
        <f>IF(A98="","",H98+M98)</f>
        <v/>
      </c>
      <c r="P98" s="107" t="str">
        <f>IF(A98="","",CHOOSE(計算過程!$B$72,ROUND(F97*計算過程!$B$32/計算過程!$B$6,0),ROUNDDOWN(F97*計算過程!$B$32/計算過程!$B$6,0),ROUNDUP(F97*計算過程!$B$32/計算過程!$B$6,0)))</f>
        <v/>
      </c>
      <c r="Q98" s="107" t="str">
        <f>IF(A98="","",CHOOSE(計算過程!$B$72,ROUND(G97*計算過程!$B$33/計算過程!$B$6,0),ROUNDDOWN(G97*計算過程!$B$33/計算過程!$B$6,0),ROUNDUP(G97*計算過程!$B$33/計算過程!$B$6,0)))</f>
        <v/>
      </c>
    </row>
    <row r="99" spans="1:17">
      <c r="A99" s="106" t="str">
        <f>IF(OR(計算過程!$B$98="",ROWS($A$8:A99)&gt;計算過程!$B$71),"",ROWS($A$8:A99))</f>
        <v/>
      </c>
      <c r="B99" s="108" t="str">
        <f>IF(A99="","",EDATE(計算過程!$B$98,A99-1))</f>
        <v/>
      </c>
      <c r="C99" s="107" t="str">
        <f>IF(A99="","",IF(A99=計算過程!$B$71,D99+F98+G98,計算過程!$B$78))</f>
        <v/>
      </c>
      <c r="D99" s="107" t="str">
        <f>IF(A99="","",P99+Q99)</f>
        <v/>
      </c>
      <c r="E99" s="107" t="str">
        <f>IF(A99="","",C99-D99)</f>
        <v/>
      </c>
      <c r="F99" s="107" t="str">
        <f>IF(A99="","",IF(A99=計算過程!$B$71,0,MAX(0,F98-(計算過程!$B$76-P99))))</f>
        <v/>
      </c>
      <c r="G99" s="107" t="str">
        <f>IF(A99="","",IF(A99=計算過程!$B$71,0,MAX(0,G98-(計算過程!$B$77-Q99))))</f>
        <v/>
      </c>
      <c r="H99" s="107" t="str">
        <f>IF(A99="","",F99+G99)</f>
        <v/>
      </c>
      <c r="I99" s="106" t="str">
        <f>IF(A99="","",IF(AND(OR(MONTH(B99)=6,MONTH(B99)=12),I98&lt;計算過程!$B$69),I98+1,I98))</f>
        <v/>
      </c>
      <c r="J99" s="107" t="str">
        <f>IF(A99="","",IF(I99&gt;I98,IF(I99=計算過程!$B$69,M98+K99,計算過程!$B$81),0))</f>
        <v/>
      </c>
      <c r="K99" s="107" t="str">
        <f>IF(A99="","",IF(I99&gt;I98,CHOOSE(計算過程!$B$72,ROUND(M98*計算過程!$B$79,0),ROUNDDOWN(M98*計算過程!$B$79,0),ROUNDUP(M98*計算過程!$B$79,0)),0))</f>
        <v/>
      </c>
      <c r="L99" s="107" t="str">
        <f>IF(A99="","",J99-K99)</f>
        <v/>
      </c>
      <c r="M99" s="107" t="str">
        <f>IF(A99="","",IF(I99&gt;I98,M98-L99,M98))</f>
        <v/>
      </c>
      <c r="N99" s="107" t="str">
        <f>IF(A99="","",C99+J99)</f>
        <v/>
      </c>
      <c r="O99" s="107" t="str">
        <f>IF(A99="","",H99+M99)</f>
        <v/>
      </c>
      <c r="P99" s="107" t="str">
        <f>IF(A99="","",CHOOSE(計算過程!$B$72,ROUND(F98*計算過程!$B$32/計算過程!$B$6,0),ROUNDDOWN(F98*計算過程!$B$32/計算過程!$B$6,0),ROUNDUP(F98*計算過程!$B$32/計算過程!$B$6,0)))</f>
        <v/>
      </c>
      <c r="Q99" s="107" t="str">
        <f>IF(A99="","",CHOOSE(計算過程!$B$72,ROUND(G98*計算過程!$B$33/計算過程!$B$6,0),ROUNDDOWN(G98*計算過程!$B$33/計算過程!$B$6,0),ROUNDUP(G98*計算過程!$B$33/計算過程!$B$6,0)))</f>
        <v/>
      </c>
    </row>
    <row r="100" spans="1:17">
      <c r="A100" s="106" t="str">
        <f>IF(OR(計算過程!$B$98="",ROWS($A$8:A100)&gt;計算過程!$B$71),"",ROWS($A$8:A100))</f>
        <v/>
      </c>
      <c r="B100" s="108" t="str">
        <f>IF(A100="","",EDATE(計算過程!$B$98,A100-1))</f>
        <v/>
      </c>
      <c r="C100" s="107" t="str">
        <f>IF(A100="","",IF(A100=計算過程!$B$71,D100+F99+G99,計算過程!$B$78))</f>
        <v/>
      </c>
      <c r="D100" s="107" t="str">
        <f>IF(A100="","",P100+Q100)</f>
        <v/>
      </c>
      <c r="E100" s="107" t="str">
        <f>IF(A100="","",C100-D100)</f>
        <v/>
      </c>
      <c r="F100" s="107" t="str">
        <f>IF(A100="","",IF(A100=計算過程!$B$71,0,MAX(0,F99-(計算過程!$B$76-P100))))</f>
        <v/>
      </c>
      <c r="G100" s="107" t="str">
        <f>IF(A100="","",IF(A100=計算過程!$B$71,0,MAX(0,G99-(計算過程!$B$77-Q100))))</f>
        <v/>
      </c>
      <c r="H100" s="107" t="str">
        <f>IF(A100="","",F100+G100)</f>
        <v/>
      </c>
      <c r="I100" s="106" t="str">
        <f>IF(A100="","",IF(AND(OR(MONTH(B100)=6,MONTH(B100)=12),I99&lt;計算過程!$B$69),I99+1,I99))</f>
        <v/>
      </c>
      <c r="J100" s="107" t="str">
        <f>IF(A100="","",IF(I100&gt;I99,IF(I100=計算過程!$B$69,M99+K100,計算過程!$B$81),0))</f>
        <v/>
      </c>
      <c r="K100" s="107" t="str">
        <f>IF(A100="","",IF(I100&gt;I99,CHOOSE(計算過程!$B$72,ROUND(M99*計算過程!$B$79,0),ROUNDDOWN(M99*計算過程!$B$79,0),ROUNDUP(M99*計算過程!$B$79,0)),0))</f>
        <v/>
      </c>
      <c r="L100" s="107" t="str">
        <f>IF(A100="","",J100-K100)</f>
        <v/>
      </c>
      <c r="M100" s="107" t="str">
        <f>IF(A100="","",IF(I100&gt;I99,M99-L100,M99))</f>
        <v/>
      </c>
      <c r="N100" s="107" t="str">
        <f>IF(A100="","",C100+J100)</f>
        <v/>
      </c>
      <c r="O100" s="107" t="str">
        <f>IF(A100="","",H100+M100)</f>
        <v/>
      </c>
      <c r="P100" s="107" t="str">
        <f>IF(A100="","",CHOOSE(計算過程!$B$72,ROUND(F99*計算過程!$B$32/計算過程!$B$6,0),ROUNDDOWN(F99*計算過程!$B$32/計算過程!$B$6,0),ROUNDUP(F99*計算過程!$B$32/計算過程!$B$6,0)))</f>
        <v/>
      </c>
      <c r="Q100" s="107" t="str">
        <f>IF(A100="","",CHOOSE(計算過程!$B$72,ROUND(G99*計算過程!$B$33/計算過程!$B$6,0),ROUNDDOWN(G99*計算過程!$B$33/計算過程!$B$6,0),ROUNDUP(G99*計算過程!$B$33/計算過程!$B$6,0)))</f>
        <v/>
      </c>
    </row>
    <row r="101" spans="1:17">
      <c r="A101" s="106" t="str">
        <f>IF(OR(計算過程!$B$98="",ROWS($A$8:A101)&gt;計算過程!$B$71),"",ROWS($A$8:A101))</f>
        <v/>
      </c>
      <c r="B101" s="108" t="str">
        <f>IF(A101="","",EDATE(計算過程!$B$98,A101-1))</f>
        <v/>
      </c>
      <c r="C101" s="107" t="str">
        <f>IF(A101="","",IF(A101=計算過程!$B$71,D101+F100+G100,計算過程!$B$78))</f>
        <v/>
      </c>
      <c r="D101" s="107" t="str">
        <f>IF(A101="","",P101+Q101)</f>
        <v/>
      </c>
      <c r="E101" s="107" t="str">
        <f>IF(A101="","",C101-D101)</f>
        <v/>
      </c>
      <c r="F101" s="107" t="str">
        <f>IF(A101="","",IF(A101=計算過程!$B$71,0,MAX(0,F100-(計算過程!$B$76-P101))))</f>
        <v/>
      </c>
      <c r="G101" s="107" t="str">
        <f>IF(A101="","",IF(A101=計算過程!$B$71,0,MAX(0,G100-(計算過程!$B$77-Q101))))</f>
        <v/>
      </c>
      <c r="H101" s="107" t="str">
        <f>IF(A101="","",F101+G101)</f>
        <v/>
      </c>
      <c r="I101" s="106" t="str">
        <f>IF(A101="","",IF(AND(OR(MONTH(B101)=6,MONTH(B101)=12),I100&lt;計算過程!$B$69),I100+1,I100))</f>
        <v/>
      </c>
      <c r="J101" s="107" t="str">
        <f>IF(A101="","",IF(I101&gt;I100,IF(I101=計算過程!$B$69,M100+K101,計算過程!$B$81),0))</f>
        <v/>
      </c>
      <c r="K101" s="107" t="str">
        <f>IF(A101="","",IF(I101&gt;I100,CHOOSE(計算過程!$B$72,ROUND(M100*計算過程!$B$79,0),ROUNDDOWN(M100*計算過程!$B$79,0),ROUNDUP(M100*計算過程!$B$79,0)),0))</f>
        <v/>
      </c>
      <c r="L101" s="107" t="str">
        <f>IF(A101="","",J101-K101)</f>
        <v/>
      </c>
      <c r="M101" s="107" t="str">
        <f>IF(A101="","",IF(I101&gt;I100,M100-L101,M100))</f>
        <v/>
      </c>
      <c r="N101" s="107" t="str">
        <f>IF(A101="","",C101+J101)</f>
        <v/>
      </c>
      <c r="O101" s="107" t="str">
        <f>IF(A101="","",H101+M101)</f>
        <v/>
      </c>
      <c r="P101" s="107" t="str">
        <f>IF(A101="","",CHOOSE(計算過程!$B$72,ROUND(F100*計算過程!$B$32/計算過程!$B$6,0),ROUNDDOWN(F100*計算過程!$B$32/計算過程!$B$6,0),ROUNDUP(F100*計算過程!$B$32/計算過程!$B$6,0)))</f>
        <v/>
      </c>
      <c r="Q101" s="107" t="str">
        <f>IF(A101="","",CHOOSE(計算過程!$B$72,ROUND(G100*計算過程!$B$33/計算過程!$B$6,0),ROUNDDOWN(G100*計算過程!$B$33/計算過程!$B$6,0),ROUNDUP(G100*計算過程!$B$33/計算過程!$B$6,0)))</f>
        <v/>
      </c>
    </row>
    <row r="102" spans="1:17">
      <c r="A102" s="106" t="str">
        <f>IF(OR(計算過程!$B$98="",ROWS($A$8:A102)&gt;計算過程!$B$71),"",ROWS($A$8:A102))</f>
        <v/>
      </c>
      <c r="B102" s="108" t="str">
        <f>IF(A102="","",EDATE(計算過程!$B$98,A102-1))</f>
        <v/>
      </c>
      <c r="C102" s="107" t="str">
        <f>IF(A102="","",IF(A102=計算過程!$B$71,D102+F101+G101,計算過程!$B$78))</f>
        <v/>
      </c>
      <c r="D102" s="107" t="str">
        <f>IF(A102="","",P102+Q102)</f>
        <v/>
      </c>
      <c r="E102" s="107" t="str">
        <f>IF(A102="","",C102-D102)</f>
        <v/>
      </c>
      <c r="F102" s="107" t="str">
        <f>IF(A102="","",IF(A102=計算過程!$B$71,0,MAX(0,F101-(計算過程!$B$76-P102))))</f>
        <v/>
      </c>
      <c r="G102" s="107" t="str">
        <f>IF(A102="","",IF(A102=計算過程!$B$71,0,MAX(0,G101-(計算過程!$B$77-Q102))))</f>
        <v/>
      </c>
      <c r="H102" s="107" t="str">
        <f>IF(A102="","",F102+G102)</f>
        <v/>
      </c>
      <c r="I102" s="106" t="str">
        <f>IF(A102="","",IF(AND(OR(MONTH(B102)=6,MONTH(B102)=12),I101&lt;計算過程!$B$69),I101+1,I101))</f>
        <v/>
      </c>
      <c r="J102" s="107" t="str">
        <f>IF(A102="","",IF(I102&gt;I101,IF(I102=計算過程!$B$69,M101+K102,計算過程!$B$81),0))</f>
        <v/>
      </c>
      <c r="K102" s="107" t="str">
        <f>IF(A102="","",IF(I102&gt;I101,CHOOSE(計算過程!$B$72,ROUND(M101*計算過程!$B$79,0),ROUNDDOWN(M101*計算過程!$B$79,0),ROUNDUP(M101*計算過程!$B$79,0)),0))</f>
        <v/>
      </c>
      <c r="L102" s="107" t="str">
        <f>IF(A102="","",J102-K102)</f>
        <v/>
      </c>
      <c r="M102" s="107" t="str">
        <f>IF(A102="","",IF(I102&gt;I101,M101-L102,M101))</f>
        <v/>
      </c>
      <c r="N102" s="107" t="str">
        <f>IF(A102="","",C102+J102)</f>
        <v/>
      </c>
      <c r="O102" s="107" t="str">
        <f>IF(A102="","",H102+M102)</f>
        <v/>
      </c>
      <c r="P102" s="107" t="str">
        <f>IF(A102="","",CHOOSE(計算過程!$B$72,ROUND(F101*計算過程!$B$32/計算過程!$B$6,0),ROUNDDOWN(F101*計算過程!$B$32/計算過程!$B$6,0),ROUNDUP(F101*計算過程!$B$32/計算過程!$B$6,0)))</f>
        <v/>
      </c>
      <c r="Q102" s="107" t="str">
        <f>IF(A102="","",CHOOSE(計算過程!$B$72,ROUND(G101*計算過程!$B$33/計算過程!$B$6,0),ROUNDDOWN(G101*計算過程!$B$33/計算過程!$B$6,0),ROUNDUP(G101*計算過程!$B$33/計算過程!$B$6,0)))</f>
        <v/>
      </c>
    </row>
    <row r="103" spans="1:17">
      <c r="A103" s="106" t="str">
        <f>IF(OR(計算過程!$B$98="",ROWS($A$8:A103)&gt;計算過程!$B$71),"",ROWS($A$8:A103))</f>
        <v/>
      </c>
      <c r="B103" s="108" t="str">
        <f>IF(A103="","",EDATE(計算過程!$B$98,A103-1))</f>
        <v/>
      </c>
      <c r="C103" s="107" t="str">
        <f>IF(A103="","",IF(A103=計算過程!$B$71,D103+F102+G102,計算過程!$B$78))</f>
        <v/>
      </c>
      <c r="D103" s="107" t="str">
        <f>IF(A103="","",P103+Q103)</f>
        <v/>
      </c>
      <c r="E103" s="107" t="str">
        <f>IF(A103="","",C103-D103)</f>
        <v/>
      </c>
      <c r="F103" s="107" t="str">
        <f>IF(A103="","",IF(A103=計算過程!$B$71,0,MAX(0,F102-(計算過程!$B$76-P103))))</f>
        <v/>
      </c>
      <c r="G103" s="107" t="str">
        <f>IF(A103="","",IF(A103=計算過程!$B$71,0,MAX(0,G102-(計算過程!$B$77-Q103))))</f>
        <v/>
      </c>
      <c r="H103" s="107" t="str">
        <f>IF(A103="","",F103+G103)</f>
        <v/>
      </c>
      <c r="I103" s="106" t="str">
        <f>IF(A103="","",IF(AND(OR(MONTH(B103)=6,MONTH(B103)=12),I102&lt;計算過程!$B$69),I102+1,I102))</f>
        <v/>
      </c>
      <c r="J103" s="107" t="str">
        <f>IF(A103="","",IF(I103&gt;I102,IF(I103=計算過程!$B$69,M102+K103,計算過程!$B$81),0))</f>
        <v/>
      </c>
      <c r="K103" s="107" t="str">
        <f>IF(A103="","",IF(I103&gt;I102,CHOOSE(計算過程!$B$72,ROUND(M102*計算過程!$B$79,0),ROUNDDOWN(M102*計算過程!$B$79,0),ROUNDUP(M102*計算過程!$B$79,0)),0))</f>
        <v/>
      </c>
      <c r="L103" s="107" t="str">
        <f>IF(A103="","",J103-K103)</f>
        <v/>
      </c>
      <c r="M103" s="107" t="str">
        <f>IF(A103="","",IF(I103&gt;I102,M102-L103,M102))</f>
        <v/>
      </c>
      <c r="N103" s="107" t="str">
        <f>IF(A103="","",C103+J103)</f>
        <v/>
      </c>
      <c r="O103" s="107" t="str">
        <f>IF(A103="","",H103+M103)</f>
        <v/>
      </c>
      <c r="P103" s="107" t="str">
        <f>IF(A103="","",CHOOSE(計算過程!$B$72,ROUND(F102*計算過程!$B$32/計算過程!$B$6,0),ROUNDDOWN(F102*計算過程!$B$32/計算過程!$B$6,0),ROUNDUP(F102*計算過程!$B$32/計算過程!$B$6,0)))</f>
        <v/>
      </c>
      <c r="Q103" s="107" t="str">
        <f>IF(A103="","",CHOOSE(計算過程!$B$72,ROUND(G102*計算過程!$B$33/計算過程!$B$6,0),ROUNDDOWN(G102*計算過程!$B$33/計算過程!$B$6,0),ROUNDUP(G102*計算過程!$B$33/計算過程!$B$6,0)))</f>
        <v/>
      </c>
    </row>
    <row r="104" spans="1:17">
      <c r="A104" s="106" t="str">
        <f>IF(OR(計算過程!$B$98="",ROWS($A$8:A104)&gt;計算過程!$B$71),"",ROWS($A$8:A104))</f>
        <v/>
      </c>
      <c r="B104" s="108" t="str">
        <f>IF(A104="","",EDATE(計算過程!$B$98,A104-1))</f>
        <v/>
      </c>
      <c r="C104" s="107" t="str">
        <f>IF(A104="","",IF(A104=計算過程!$B$71,D104+F103+G103,計算過程!$B$78))</f>
        <v/>
      </c>
      <c r="D104" s="107" t="str">
        <f>IF(A104="","",P104+Q104)</f>
        <v/>
      </c>
      <c r="E104" s="107" t="str">
        <f>IF(A104="","",C104-D104)</f>
        <v/>
      </c>
      <c r="F104" s="107" t="str">
        <f>IF(A104="","",IF(A104=計算過程!$B$71,0,MAX(0,F103-(計算過程!$B$76-P104))))</f>
        <v/>
      </c>
      <c r="G104" s="107" t="str">
        <f>IF(A104="","",IF(A104=計算過程!$B$71,0,MAX(0,G103-(計算過程!$B$77-Q104))))</f>
        <v/>
      </c>
      <c r="H104" s="107" t="str">
        <f>IF(A104="","",F104+G104)</f>
        <v/>
      </c>
      <c r="I104" s="106" t="str">
        <f>IF(A104="","",IF(AND(OR(MONTH(B104)=6,MONTH(B104)=12),I103&lt;計算過程!$B$69),I103+1,I103))</f>
        <v/>
      </c>
      <c r="J104" s="107" t="str">
        <f>IF(A104="","",IF(I104&gt;I103,IF(I104=計算過程!$B$69,M103+K104,計算過程!$B$81),0))</f>
        <v/>
      </c>
      <c r="K104" s="107" t="str">
        <f>IF(A104="","",IF(I104&gt;I103,CHOOSE(計算過程!$B$72,ROUND(M103*計算過程!$B$79,0),ROUNDDOWN(M103*計算過程!$B$79,0),ROUNDUP(M103*計算過程!$B$79,0)),0))</f>
        <v/>
      </c>
      <c r="L104" s="107" t="str">
        <f>IF(A104="","",J104-K104)</f>
        <v/>
      </c>
      <c r="M104" s="107" t="str">
        <f>IF(A104="","",IF(I104&gt;I103,M103-L104,M103))</f>
        <v/>
      </c>
      <c r="N104" s="107" t="str">
        <f>IF(A104="","",C104+J104)</f>
        <v/>
      </c>
      <c r="O104" s="107" t="str">
        <f>IF(A104="","",H104+M104)</f>
        <v/>
      </c>
      <c r="P104" s="107" t="str">
        <f>IF(A104="","",CHOOSE(計算過程!$B$72,ROUND(F103*計算過程!$B$32/計算過程!$B$6,0),ROUNDDOWN(F103*計算過程!$B$32/計算過程!$B$6,0),ROUNDUP(F103*計算過程!$B$32/計算過程!$B$6,0)))</f>
        <v/>
      </c>
      <c r="Q104" s="107" t="str">
        <f>IF(A104="","",CHOOSE(計算過程!$B$72,ROUND(G103*計算過程!$B$33/計算過程!$B$6,0),ROUNDDOWN(G103*計算過程!$B$33/計算過程!$B$6,0),ROUNDUP(G103*計算過程!$B$33/計算過程!$B$6,0)))</f>
        <v/>
      </c>
    </row>
    <row r="105" spans="1:17">
      <c r="A105" s="106" t="str">
        <f>IF(OR(計算過程!$B$98="",ROWS($A$8:A105)&gt;計算過程!$B$71),"",ROWS($A$8:A105))</f>
        <v/>
      </c>
      <c r="B105" s="108" t="str">
        <f>IF(A105="","",EDATE(計算過程!$B$98,A105-1))</f>
        <v/>
      </c>
      <c r="C105" s="107" t="str">
        <f>IF(A105="","",IF(A105=計算過程!$B$71,D105+F104+G104,計算過程!$B$78))</f>
        <v/>
      </c>
      <c r="D105" s="107" t="str">
        <f>IF(A105="","",P105+Q105)</f>
        <v/>
      </c>
      <c r="E105" s="107" t="str">
        <f>IF(A105="","",C105-D105)</f>
        <v/>
      </c>
      <c r="F105" s="107" t="str">
        <f>IF(A105="","",IF(A105=計算過程!$B$71,0,MAX(0,F104-(計算過程!$B$76-P105))))</f>
        <v/>
      </c>
      <c r="G105" s="107" t="str">
        <f>IF(A105="","",IF(A105=計算過程!$B$71,0,MAX(0,G104-(計算過程!$B$77-Q105))))</f>
        <v/>
      </c>
      <c r="H105" s="107" t="str">
        <f>IF(A105="","",F105+G105)</f>
        <v/>
      </c>
      <c r="I105" s="106" t="str">
        <f>IF(A105="","",IF(AND(OR(MONTH(B105)=6,MONTH(B105)=12),I104&lt;計算過程!$B$69),I104+1,I104))</f>
        <v/>
      </c>
      <c r="J105" s="107" t="str">
        <f>IF(A105="","",IF(I105&gt;I104,IF(I105=計算過程!$B$69,M104+K105,計算過程!$B$81),0))</f>
        <v/>
      </c>
      <c r="K105" s="107" t="str">
        <f>IF(A105="","",IF(I105&gt;I104,CHOOSE(計算過程!$B$72,ROUND(M104*計算過程!$B$79,0),ROUNDDOWN(M104*計算過程!$B$79,0),ROUNDUP(M104*計算過程!$B$79,0)),0))</f>
        <v/>
      </c>
      <c r="L105" s="107" t="str">
        <f>IF(A105="","",J105-K105)</f>
        <v/>
      </c>
      <c r="M105" s="107" t="str">
        <f>IF(A105="","",IF(I105&gt;I104,M104-L105,M104))</f>
        <v/>
      </c>
      <c r="N105" s="107" t="str">
        <f>IF(A105="","",C105+J105)</f>
        <v/>
      </c>
      <c r="O105" s="107" t="str">
        <f>IF(A105="","",H105+M105)</f>
        <v/>
      </c>
      <c r="P105" s="107" t="str">
        <f>IF(A105="","",CHOOSE(計算過程!$B$72,ROUND(F104*計算過程!$B$32/計算過程!$B$6,0),ROUNDDOWN(F104*計算過程!$B$32/計算過程!$B$6,0),ROUNDUP(F104*計算過程!$B$32/計算過程!$B$6,0)))</f>
        <v/>
      </c>
      <c r="Q105" s="107" t="str">
        <f>IF(A105="","",CHOOSE(計算過程!$B$72,ROUND(G104*計算過程!$B$33/計算過程!$B$6,0),ROUNDDOWN(G104*計算過程!$B$33/計算過程!$B$6,0),ROUNDUP(G104*計算過程!$B$33/計算過程!$B$6,0)))</f>
        <v/>
      </c>
    </row>
    <row r="106" spans="1:17">
      <c r="A106" s="106" t="str">
        <f>IF(OR(計算過程!$B$98="",ROWS($A$8:A106)&gt;計算過程!$B$71),"",ROWS($A$8:A106))</f>
        <v/>
      </c>
      <c r="B106" s="108" t="str">
        <f>IF(A106="","",EDATE(計算過程!$B$98,A106-1))</f>
        <v/>
      </c>
      <c r="C106" s="107" t="str">
        <f>IF(A106="","",IF(A106=計算過程!$B$71,D106+F105+G105,計算過程!$B$78))</f>
        <v/>
      </c>
      <c r="D106" s="107" t="str">
        <f>IF(A106="","",P106+Q106)</f>
        <v/>
      </c>
      <c r="E106" s="107" t="str">
        <f>IF(A106="","",C106-D106)</f>
        <v/>
      </c>
      <c r="F106" s="107" t="str">
        <f>IF(A106="","",IF(A106=計算過程!$B$71,0,MAX(0,F105-(計算過程!$B$76-P106))))</f>
        <v/>
      </c>
      <c r="G106" s="107" t="str">
        <f>IF(A106="","",IF(A106=計算過程!$B$71,0,MAX(0,G105-(計算過程!$B$77-Q106))))</f>
        <v/>
      </c>
      <c r="H106" s="107" t="str">
        <f>IF(A106="","",F106+G106)</f>
        <v/>
      </c>
      <c r="I106" s="106" t="str">
        <f>IF(A106="","",IF(AND(OR(MONTH(B106)=6,MONTH(B106)=12),I105&lt;計算過程!$B$69),I105+1,I105))</f>
        <v/>
      </c>
      <c r="J106" s="107" t="str">
        <f>IF(A106="","",IF(I106&gt;I105,IF(I106=計算過程!$B$69,M105+K106,計算過程!$B$81),0))</f>
        <v/>
      </c>
      <c r="K106" s="107" t="str">
        <f>IF(A106="","",IF(I106&gt;I105,CHOOSE(計算過程!$B$72,ROUND(M105*計算過程!$B$79,0),ROUNDDOWN(M105*計算過程!$B$79,0),ROUNDUP(M105*計算過程!$B$79,0)),0))</f>
        <v/>
      </c>
      <c r="L106" s="107" t="str">
        <f>IF(A106="","",J106-K106)</f>
        <v/>
      </c>
      <c r="M106" s="107" t="str">
        <f>IF(A106="","",IF(I106&gt;I105,M105-L106,M105))</f>
        <v/>
      </c>
      <c r="N106" s="107" t="str">
        <f>IF(A106="","",C106+J106)</f>
        <v/>
      </c>
      <c r="O106" s="107" t="str">
        <f>IF(A106="","",H106+M106)</f>
        <v/>
      </c>
      <c r="P106" s="107" t="str">
        <f>IF(A106="","",CHOOSE(計算過程!$B$72,ROUND(F105*計算過程!$B$32/計算過程!$B$6,0),ROUNDDOWN(F105*計算過程!$B$32/計算過程!$B$6,0),ROUNDUP(F105*計算過程!$B$32/計算過程!$B$6,0)))</f>
        <v/>
      </c>
      <c r="Q106" s="107" t="str">
        <f>IF(A106="","",CHOOSE(計算過程!$B$72,ROUND(G105*計算過程!$B$33/計算過程!$B$6,0),ROUNDDOWN(G105*計算過程!$B$33/計算過程!$B$6,0),ROUNDUP(G105*計算過程!$B$33/計算過程!$B$6,0)))</f>
        <v/>
      </c>
    </row>
    <row r="107" spans="1:17">
      <c r="A107" s="106" t="str">
        <f>IF(OR(計算過程!$B$98="",ROWS($A$8:A107)&gt;計算過程!$B$71),"",ROWS($A$8:A107))</f>
        <v/>
      </c>
      <c r="B107" s="108" t="str">
        <f>IF(A107="","",EDATE(計算過程!$B$98,A107-1))</f>
        <v/>
      </c>
      <c r="C107" s="107" t="str">
        <f>IF(A107="","",IF(A107=計算過程!$B$71,D107+F106+G106,計算過程!$B$78))</f>
        <v/>
      </c>
      <c r="D107" s="107" t="str">
        <f>IF(A107="","",P107+Q107)</f>
        <v/>
      </c>
      <c r="E107" s="107" t="str">
        <f>IF(A107="","",C107-D107)</f>
        <v/>
      </c>
      <c r="F107" s="107" t="str">
        <f>IF(A107="","",IF(A107=計算過程!$B$71,0,MAX(0,F106-(計算過程!$B$76-P107))))</f>
        <v/>
      </c>
      <c r="G107" s="107" t="str">
        <f>IF(A107="","",IF(A107=計算過程!$B$71,0,MAX(0,G106-(計算過程!$B$77-Q107))))</f>
        <v/>
      </c>
      <c r="H107" s="107" t="str">
        <f>IF(A107="","",F107+G107)</f>
        <v/>
      </c>
      <c r="I107" s="106" t="str">
        <f>IF(A107="","",IF(AND(OR(MONTH(B107)=6,MONTH(B107)=12),I106&lt;計算過程!$B$69),I106+1,I106))</f>
        <v/>
      </c>
      <c r="J107" s="107" t="str">
        <f>IF(A107="","",IF(I107&gt;I106,IF(I107=計算過程!$B$69,M106+K107,計算過程!$B$81),0))</f>
        <v/>
      </c>
      <c r="K107" s="107" t="str">
        <f>IF(A107="","",IF(I107&gt;I106,CHOOSE(計算過程!$B$72,ROUND(M106*計算過程!$B$79,0),ROUNDDOWN(M106*計算過程!$B$79,0),ROUNDUP(M106*計算過程!$B$79,0)),0))</f>
        <v/>
      </c>
      <c r="L107" s="107" t="str">
        <f>IF(A107="","",J107-K107)</f>
        <v/>
      </c>
      <c r="M107" s="107" t="str">
        <f>IF(A107="","",IF(I107&gt;I106,M106-L107,M106))</f>
        <v/>
      </c>
      <c r="N107" s="107" t="str">
        <f>IF(A107="","",C107+J107)</f>
        <v/>
      </c>
      <c r="O107" s="107" t="str">
        <f>IF(A107="","",H107+M107)</f>
        <v/>
      </c>
      <c r="P107" s="107" t="str">
        <f>IF(A107="","",CHOOSE(計算過程!$B$72,ROUND(F106*計算過程!$B$32/計算過程!$B$6,0),ROUNDDOWN(F106*計算過程!$B$32/計算過程!$B$6,0),ROUNDUP(F106*計算過程!$B$32/計算過程!$B$6,0)))</f>
        <v/>
      </c>
      <c r="Q107" s="107" t="str">
        <f>IF(A107="","",CHOOSE(計算過程!$B$72,ROUND(G106*計算過程!$B$33/計算過程!$B$6,0),ROUNDDOWN(G106*計算過程!$B$33/計算過程!$B$6,0),ROUNDUP(G106*計算過程!$B$33/計算過程!$B$6,0)))</f>
        <v/>
      </c>
    </row>
    <row r="108" spans="1:17">
      <c r="A108" s="106" t="str">
        <f>IF(OR(計算過程!$B$98="",ROWS($A$8:A108)&gt;計算過程!$B$71),"",ROWS($A$8:A108))</f>
        <v/>
      </c>
      <c r="B108" s="108" t="str">
        <f>IF(A108="","",EDATE(計算過程!$B$98,A108-1))</f>
        <v/>
      </c>
      <c r="C108" s="107" t="str">
        <f>IF(A108="","",IF(A108=計算過程!$B$71,D108+F107+G107,計算過程!$B$78))</f>
        <v/>
      </c>
      <c r="D108" s="107" t="str">
        <f>IF(A108="","",P108+Q108)</f>
        <v/>
      </c>
      <c r="E108" s="107" t="str">
        <f>IF(A108="","",C108-D108)</f>
        <v/>
      </c>
      <c r="F108" s="107" t="str">
        <f>IF(A108="","",IF(A108=計算過程!$B$71,0,MAX(0,F107-(計算過程!$B$76-P108))))</f>
        <v/>
      </c>
      <c r="G108" s="107" t="str">
        <f>IF(A108="","",IF(A108=計算過程!$B$71,0,MAX(0,G107-(計算過程!$B$77-Q108))))</f>
        <v/>
      </c>
      <c r="H108" s="107" t="str">
        <f>IF(A108="","",F108+G108)</f>
        <v/>
      </c>
      <c r="I108" s="106" t="str">
        <f>IF(A108="","",IF(AND(OR(MONTH(B108)=6,MONTH(B108)=12),I107&lt;計算過程!$B$69),I107+1,I107))</f>
        <v/>
      </c>
      <c r="J108" s="107" t="str">
        <f>IF(A108="","",IF(I108&gt;I107,IF(I108=計算過程!$B$69,M107+K108,計算過程!$B$81),0))</f>
        <v/>
      </c>
      <c r="K108" s="107" t="str">
        <f>IF(A108="","",IF(I108&gt;I107,CHOOSE(計算過程!$B$72,ROUND(M107*計算過程!$B$79,0),ROUNDDOWN(M107*計算過程!$B$79,0),ROUNDUP(M107*計算過程!$B$79,0)),0))</f>
        <v/>
      </c>
      <c r="L108" s="107" t="str">
        <f>IF(A108="","",J108-K108)</f>
        <v/>
      </c>
      <c r="M108" s="107" t="str">
        <f>IF(A108="","",IF(I108&gt;I107,M107-L108,M107))</f>
        <v/>
      </c>
      <c r="N108" s="107" t="str">
        <f>IF(A108="","",C108+J108)</f>
        <v/>
      </c>
      <c r="O108" s="107" t="str">
        <f>IF(A108="","",H108+M108)</f>
        <v/>
      </c>
      <c r="P108" s="107" t="str">
        <f>IF(A108="","",CHOOSE(計算過程!$B$72,ROUND(F107*計算過程!$B$32/計算過程!$B$6,0),ROUNDDOWN(F107*計算過程!$B$32/計算過程!$B$6,0),ROUNDUP(F107*計算過程!$B$32/計算過程!$B$6,0)))</f>
        <v/>
      </c>
      <c r="Q108" s="107" t="str">
        <f>IF(A108="","",CHOOSE(計算過程!$B$72,ROUND(G107*計算過程!$B$33/計算過程!$B$6,0),ROUNDDOWN(G107*計算過程!$B$33/計算過程!$B$6,0),ROUNDUP(G107*計算過程!$B$33/計算過程!$B$6,0)))</f>
        <v/>
      </c>
    </row>
    <row r="109" spans="1:17">
      <c r="A109" s="106" t="str">
        <f>IF(OR(計算過程!$B$98="",ROWS($A$8:A109)&gt;計算過程!$B$71),"",ROWS($A$8:A109))</f>
        <v/>
      </c>
      <c r="B109" s="108" t="str">
        <f>IF(A109="","",EDATE(計算過程!$B$98,A109-1))</f>
        <v/>
      </c>
      <c r="C109" s="107" t="str">
        <f>IF(A109="","",IF(A109=計算過程!$B$71,D109+F108+G108,計算過程!$B$78))</f>
        <v/>
      </c>
      <c r="D109" s="107" t="str">
        <f>IF(A109="","",P109+Q109)</f>
        <v/>
      </c>
      <c r="E109" s="107" t="str">
        <f>IF(A109="","",C109-D109)</f>
        <v/>
      </c>
      <c r="F109" s="107" t="str">
        <f>IF(A109="","",IF(A109=計算過程!$B$71,0,MAX(0,F108-(計算過程!$B$76-P109))))</f>
        <v/>
      </c>
      <c r="G109" s="107" t="str">
        <f>IF(A109="","",IF(A109=計算過程!$B$71,0,MAX(0,G108-(計算過程!$B$77-Q109))))</f>
        <v/>
      </c>
      <c r="H109" s="107" t="str">
        <f>IF(A109="","",F109+G109)</f>
        <v/>
      </c>
      <c r="I109" s="106" t="str">
        <f>IF(A109="","",IF(AND(OR(MONTH(B109)=6,MONTH(B109)=12),I108&lt;計算過程!$B$69),I108+1,I108))</f>
        <v/>
      </c>
      <c r="J109" s="107" t="str">
        <f>IF(A109="","",IF(I109&gt;I108,IF(I109=計算過程!$B$69,M108+K109,計算過程!$B$81),0))</f>
        <v/>
      </c>
      <c r="K109" s="107" t="str">
        <f>IF(A109="","",IF(I109&gt;I108,CHOOSE(計算過程!$B$72,ROUND(M108*計算過程!$B$79,0),ROUNDDOWN(M108*計算過程!$B$79,0),ROUNDUP(M108*計算過程!$B$79,0)),0))</f>
        <v/>
      </c>
      <c r="L109" s="107" t="str">
        <f>IF(A109="","",J109-K109)</f>
        <v/>
      </c>
      <c r="M109" s="107" t="str">
        <f>IF(A109="","",IF(I109&gt;I108,M108-L109,M108))</f>
        <v/>
      </c>
      <c r="N109" s="107" t="str">
        <f>IF(A109="","",C109+J109)</f>
        <v/>
      </c>
      <c r="O109" s="107" t="str">
        <f>IF(A109="","",H109+M109)</f>
        <v/>
      </c>
      <c r="P109" s="107" t="str">
        <f>IF(A109="","",CHOOSE(計算過程!$B$72,ROUND(F108*計算過程!$B$32/計算過程!$B$6,0),ROUNDDOWN(F108*計算過程!$B$32/計算過程!$B$6,0),ROUNDUP(F108*計算過程!$B$32/計算過程!$B$6,0)))</f>
        <v/>
      </c>
      <c r="Q109" s="107" t="str">
        <f>IF(A109="","",CHOOSE(計算過程!$B$72,ROUND(G108*計算過程!$B$33/計算過程!$B$6,0),ROUNDDOWN(G108*計算過程!$B$33/計算過程!$B$6,0),ROUNDUP(G108*計算過程!$B$33/計算過程!$B$6,0)))</f>
        <v/>
      </c>
    </row>
    <row r="110" spans="1:17">
      <c r="A110" s="106" t="str">
        <f>IF(OR(計算過程!$B$98="",ROWS($A$8:A110)&gt;計算過程!$B$71),"",ROWS($A$8:A110))</f>
        <v/>
      </c>
      <c r="B110" s="108" t="str">
        <f>IF(A110="","",EDATE(計算過程!$B$98,A110-1))</f>
        <v/>
      </c>
      <c r="C110" s="107" t="str">
        <f>IF(A110="","",IF(A110=計算過程!$B$71,D110+F109+G109,計算過程!$B$78))</f>
        <v/>
      </c>
      <c r="D110" s="107" t="str">
        <f>IF(A110="","",P110+Q110)</f>
        <v/>
      </c>
      <c r="E110" s="107" t="str">
        <f>IF(A110="","",C110-D110)</f>
        <v/>
      </c>
      <c r="F110" s="107" t="str">
        <f>IF(A110="","",IF(A110=計算過程!$B$71,0,MAX(0,F109-(計算過程!$B$76-P110))))</f>
        <v/>
      </c>
      <c r="G110" s="107" t="str">
        <f>IF(A110="","",IF(A110=計算過程!$B$71,0,MAX(0,G109-(計算過程!$B$77-Q110))))</f>
        <v/>
      </c>
      <c r="H110" s="107" t="str">
        <f>IF(A110="","",F110+G110)</f>
        <v/>
      </c>
      <c r="I110" s="106" t="str">
        <f>IF(A110="","",IF(AND(OR(MONTH(B110)=6,MONTH(B110)=12),I109&lt;計算過程!$B$69),I109+1,I109))</f>
        <v/>
      </c>
      <c r="J110" s="107" t="str">
        <f>IF(A110="","",IF(I110&gt;I109,IF(I110=計算過程!$B$69,M109+K110,計算過程!$B$81),0))</f>
        <v/>
      </c>
      <c r="K110" s="107" t="str">
        <f>IF(A110="","",IF(I110&gt;I109,CHOOSE(計算過程!$B$72,ROUND(M109*計算過程!$B$79,0),ROUNDDOWN(M109*計算過程!$B$79,0),ROUNDUP(M109*計算過程!$B$79,0)),0))</f>
        <v/>
      </c>
      <c r="L110" s="107" t="str">
        <f>IF(A110="","",J110-K110)</f>
        <v/>
      </c>
      <c r="M110" s="107" t="str">
        <f>IF(A110="","",IF(I110&gt;I109,M109-L110,M109))</f>
        <v/>
      </c>
      <c r="N110" s="107" t="str">
        <f>IF(A110="","",C110+J110)</f>
        <v/>
      </c>
      <c r="O110" s="107" t="str">
        <f>IF(A110="","",H110+M110)</f>
        <v/>
      </c>
      <c r="P110" s="107" t="str">
        <f>IF(A110="","",CHOOSE(計算過程!$B$72,ROUND(F109*計算過程!$B$32/計算過程!$B$6,0),ROUNDDOWN(F109*計算過程!$B$32/計算過程!$B$6,0),ROUNDUP(F109*計算過程!$B$32/計算過程!$B$6,0)))</f>
        <v/>
      </c>
      <c r="Q110" s="107" t="str">
        <f>IF(A110="","",CHOOSE(計算過程!$B$72,ROUND(G109*計算過程!$B$33/計算過程!$B$6,0),ROUNDDOWN(G109*計算過程!$B$33/計算過程!$B$6,0),ROUNDUP(G109*計算過程!$B$33/計算過程!$B$6,0)))</f>
        <v/>
      </c>
    </row>
    <row r="111" spans="1:17">
      <c r="A111" s="106" t="str">
        <f>IF(OR(計算過程!$B$98="",ROWS($A$8:A111)&gt;計算過程!$B$71),"",ROWS($A$8:A111))</f>
        <v/>
      </c>
      <c r="B111" s="108" t="str">
        <f>IF(A111="","",EDATE(計算過程!$B$98,A111-1))</f>
        <v/>
      </c>
      <c r="C111" s="107" t="str">
        <f>IF(A111="","",IF(A111=計算過程!$B$71,D111+F110+G110,計算過程!$B$78))</f>
        <v/>
      </c>
      <c r="D111" s="107" t="str">
        <f>IF(A111="","",P111+Q111)</f>
        <v/>
      </c>
      <c r="E111" s="107" t="str">
        <f>IF(A111="","",C111-D111)</f>
        <v/>
      </c>
      <c r="F111" s="107" t="str">
        <f>IF(A111="","",IF(A111=計算過程!$B$71,0,MAX(0,F110-(計算過程!$B$76-P111))))</f>
        <v/>
      </c>
      <c r="G111" s="107" t="str">
        <f>IF(A111="","",IF(A111=計算過程!$B$71,0,MAX(0,G110-(計算過程!$B$77-Q111))))</f>
        <v/>
      </c>
      <c r="H111" s="107" t="str">
        <f>IF(A111="","",F111+G111)</f>
        <v/>
      </c>
      <c r="I111" s="106" t="str">
        <f>IF(A111="","",IF(AND(OR(MONTH(B111)=6,MONTH(B111)=12),I110&lt;計算過程!$B$69),I110+1,I110))</f>
        <v/>
      </c>
      <c r="J111" s="107" t="str">
        <f>IF(A111="","",IF(I111&gt;I110,IF(I111=計算過程!$B$69,M110+K111,計算過程!$B$81),0))</f>
        <v/>
      </c>
      <c r="K111" s="107" t="str">
        <f>IF(A111="","",IF(I111&gt;I110,CHOOSE(計算過程!$B$72,ROUND(M110*計算過程!$B$79,0),ROUNDDOWN(M110*計算過程!$B$79,0),ROUNDUP(M110*計算過程!$B$79,0)),0))</f>
        <v/>
      </c>
      <c r="L111" s="107" t="str">
        <f>IF(A111="","",J111-K111)</f>
        <v/>
      </c>
      <c r="M111" s="107" t="str">
        <f>IF(A111="","",IF(I111&gt;I110,M110-L111,M110))</f>
        <v/>
      </c>
      <c r="N111" s="107" t="str">
        <f>IF(A111="","",C111+J111)</f>
        <v/>
      </c>
      <c r="O111" s="107" t="str">
        <f>IF(A111="","",H111+M111)</f>
        <v/>
      </c>
      <c r="P111" s="107" t="str">
        <f>IF(A111="","",CHOOSE(計算過程!$B$72,ROUND(F110*計算過程!$B$32/計算過程!$B$6,0),ROUNDDOWN(F110*計算過程!$B$32/計算過程!$B$6,0),ROUNDUP(F110*計算過程!$B$32/計算過程!$B$6,0)))</f>
        <v/>
      </c>
      <c r="Q111" s="107" t="str">
        <f>IF(A111="","",CHOOSE(計算過程!$B$72,ROUND(G110*計算過程!$B$33/計算過程!$B$6,0),ROUNDDOWN(G110*計算過程!$B$33/計算過程!$B$6,0),ROUNDUP(G110*計算過程!$B$33/計算過程!$B$6,0)))</f>
        <v/>
      </c>
    </row>
    <row r="112" spans="1:17">
      <c r="A112" s="106" t="str">
        <f>IF(OR(計算過程!$B$98="",ROWS($A$8:A112)&gt;計算過程!$B$71),"",ROWS($A$8:A112))</f>
        <v/>
      </c>
      <c r="B112" s="108" t="str">
        <f>IF(A112="","",EDATE(計算過程!$B$98,A112-1))</f>
        <v/>
      </c>
      <c r="C112" s="107" t="str">
        <f>IF(A112="","",IF(A112=計算過程!$B$71,D112+F111+G111,計算過程!$B$78))</f>
        <v/>
      </c>
      <c r="D112" s="107" t="str">
        <f>IF(A112="","",P112+Q112)</f>
        <v/>
      </c>
      <c r="E112" s="107" t="str">
        <f>IF(A112="","",C112-D112)</f>
        <v/>
      </c>
      <c r="F112" s="107" t="str">
        <f>IF(A112="","",IF(A112=計算過程!$B$71,0,MAX(0,F111-(計算過程!$B$76-P112))))</f>
        <v/>
      </c>
      <c r="G112" s="107" t="str">
        <f>IF(A112="","",IF(A112=計算過程!$B$71,0,MAX(0,G111-(計算過程!$B$77-Q112))))</f>
        <v/>
      </c>
      <c r="H112" s="107" t="str">
        <f>IF(A112="","",F112+G112)</f>
        <v/>
      </c>
      <c r="I112" s="106" t="str">
        <f>IF(A112="","",IF(AND(OR(MONTH(B112)=6,MONTH(B112)=12),I111&lt;計算過程!$B$69),I111+1,I111))</f>
        <v/>
      </c>
      <c r="J112" s="107" t="str">
        <f>IF(A112="","",IF(I112&gt;I111,IF(I112=計算過程!$B$69,M111+K112,計算過程!$B$81),0))</f>
        <v/>
      </c>
      <c r="K112" s="107" t="str">
        <f>IF(A112="","",IF(I112&gt;I111,CHOOSE(計算過程!$B$72,ROUND(M111*計算過程!$B$79,0),ROUNDDOWN(M111*計算過程!$B$79,0),ROUNDUP(M111*計算過程!$B$79,0)),0))</f>
        <v/>
      </c>
      <c r="L112" s="107" t="str">
        <f>IF(A112="","",J112-K112)</f>
        <v/>
      </c>
      <c r="M112" s="107" t="str">
        <f>IF(A112="","",IF(I112&gt;I111,M111-L112,M111))</f>
        <v/>
      </c>
      <c r="N112" s="107" t="str">
        <f>IF(A112="","",C112+J112)</f>
        <v/>
      </c>
      <c r="O112" s="107" t="str">
        <f>IF(A112="","",H112+M112)</f>
        <v/>
      </c>
      <c r="P112" s="107" t="str">
        <f>IF(A112="","",CHOOSE(計算過程!$B$72,ROUND(F111*計算過程!$B$32/計算過程!$B$6,0),ROUNDDOWN(F111*計算過程!$B$32/計算過程!$B$6,0),ROUNDUP(F111*計算過程!$B$32/計算過程!$B$6,0)))</f>
        <v/>
      </c>
      <c r="Q112" s="107" t="str">
        <f>IF(A112="","",CHOOSE(計算過程!$B$72,ROUND(G111*計算過程!$B$33/計算過程!$B$6,0),ROUNDDOWN(G111*計算過程!$B$33/計算過程!$B$6,0),ROUNDUP(G111*計算過程!$B$33/計算過程!$B$6,0)))</f>
        <v/>
      </c>
    </row>
    <row r="113" spans="1:17">
      <c r="A113" s="106" t="str">
        <f>IF(OR(計算過程!$B$98="",ROWS($A$8:A113)&gt;計算過程!$B$71),"",ROWS($A$8:A113))</f>
        <v/>
      </c>
      <c r="B113" s="108" t="str">
        <f>IF(A113="","",EDATE(計算過程!$B$98,A113-1))</f>
        <v/>
      </c>
      <c r="C113" s="107" t="str">
        <f>IF(A113="","",IF(A113=計算過程!$B$71,D113+F112+G112,計算過程!$B$78))</f>
        <v/>
      </c>
      <c r="D113" s="107" t="str">
        <f>IF(A113="","",P113+Q113)</f>
        <v/>
      </c>
      <c r="E113" s="107" t="str">
        <f>IF(A113="","",C113-D113)</f>
        <v/>
      </c>
      <c r="F113" s="107" t="str">
        <f>IF(A113="","",IF(A113=計算過程!$B$71,0,MAX(0,F112-(計算過程!$B$76-P113))))</f>
        <v/>
      </c>
      <c r="G113" s="107" t="str">
        <f>IF(A113="","",IF(A113=計算過程!$B$71,0,MAX(0,G112-(計算過程!$B$77-Q113))))</f>
        <v/>
      </c>
      <c r="H113" s="107" t="str">
        <f>IF(A113="","",F113+G113)</f>
        <v/>
      </c>
      <c r="I113" s="106" t="str">
        <f>IF(A113="","",IF(AND(OR(MONTH(B113)=6,MONTH(B113)=12),I112&lt;計算過程!$B$69),I112+1,I112))</f>
        <v/>
      </c>
      <c r="J113" s="107" t="str">
        <f>IF(A113="","",IF(I113&gt;I112,IF(I113=計算過程!$B$69,M112+K113,計算過程!$B$81),0))</f>
        <v/>
      </c>
      <c r="K113" s="107" t="str">
        <f>IF(A113="","",IF(I113&gt;I112,CHOOSE(計算過程!$B$72,ROUND(M112*計算過程!$B$79,0),ROUNDDOWN(M112*計算過程!$B$79,0),ROUNDUP(M112*計算過程!$B$79,0)),0))</f>
        <v/>
      </c>
      <c r="L113" s="107" t="str">
        <f>IF(A113="","",J113-K113)</f>
        <v/>
      </c>
      <c r="M113" s="107" t="str">
        <f>IF(A113="","",IF(I113&gt;I112,M112-L113,M112))</f>
        <v/>
      </c>
      <c r="N113" s="107" t="str">
        <f>IF(A113="","",C113+J113)</f>
        <v/>
      </c>
      <c r="O113" s="107" t="str">
        <f>IF(A113="","",H113+M113)</f>
        <v/>
      </c>
      <c r="P113" s="107" t="str">
        <f>IF(A113="","",CHOOSE(計算過程!$B$72,ROUND(F112*計算過程!$B$32/計算過程!$B$6,0),ROUNDDOWN(F112*計算過程!$B$32/計算過程!$B$6,0),ROUNDUP(F112*計算過程!$B$32/計算過程!$B$6,0)))</f>
        <v/>
      </c>
      <c r="Q113" s="107" t="str">
        <f>IF(A113="","",CHOOSE(計算過程!$B$72,ROUND(G112*計算過程!$B$33/計算過程!$B$6,0),ROUNDDOWN(G112*計算過程!$B$33/計算過程!$B$6,0),ROUNDUP(G112*計算過程!$B$33/計算過程!$B$6,0)))</f>
        <v/>
      </c>
    </row>
    <row r="114" spans="1:17">
      <c r="A114" s="106" t="str">
        <f>IF(OR(計算過程!$B$98="",ROWS($A$8:A114)&gt;計算過程!$B$71),"",ROWS($A$8:A114))</f>
        <v/>
      </c>
      <c r="B114" s="108" t="str">
        <f>IF(A114="","",EDATE(計算過程!$B$98,A114-1))</f>
        <v/>
      </c>
      <c r="C114" s="107" t="str">
        <f>IF(A114="","",IF(A114=計算過程!$B$71,D114+F113+G113,計算過程!$B$78))</f>
        <v/>
      </c>
      <c r="D114" s="107" t="str">
        <f>IF(A114="","",P114+Q114)</f>
        <v/>
      </c>
      <c r="E114" s="107" t="str">
        <f>IF(A114="","",C114-D114)</f>
        <v/>
      </c>
      <c r="F114" s="107" t="str">
        <f>IF(A114="","",IF(A114=計算過程!$B$71,0,MAX(0,F113-(計算過程!$B$76-P114))))</f>
        <v/>
      </c>
      <c r="G114" s="107" t="str">
        <f>IF(A114="","",IF(A114=計算過程!$B$71,0,MAX(0,G113-(計算過程!$B$77-Q114))))</f>
        <v/>
      </c>
      <c r="H114" s="107" t="str">
        <f>IF(A114="","",F114+G114)</f>
        <v/>
      </c>
      <c r="I114" s="106" t="str">
        <f>IF(A114="","",IF(AND(OR(MONTH(B114)=6,MONTH(B114)=12),I113&lt;計算過程!$B$69),I113+1,I113))</f>
        <v/>
      </c>
      <c r="J114" s="107" t="str">
        <f>IF(A114="","",IF(I114&gt;I113,IF(I114=計算過程!$B$69,M113+K114,計算過程!$B$81),0))</f>
        <v/>
      </c>
      <c r="K114" s="107" t="str">
        <f>IF(A114="","",IF(I114&gt;I113,CHOOSE(計算過程!$B$72,ROUND(M113*計算過程!$B$79,0),ROUNDDOWN(M113*計算過程!$B$79,0),ROUNDUP(M113*計算過程!$B$79,0)),0))</f>
        <v/>
      </c>
      <c r="L114" s="107" t="str">
        <f>IF(A114="","",J114-K114)</f>
        <v/>
      </c>
      <c r="M114" s="107" t="str">
        <f>IF(A114="","",IF(I114&gt;I113,M113-L114,M113))</f>
        <v/>
      </c>
      <c r="N114" s="107" t="str">
        <f>IF(A114="","",C114+J114)</f>
        <v/>
      </c>
      <c r="O114" s="107" t="str">
        <f>IF(A114="","",H114+M114)</f>
        <v/>
      </c>
      <c r="P114" s="107" t="str">
        <f>IF(A114="","",CHOOSE(計算過程!$B$72,ROUND(F113*計算過程!$B$32/計算過程!$B$6,0),ROUNDDOWN(F113*計算過程!$B$32/計算過程!$B$6,0),ROUNDUP(F113*計算過程!$B$32/計算過程!$B$6,0)))</f>
        <v/>
      </c>
      <c r="Q114" s="107" t="str">
        <f>IF(A114="","",CHOOSE(計算過程!$B$72,ROUND(G113*計算過程!$B$33/計算過程!$B$6,0),ROUNDDOWN(G113*計算過程!$B$33/計算過程!$B$6,0),ROUNDUP(G113*計算過程!$B$33/計算過程!$B$6,0)))</f>
        <v/>
      </c>
    </row>
    <row r="115" spans="1:17">
      <c r="A115" s="106" t="str">
        <f>IF(OR(計算過程!$B$98="",ROWS($A$8:A115)&gt;計算過程!$B$71),"",ROWS($A$8:A115))</f>
        <v/>
      </c>
      <c r="B115" s="108" t="str">
        <f>IF(A115="","",EDATE(計算過程!$B$98,A115-1))</f>
        <v/>
      </c>
      <c r="C115" s="107" t="str">
        <f>IF(A115="","",IF(A115=計算過程!$B$71,D115+F114+G114,計算過程!$B$78))</f>
        <v/>
      </c>
      <c r="D115" s="107" t="str">
        <f>IF(A115="","",P115+Q115)</f>
        <v/>
      </c>
      <c r="E115" s="107" t="str">
        <f>IF(A115="","",C115-D115)</f>
        <v/>
      </c>
      <c r="F115" s="107" t="str">
        <f>IF(A115="","",IF(A115=計算過程!$B$71,0,MAX(0,F114-(計算過程!$B$76-P115))))</f>
        <v/>
      </c>
      <c r="G115" s="107" t="str">
        <f>IF(A115="","",IF(A115=計算過程!$B$71,0,MAX(0,G114-(計算過程!$B$77-Q115))))</f>
        <v/>
      </c>
      <c r="H115" s="107" t="str">
        <f>IF(A115="","",F115+G115)</f>
        <v/>
      </c>
      <c r="I115" s="106" t="str">
        <f>IF(A115="","",IF(AND(OR(MONTH(B115)=6,MONTH(B115)=12),I114&lt;計算過程!$B$69),I114+1,I114))</f>
        <v/>
      </c>
      <c r="J115" s="107" t="str">
        <f>IF(A115="","",IF(I115&gt;I114,IF(I115=計算過程!$B$69,M114+K115,計算過程!$B$81),0))</f>
        <v/>
      </c>
      <c r="K115" s="107" t="str">
        <f>IF(A115="","",IF(I115&gt;I114,CHOOSE(計算過程!$B$72,ROUND(M114*計算過程!$B$79,0),ROUNDDOWN(M114*計算過程!$B$79,0),ROUNDUP(M114*計算過程!$B$79,0)),0))</f>
        <v/>
      </c>
      <c r="L115" s="107" t="str">
        <f>IF(A115="","",J115-K115)</f>
        <v/>
      </c>
      <c r="M115" s="107" t="str">
        <f>IF(A115="","",IF(I115&gt;I114,M114-L115,M114))</f>
        <v/>
      </c>
      <c r="N115" s="107" t="str">
        <f>IF(A115="","",C115+J115)</f>
        <v/>
      </c>
      <c r="O115" s="107" t="str">
        <f>IF(A115="","",H115+M115)</f>
        <v/>
      </c>
      <c r="P115" s="107" t="str">
        <f>IF(A115="","",CHOOSE(計算過程!$B$72,ROUND(F114*計算過程!$B$32/計算過程!$B$6,0),ROUNDDOWN(F114*計算過程!$B$32/計算過程!$B$6,0),ROUNDUP(F114*計算過程!$B$32/計算過程!$B$6,0)))</f>
        <v/>
      </c>
      <c r="Q115" s="107" t="str">
        <f>IF(A115="","",CHOOSE(計算過程!$B$72,ROUND(G114*計算過程!$B$33/計算過程!$B$6,0),ROUNDDOWN(G114*計算過程!$B$33/計算過程!$B$6,0),ROUNDUP(G114*計算過程!$B$33/計算過程!$B$6,0)))</f>
        <v/>
      </c>
    </row>
    <row r="116" spans="1:17">
      <c r="A116" s="106" t="str">
        <f>IF(OR(計算過程!$B$98="",ROWS($A$8:A116)&gt;計算過程!$B$71),"",ROWS($A$8:A116))</f>
        <v/>
      </c>
      <c r="B116" s="108" t="str">
        <f>IF(A116="","",EDATE(計算過程!$B$98,A116-1))</f>
        <v/>
      </c>
      <c r="C116" s="107" t="str">
        <f>IF(A116="","",IF(A116=計算過程!$B$71,D116+F115+G115,計算過程!$B$78))</f>
        <v/>
      </c>
      <c r="D116" s="107" t="str">
        <f>IF(A116="","",P116+Q116)</f>
        <v/>
      </c>
      <c r="E116" s="107" t="str">
        <f>IF(A116="","",C116-D116)</f>
        <v/>
      </c>
      <c r="F116" s="107" t="str">
        <f>IF(A116="","",IF(A116=計算過程!$B$71,0,MAX(0,F115-(計算過程!$B$76-P116))))</f>
        <v/>
      </c>
      <c r="G116" s="107" t="str">
        <f>IF(A116="","",IF(A116=計算過程!$B$71,0,MAX(0,G115-(計算過程!$B$77-Q116))))</f>
        <v/>
      </c>
      <c r="H116" s="107" t="str">
        <f>IF(A116="","",F116+G116)</f>
        <v/>
      </c>
      <c r="I116" s="106" t="str">
        <f>IF(A116="","",IF(AND(OR(MONTH(B116)=6,MONTH(B116)=12),I115&lt;計算過程!$B$69),I115+1,I115))</f>
        <v/>
      </c>
      <c r="J116" s="107" t="str">
        <f>IF(A116="","",IF(I116&gt;I115,IF(I116=計算過程!$B$69,M115+K116,計算過程!$B$81),0))</f>
        <v/>
      </c>
      <c r="K116" s="107" t="str">
        <f>IF(A116="","",IF(I116&gt;I115,CHOOSE(計算過程!$B$72,ROUND(M115*計算過程!$B$79,0),ROUNDDOWN(M115*計算過程!$B$79,0),ROUNDUP(M115*計算過程!$B$79,0)),0))</f>
        <v/>
      </c>
      <c r="L116" s="107" t="str">
        <f>IF(A116="","",J116-K116)</f>
        <v/>
      </c>
      <c r="M116" s="107" t="str">
        <f>IF(A116="","",IF(I116&gt;I115,M115-L116,M115))</f>
        <v/>
      </c>
      <c r="N116" s="107" t="str">
        <f>IF(A116="","",C116+J116)</f>
        <v/>
      </c>
      <c r="O116" s="107" t="str">
        <f>IF(A116="","",H116+M116)</f>
        <v/>
      </c>
      <c r="P116" s="107" t="str">
        <f>IF(A116="","",CHOOSE(計算過程!$B$72,ROUND(F115*計算過程!$B$32/計算過程!$B$6,0),ROUNDDOWN(F115*計算過程!$B$32/計算過程!$B$6,0),ROUNDUP(F115*計算過程!$B$32/計算過程!$B$6,0)))</f>
        <v/>
      </c>
      <c r="Q116" s="107" t="str">
        <f>IF(A116="","",CHOOSE(計算過程!$B$72,ROUND(G115*計算過程!$B$33/計算過程!$B$6,0),ROUNDDOWN(G115*計算過程!$B$33/計算過程!$B$6,0),ROUNDUP(G115*計算過程!$B$33/計算過程!$B$6,0)))</f>
        <v/>
      </c>
    </row>
    <row r="117" spans="1:17">
      <c r="A117" s="106" t="str">
        <f>IF(OR(計算過程!$B$98="",ROWS($A$8:A117)&gt;計算過程!$B$71),"",ROWS($A$8:A117))</f>
        <v/>
      </c>
      <c r="B117" s="108" t="str">
        <f>IF(A117="","",EDATE(計算過程!$B$98,A117-1))</f>
        <v/>
      </c>
      <c r="C117" s="107" t="str">
        <f>IF(A117="","",IF(A117=計算過程!$B$71,D117+F116+G116,計算過程!$B$78))</f>
        <v/>
      </c>
      <c r="D117" s="107" t="str">
        <f>IF(A117="","",P117+Q117)</f>
        <v/>
      </c>
      <c r="E117" s="107" t="str">
        <f>IF(A117="","",C117-D117)</f>
        <v/>
      </c>
      <c r="F117" s="107" t="str">
        <f>IF(A117="","",IF(A117=計算過程!$B$71,0,MAX(0,F116-(計算過程!$B$76-P117))))</f>
        <v/>
      </c>
      <c r="G117" s="107" t="str">
        <f>IF(A117="","",IF(A117=計算過程!$B$71,0,MAX(0,G116-(計算過程!$B$77-Q117))))</f>
        <v/>
      </c>
      <c r="H117" s="107" t="str">
        <f>IF(A117="","",F117+G117)</f>
        <v/>
      </c>
      <c r="I117" s="106" t="str">
        <f>IF(A117="","",IF(AND(OR(MONTH(B117)=6,MONTH(B117)=12),I116&lt;計算過程!$B$69),I116+1,I116))</f>
        <v/>
      </c>
      <c r="J117" s="107" t="str">
        <f>IF(A117="","",IF(I117&gt;I116,IF(I117=計算過程!$B$69,M116+K117,計算過程!$B$81),0))</f>
        <v/>
      </c>
      <c r="K117" s="107" t="str">
        <f>IF(A117="","",IF(I117&gt;I116,CHOOSE(計算過程!$B$72,ROUND(M116*計算過程!$B$79,0),ROUNDDOWN(M116*計算過程!$B$79,0),ROUNDUP(M116*計算過程!$B$79,0)),0))</f>
        <v/>
      </c>
      <c r="L117" s="107" t="str">
        <f>IF(A117="","",J117-K117)</f>
        <v/>
      </c>
      <c r="M117" s="107" t="str">
        <f>IF(A117="","",IF(I117&gt;I116,M116-L117,M116))</f>
        <v/>
      </c>
      <c r="N117" s="107" t="str">
        <f>IF(A117="","",C117+J117)</f>
        <v/>
      </c>
      <c r="O117" s="107" t="str">
        <f>IF(A117="","",H117+M117)</f>
        <v/>
      </c>
      <c r="P117" s="107" t="str">
        <f>IF(A117="","",CHOOSE(計算過程!$B$72,ROUND(F116*計算過程!$B$32/計算過程!$B$6,0),ROUNDDOWN(F116*計算過程!$B$32/計算過程!$B$6,0),ROUNDUP(F116*計算過程!$B$32/計算過程!$B$6,0)))</f>
        <v/>
      </c>
      <c r="Q117" s="107" t="str">
        <f>IF(A117="","",CHOOSE(計算過程!$B$72,ROUND(G116*計算過程!$B$33/計算過程!$B$6,0),ROUNDDOWN(G116*計算過程!$B$33/計算過程!$B$6,0),ROUNDUP(G116*計算過程!$B$33/計算過程!$B$6,0)))</f>
        <v/>
      </c>
    </row>
    <row r="118" spans="1:17">
      <c r="A118" s="106" t="str">
        <f>IF(OR(計算過程!$B$98="",ROWS($A$8:A118)&gt;計算過程!$B$71),"",ROWS($A$8:A118))</f>
        <v/>
      </c>
      <c r="B118" s="108" t="str">
        <f>IF(A118="","",EDATE(計算過程!$B$98,A118-1))</f>
        <v/>
      </c>
      <c r="C118" s="107" t="str">
        <f>IF(A118="","",IF(A118=計算過程!$B$71,D118+F117+G117,計算過程!$B$78))</f>
        <v/>
      </c>
      <c r="D118" s="107" t="str">
        <f>IF(A118="","",P118+Q118)</f>
        <v/>
      </c>
      <c r="E118" s="107" t="str">
        <f>IF(A118="","",C118-D118)</f>
        <v/>
      </c>
      <c r="F118" s="107" t="str">
        <f>IF(A118="","",IF(A118=計算過程!$B$71,0,MAX(0,F117-(計算過程!$B$76-P118))))</f>
        <v/>
      </c>
      <c r="G118" s="107" t="str">
        <f>IF(A118="","",IF(A118=計算過程!$B$71,0,MAX(0,G117-(計算過程!$B$77-Q118))))</f>
        <v/>
      </c>
      <c r="H118" s="107" t="str">
        <f>IF(A118="","",F118+G118)</f>
        <v/>
      </c>
      <c r="I118" s="106" t="str">
        <f>IF(A118="","",IF(AND(OR(MONTH(B118)=6,MONTH(B118)=12),I117&lt;計算過程!$B$69),I117+1,I117))</f>
        <v/>
      </c>
      <c r="J118" s="107" t="str">
        <f>IF(A118="","",IF(I118&gt;I117,IF(I118=計算過程!$B$69,M117+K118,計算過程!$B$81),0))</f>
        <v/>
      </c>
      <c r="K118" s="107" t="str">
        <f>IF(A118="","",IF(I118&gt;I117,CHOOSE(計算過程!$B$72,ROUND(M117*計算過程!$B$79,0),ROUNDDOWN(M117*計算過程!$B$79,0),ROUNDUP(M117*計算過程!$B$79,0)),0))</f>
        <v/>
      </c>
      <c r="L118" s="107" t="str">
        <f>IF(A118="","",J118-K118)</f>
        <v/>
      </c>
      <c r="M118" s="107" t="str">
        <f>IF(A118="","",IF(I118&gt;I117,M117-L118,M117))</f>
        <v/>
      </c>
      <c r="N118" s="107" t="str">
        <f>IF(A118="","",C118+J118)</f>
        <v/>
      </c>
      <c r="O118" s="107" t="str">
        <f>IF(A118="","",H118+M118)</f>
        <v/>
      </c>
      <c r="P118" s="107" t="str">
        <f>IF(A118="","",CHOOSE(計算過程!$B$72,ROUND(F117*計算過程!$B$32/計算過程!$B$6,0),ROUNDDOWN(F117*計算過程!$B$32/計算過程!$B$6,0),ROUNDUP(F117*計算過程!$B$32/計算過程!$B$6,0)))</f>
        <v/>
      </c>
      <c r="Q118" s="107" t="str">
        <f>IF(A118="","",CHOOSE(計算過程!$B$72,ROUND(G117*計算過程!$B$33/計算過程!$B$6,0),ROUNDDOWN(G117*計算過程!$B$33/計算過程!$B$6,0),ROUNDUP(G117*計算過程!$B$33/計算過程!$B$6,0)))</f>
        <v/>
      </c>
    </row>
    <row r="119" spans="1:17">
      <c r="A119" s="106" t="str">
        <f>IF(OR(計算過程!$B$98="",ROWS($A$8:A119)&gt;計算過程!$B$71),"",ROWS($A$8:A119))</f>
        <v/>
      </c>
      <c r="B119" s="108" t="str">
        <f>IF(A119="","",EDATE(計算過程!$B$98,A119-1))</f>
        <v/>
      </c>
      <c r="C119" s="107" t="str">
        <f>IF(A119="","",IF(A119=計算過程!$B$71,D119+F118+G118,計算過程!$B$78))</f>
        <v/>
      </c>
      <c r="D119" s="107" t="str">
        <f>IF(A119="","",P119+Q119)</f>
        <v/>
      </c>
      <c r="E119" s="107" t="str">
        <f>IF(A119="","",C119-D119)</f>
        <v/>
      </c>
      <c r="F119" s="107" t="str">
        <f>IF(A119="","",IF(A119=計算過程!$B$71,0,MAX(0,F118-(計算過程!$B$76-P119))))</f>
        <v/>
      </c>
      <c r="G119" s="107" t="str">
        <f>IF(A119="","",IF(A119=計算過程!$B$71,0,MAX(0,G118-(計算過程!$B$77-Q119))))</f>
        <v/>
      </c>
      <c r="H119" s="107" t="str">
        <f>IF(A119="","",F119+G119)</f>
        <v/>
      </c>
      <c r="I119" s="106" t="str">
        <f>IF(A119="","",IF(AND(OR(MONTH(B119)=6,MONTH(B119)=12),I118&lt;計算過程!$B$69),I118+1,I118))</f>
        <v/>
      </c>
      <c r="J119" s="107" t="str">
        <f>IF(A119="","",IF(I119&gt;I118,IF(I119=計算過程!$B$69,M118+K119,計算過程!$B$81),0))</f>
        <v/>
      </c>
      <c r="K119" s="107" t="str">
        <f>IF(A119="","",IF(I119&gt;I118,CHOOSE(計算過程!$B$72,ROUND(M118*計算過程!$B$79,0),ROUNDDOWN(M118*計算過程!$B$79,0),ROUNDUP(M118*計算過程!$B$79,0)),0))</f>
        <v/>
      </c>
      <c r="L119" s="107" t="str">
        <f>IF(A119="","",J119-K119)</f>
        <v/>
      </c>
      <c r="M119" s="107" t="str">
        <f>IF(A119="","",IF(I119&gt;I118,M118-L119,M118))</f>
        <v/>
      </c>
      <c r="N119" s="107" t="str">
        <f>IF(A119="","",C119+J119)</f>
        <v/>
      </c>
      <c r="O119" s="107" t="str">
        <f>IF(A119="","",H119+M119)</f>
        <v/>
      </c>
      <c r="P119" s="107" t="str">
        <f>IF(A119="","",CHOOSE(計算過程!$B$72,ROUND(F118*計算過程!$B$32/計算過程!$B$6,0),ROUNDDOWN(F118*計算過程!$B$32/計算過程!$B$6,0),ROUNDUP(F118*計算過程!$B$32/計算過程!$B$6,0)))</f>
        <v/>
      </c>
      <c r="Q119" s="107" t="str">
        <f>IF(A119="","",CHOOSE(計算過程!$B$72,ROUND(G118*計算過程!$B$33/計算過程!$B$6,0),ROUNDDOWN(G118*計算過程!$B$33/計算過程!$B$6,0),ROUNDUP(G118*計算過程!$B$33/計算過程!$B$6,0)))</f>
        <v/>
      </c>
    </row>
    <row r="120" spans="1:17">
      <c r="A120" s="106" t="str">
        <f>IF(OR(計算過程!$B$98="",ROWS($A$8:A120)&gt;計算過程!$B$71),"",ROWS($A$8:A120))</f>
        <v/>
      </c>
      <c r="B120" s="108" t="str">
        <f>IF(A120="","",EDATE(計算過程!$B$98,A120-1))</f>
        <v/>
      </c>
      <c r="C120" s="107" t="str">
        <f>IF(A120="","",IF(A120=計算過程!$B$71,D120+F119+G119,計算過程!$B$78))</f>
        <v/>
      </c>
      <c r="D120" s="107" t="str">
        <f>IF(A120="","",P120+Q120)</f>
        <v/>
      </c>
      <c r="E120" s="107" t="str">
        <f>IF(A120="","",C120-D120)</f>
        <v/>
      </c>
      <c r="F120" s="107" t="str">
        <f>IF(A120="","",IF(A120=計算過程!$B$71,0,MAX(0,F119-(計算過程!$B$76-P120))))</f>
        <v/>
      </c>
      <c r="G120" s="107" t="str">
        <f>IF(A120="","",IF(A120=計算過程!$B$71,0,MAX(0,G119-(計算過程!$B$77-Q120))))</f>
        <v/>
      </c>
      <c r="H120" s="107" t="str">
        <f>IF(A120="","",F120+G120)</f>
        <v/>
      </c>
      <c r="I120" s="106" t="str">
        <f>IF(A120="","",IF(AND(OR(MONTH(B120)=6,MONTH(B120)=12),I119&lt;計算過程!$B$69),I119+1,I119))</f>
        <v/>
      </c>
      <c r="J120" s="107" t="str">
        <f>IF(A120="","",IF(I120&gt;I119,IF(I120=計算過程!$B$69,M119+K120,計算過程!$B$81),0))</f>
        <v/>
      </c>
      <c r="K120" s="107" t="str">
        <f>IF(A120="","",IF(I120&gt;I119,CHOOSE(計算過程!$B$72,ROUND(M119*計算過程!$B$79,0),ROUNDDOWN(M119*計算過程!$B$79,0),ROUNDUP(M119*計算過程!$B$79,0)),0))</f>
        <v/>
      </c>
      <c r="L120" s="107" t="str">
        <f>IF(A120="","",J120-K120)</f>
        <v/>
      </c>
      <c r="M120" s="107" t="str">
        <f>IF(A120="","",IF(I120&gt;I119,M119-L120,M119))</f>
        <v/>
      </c>
      <c r="N120" s="107" t="str">
        <f>IF(A120="","",C120+J120)</f>
        <v/>
      </c>
      <c r="O120" s="107" t="str">
        <f>IF(A120="","",H120+M120)</f>
        <v/>
      </c>
      <c r="P120" s="107" t="str">
        <f>IF(A120="","",CHOOSE(計算過程!$B$72,ROUND(F119*計算過程!$B$32/計算過程!$B$6,0),ROUNDDOWN(F119*計算過程!$B$32/計算過程!$B$6,0),ROUNDUP(F119*計算過程!$B$32/計算過程!$B$6,0)))</f>
        <v/>
      </c>
      <c r="Q120" s="107" t="str">
        <f>IF(A120="","",CHOOSE(計算過程!$B$72,ROUND(G119*計算過程!$B$33/計算過程!$B$6,0),ROUNDDOWN(G119*計算過程!$B$33/計算過程!$B$6,0),ROUNDUP(G119*計算過程!$B$33/計算過程!$B$6,0)))</f>
        <v/>
      </c>
    </row>
    <row r="121" spans="1:17">
      <c r="A121" s="106" t="str">
        <f>IF(OR(計算過程!$B$98="",ROWS($A$8:A121)&gt;計算過程!$B$71),"",ROWS($A$8:A121))</f>
        <v/>
      </c>
      <c r="B121" s="108" t="str">
        <f>IF(A121="","",EDATE(計算過程!$B$98,A121-1))</f>
        <v/>
      </c>
      <c r="C121" s="107" t="str">
        <f>IF(A121="","",IF(A121=計算過程!$B$71,D121+F120+G120,計算過程!$B$78))</f>
        <v/>
      </c>
      <c r="D121" s="107" t="str">
        <f>IF(A121="","",P121+Q121)</f>
        <v/>
      </c>
      <c r="E121" s="107" t="str">
        <f>IF(A121="","",C121-D121)</f>
        <v/>
      </c>
      <c r="F121" s="107" t="str">
        <f>IF(A121="","",IF(A121=計算過程!$B$71,0,MAX(0,F120-(計算過程!$B$76-P121))))</f>
        <v/>
      </c>
      <c r="G121" s="107" t="str">
        <f>IF(A121="","",IF(A121=計算過程!$B$71,0,MAX(0,G120-(計算過程!$B$77-Q121))))</f>
        <v/>
      </c>
      <c r="H121" s="107" t="str">
        <f>IF(A121="","",F121+G121)</f>
        <v/>
      </c>
      <c r="I121" s="106" t="str">
        <f>IF(A121="","",IF(AND(OR(MONTH(B121)=6,MONTH(B121)=12),I120&lt;計算過程!$B$69),I120+1,I120))</f>
        <v/>
      </c>
      <c r="J121" s="107" t="str">
        <f>IF(A121="","",IF(I121&gt;I120,IF(I121=計算過程!$B$69,M120+K121,計算過程!$B$81),0))</f>
        <v/>
      </c>
      <c r="K121" s="107" t="str">
        <f>IF(A121="","",IF(I121&gt;I120,CHOOSE(計算過程!$B$72,ROUND(M120*計算過程!$B$79,0),ROUNDDOWN(M120*計算過程!$B$79,0),ROUNDUP(M120*計算過程!$B$79,0)),0))</f>
        <v/>
      </c>
      <c r="L121" s="107" t="str">
        <f>IF(A121="","",J121-K121)</f>
        <v/>
      </c>
      <c r="M121" s="107" t="str">
        <f>IF(A121="","",IF(I121&gt;I120,M120-L121,M120))</f>
        <v/>
      </c>
      <c r="N121" s="107" t="str">
        <f>IF(A121="","",C121+J121)</f>
        <v/>
      </c>
      <c r="O121" s="107" t="str">
        <f>IF(A121="","",H121+M121)</f>
        <v/>
      </c>
      <c r="P121" s="107" t="str">
        <f>IF(A121="","",CHOOSE(計算過程!$B$72,ROUND(F120*計算過程!$B$32/計算過程!$B$6,0),ROUNDDOWN(F120*計算過程!$B$32/計算過程!$B$6,0),ROUNDUP(F120*計算過程!$B$32/計算過程!$B$6,0)))</f>
        <v/>
      </c>
      <c r="Q121" s="107" t="str">
        <f>IF(A121="","",CHOOSE(計算過程!$B$72,ROUND(G120*計算過程!$B$33/計算過程!$B$6,0),ROUNDDOWN(G120*計算過程!$B$33/計算過程!$B$6,0),ROUNDUP(G120*計算過程!$B$33/計算過程!$B$6,0)))</f>
        <v/>
      </c>
    </row>
    <row r="122" spans="1:17">
      <c r="A122" s="106" t="str">
        <f>IF(OR(計算過程!$B$98="",ROWS($A$8:A122)&gt;計算過程!$B$71),"",ROWS($A$8:A122))</f>
        <v/>
      </c>
      <c r="B122" s="108" t="str">
        <f>IF(A122="","",EDATE(計算過程!$B$98,A122-1))</f>
        <v/>
      </c>
      <c r="C122" s="107" t="str">
        <f>IF(A122="","",IF(A122=計算過程!$B$71,D122+F121+G121,計算過程!$B$78))</f>
        <v/>
      </c>
      <c r="D122" s="107" t="str">
        <f>IF(A122="","",P122+Q122)</f>
        <v/>
      </c>
      <c r="E122" s="107" t="str">
        <f>IF(A122="","",C122-D122)</f>
        <v/>
      </c>
      <c r="F122" s="107" t="str">
        <f>IF(A122="","",IF(A122=計算過程!$B$71,0,MAX(0,F121-(計算過程!$B$76-P122))))</f>
        <v/>
      </c>
      <c r="G122" s="107" t="str">
        <f>IF(A122="","",IF(A122=計算過程!$B$71,0,MAX(0,G121-(計算過程!$B$77-Q122))))</f>
        <v/>
      </c>
      <c r="H122" s="107" t="str">
        <f>IF(A122="","",F122+G122)</f>
        <v/>
      </c>
      <c r="I122" s="106" t="str">
        <f>IF(A122="","",IF(AND(OR(MONTH(B122)=6,MONTH(B122)=12),I121&lt;計算過程!$B$69),I121+1,I121))</f>
        <v/>
      </c>
      <c r="J122" s="107" t="str">
        <f>IF(A122="","",IF(I122&gt;I121,IF(I122=計算過程!$B$69,M121+K122,計算過程!$B$81),0))</f>
        <v/>
      </c>
      <c r="K122" s="107" t="str">
        <f>IF(A122="","",IF(I122&gt;I121,CHOOSE(計算過程!$B$72,ROUND(M121*計算過程!$B$79,0),ROUNDDOWN(M121*計算過程!$B$79,0),ROUNDUP(M121*計算過程!$B$79,0)),0))</f>
        <v/>
      </c>
      <c r="L122" s="107" t="str">
        <f>IF(A122="","",J122-K122)</f>
        <v/>
      </c>
      <c r="M122" s="107" t="str">
        <f>IF(A122="","",IF(I122&gt;I121,M121-L122,M121))</f>
        <v/>
      </c>
      <c r="N122" s="107" t="str">
        <f>IF(A122="","",C122+J122)</f>
        <v/>
      </c>
      <c r="O122" s="107" t="str">
        <f>IF(A122="","",H122+M122)</f>
        <v/>
      </c>
      <c r="P122" s="107" t="str">
        <f>IF(A122="","",CHOOSE(計算過程!$B$72,ROUND(F121*計算過程!$B$32/計算過程!$B$6,0),ROUNDDOWN(F121*計算過程!$B$32/計算過程!$B$6,0),ROUNDUP(F121*計算過程!$B$32/計算過程!$B$6,0)))</f>
        <v/>
      </c>
      <c r="Q122" s="107" t="str">
        <f>IF(A122="","",CHOOSE(計算過程!$B$72,ROUND(G121*計算過程!$B$33/計算過程!$B$6,0),ROUNDDOWN(G121*計算過程!$B$33/計算過程!$B$6,0),ROUNDUP(G121*計算過程!$B$33/計算過程!$B$6,0)))</f>
        <v/>
      </c>
    </row>
    <row r="123" spans="1:17">
      <c r="A123" s="106" t="str">
        <f>IF(OR(計算過程!$B$98="",ROWS($A$8:A123)&gt;計算過程!$B$71),"",ROWS($A$8:A123))</f>
        <v/>
      </c>
      <c r="B123" s="108" t="str">
        <f>IF(A123="","",EDATE(計算過程!$B$98,A123-1))</f>
        <v/>
      </c>
      <c r="C123" s="107" t="str">
        <f>IF(A123="","",IF(A123=計算過程!$B$71,D123+F122+G122,計算過程!$B$78))</f>
        <v/>
      </c>
      <c r="D123" s="107" t="str">
        <f>IF(A123="","",P123+Q123)</f>
        <v/>
      </c>
      <c r="E123" s="107" t="str">
        <f>IF(A123="","",C123-D123)</f>
        <v/>
      </c>
      <c r="F123" s="107" t="str">
        <f>IF(A123="","",IF(A123=計算過程!$B$71,0,MAX(0,F122-(計算過程!$B$76-P123))))</f>
        <v/>
      </c>
      <c r="G123" s="107" t="str">
        <f>IF(A123="","",IF(A123=計算過程!$B$71,0,MAX(0,G122-(計算過程!$B$77-Q123))))</f>
        <v/>
      </c>
      <c r="H123" s="107" t="str">
        <f>IF(A123="","",F123+G123)</f>
        <v/>
      </c>
      <c r="I123" s="106" t="str">
        <f>IF(A123="","",IF(AND(OR(MONTH(B123)=6,MONTH(B123)=12),I122&lt;計算過程!$B$69),I122+1,I122))</f>
        <v/>
      </c>
      <c r="J123" s="107" t="str">
        <f>IF(A123="","",IF(I123&gt;I122,IF(I123=計算過程!$B$69,M122+K123,計算過程!$B$81),0))</f>
        <v/>
      </c>
      <c r="K123" s="107" t="str">
        <f>IF(A123="","",IF(I123&gt;I122,CHOOSE(計算過程!$B$72,ROUND(M122*計算過程!$B$79,0),ROUNDDOWN(M122*計算過程!$B$79,0),ROUNDUP(M122*計算過程!$B$79,0)),0))</f>
        <v/>
      </c>
      <c r="L123" s="107" t="str">
        <f>IF(A123="","",J123-K123)</f>
        <v/>
      </c>
      <c r="M123" s="107" t="str">
        <f>IF(A123="","",IF(I123&gt;I122,M122-L123,M122))</f>
        <v/>
      </c>
      <c r="N123" s="107" t="str">
        <f>IF(A123="","",C123+J123)</f>
        <v/>
      </c>
      <c r="O123" s="107" t="str">
        <f>IF(A123="","",H123+M123)</f>
        <v/>
      </c>
      <c r="P123" s="107" t="str">
        <f>IF(A123="","",CHOOSE(計算過程!$B$72,ROUND(F122*計算過程!$B$32/計算過程!$B$6,0),ROUNDDOWN(F122*計算過程!$B$32/計算過程!$B$6,0),ROUNDUP(F122*計算過程!$B$32/計算過程!$B$6,0)))</f>
        <v/>
      </c>
      <c r="Q123" s="107" t="str">
        <f>IF(A123="","",CHOOSE(計算過程!$B$72,ROUND(G122*計算過程!$B$33/計算過程!$B$6,0),ROUNDDOWN(G122*計算過程!$B$33/計算過程!$B$6,0),ROUNDUP(G122*計算過程!$B$33/計算過程!$B$6,0)))</f>
        <v/>
      </c>
    </row>
    <row r="124" spans="1:17">
      <c r="A124" s="106" t="str">
        <f>IF(OR(計算過程!$B$98="",ROWS($A$8:A124)&gt;計算過程!$B$71),"",ROWS($A$8:A124))</f>
        <v/>
      </c>
      <c r="B124" s="108" t="str">
        <f>IF(A124="","",EDATE(計算過程!$B$98,A124-1))</f>
        <v/>
      </c>
      <c r="C124" s="107" t="str">
        <f>IF(A124="","",IF(A124=計算過程!$B$71,D124+F123+G123,計算過程!$B$78))</f>
        <v/>
      </c>
      <c r="D124" s="107" t="str">
        <f>IF(A124="","",P124+Q124)</f>
        <v/>
      </c>
      <c r="E124" s="107" t="str">
        <f>IF(A124="","",C124-D124)</f>
        <v/>
      </c>
      <c r="F124" s="107" t="str">
        <f>IF(A124="","",IF(A124=計算過程!$B$71,0,MAX(0,F123-(計算過程!$B$76-P124))))</f>
        <v/>
      </c>
      <c r="G124" s="107" t="str">
        <f>IF(A124="","",IF(A124=計算過程!$B$71,0,MAX(0,G123-(計算過程!$B$77-Q124))))</f>
        <v/>
      </c>
      <c r="H124" s="107" t="str">
        <f>IF(A124="","",F124+G124)</f>
        <v/>
      </c>
      <c r="I124" s="106" t="str">
        <f>IF(A124="","",IF(AND(OR(MONTH(B124)=6,MONTH(B124)=12),I123&lt;計算過程!$B$69),I123+1,I123))</f>
        <v/>
      </c>
      <c r="J124" s="107" t="str">
        <f>IF(A124="","",IF(I124&gt;I123,IF(I124=計算過程!$B$69,M123+K124,計算過程!$B$81),0))</f>
        <v/>
      </c>
      <c r="K124" s="107" t="str">
        <f>IF(A124="","",IF(I124&gt;I123,CHOOSE(計算過程!$B$72,ROUND(M123*計算過程!$B$79,0),ROUNDDOWN(M123*計算過程!$B$79,0),ROUNDUP(M123*計算過程!$B$79,0)),0))</f>
        <v/>
      </c>
      <c r="L124" s="107" t="str">
        <f>IF(A124="","",J124-K124)</f>
        <v/>
      </c>
      <c r="M124" s="107" t="str">
        <f>IF(A124="","",IF(I124&gt;I123,M123-L124,M123))</f>
        <v/>
      </c>
      <c r="N124" s="107" t="str">
        <f>IF(A124="","",C124+J124)</f>
        <v/>
      </c>
      <c r="O124" s="107" t="str">
        <f>IF(A124="","",H124+M124)</f>
        <v/>
      </c>
      <c r="P124" s="107" t="str">
        <f>IF(A124="","",CHOOSE(計算過程!$B$72,ROUND(F123*計算過程!$B$32/計算過程!$B$6,0),ROUNDDOWN(F123*計算過程!$B$32/計算過程!$B$6,0),ROUNDUP(F123*計算過程!$B$32/計算過程!$B$6,0)))</f>
        <v/>
      </c>
      <c r="Q124" s="107" t="str">
        <f>IF(A124="","",CHOOSE(計算過程!$B$72,ROUND(G123*計算過程!$B$33/計算過程!$B$6,0),ROUNDDOWN(G123*計算過程!$B$33/計算過程!$B$6,0),ROUNDUP(G123*計算過程!$B$33/計算過程!$B$6,0)))</f>
        <v/>
      </c>
    </row>
    <row r="125" spans="1:17">
      <c r="A125" s="106" t="str">
        <f>IF(OR(計算過程!$B$98="",ROWS($A$8:A125)&gt;計算過程!$B$71),"",ROWS($A$8:A125))</f>
        <v/>
      </c>
      <c r="B125" s="108" t="str">
        <f>IF(A125="","",EDATE(計算過程!$B$98,A125-1))</f>
        <v/>
      </c>
      <c r="C125" s="107" t="str">
        <f>IF(A125="","",IF(A125=計算過程!$B$71,D125+F124+G124,計算過程!$B$78))</f>
        <v/>
      </c>
      <c r="D125" s="107" t="str">
        <f>IF(A125="","",P125+Q125)</f>
        <v/>
      </c>
      <c r="E125" s="107" t="str">
        <f>IF(A125="","",C125-D125)</f>
        <v/>
      </c>
      <c r="F125" s="107" t="str">
        <f>IF(A125="","",IF(A125=計算過程!$B$71,0,MAX(0,F124-(計算過程!$B$76-P125))))</f>
        <v/>
      </c>
      <c r="G125" s="107" t="str">
        <f>IF(A125="","",IF(A125=計算過程!$B$71,0,MAX(0,G124-(計算過程!$B$77-Q125))))</f>
        <v/>
      </c>
      <c r="H125" s="107" t="str">
        <f>IF(A125="","",F125+G125)</f>
        <v/>
      </c>
      <c r="I125" s="106" t="str">
        <f>IF(A125="","",IF(AND(OR(MONTH(B125)=6,MONTH(B125)=12),I124&lt;計算過程!$B$69),I124+1,I124))</f>
        <v/>
      </c>
      <c r="J125" s="107" t="str">
        <f>IF(A125="","",IF(I125&gt;I124,IF(I125=計算過程!$B$69,M124+K125,計算過程!$B$81),0))</f>
        <v/>
      </c>
      <c r="K125" s="107" t="str">
        <f>IF(A125="","",IF(I125&gt;I124,CHOOSE(計算過程!$B$72,ROUND(M124*計算過程!$B$79,0),ROUNDDOWN(M124*計算過程!$B$79,0),ROUNDUP(M124*計算過程!$B$79,0)),0))</f>
        <v/>
      </c>
      <c r="L125" s="107" t="str">
        <f>IF(A125="","",J125-K125)</f>
        <v/>
      </c>
      <c r="M125" s="107" t="str">
        <f>IF(A125="","",IF(I125&gt;I124,M124-L125,M124))</f>
        <v/>
      </c>
      <c r="N125" s="107" t="str">
        <f>IF(A125="","",C125+J125)</f>
        <v/>
      </c>
      <c r="O125" s="107" t="str">
        <f>IF(A125="","",H125+M125)</f>
        <v/>
      </c>
      <c r="P125" s="107" t="str">
        <f>IF(A125="","",CHOOSE(計算過程!$B$72,ROUND(F124*計算過程!$B$32/計算過程!$B$6,0),ROUNDDOWN(F124*計算過程!$B$32/計算過程!$B$6,0),ROUNDUP(F124*計算過程!$B$32/計算過程!$B$6,0)))</f>
        <v/>
      </c>
      <c r="Q125" s="107" t="str">
        <f>IF(A125="","",CHOOSE(計算過程!$B$72,ROUND(G124*計算過程!$B$33/計算過程!$B$6,0),ROUNDDOWN(G124*計算過程!$B$33/計算過程!$B$6,0),ROUNDUP(G124*計算過程!$B$33/計算過程!$B$6,0)))</f>
        <v/>
      </c>
    </row>
    <row r="126" spans="1:17">
      <c r="A126" s="106" t="str">
        <f>IF(OR(計算過程!$B$98="",ROWS($A$8:A126)&gt;計算過程!$B$71),"",ROWS($A$8:A126))</f>
        <v/>
      </c>
      <c r="B126" s="108" t="str">
        <f>IF(A126="","",EDATE(計算過程!$B$98,A126-1))</f>
        <v/>
      </c>
      <c r="C126" s="107" t="str">
        <f>IF(A126="","",IF(A126=計算過程!$B$71,D126+F125+G125,計算過程!$B$78))</f>
        <v/>
      </c>
      <c r="D126" s="107" t="str">
        <f>IF(A126="","",P126+Q126)</f>
        <v/>
      </c>
      <c r="E126" s="107" t="str">
        <f>IF(A126="","",C126-D126)</f>
        <v/>
      </c>
      <c r="F126" s="107" t="str">
        <f>IF(A126="","",IF(A126=計算過程!$B$71,0,MAX(0,F125-(計算過程!$B$76-P126))))</f>
        <v/>
      </c>
      <c r="G126" s="107" t="str">
        <f>IF(A126="","",IF(A126=計算過程!$B$71,0,MAX(0,G125-(計算過程!$B$77-Q126))))</f>
        <v/>
      </c>
      <c r="H126" s="107" t="str">
        <f>IF(A126="","",F126+G126)</f>
        <v/>
      </c>
      <c r="I126" s="106" t="str">
        <f>IF(A126="","",IF(AND(OR(MONTH(B126)=6,MONTH(B126)=12),I125&lt;計算過程!$B$69),I125+1,I125))</f>
        <v/>
      </c>
      <c r="J126" s="107" t="str">
        <f>IF(A126="","",IF(I126&gt;I125,IF(I126=計算過程!$B$69,M125+K126,計算過程!$B$81),0))</f>
        <v/>
      </c>
      <c r="K126" s="107" t="str">
        <f>IF(A126="","",IF(I126&gt;I125,CHOOSE(計算過程!$B$72,ROUND(M125*計算過程!$B$79,0),ROUNDDOWN(M125*計算過程!$B$79,0),ROUNDUP(M125*計算過程!$B$79,0)),0))</f>
        <v/>
      </c>
      <c r="L126" s="107" t="str">
        <f>IF(A126="","",J126-K126)</f>
        <v/>
      </c>
      <c r="M126" s="107" t="str">
        <f>IF(A126="","",IF(I126&gt;I125,M125-L126,M125))</f>
        <v/>
      </c>
      <c r="N126" s="107" t="str">
        <f>IF(A126="","",C126+J126)</f>
        <v/>
      </c>
      <c r="O126" s="107" t="str">
        <f>IF(A126="","",H126+M126)</f>
        <v/>
      </c>
      <c r="P126" s="107" t="str">
        <f>IF(A126="","",CHOOSE(計算過程!$B$72,ROUND(F125*計算過程!$B$32/計算過程!$B$6,0),ROUNDDOWN(F125*計算過程!$B$32/計算過程!$B$6,0),ROUNDUP(F125*計算過程!$B$32/計算過程!$B$6,0)))</f>
        <v/>
      </c>
      <c r="Q126" s="107" t="str">
        <f>IF(A126="","",CHOOSE(計算過程!$B$72,ROUND(G125*計算過程!$B$33/計算過程!$B$6,0),ROUNDDOWN(G125*計算過程!$B$33/計算過程!$B$6,0),ROUNDUP(G125*計算過程!$B$33/計算過程!$B$6,0)))</f>
        <v/>
      </c>
    </row>
    <row r="127" spans="1:17">
      <c r="A127" s="106" t="str">
        <f>IF(OR(計算過程!$B$98="",ROWS($A$8:A127)&gt;計算過程!$B$71),"",ROWS($A$8:A127))</f>
        <v/>
      </c>
      <c r="B127" s="108" t="str">
        <f>IF(A127="","",EDATE(計算過程!$B$98,A127-1))</f>
        <v/>
      </c>
      <c r="C127" s="107" t="str">
        <f>IF(A127="","",IF(A127=計算過程!$B$71,D127+F126+G126,計算過程!$B$78))</f>
        <v/>
      </c>
      <c r="D127" s="107" t="str">
        <f>IF(A127="","",P127+Q127)</f>
        <v/>
      </c>
      <c r="E127" s="107" t="str">
        <f>IF(A127="","",C127-D127)</f>
        <v/>
      </c>
      <c r="F127" s="107" t="str">
        <f>IF(A127="","",IF(A127=計算過程!$B$71,0,MAX(0,F126-(計算過程!$B$76-P127))))</f>
        <v/>
      </c>
      <c r="G127" s="107" t="str">
        <f>IF(A127="","",IF(A127=計算過程!$B$71,0,MAX(0,G126-(計算過程!$B$77-Q127))))</f>
        <v/>
      </c>
      <c r="H127" s="107" t="str">
        <f>IF(A127="","",F127+G127)</f>
        <v/>
      </c>
      <c r="I127" s="106" t="str">
        <f>IF(A127="","",IF(AND(OR(MONTH(B127)=6,MONTH(B127)=12),I126&lt;計算過程!$B$69),I126+1,I126))</f>
        <v/>
      </c>
      <c r="J127" s="107" t="str">
        <f>IF(A127="","",IF(I127&gt;I126,IF(I127=計算過程!$B$69,M126+K127,計算過程!$B$81),0))</f>
        <v/>
      </c>
      <c r="K127" s="107" t="str">
        <f>IF(A127="","",IF(I127&gt;I126,CHOOSE(計算過程!$B$72,ROUND(M126*計算過程!$B$79,0),ROUNDDOWN(M126*計算過程!$B$79,0),ROUNDUP(M126*計算過程!$B$79,0)),0))</f>
        <v/>
      </c>
      <c r="L127" s="107" t="str">
        <f>IF(A127="","",J127-K127)</f>
        <v/>
      </c>
      <c r="M127" s="107" t="str">
        <f>IF(A127="","",IF(I127&gt;I126,M126-L127,M126))</f>
        <v/>
      </c>
      <c r="N127" s="107" t="str">
        <f>IF(A127="","",C127+J127)</f>
        <v/>
      </c>
      <c r="O127" s="107" t="str">
        <f>IF(A127="","",H127+M127)</f>
        <v/>
      </c>
      <c r="P127" s="107" t="str">
        <f>IF(A127="","",CHOOSE(計算過程!$B$72,ROUND(F126*計算過程!$B$32/計算過程!$B$6,0),ROUNDDOWN(F126*計算過程!$B$32/計算過程!$B$6,0),ROUNDUP(F126*計算過程!$B$32/計算過程!$B$6,0)))</f>
        <v/>
      </c>
      <c r="Q127" s="107" t="str">
        <f>IF(A127="","",CHOOSE(計算過程!$B$72,ROUND(G126*計算過程!$B$33/計算過程!$B$6,0),ROUNDDOWN(G126*計算過程!$B$33/計算過程!$B$6,0),ROUNDUP(G126*計算過程!$B$33/計算過程!$B$6,0)))</f>
        <v/>
      </c>
    </row>
    <row r="128" spans="1:17">
      <c r="A128" s="106" t="str">
        <f>IF(OR(計算過程!$B$98="",ROWS($A$8:A128)&gt;計算過程!$B$71),"",ROWS($A$8:A128))</f>
        <v/>
      </c>
      <c r="B128" s="108" t="str">
        <f>IF(A128="","",EDATE(計算過程!$B$98,A128-1))</f>
        <v/>
      </c>
      <c r="C128" s="107" t="str">
        <f>IF(A128="","",IF(A128=計算過程!$B$71,D128+F127+G127,計算過程!$B$78))</f>
        <v/>
      </c>
      <c r="D128" s="107" t="str">
        <f>IF(A128="","",P128+Q128)</f>
        <v/>
      </c>
      <c r="E128" s="107" t="str">
        <f>IF(A128="","",C128-D128)</f>
        <v/>
      </c>
      <c r="F128" s="107" t="str">
        <f>IF(A128="","",IF(A128=計算過程!$B$71,0,MAX(0,F127-(計算過程!$B$76-P128))))</f>
        <v/>
      </c>
      <c r="G128" s="107" t="str">
        <f>IF(A128="","",IF(A128=計算過程!$B$71,0,MAX(0,G127-(計算過程!$B$77-Q128))))</f>
        <v/>
      </c>
      <c r="H128" s="107" t="str">
        <f>IF(A128="","",F128+G128)</f>
        <v/>
      </c>
      <c r="I128" s="106" t="str">
        <f>IF(A128="","",IF(AND(OR(MONTH(B128)=6,MONTH(B128)=12),I127&lt;計算過程!$B$69),I127+1,I127))</f>
        <v/>
      </c>
      <c r="J128" s="107" t="str">
        <f>IF(A128="","",IF(I128&gt;I127,IF(I128=計算過程!$B$69,M127+K128,計算過程!$B$81),0))</f>
        <v/>
      </c>
      <c r="K128" s="107" t="str">
        <f>IF(A128="","",IF(I128&gt;I127,CHOOSE(計算過程!$B$72,ROUND(M127*計算過程!$B$79,0),ROUNDDOWN(M127*計算過程!$B$79,0),ROUNDUP(M127*計算過程!$B$79,0)),0))</f>
        <v/>
      </c>
      <c r="L128" s="107" t="str">
        <f>IF(A128="","",J128-K128)</f>
        <v/>
      </c>
      <c r="M128" s="107" t="str">
        <f>IF(A128="","",IF(I128&gt;I127,M127-L128,M127))</f>
        <v/>
      </c>
      <c r="N128" s="107" t="str">
        <f>IF(A128="","",C128+J128)</f>
        <v/>
      </c>
      <c r="O128" s="107" t="str">
        <f>IF(A128="","",H128+M128)</f>
        <v/>
      </c>
      <c r="P128" s="107" t="str">
        <f>IF(A128="","",CHOOSE(計算過程!$B$72,ROUND(F127*計算過程!$B$32/計算過程!$B$6,0),ROUNDDOWN(F127*計算過程!$B$32/計算過程!$B$6,0),ROUNDUP(F127*計算過程!$B$32/計算過程!$B$6,0)))</f>
        <v/>
      </c>
      <c r="Q128" s="107" t="str">
        <f>IF(A128="","",CHOOSE(計算過程!$B$72,ROUND(G127*計算過程!$B$33/計算過程!$B$6,0),ROUNDDOWN(G127*計算過程!$B$33/計算過程!$B$6,0),ROUNDUP(G127*計算過程!$B$33/計算過程!$B$6,0)))</f>
        <v/>
      </c>
    </row>
    <row r="129" spans="1:17">
      <c r="A129" s="106" t="str">
        <f>IF(OR(計算過程!$B$98="",ROWS($A$8:A129)&gt;計算過程!$B$71),"",ROWS($A$8:A129))</f>
        <v/>
      </c>
      <c r="B129" s="108" t="str">
        <f>IF(A129="","",EDATE(計算過程!$B$98,A129-1))</f>
        <v/>
      </c>
      <c r="C129" s="107" t="str">
        <f>IF(A129="","",IF(A129=計算過程!$B$71,D129+F128+G128,計算過程!$B$78))</f>
        <v/>
      </c>
      <c r="D129" s="107" t="str">
        <f>IF(A129="","",P129+Q129)</f>
        <v/>
      </c>
      <c r="E129" s="107" t="str">
        <f>IF(A129="","",C129-D129)</f>
        <v/>
      </c>
      <c r="F129" s="107" t="str">
        <f>IF(A129="","",IF(A129=計算過程!$B$71,0,MAX(0,F128-(計算過程!$B$76-P129))))</f>
        <v/>
      </c>
      <c r="G129" s="107" t="str">
        <f>IF(A129="","",IF(A129=計算過程!$B$71,0,MAX(0,G128-(計算過程!$B$77-Q129))))</f>
        <v/>
      </c>
      <c r="H129" s="107" t="str">
        <f>IF(A129="","",F129+G129)</f>
        <v/>
      </c>
      <c r="I129" s="106" t="str">
        <f>IF(A129="","",IF(AND(OR(MONTH(B129)=6,MONTH(B129)=12),I128&lt;計算過程!$B$69),I128+1,I128))</f>
        <v/>
      </c>
      <c r="J129" s="107" t="str">
        <f>IF(A129="","",IF(I129&gt;I128,IF(I129=計算過程!$B$69,M128+K129,計算過程!$B$81),0))</f>
        <v/>
      </c>
      <c r="K129" s="107" t="str">
        <f>IF(A129="","",IF(I129&gt;I128,CHOOSE(計算過程!$B$72,ROUND(M128*計算過程!$B$79,0),ROUNDDOWN(M128*計算過程!$B$79,0),ROUNDUP(M128*計算過程!$B$79,0)),0))</f>
        <v/>
      </c>
      <c r="L129" s="107" t="str">
        <f>IF(A129="","",J129-K129)</f>
        <v/>
      </c>
      <c r="M129" s="107" t="str">
        <f>IF(A129="","",IF(I129&gt;I128,M128-L129,M128))</f>
        <v/>
      </c>
      <c r="N129" s="107" t="str">
        <f>IF(A129="","",C129+J129)</f>
        <v/>
      </c>
      <c r="O129" s="107" t="str">
        <f>IF(A129="","",H129+M129)</f>
        <v/>
      </c>
      <c r="P129" s="107" t="str">
        <f>IF(A129="","",CHOOSE(計算過程!$B$72,ROUND(F128*計算過程!$B$32/計算過程!$B$6,0),ROUNDDOWN(F128*計算過程!$B$32/計算過程!$B$6,0),ROUNDUP(F128*計算過程!$B$32/計算過程!$B$6,0)))</f>
        <v/>
      </c>
      <c r="Q129" s="107" t="str">
        <f>IF(A129="","",CHOOSE(計算過程!$B$72,ROUND(G128*計算過程!$B$33/計算過程!$B$6,0),ROUNDDOWN(G128*計算過程!$B$33/計算過程!$B$6,0),ROUNDUP(G128*計算過程!$B$33/計算過程!$B$6,0)))</f>
        <v/>
      </c>
    </row>
    <row r="130" spans="1:17">
      <c r="A130" s="106" t="str">
        <f>IF(OR(計算過程!$B$98="",ROWS($A$8:A130)&gt;計算過程!$B$71),"",ROWS($A$8:A130))</f>
        <v/>
      </c>
      <c r="B130" s="108" t="str">
        <f>IF(A130="","",EDATE(計算過程!$B$98,A130-1))</f>
        <v/>
      </c>
      <c r="C130" s="107" t="str">
        <f>IF(A130="","",IF(A130=計算過程!$B$71,D130+F129+G129,計算過程!$B$78))</f>
        <v/>
      </c>
      <c r="D130" s="107" t="str">
        <f>IF(A130="","",P130+Q130)</f>
        <v/>
      </c>
      <c r="E130" s="107" t="str">
        <f>IF(A130="","",C130-D130)</f>
        <v/>
      </c>
      <c r="F130" s="107" t="str">
        <f>IF(A130="","",IF(A130=計算過程!$B$71,0,MAX(0,F129-(計算過程!$B$76-P130))))</f>
        <v/>
      </c>
      <c r="G130" s="107" t="str">
        <f>IF(A130="","",IF(A130=計算過程!$B$71,0,MAX(0,G129-(計算過程!$B$77-Q130))))</f>
        <v/>
      </c>
      <c r="H130" s="107" t="str">
        <f>IF(A130="","",F130+G130)</f>
        <v/>
      </c>
      <c r="I130" s="106" t="str">
        <f>IF(A130="","",IF(AND(OR(MONTH(B130)=6,MONTH(B130)=12),I129&lt;計算過程!$B$69),I129+1,I129))</f>
        <v/>
      </c>
      <c r="J130" s="107" t="str">
        <f>IF(A130="","",IF(I130&gt;I129,IF(I130=計算過程!$B$69,M129+K130,計算過程!$B$81),0))</f>
        <v/>
      </c>
      <c r="K130" s="107" t="str">
        <f>IF(A130="","",IF(I130&gt;I129,CHOOSE(計算過程!$B$72,ROUND(M129*計算過程!$B$79,0),ROUNDDOWN(M129*計算過程!$B$79,0),ROUNDUP(M129*計算過程!$B$79,0)),0))</f>
        <v/>
      </c>
      <c r="L130" s="107" t="str">
        <f>IF(A130="","",J130-K130)</f>
        <v/>
      </c>
      <c r="M130" s="107" t="str">
        <f>IF(A130="","",IF(I130&gt;I129,M129-L130,M129))</f>
        <v/>
      </c>
      <c r="N130" s="107" t="str">
        <f>IF(A130="","",C130+J130)</f>
        <v/>
      </c>
      <c r="O130" s="107" t="str">
        <f>IF(A130="","",H130+M130)</f>
        <v/>
      </c>
      <c r="P130" s="107" t="str">
        <f>IF(A130="","",CHOOSE(計算過程!$B$72,ROUND(F129*計算過程!$B$32/計算過程!$B$6,0),ROUNDDOWN(F129*計算過程!$B$32/計算過程!$B$6,0),ROUNDUP(F129*計算過程!$B$32/計算過程!$B$6,0)))</f>
        <v/>
      </c>
      <c r="Q130" s="107" t="str">
        <f>IF(A130="","",CHOOSE(計算過程!$B$72,ROUND(G129*計算過程!$B$33/計算過程!$B$6,0),ROUNDDOWN(G129*計算過程!$B$33/計算過程!$B$6,0),ROUNDUP(G129*計算過程!$B$33/計算過程!$B$6,0)))</f>
        <v/>
      </c>
    </row>
    <row r="131" spans="1:17">
      <c r="A131" s="106" t="str">
        <f>IF(OR(計算過程!$B$98="",ROWS($A$8:A131)&gt;計算過程!$B$71),"",ROWS($A$8:A131))</f>
        <v/>
      </c>
      <c r="B131" s="108" t="str">
        <f>IF(A131="","",EDATE(計算過程!$B$98,A131-1))</f>
        <v/>
      </c>
      <c r="C131" s="107" t="str">
        <f>IF(A131="","",IF(A131=計算過程!$B$71,D131+F130+G130,計算過程!$B$78))</f>
        <v/>
      </c>
      <c r="D131" s="107" t="str">
        <f>IF(A131="","",P131+Q131)</f>
        <v/>
      </c>
      <c r="E131" s="107" t="str">
        <f>IF(A131="","",C131-D131)</f>
        <v/>
      </c>
      <c r="F131" s="107" t="str">
        <f>IF(A131="","",IF(A131=計算過程!$B$71,0,MAX(0,F130-(計算過程!$B$76-P131))))</f>
        <v/>
      </c>
      <c r="G131" s="107" t="str">
        <f>IF(A131="","",IF(A131=計算過程!$B$71,0,MAX(0,G130-(計算過程!$B$77-Q131))))</f>
        <v/>
      </c>
      <c r="H131" s="107" t="str">
        <f>IF(A131="","",F131+G131)</f>
        <v/>
      </c>
      <c r="I131" s="106" t="str">
        <f>IF(A131="","",IF(AND(OR(MONTH(B131)=6,MONTH(B131)=12),I130&lt;計算過程!$B$69),I130+1,I130))</f>
        <v/>
      </c>
      <c r="J131" s="107" t="str">
        <f>IF(A131="","",IF(I131&gt;I130,IF(I131=計算過程!$B$69,M130+K131,計算過程!$B$81),0))</f>
        <v/>
      </c>
      <c r="K131" s="107" t="str">
        <f>IF(A131="","",IF(I131&gt;I130,CHOOSE(計算過程!$B$72,ROUND(M130*計算過程!$B$79,0),ROUNDDOWN(M130*計算過程!$B$79,0),ROUNDUP(M130*計算過程!$B$79,0)),0))</f>
        <v/>
      </c>
      <c r="L131" s="107" t="str">
        <f>IF(A131="","",J131-K131)</f>
        <v/>
      </c>
      <c r="M131" s="107" t="str">
        <f>IF(A131="","",IF(I131&gt;I130,M130-L131,M130))</f>
        <v/>
      </c>
      <c r="N131" s="107" t="str">
        <f>IF(A131="","",C131+J131)</f>
        <v/>
      </c>
      <c r="O131" s="107" t="str">
        <f>IF(A131="","",H131+M131)</f>
        <v/>
      </c>
      <c r="P131" s="107" t="str">
        <f>IF(A131="","",CHOOSE(計算過程!$B$72,ROUND(F130*計算過程!$B$32/計算過程!$B$6,0),ROUNDDOWN(F130*計算過程!$B$32/計算過程!$B$6,0),ROUNDUP(F130*計算過程!$B$32/計算過程!$B$6,0)))</f>
        <v/>
      </c>
      <c r="Q131" s="107" t="str">
        <f>IF(A131="","",CHOOSE(計算過程!$B$72,ROUND(G130*計算過程!$B$33/計算過程!$B$6,0),ROUNDDOWN(G130*計算過程!$B$33/計算過程!$B$6,0),ROUNDUP(G130*計算過程!$B$33/計算過程!$B$6,0)))</f>
        <v/>
      </c>
    </row>
    <row r="132" spans="1:17">
      <c r="A132" s="106" t="str">
        <f>IF(OR(計算過程!$B$98="",ROWS($A$8:A132)&gt;計算過程!$B$71),"",ROWS($A$8:A132))</f>
        <v/>
      </c>
      <c r="B132" s="108" t="str">
        <f>IF(A132="","",EDATE(計算過程!$B$98,A132-1))</f>
        <v/>
      </c>
      <c r="C132" s="107" t="str">
        <f>IF(A132="","",IF(A132=計算過程!$B$71,D132+F131+G131,計算過程!$B$78))</f>
        <v/>
      </c>
      <c r="D132" s="107" t="str">
        <f>IF(A132="","",P132+Q132)</f>
        <v/>
      </c>
      <c r="E132" s="107" t="str">
        <f>IF(A132="","",C132-D132)</f>
        <v/>
      </c>
      <c r="F132" s="107" t="str">
        <f>IF(A132="","",IF(A132=計算過程!$B$71,0,MAX(0,F131-(計算過程!$B$76-P132))))</f>
        <v/>
      </c>
      <c r="G132" s="107" t="str">
        <f>IF(A132="","",IF(A132=計算過程!$B$71,0,MAX(0,G131-(計算過程!$B$77-Q132))))</f>
        <v/>
      </c>
      <c r="H132" s="107" t="str">
        <f>IF(A132="","",F132+G132)</f>
        <v/>
      </c>
      <c r="I132" s="106" t="str">
        <f>IF(A132="","",IF(AND(OR(MONTH(B132)=6,MONTH(B132)=12),I131&lt;計算過程!$B$69),I131+1,I131))</f>
        <v/>
      </c>
      <c r="J132" s="107" t="str">
        <f>IF(A132="","",IF(I132&gt;I131,IF(I132=計算過程!$B$69,M131+K132,計算過程!$B$81),0))</f>
        <v/>
      </c>
      <c r="K132" s="107" t="str">
        <f>IF(A132="","",IF(I132&gt;I131,CHOOSE(計算過程!$B$72,ROUND(M131*計算過程!$B$79,0),ROUNDDOWN(M131*計算過程!$B$79,0),ROUNDUP(M131*計算過程!$B$79,0)),0))</f>
        <v/>
      </c>
      <c r="L132" s="107" t="str">
        <f>IF(A132="","",J132-K132)</f>
        <v/>
      </c>
      <c r="M132" s="107" t="str">
        <f>IF(A132="","",IF(I132&gt;I131,M131-L132,M131))</f>
        <v/>
      </c>
      <c r="N132" s="107" t="str">
        <f>IF(A132="","",C132+J132)</f>
        <v/>
      </c>
      <c r="O132" s="107" t="str">
        <f>IF(A132="","",H132+M132)</f>
        <v/>
      </c>
      <c r="P132" s="107" t="str">
        <f>IF(A132="","",CHOOSE(計算過程!$B$72,ROUND(F131*計算過程!$B$32/計算過程!$B$6,0),ROUNDDOWN(F131*計算過程!$B$32/計算過程!$B$6,0),ROUNDUP(F131*計算過程!$B$32/計算過程!$B$6,0)))</f>
        <v/>
      </c>
      <c r="Q132" s="107" t="str">
        <f>IF(A132="","",CHOOSE(計算過程!$B$72,ROUND(G131*計算過程!$B$33/計算過程!$B$6,0),ROUNDDOWN(G131*計算過程!$B$33/計算過程!$B$6,0),ROUNDUP(G131*計算過程!$B$33/計算過程!$B$6,0)))</f>
        <v/>
      </c>
    </row>
    <row r="133" spans="1:17">
      <c r="A133" s="106" t="str">
        <f>IF(OR(計算過程!$B$98="",ROWS($A$8:A133)&gt;計算過程!$B$71),"",ROWS($A$8:A133))</f>
        <v/>
      </c>
      <c r="B133" s="108" t="str">
        <f>IF(A133="","",EDATE(計算過程!$B$98,A133-1))</f>
        <v/>
      </c>
      <c r="C133" s="107" t="str">
        <f>IF(A133="","",IF(A133=計算過程!$B$71,D133+F132+G132,計算過程!$B$78))</f>
        <v/>
      </c>
      <c r="D133" s="107" t="str">
        <f>IF(A133="","",P133+Q133)</f>
        <v/>
      </c>
      <c r="E133" s="107" t="str">
        <f>IF(A133="","",C133-D133)</f>
        <v/>
      </c>
      <c r="F133" s="107" t="str">
        <f>IF(A133="","",IF(A133=計算過程!$B$71,0,MAX(0,F132-(計算過程!$B$76-P133))))</f>
        <v/>
      </c>
      <c r="G133" s="107" t="str">
        <f>IF(A133="","",IF(A133=計算過程!$B$71,0,MAX(0,G132-(計算過程!$B$77-Q133))))</f>
        <v/>
      </c>
      <c r="H133" s="107" t="str">
        <f>IF(A133="","",F133+G133)</f>
        <v/>
      </c>
      <c r="I133" s="106" t="str">
        <f>IF(A133="","",IF(AND(OR(MONTH(B133)=6,MONTH(B133)=12),I132&lt;計算過程!$B$69),I132+1,I132))</f>
        <v/>
      </c>
      <c r="J133" s="107" t="str">
        <f>IF(A133="","",IF(I133&gt;I132,IF(I133=計算過程!$B$69,M132+K133,計算過程!$B$81),0))</f>
        <v/>
      </c>
      <c r="K133" s="107" t="str">
        <f>IF(A133="","",IF(I133&gt;I132,CHOOSE(計算過程!$B$72,ROUND(M132*計算過程!$B$79,0),ROUNDDOWN(M132*計算過程!$B$79,0),ROUNDUP(M132*計算過程!$B$79,0)),0))</f>
        <v/>
      </c>
      <c r="L133" s="107" t="str">
        <f>IF(A133="","",J133-K133)</f>
        <v/>
      </c>
      <c r="M133" s="107" t="str">
        <f>IF(A133="","",IF(I133&gt;I132,M132-L133,M132))</f>
        <v/>
      </c>
      <c r="N133" s="107" t="str">
        <f>IF(A133="","",C133+J133)</f>
        <v/>
      </c>
      <c r="O133" s="107" t="str">
        <f>IF(A133="","",H133+M133)</f>
        <v/>
      </c>
      <c r="P133" s="107" t="str">
        <f>IF(A133="","",CHOOSE(計算過程!$B$72,ROUND(F132*計算過程!$B$32/計算過程!$B$6,0),ROUNDDOWN(F132*計算過程!$B$32/計算過程!$B$6,0),ROUNDUP(F132*計算過程!$B$32/計算過程!$B$6,0)))</f>
        <v/>
      </c>
      <c r="Q133" s="107" t="str">
        <f>IF(A133="","",CHOOSE(計算過程!$B$72,ROUND(G132*計算過程!$B$33/計算過程!$B$6,0),ROUNDDOWN(G132*計算過程!$B$33/計算過程!$B$6,0),ROUNDUP(G132*計算過程!$B$33/計算過程!$B$6,0)))</f>
        <v/>
      </c>
    </row>
    <row r="134" spans="1:17">
      <c r="A134" s="106" t="str">
        <f>IF(OR(計算過程!$B$98="",ROWS($A$8:A134)&gt;計算過程!$B$71),"",ROWS($A$8:A134))</f>
        <v/>
      </c>
      <c r="B134" s="108" t="str">
        <f>IF(A134="","",EDATE(計算過程!$B$98,A134-1))</f>
        <v/>
      </c>
      <c r="C134" s="107" t="str">
        <f>IF(A134="","",IF(A134=計算過程!$B$71,D134+F133+G133,計算過程!$B$78))</f>
        <v/>
      </c>
      <c r="D134" s="107" t="str">
        <f>IF(A134="","",P134+Q134)</f>
        <v/>
      </c>
      <c r="E134" s="107" t="str">
        <f>IF(A134="","",C134-D134)</f>
        <v/>
      </c>
      <c r="F134" s="107" t="str">
        <f>IF(A134="","",IF(A134=計算過程!$B$71,0,MAX(0,F133-(計算過程!$B$76-P134))))</f>
        <v/>
      </c>
      <c r="G134" s="107" t="str">
        <f>IF(A134="","",IF(A134=計算過程!$B$71,0,MAX(0,G133-(計算過程!$B$77-Q134))))</f>
        <v/>
      </c>
      <c r="H134" s="107" t="str">
        <f>IF(A134="","",F134+G134)</f>
        <v/>
      </c>
      <c r="I134" s="106" t="str">
        <f>IF(A134="","",IF(AND(OR(MONTH(B134)=6,MONTH(B134)=12),I133&lt;計算過程!$B$69),I133+1,I133))</f>
        <v/>
      </c>
      <c r="J134" s="107" t="str">
        <f>IF(A134="","",IF(I134&gt;I133,IF(I134=計算過程!$B$69,M133+K134,計算過程!$B$81),0))</f>
        <v/>
      </c>
      <c r="K134" s="107" t="str">
        <f>IF(A134="","",IF(I134&gt;I133,CHOOSE(計算過程!$B$72,ROUND(M133*計算過程!$B$79,0),ROUNDDOWN(M133*計算過程!$B$79,0),ROUNDUP(M133*計算過程!$B$79,0)),0))</f>
        <v/>
      </c>
      <c r="L134" s="107" t="str">
        <f>IF(A134="","",J134-K134)</f>
        <v/>
      </c>
      <c r="M134" s="107" t="str">
        <f>IF(A134="","",IF(I134&gt;I133,M133-L134,M133))</f>
        <v/>
      </c>
      <c r="N134" s="107" t="str">
        <f>IF(A134="","",C134+J134)</f>
        <v/>
      </c>
      <c r="O134" s="107" t="str">
        <f>IF(A134="","",H134+M134)</f>
        <v/>
      </c>
      <c r="P134" s="107" t="str">
        <f>IF(A134="","",CHOOSE(計算過程!$B$72,ROUND(F133*計算過程!$B$32/計算過程!$B$6,0),ROUNDDOWN(F133*計算過程!$B$32/計算過程!$B$6,0),ROUNDUP(F133*計算過程!$B$32/計算過程!$B$6,0)))</f>
        <v/>
      </c>
      <c r="Q134" s="107" t="str">
        <f>IF(A134="","",CHOOSE(計算過程!$B$72,ROUND(G133*計算過程!$B$33/計算過程!$B$6,0),ROUNDDOWN(G133*計算過程!$B$33/計算過程!$B$6,0),ROUNDUP(G133*計算過程!$B$33/計算過程!$B$6,0)))</f>
        <v/>
      </c>
    </row>
    <row r="135" spans="1:17">
      <c r="A135" s="106" t="str">
        <f>IF(OR(計算過程!$B$98="",ROWS($A$8:A135)&gt;計算過程!$B$71),"",ROWS($A$8:A135))</f>
        <v/>
      </c>
      <c r="B135" s="108" t="str">
        <f>IF(A135="","",EDATE(計算過程!$B$98,A135-1))</f>
        <v/>
      </c>
      <c r="C135" s="107" t="str">
        <f>IF(A135="","",IF(A135=計算過程!$B$71,D135+F134+G134,計算過程!$B$78))</f>
        <v/>
      </c>
      <c r="D135" s="107" t="str">
        <f>IF(A135="","",P135+Q135)</f>
        <v/>
      </c>
      <c r="E135" s="107" t="str">
        <f>IF(A135="","",C135-D135)</f>
        <v/>
      </c>
      <c r="F135" s="107" t="str">
        <f>IF(A135="","",IF(A135=計算過程!$B$71,0,MAX(0,F134-(計算過程!$B$76-P135))))</f>
        <v/>
      </c>
      <c r="G135" s="107" t="str">
        <f>IF(A135="","",IF(A135=計算過程!$B$71,0,MAX(0,G134-(計算過程!$B$77-Q135))))</f>
        <v/>
      </c>
      <c r="H135" s="107" t="str">
        <f>IF(A135="","",F135+G135)</f>
        <v/>
      </c>
      <c r="I135" s="106" t="str">
        <f>IF(A135="","",IF(AND(OR(MONTH(B135)=6,MONTH(B135)=12),I134&lt;計算過程!$B$69),I134+1,I134))</f>
        <v/>
      </c>
      <c r="J135" s="107" t="str">
        <f>IF(A135="","",IF(I135&gt;I134,IF(I135=計算過程!$B$69,M134+K135,計算過程!$B$81),0))</f>
        <v/>
      </c>
      <c r="K135" s="107" t="str">
        <f>IF(A135="","",IF(I135&gt;I134,CHOOSE(計算過程!$B$72,ROUND(M134*計算過程!$B$79,0),ROUNDDOWN(M134*計算過程!$B$79,0),ROUNDUP(M134*計算過程!$B$79,0)),0))</f>
        <v/>
      </c>
      <c r="L135" s="107" t="str">
        <f>IF(A135="","",J135-K135)</f>
        <v/>
      </c>
      <c r="M135" s="107" t="str">
        <f>IF(A135="","",IF(I135&gt;I134,M134-L135,M134))</f>
        <v/>
      </c>
      <c r="N135" s="107" t="str">
        <f>IF(A135="","",C135+J135)</f>
        <v/>
      </c>
      <c r="O135" s="107" t="str">
        <f>IF(A135="","",H135+M135)</f>
        <v/>
      </c>
      <c r="P135" s="107" t="str">
        <f>IF(A135="","",CHOOSE(計算過程!$B$72,ROUND(F134*計算過程!$B$32/計算過程!$B$6,0),ROUNDDOWN(F134*計算過程!$B$32/計算過程!$B$6,0),ROUNDUP(F134*計算過程!$B$32/計算過程!$B$6,0)))</f>
        <v/>
      </c>
      <c r="Q135" s="107" t="str">
        <f>IF(A135="","",CHOOSE(計算過程!$B$72,ROUND(G134*計算過程!$B$33/計算過程!$B$6,0),ROUNDDOWN(G134*計算過程!$B$33/計算過程!$B$6,0),ROUNDUP(G134*計算過程!$B$33/計算過程!$B$6,0)))</f>
        <v/>
      </c>
    </row>
    <row r="136" spans="1:17">
      <c r="A136" s="106" t="str">
        <f>IF(OR(計算過程!$B$98="",ROWS($A$8:A136)&gt;計算過程!$B$71),"",ROWS($A$8:A136))</f>
        <v/>
      </c>
      <c r="B136" s="108" t="str">
        <f>IF(A136="","",EDATE(計算過程!$B$98,A136-1))</f>
        <v/>
      </c>
      <c r="C136" s="107" t="str">
        <f>IF(A136="","",IF(A136=計算過程!$B$71,D136+F135+G135,計算過程!$B$78))</f>
        <v/>
      </c>
      <c r="D136" s="107" t="str">
        <f>IF(A136="","",P136+Q136)</f>
        <v/>
      </c>
      <c r="E136" s="107" t="str">
        <f>IF(A136="","",C136-D136)</f>
        <v/>
      </c>
      <c r="F136" s="107" t="str">
        <f>IF(A136="","",IF(A136=計算過程!$B$71,0,MAX(0,F135-(計算過程!$B$76-P136))))</f>
        <v/>
      </c>
      <c r="G136" s="107" t="str">
        <f>IF(A136="","",IF(A136=計算過程!$B$71,0,MAX(0,G135-(計算過程!$B$77-Q136))))</f>
        <v/>
      </c>
      <c r="H136" s="107" t="str">
        <f>IF(A136="","",F136+G136)</f>
        <v/>
      </c>
      <c r="I136" s="106" t="str">
        <f>IF(A136="","",IF(AND(OR(MONTH(B136)=6,MONTH(B136)=12),I135&lt;計算過程!$B$69),I135+1,I135))</f>
        <v/>
      </c>
      <c r="J136" s="107" t="str">
        <f>IF(A136="","",IF(I136&gt;I135,IF(I136=計算過程!$B$69,M135+K136,計算過程!$B$81),0))</f>
        <v/>
      </c>
      <c r="K136" s="107" t="str">
        <f>IF(A136="","",IF(I136&gt;I135,CHOOSE(計算過程!$B$72,ROUND(M135*計算過程!$B$79,0),ROUNDDOWN(M135*計算過程!$B$79,0),ROUNDUP(M135*計算過程!$B$79,0)),0))</f>
        <v/>
      </c>
      <c r="L136" s="107" t="str">
        <f>IF(A136="","",J136-K136)</f>
        <v/>
      </c>
      <c r="M136" s="107" t="str">
        <f>IF(A136="","",IF(I136&gt;I135,M135-L136,M135))</f>
        <v/>
      </c>
      <c r="N136" s="107" t="str">
        <f>IF(A136="","",C136+J136)</f>
        <v/>
      </c>
      <c r="O136" s="107" t="str">
        <f>IF(A136="","",H136+M136)</f>
        <v/>
      </c>
      <c r="P136" s="107" t="str">
        <f>IF(A136="","",CHOOSE(計算過程!$B$72,ROUND(F135*計算過程!$B$32/計算過程!$B$6,0),ROUNDDOWN(F135*計算過程!$B$32/計算過程!$B$6,0),ROUNDUP(F135*計算過程!$B$32/計算過程!$B$6,0)))</f>
        <v/>
      </c>
      <c r="Q136" s="107" t="str">
        <f>IF(A136="","",CHOOSE(計算過程!$B$72,ROUND(G135*計算過程!$B$33/計算過程!$B$6,0),ROUNDDOWN(G135*計算過程!$B$33/計算過程!$B$6,0),ROUNDUP(G135*計算過程!$B$33/計算過程!$B$6,0)))</f>
        <v/>
      </c>
    </row>
    <row r="137" spans="1:17">
      <c r="A137" s="106" t="str">
        <f>IF(OR(計算過程!$B$98="",ROWS($A$8:A137)&gt;計算過程!$B$71),"",ROWS($A$8:A137))</f>
        <v/>
      </c>
      <c r="B137" s="108" t="str">
        <f>IF(A137="","",EDATE(計算過程!$B$98,A137-1))</f>
        <v/>
      </c>
      <c r="C137" s="107" t="str">
        <f>IF(A137="","",IF(A137=計算過程!$B$71,D137+F136+G136,計算過程!$B$78))</f>
        <v/>
      </c>
      <c r="D137" s="107" t="str">
        <f>IF(A137="","",P137+Q137)</f>
        <v/>
      </c>
      <c r="E137" s="107" t="str">
        <f>IF(A137="","",C137-D137)</f>
        <v/>
      </c>
      <c r="F137" s="107" t="str">
        <f>IF(A137="","",IF(A137=計算過程!$B$71,0,MAX(0,F136-(計算過程!$B$76-P137))))</f>
        <v/>
      </c>
      <c r="G137" s="107" t="str">
        <f>IF(A137="","",IF(A137=計算過程!$B$71,0,MAX(0,G136-(計算過程!$B$77-Q137))))</f>
        <v/>
      </c>
      <c r="H137" s="107" t="str">
        <f>IF(A137="","",F137+G137)</f>
        <v/>
      </c>
      <c r="I137" s="106" t="str">
        <f>IF(A137="","",IF(AND(OR(MONTH(B137)=6,MONTH(B137)=12),I136&lt;計算過程!$B$69),I136+1,I136))</f>
        <v/>
      </c>
      <c r="J137" s="107" t="str">
        <f>IF(A137="","",IF(I137&gt;I136,IF(I137=計算過程!$B$69,M136+K137,計算過程!$B$81),0))</f>
        <v/>
      </c>
      <c r="K137" s="107" t="str">
        <f>IF(A137="","",IF(I137&gt;I136,CHOOSE(計算過程!$B$72,ROUND(M136*計算過程!$B$79,0),ROUNDDOWN(M136*計算過程!$B$79,0),ROUNDUP(M136*計算過程!$B$79,0)),0))</f>
        <v/>
      </c>
      <c r="L137" s="107" t="str">
        <f>IF(A137="","",J137-K137)</f>
        <v/>
      </c>
      <c r="M137" s="107" t="str">
        <f>IF(A137="","",IF(I137&gt;I136,M136-L137,M136))</f>
        <v/>
      </c>
      <c r="N137" s="107" t="str">
        <f>IF(A137="","",C137+J137)</f>
        <v/>
      </c>
      <c r="O137" s="107" t="str">
        <f>IF(A137="","",H137+M137)</f>
        <v/>
      </c>
      <c r="P137" s="107" t="str">
        <f>IF(A137="","",CHOOSE(計算過程!$B$72,ROUND(F136*計算過程!$B$32/計算過程!$B$6,0),ROUNDDOWN(F136*計算過程!$B$32/計算過程!$B$6,0),ROUNDUP(F136*計算過程!$B$32/計算過程!$B$6,0)))</f>
        <v/>
      </c>
      <c r="Q137" s="107" t="str">
        <f>IF(A137="","",CHOOSE(計算過程!$B$72,ROUND(G136*計算過程!$B$33/計算過程!$B$6,0),ROUNDDOWN(G136*計算過程!$B$33/計算過程!$B$6,0),ROUNDUP(G136*計算過程!$B$33/計算過程!$B$6,0)))</f>
        <v/>
      </c>
    </row>
    <row r="138" spans="1:17">
      <c r="A138" s="106" t="str">
        <f>IF(OR(計算過程!$B$98="",ROWS($A$8:A138)&gt;計算過程!$B$71),"",ROWS($A$8:A138))</f>
        <v/>
      </c>
      <c r="B138" s="108" t="str">
        <f>IF(A138="","",EDATE(計算過程!$B$98,A138-1))</f>
        <v/>
      </c>
      <c r="C138" s="107" t="str">
        <f>IF(A138="","",IF(A138=計算過程!$B$71,D138+F137+G137,計算過程!$B$78))</f>
        <v/>
      </c>
      <c r="D138" s="107" t="str">
        <f>IF(A138="","",P138+Q138)</f>
        <v/>
      </c>
      <c r="E138" s="107" t="str">
        <f>IF(A138="","",C138-D138)</f>
        <v/>
      </c>
      <c r="F138" s="107" t="str">
        <f>IF(A138="","",IF(A138=計算過程!$B$71,0,MAX(0,F137-(計算過程!$B$76-P138))))</f>
        <v/>
      </c>
      <c r="G138" s="107" t="str">
        <f>IF(A138="","",IF(A138=計算過程!$B$71,0,MAX(0,G137-(計算過程!$B$77-Q138))))</f>
        <v/>
      </c>
      <c r="H138" s="107" t="str">
        <f>IF(A138="","",F138+G138)</f>
        <v/>
      </c>
      <c r="I138" s="106" t="str">
        <f>IF(A138="","",IF(AND(OR(MONTH(B138)=6,MONTH(B138)=12),I137&lt;計算過程!$B$69),I137+1,I137))</f>
        <v/>
      </c>
      <c r="J138" s="107" t="str">
        <f>IF(A138="","",IF(I138&gt;I137,IF(I138=計算過程!$B$69,M137+K138,計算過程!$B$81),0))</f>
        <v/>
      </c>
      <c r="K138" s="107" t="str">
        <f>IF(A138="","",IF(I138&gt;I137,CHOOSE(計算過程!$B$72,ROUND(M137*計算過程!$B$79,0),ROUNDDOWN(M137*計算過程!$B$79,0),ROUNDUP(M137*計算過程!$B$79,0)),0))</f>
        <v/>
      </c>
      <c r="L138" s="107" t="str">
        <f>IF(A138="","",J138-K138)</f>
        <v/>
      </c>
      <c r="M138" s="107" t="str">
        <f>IF(A138="","",IF(I138&gt;I137,M137-L138,M137))</f>
        <v/>
      </c>
      <c r="N138" s="107" t="str">
        <f>IF(A138="","",C138+J138)</f>
        <v/>
      </c>
      <c r="O138" s="107" t="str">
        <f>IF(A138="","",H138+M138)</f>
        <v/>
      </c>
      <c r="P138" s="107" t="str">
        <f>IF(A138="","",CHOOSE(計算過程!$B$72,ROUND(F137*計算過程!$B$32/計算過程!$B$6,0),ROUNDDOWN(F137*計算過程!$B$32/計算過程!$B$6,0),ROUNDUP(F137*計算過程!$B$32/計算過程!$B$6,0)))</f>
        <v/>
      </c>
      <c r="Q138" s="107" t="str">
        <f>IF(A138="","",CHOOSE(計算過程!$B$72,ROUND(G137*計算過程!$B$33/計算過程!$B$6,0),ROUNDDOWN(G137*計算過程!$B$33/計算過程!$B$6,0),ROUNDUP(G137*計算過程!$B$33/計算過程!$B$6,0)))</f>
        <v/>
      </c>
    </row>
    <row r="139" spans="1:17">
      <c r="A139" s="106" t="str">
        <f>IF(OR(計算過程!$B$98="",ROWS($A$8:A139)&gt;計算過程!$B$71),"",ROWS($A$8:A139))</f>
        <v/>
      </c>
      <c r="B139" s="108" t="str">
        <f>IF(A139="","",EDATE(計算過程!$B$98,A139-1))</f>
        <v/>
      </c>
      <c r="C139" s="107" t="str">
        <f>IF(A139="","",IF(A139=計算過程!$B$71,D139+F138+G138,計算過程!$B$78))</f>
        <v/>
      </c>
      <c r="D139" s="107" t="str">
        <f>IF(A139="","",P139+Q139)</f>
        <v/>
      </c>
      <c r="E139" s="107" t="str">
        <f>IF(A139="","",C139-D139)</f>
        <v/>
      </c>
      <c r="F139" s="107" t="str">
        <f>IF(A139="","",IF(A139=計算過程!$B$71,0,MAX(0,F138-(計算過程!$B$76-P139))))</f>
        <v/>
      </c>
      <c r="G139" s="107" t="str">
        <f>IF(A139="","",IF(A139=計算過程!$B$71,0,MAX(0,G138-(計算過程!$B$77-Q139))))</f>
        <v/>
      </c>
      <c r="H139" s="107" t="str">
        <f>IF(A139="","",F139+G139)</f>
        <v/>
      </c>
      <c r="I139" s="106" t="str">
        <f>IF(A139="","",IF(AND(OR(MONTH(B139)=6,MONTH(B139)=12),I138&lt;計算過程!$B$69),I138+1,I138))</f>
        <v/>
      </c>
      <c r="J139" s="107" t="str">
        <f>IF(A139="","",IF(I139&gt;I138,IF(I139=計算過程!$B$69,M138+K139,計算過程!$B$81),0))</f>
        <v/>
      </c>
      <c r="K139" s="107" t="str">
        <f>IF(A139="","",IF(I139&gt;I138,CHOOSE(計算過程!$B$72,ROUND(M138*計算過程!$B$79,0),ROUNDDOWN(M138*計算過程!$B$79,0),ROUNDUP(M138*計算過程!$B$79,0)),0))</f>
        <v/>
      </c>
      <c r="L139" s="107" t="str">
        <f>IF(A139="","",J139-K139)</f>
        <v/>
      </c>
      <c r="M139" s="107" t="str">
        <f>IF(A139="","",IF(I139&gt;I138,M138-L139,M138))</f>
        <v/>
      </c>
      <c r="N139" s="107" t="str">
        <f>IF(A139="","",C139+J139)</f>
        <v/>
      </c>
      <c r="O139" s="107" t="str">
        <f>IF(A139="","",H139+M139)</f>
        <v/>
      </c>
      <c r="P139" s="107" t="str">
        <f>IF(A139="","",CHOOSE(計算過程!$B$72,ROUND(F138*計算過程!$B$32/計算過程!$B$6,0),ROUNDDOWN(F138*計算過程!$B$32/計算過程!$B$6,0),ROUNDUP(F138*計算過程!$B$32/計算過程!$B$6,0)))</f>
        <v/>
      </c>
      <c r="Q139" s="107" t="str">
        <f>IF(A139="","",CHOOSE(計算過程!$B$72,ROUND(G138*計算過程!$B$33/計算過程!$B$6,0),ROUNDDOWN(G138*計算過程!$B$33/計算過程!$B$6,0),ROUNDUP(G138*計算過程!$B$33/計算過程!$B$6,0)))</f>
        <v/>
      </c>
    </row>
    <row r="140" spans="1:17">
      <c r="A140" s="106" t="str">
        <f>IF(OR(計算過程!$B$98="",ROWS($A$8:A140)&gt;計算過程!$B$71),"",ROWS($A$8:A140))</f>
        <v/>
      </c>
      <c r="B140" s="108" t="str">
        <f>IF(A140="","",EDATE(計算過程!$B$98,A140-1))</f>
        <v/>
      </c>
      <c r="C140" s="107" t="str">
        <f>IF(A140="","",IF(A140=計算過程!$B$71,D140+F139+G139,計算過程!$B$78))</f>
        <v/>
      </c>
      <c r="D140" s="107" t="str">
        <f>IF(A140="","",P140+Q140)</f>
        <v/>
      </c>
      <c r="E140" s="107" t="str">
        <f>IF(A140="","",C140-D140)</f>
        <v/>
      </c>
      <c r="F140" s="107" t="str">
        <f>IF(A140="","",IF(A140=計算過程!$B$71,0,MAX(0,F139-(計算過程!$B$76-P140))))</f>
        <v/>
      </c>
      <c r="G140" s="107" t="str">
        <f>IF(A140="","",IF(A140=計算過程!$B$71,0,MAX(0,G139-(計算過程!$B$77-Q140))))</f>
        <v/>
      </c>
      <c r="H140" s="107" t="str">
        <f>IF(A140="","",F140+G140)</f>
        <v/>
      </c>
      <c r="I140" s="106" t="str">
        <f>IF(A140="","",IF(AND(OR(MONTH(B140)=6,MONTH(B140)=12),I139&lt;計算過程!$B$69),I139+1,I139))</f>
        <v/>
      </c>
      <c r="J140" s="107" t="str">
        <f>IF(A140="","",IF(I140&gt;I139,IF(I140=計算過程!$B$69,M139+K140,計算過程!$B$81),0))</f>
        <v/>
      </c>
      <c r="K140" s="107" t="str">
        <f>IF(A140="","",IF(I140&gt;I139,CHOOSE(計算過程!$B$72,ROUND(M139*計算過程!$B$79,0),ROUNDDOWN(M139*計算過程!$B$79,0),ROUNDUP(M139*計算過程!$B$79,0)),0))</f>
        <v/>
      </c>
      <c r="L140" s="107" t="str">
        <f>IF(A140="","",J140-K140)</f>
        <v/>
      </c>
      <c r="M140" s="107" t="str">
        <f>IF(A140="","",IF(I140&gt;I139,M139-L140,M139))</f>
        <v/>
      </c>
      <c r="N140" s="107" t="str">
        <f>IF(A140="","",C140+J140)</f>
        <v/>
      </c>
      <c r="O140" s="107" t="str">
        <f>IF(A140="","",H140+M140)</f>
        <v/>
      </c>
      <c r="P140" s="107" t="str">
        <f>IF(A140="","",CHOOSE(計算過程!$B$72,ROUND(F139*計算過程!$B$32/計算過程!$B$6,0),ROUNDDOWN(F139*計算過程!$B$32/計算過程!$B$6,0),ROUNDUP(F139*計算過程!$B$32/計算過程!$B$6,0)))</f>
        <v/>
      </c>
      <c r="Q140" s="107" t="str">
        <f>IF(A140="","",CHOOSE(計算過程!$B$72,ROUND(G139*計算過程!$B$33/計算過程!$B$6,0),ROUNDDOWN(G139*計算過程!$B$33/計算過程!$B$6,0),ROUNDUP(G139*計算過程!$B$33/計算過程!$B$6,0)))</f>
        <v/>
      </c>
    </row>
    <row r="141" spans="1:17">
      <c r="A141" s="106" t="str">
        <f>IF(OR(計算過程!$B$98="",ROWS($A$8:A141)&gt;計算過程!$B$71),"",ROWS($A$8:A141))</f>
        <v/>
      </c>
      <c r="B141" s="108" t="str">
        <f>IF(A141="","",EDATE(計算過程!$B$98,A141-1))</f>
        <v/>
      </c>
      <c r="C141" s="107" t="str">
        <f>IF(A141="","",IF(A141=計算過程!$B$71,D141+F140+G140,計算過程!$B$78))</f>
        <v/>
      </c>
      <c r="D141" s="107" t="str">
        <f>IF(A141="","",P141+Q141)</f>
        <v/>
      </c>
      <c r="E141" s="107" t="str">
        <f>IF(A141="","",C141-D141)</f>
        <v/>
      </c>
      <c r="F141" s="107" t="str">
        <f>IF(A141="","",IF(A141=計算過程!$B$71,0,MAX(0,F140-(計算過程!$B$76-P141))))</f>
        <v/>
      </c>
      <c r="G141" s="107" t="str">
        <f>IF(A141="","",IF(A141=計算過程!$B$71,0,MAX(0,G140-(計算過程!$B$77-Q141))))</f>
        <v/>
      </c>
      <c r="H141" s="107" t="str">
        <f>IF(A141="","",F141+G141)</f>
        <v/>
      </c>
      <c r="I141" s="106" t="str">
        <f>IF(A141="","",IF(AND(OR(MONTH(B141)=6,MONTH(B141)=12),I140&lt;計算過程!$B$69),I140+1,I140))</f>
        <v/>
      </c>
      <c r="J141" s="107" t="str">
        <f>IF(A141="","",IF(I141&gt;I140,IF(I141=計算過程!$B$69,M140+K141,計算過程!$B$81),0))</f>
        <v/>
      </c>
      <c r="K141" s="107" t="str">
        <f>IF(A141="","",IF(I141&gt;I140,CHOOSE(計算過程!$B$72,ROUND(M140*計算過程!$B$79,0),ROUNDDOWN(M140*計算過程!$B$79,0),ROUNDUP(M140*計算過程!$B$79,0)),0))</f>
        <v/>
      </c>
      <c r="L141" s="107" t="str">
        <f>IF(A141="","",J141-K141)</f>
        <v/>
      </c>
      <c r="M141" s="107" t="str">
        <f>IF(A141="","",IF(I141&gt;I140,M140-L141,M140))</f>
        <v/>
      </c>
      <c r="N141" s="107" t="str">
        <f>IF(A141="","",C141+J141)</f>
        <v/>
      </c>
      <c r="O141" s="107" t="str">
        <f>IF(A141="","",H141+M141)</f>
        <v/>
      </c>
      <c r="P141" s="107" t="str">
        <f>IF(A141="","",CHOOSE(計算過程!$B$72,ROUND(F140*計算過程!$B$32/計算過程!$B$6,0),ROUNDDOWN(F140*計算過程!$B$32/計算過程!$B$6,0),ROUNDUP(F140*計算過程!$B$32/計算過程!$B$6,0)))</f>
        <v/>
      </c>
      <c r="Q141" s="107" t="str">
        <f>IF(A141="","",CHOOSE(計算過程!$B$72,ROUND(G140*計算過程!$B$33/計算過程!$B$6,0),ROUNDDOWN(G140*計算過程!$B$33/計算過程!$B$6,0),ROUNDUP(G140*計算過程!$B$33/計算過程!$B$6,0)))</f>
        <v/>
      </c>
    </row>
    <row r="142" spans="1:17">
      <c r="A142" s="106" t="str">
        <f>IF(OR(計算過程!$B$98="",ROWS($A$8:A142)&gt;計算過程!$B$71),"",ROWS($A$8:A142))</f>
        <v/>
      </c>
      <c r="B142" s="108" t="str">
        <f>IF(A142="","",EDATE(計算過程!$B$98,A142-1))</f>
        <v/>
      </c>
      <c r="C142" s="107" t="str">
        <f>IF(A142="","",IF(A142=計算過程!$B$71,D142+F141+G141,計算過程!$B$78))</f>
        <v/>
      </c>
      <c r="D142" s="107" t="str">
        <f>IF(A142="","",P142+Q142)</f>
        <v/>
      </c>
      <c r="E142" s="107" t="str">
        <f>IF(A142="","",C142-D142)</f>
        <v/>
      </c>
      <c r="F142" s="107" t="str">
        <f>IF(A142="","",IF(A142=計算過程!$B$71,0,MAX(0,F141-(計算過程!$B$76-P142))))</f>
        <v/>
      </c>
      <c r="G142" s="107" t="str">
        <f>IF(A142="","",IF(A142=計算過程!$B$71,0,MAX(0,G141-(計算過程!$B$77-Q142))))</f>
        <v/>
      </c>
      <c r="H142" s="107" t="str">
        <f>IF(A142="","",F142+G142)</f>
        <v/>
      </c>
      <c r="I142" s="106" t="str">
        <f>IF(A142="","",IF(AND(OR(MONTH(B142)=6,MONTH(B142)=12),I141&lt;計算過程!$B$69),I141+1,I141))</f>
        <v/>
      </c>
      <c r="J142" s="107" t="str">
        <f>IF(A142="","",IF(I142&gt;I141,IF(I142=計算過程!$B$69,M141+K142,計算過程!$B$81),0))</f>
        <v/>
      </c>
      <c r="K142" s="107" t="str">
        <f>IF(A142="","",IF(I142&gt;I141,CHOOSE(計算過程!$B$72,ROUND(M141*計算過程!$B$79,0),ROUNDDOWN(M141*計算過程!$B$79,0),ROUNDUP(M141*計算過程!$B$79,0)),0))</f>
        <v/>
      </c>
      <c r="L142" s="107" t="str">
        <f>IF(A142="","",J142-K142)</f>
        <v/>
      </c>
      <c r="M142" s="107" t="str">
        <f>IF(A142="","",IF(I142&gt;I141,M141-L142,M141))</f>
        <v/>
      </c>
      <c r="N142" s="107" t="str">
        <f>IF(A142="","",C142+J142)</f>
        <v/>
      </c>
      <c r="O142" s="107" t="str">
        <f>IF(A142="","",H142+M142)</f>
        <v/>
      </c>
      <c r="P142" s="107" t="str">
        <f>IF(A142="","",CHOOSE(計算過程!$B$72,ROUND(F141*計算過程!$B$32/計算過程!$B$6,0),ROUNDDOWN(F141*計算過程!$B$32/計算過程!$B$6,0),ROUNDUP(F141*計算過程!$B$32/計算過程!$B$6,0)))</f>
        <v/>
      </c>
      <c r="Q142" s="107" t="str">
        <f>IF(A142="","",CHOOSE(計算過程!$B$72,ROUND(G141*計算過程!$B$33/計算過程!$B$6,0),ROUNDDOWN(G141*計算過程!$B$33/計算過程!$B$6,0),ROUNDUP(G141*計算過程!$B$33/計算過程!$B$6,0)))</f>
        <v/>
      </c>
    </row>
    <row r="143" spans="1:17">
      <c r="A143" s="106" t="str">
        <f>IF(OR(計算過程!$B$98="",ROWS($A$8:A143)&gt;計算過程!$B$71),"",ROWS($A$8:A143))</f>
        <v/>
      </c>
      <c r="B143" s="108" t="str">
        <f>IF(A143="","",EDATE(計算過程!$B$98,A143-1))</f>
        <v/>
      </c>
      <c r="C143" s="107" t="str">
        <f>IF(A143="","",IF(A143=計算過程!$B$71,D143+F142+G142,計算過程!$B$78))</f>
        <v/>
      </c>
      <c r="D143" s="107" t="str">
        <f>IF(A143="","",P143+Q143)</f>
        <v/>
      </c>
      <c r="E143" s="107" t="str">
        <f>IF(A143="","",C143-D143)</f>
        <v/>
      </c>
      <c r="F143" s="107" t="str">
        <f>IF(A143="","",IF(A143=計算過程!$B$71,0,MAX(0,F142-(計算過程!$B$76-P143))))</f>
        <v/>
      </c>
      <c r="G143" s="107" t="str">
        <f>IF(A143="","",IF(A143=計算過程!$B$71,0,MAX(0,G142-(計算過程!$B$77-Q143))))</f>
        <v/>
      </c>
      <c r="H143" s="107" t="str">
        <f>IF(A143="","",F143+G143)</f>
        <v/>
      </c>
      <c r="I143" s="106" t="str">
        <f>IF(A143="","",IF(AND(OR(MONTH(B143)=6,MONTH(B143)=12),I142&lt;計算過程!$B$69),I142+1,I142))</f>
        <v/>
      </c>
      <c r="J143" s="107" t="str">
        <f>IF(A143="","",IF(I143&gt;I142,IF(I143=計算過程!$B$69,M142+K143,計算過程!$B$81),0))</f>
        <v/>
      </c>
      <c r="K143" s="107" t="str">
        <f>IF(A143="","",IF(I143&gt;I142,CHOOSE(計算過程!$B$72,ROUND(M142*計算過程!$B$79,0),ROUNDDOWN(M142*計算過程!$B$79,0),ROUNDUP(M142*計算過程!$B$79,0)),0))</f>
        <v/>
      </c>
      <c r="L143" s="107" t="str">
        <f>IF(A143="","",J143-K143)</f>
        <v/>
      </c>
      <c r="M143" s="107" t="str">
        <f>IF(A143="","",IF(I143&gt;I142,M142-L143,M142))</f>
        <v/>
      </c>
      <c r="N143" s="107" t="str">
        <f>IF(A143="","",C143+J143)</f>
        <v/>
      </c>
      <c r="O143" s="107" t="str">
        <f>IF(A143="","",H143+M143)</f>
        <v/>
      </c>
      <c r="P143" s="107" t="str">
        <f>IF(A143="","",CHOOSE(計算過程!$B$72,ROUND(F142*計算過程!$B$32/計算過程!$B$6,0),ROUNDDOWN(F142*計算過程!$B$32/計算過程!$B$6,0),ROUNDUP(F142*計算過程!$B$32/計算過程!$B$6,0)))</f>
        <v/>
      </c>
      <c r="Q143" s="107" t="str">
        <f>IF(A143="","",CHOOSE(計算過程!$B$72,ROUND(G142*計算過程!$B$33/計算過程!$B$6,0),ROUNDDOWN(G142*計算過程!$B$33/計算過程!$B$6,0),ROUNDUP(G142*計算過程!$B$33/計算過程!$B$6,0)))</f>
        <v/>
      </c>
    </row>
    <row r="144" spans="1:17">
      <c r="A144" s="106" t="str">
        <f>IF(OR(計算過程!$B$98="",ROWS($A$8:A144)&gt;計算過程!$B$71),"",ROWS($A$8:A144))</f>
        <v/>
      </c>
      <c r="B144" s="108" t="str">
        <f>IF(A144="","",EDATE(計算過程!$B$98,A144-1))</f>
        <v/>
      </c>
      <c r="C144" s="107" t="str">
        <f>IF(A144="","",IF(A144=計算過程!$B$71,D144+F143+G143,計算過程!$B$78))</f>
        <v/>
      </c>
      <c r="D144" s="107" t="str">
        <f>IF(A144="","",P144+Q144)</f>
        <v/>
      </c>
      <c r="E144" s="107" t="str">
        <f>IF(A144="","",C144-D144)</f>
        <v/>
      </c>
      <c r="F144" s="107" t="str">
        <f>IF(A144="","",IF(A144=計算過程!$B$71,0,MAX(0,F143-(計算過程!$B$76-P144))))</f>
        <v/>
      </c>
      <c r="G144" s="107" t="str">
        <f>IF(A144="","",IF(A144=計算過程!$B$71,0,MAX(0,G143-(計算過程!$B$77-Q144))))</f>
        <v/>
      </c>
      <c r="H144" s="107" t="str">
        <f>IF(A144="","",F144+G144)</f>
        <v/>
      </c>
      <c r="I144" s="106" t="str">
        <f>IF(A144="","",IF(AND(OR(MONTH(B144)=6,MONTH(B144)=12),I143&lt;計算過程!$B$69),I143+1,I143))</f>
        <v/>
      </c>
      <c r="J144" s="107" t="str">
        <f>IF(A144="","",IF(I144&gt;I143,IF(I144=計算過程!$B$69,M143+K144,計算過程!$B$81),0))</f>
        <v/>
      </c>
      <c r="K144" s="107" t="str">
        <f>IF(A144="","",IF(I144&gt;I143,CHOOSE(計算過程!$B$72,ROUND(M143*計算過程!$B$79,0),ROUNDDOWN(M143*計算過程!$B$79,0),ROUNDUP(M143*計算過程!$B$79,0)),0))</f>
        <v/>
      </c>
      <c r="L144" s="107" t="str">
        <f>IF(A144="","",J144-K144)</f>
        <v/>
      </c>
      <c r="M144" s="107" t="str">
        <f>IF(A144="","",IF(I144&gt;I143,M143-L144,M143))</f>
        <v/>
      </c>
      <c r="N144" s="107" t="str">
        <f>IF(A144="","",C144+J144)</f>
        <v/>
      </c>
      <c r="O144" s="107" t="str">
        <f>IF(A144="","",H144+M144)</f>
        <v/>
      </c>
      <c r="P144" s="107" t="str">
        <f>IF(A144="","",CHOOSE(計算過程!$B$72,ROUND(F143*計算過程!$B$32/計算過程!$B$6,0),ROUNDDOWN(F143*計算過程!$B$32/計算過程!$B$6,0),ROUNDUP(F143*計算過程!$B$32/計算過程!$B$6,0)))</f>
        <v/>
      </c>
      <c r="Q144" s="107" t="str">
        <f>IF(A144="","",CHOOSE(計算過程!$B$72,ROUND(G143*計算過程!$B$33/計算過程!$B$6,0),ROUNDDOWN(G143*計算過程!$B$33/計算過程!$B$6,0),ROUNDUP(G143*計算過程!$B$33/計算過程!$B$6,0)))</f>
        <v/>
      </c>
    </row>
    <row r="145" spans="1:17">
      <c r="A145" s="106" t="str">
        <f>IF(OR(計算過程!$B$98="",ROWS($A$8:A145)&gt;計算過程!$B$71),"",ROWS($A$8:A145))</f>
        <v/>
      </c>
      <c r="B145" s="108" t="str">
        <f>IF(A145="","",EDATE(計算過程!$B$98,A145-1))</f>
        <v/>
      </c>
      <c r="C145" s="107" t="str">
        <f>IF(A145="","",IF(A145=計算過程!$B$71,D145+F144+G144,計算過程!$B$78))</f>
        <v/>
      </c>
      <c r="D145" s="107" t="str">
        <f>IF(A145="","",P145+Q145)</f>
        <v/>
      </c>
      <c r="E145" s="107" t="str">
        <f>IF(A145="","",C145-D145)</f>
        <v/>
      </c>
      <c r="F145" s="107" t="str">
        <f>IF(A145="","",IF(A145=計算過程!$B$71,0,MAX(0,F144-(計算過程!$B$76-P145))))</f>
        <v/>
      </c>
      <c r="G145" s="107" t="str">
        <f>IF(A145="","",IF(A145=計算過程!$B$71,0,MAX(0,G144-(計算過程!$B$77-Q145))))</f>
        <v/>
      </c>
      <c r="H145" s="107" t="str">
        <f>IF(A145="","",F145+G145)</f>
        <v/>
      </c>
      <c r="I145" s="106" t="str">
        <f>IF(A145="","",IF(AND(OR(MONTH(B145)=6,MONTH(B145)=12),I144&lt;計算過程!$B$69),I144+1,I144))</f>
        <v/>
      </c>
      <c r="J145" s="107" t="str">
        <f>IF(A145="","",IF(I145&gt;I144,IF(I145=計算過程!$B$69,M144+K145,計算過程!$B$81),0))</f>
        <v/>
      </c>
      <c r="K145" s="107" t="str">
        <f>IF(A145="","",IF(I145&gt;I144,CHOOSE(計算過程!$B$72,ROUND(M144*計算過程!$B$79,0),ROUNDDOWN(M144*計算過程!$B$79,0),ROUNDUP(M144*計算過程!$B$79,0)),0))</f>
        <v/>
      </c>
      <c r="L145" s="107" t="str">
        <f>IF(A145="","",J145-K145)</f>
        <v/>
      </c>
      <c r="M145" s="107" t="str">
        <f>IF(A145="","",IF(I145&gt;I144,M144-L145,M144))</f>
        <v/>
      </c>
      <c r="N145" s="107" t="str">
        <f>IF(A145="","",C145+J145)</f>
        <v/>
      </c>
      <c r="O145" s="107" t="str">
        <f>IF(A145="","",H145+M145)</f>
        <v/>
      </c>
      <c r="P145" s="107" t="str">
        <f>IF(A145="","",CHOOSE(計算過程!$B$72,ROUND(F144*計算過程!$B$32/計算過程!$B$6,0),ROUNDDOWN(F144*計算過程!$B$32/計算過程!$B$6,0),ROUNDUP(F144*計算過程!$B$32/計算過程!$B$6,0)))</f>
        <v/>
      </c>
      <c r="Q145" s="107" t="str">
        <f>IF(A145="","",CHOOSE(計算過程!$B$72,ROUND(G144*計算過程!$B$33/計算過程!$B$6,0),ROUNDDOWN(G144*計算過程!$B$33/計算過程!$B$6,0),ROUNDUP(G144*計算過程!$B$33/計算過程!$B$6,0)))</f>
        <v/>
      </c>
    </row>
    <row r="146" spans="1:17">
      <c r="A146" s="106" t="str">
        <f>IF(OR(計算過程!$B$98="",ROWS($A$8:A146)&gt;計算過程!$B$71),"",ROWS($A$8:A146))</f>
        <v/>
      </c>
      <c r="B146" s="108" t="str">
        <f>IF(A146="","",EDATE(計算過程!$B$98,A146-1))</f>
        <v/>
      </c>
      <c r="C146" s="107" t="str">
        <f>IF(A146="","",IF(A146=計算過程!$B$71,D146+F145+G145,計算過程!$B$78))</f>
        <v/>
      </c>
      <c r="D146" s="107" t="str">
        <f>IF(A146="","",P146+Q146)</f>
        <v/>
      </c>
      <c r="E146" s="107" t="str">
        <f>IF(A146="","",C146-D146)</f>
        <v/>
      </c>
      <c r="F146" s="107" t="str">
        <f>IF(A146="","",IF(A146=計算過程!$B$71,0,MAX(0,F145-(計算過程!$B$76-P146))))</f>
        <v/>
      </c>
      <c r="G146" s="107" t="str">
        <f>IF(A146="","",IF(A146=計算過程!$B$71,0,MAX(0,G145-(計算過程!$B$77-Q146))))</f>
        <v/>
      </c>
      <c r="H146" s="107" t="str">
        <f>IF(A146="","",F146+G146)</f>
        <v/>
      </c>
      <c r="I146" s="106" t="str">
        <f>IF(A146="","",IF(AND(OR(MONTH(B146)=6,MONTH(B146)=12),I145&lt;計算過程!$B$69),I145+1,I145))</f>
        <v/>
      </c>
      <c r="J146" s="107" t="str">
        <f>IF(A146="","",IF(I146&gt;I145,IF(I146=計算過程!$B$69,M145+K146,計算過程!$B$81),0))</f>
        <v/>
      </c>
      <c r="K146" s="107" t="str">
        <f>IF(A146="","",IF(I146&gt;I145,CHOOSE(計算過程!$B$72,ROUND(M145*計算過程!$B$79,0),ROUNDDOWN(M145*計算過程!$B$79,0),ROUNDUP(M145*計算過程!$B$79,0)),0))</f>
        <v/>
      </c>
      <c r="L146" s="107" t="str">
        <f>IF(A146="","",J146-K146)</f>
        <v/>
      </c>
      <c r="M146" s="107" t="str">
        <f>IF(A146="","",IF(I146&gt;I145,M145-L146,M145))</f>
        <v/>
      </c>
      <c r="N146" s="107" t="str">
        <f>IF(A146="","",C146+J146)</f>
        <v/>
      </c>
      <c r="O146" s="107" t="str">
        <f>IF(A146="","",H146+M146)</f>
        <v/>
      </c>
      <c r="P146" s="107" t="str">
        <f>IF(A146="","",CHOOSE(計算過程!$B$72,ROUND(F145*計算過程!$B$32/計算過程!$B$6,0),ROUNDDOWN(F145*計算過程!$B$32/計算過程!$B$6,0),ROUNDUP(F145*計算過程!$B$32/計算過程!$B$6,0)))</f>
        <v/>
      </c>
      <c r="Q146" s="107" t="str">
        <f>IF(A146="","",CHOOSE(計算過程!$B$72,ROUND(G145*計算過程!$B$33/計算過程!$B$6,0),ROUNDDOWN(G145*計算過程!$B$33/計算過程!$B$6,0),ROUNDUP(G145*計算過程!$B$33/計算過程!$B$6,0)))</f>
        <v/>
      </c>
    </row>
    <row r="147" spans="1:17">
      <c r="A147" s="106" t="str">
        <f>IF(OR(計算過程!$B$98="",ROWS($A$8:A147)&gt;計算過程!$B$71),"",ROWS($A$8:A147))</f>
        <v/>
      </c>
      <c r="B147" s="108" t="str">
        <f>IF(A147="","",EDATE(計算過程!$B$98,A147-1))</f>
        <v/>
      </c>
      <c r="C147" s="107" t="str">
        <f>IF(A147="","",IF(A147=計算過程!$B$71,D147+F146+G146,計算過程!$B$78))</f>
        <v/>
      </c>
      <c r="D147" s="107" t="str">
        <f>IF(A147="","",P147+Q147)</f>
        <v/>
      </c>
      <c r="E147" s="107" t="str">
        <f>IF(A147="","",C147-D147)</f>
        <v/>
      </c>
      <c r="F147" s="107" t="str">
        <f>IF(A147="","",IF(A147=計算過程!$B$71,0,MAX(0,F146-(計算過程!$B$76-P147))))</f>
        <v/>
      </c>
      <c r="G147" s="107" t="str">
        <f>IF(A147="","",IF(A147=計算過程!$B$71,0,MAX(0,G146-(計算過程!$B$77-Q147))))</f>
        <v/>
      </c>
      <c r="H147" s="107" t="str">
        <f>IF(A147="","",F147+G147)</f>
        <v/>
      </c>
      <c r="I147" s="106" t="str">
        <f>IF(A147="","",IF(AND(OR(MONTH(B147)=6,MONTH(B147)=12),I146&lt;計算過程!$B$69),I146+1,I146))</f>
        <v/>
      </c>
      <c r="J147" s="107" t="str">
        <f>IF(A147="","",IF(I147&gt;I146,IF(I147=計算過程!$B$69,M146+K147,計算過程!$B$81),0))</f>
        <v/>
      </c>
      <c r="K147" s="107" t="str">
        <f>IF(A147="","",IF(I147&gt;I146,CHOOSE(計算過程!$B$72,ROUND(M146*計算過程!$B$79,0),ROUNDDOWN(M146*計算過程!$B$79,0),ROUNDUP(M146*計算過程!$B$79,0)),0))</f>
        <v/>
      </c>
      <c r="L147" s="107" t="str">
        <f>IF(A147="","",J147-K147)</f>
        <v/>
      </c>
      <c r="M147" s="107" t="str">
        <f>IF(A147="","",IF(I147&gt;I146,M146-L147,M146))</f>
        <v/>
      </c>
      <c r="N147" s="107" t="str">
        <f>IF(A147="","",C147+J147)</f>
        <v/>
      </c>
      <c r="O147" s="107" t="str">
        <f>IF(A147="","",H147+M147)</f>
        <v/>
      </c>
      <c r="P147" s="107" t="str">
        <f>IF(A147="","",CHOOSE(計算過程!$B$72,ROUND(F146*計算過程!$B$32/計算過程!$B$6,0),ROUNDDOWN(F146*計算過程!$B$32/計算過程!$B$6,0),ROUNDUP(F146*計算過程!$B$32/計算過程!$B$6,0)))</f>
        <v/>
      </c>
      <c r="Q147" s="107" t="str">
        <f>IF(A147="","",CHOOSE(計算過程!$B$72,ROUND(G146*計算過程!$B$33/計算過程!$B$6,0),ROUNDDOWN(G146*計算過程!$B$33/計算過程!$B$6,0),ROUNDUP(G146*計算過程!$B$33/計算過程!$B$6,0)))</f>
        <v/>
      </c>
    </row>
    <row r="148" spans="1:17">
      <c r="A148" s="106" t="str">
        <f>IF(OR(計算過程!$B$98="",ROWS($A$8:A148)&gt;計算過程!$B$71),"",ROWS($A$8:A148))</f>
        <v/>
      </c>
      <c r="B148" s="108" t="str">
        <f>IF(A148="","",EDATE(計算過程!$B$98,A148-1))</f>
        <v/>
      </c>
      <c r="C148" s="107" t="str">
        <f>IF(A148="","",IF(A148=計算過程!$B$71,D148+F147+G147,計算過程!$B$78))</f>
        <v/>
      </c>
      <c r="D148" s="107" t="str">
        <f>IF(A148="","",P148+Q148)</f>
        <v/>
      </c>
      <c r="E148" s="107" t="str">
        <f>IF(A148="","",C148-D148)</f>
        <v/>
      </c>
      <c r="F148" s="107" t="str">
        <f>IF(A148="","",IF(A148=計算過程!$B$71,0,MAX(0,F147-(計算過程!$B$76-P148))))</f>
        <v/>
      </c>
      <c r="G148" s="107" t="str">
        <f>IF(A148="","",IF(A148=計算過程!$B$71,0,MAX(0,G147-(計算過程!$B$77-Q148))))</f>
        <v/>
      </c>
      <c r="H148" s="107" t="str">
        <f>IF(A148="","",F148+G148)</f>
        <v/>
      </c>
      <c r="I148" s="106" t="str">
        <f>IF(A148="","",IF(AND(OR(MONTH(B148)=6,MONTH(B148)=12),I147&lt;計算過程!$B$69),I147+1,I147))</f>
        <v/>
      </c>
      <c r="J148" s="107" t="str">
        <f>IF(A148="","",IF(I148&gt;I147,IF(I148=計算過程!$B$69,M147+K148,計算過程!$B$81),0))</f>
        <v/>
      </c>
      <c r="K148" s="107" t="str">
        <f>IF(A148="","",IF(I148&gt;I147,CHOOSE(計算過程!$B$72,ROUND(M147*計算過程!$B$79,0),ROUNDDOWN(M147*計算過程!$B$79,0),ROUNDUP(M147*計算過程!$B$79,0)),0))</f>
        <v/>
      </c>
      <c r="L148" s="107" t="str">
        <f>IF(A148="","",J148-K148)</f>
        <v/>
      </c>
      <c r="M148" s="107" t="str">
        <f>IF(A148="","",IF(I148&gt;I147,M147-L148,M147))</f>
        <v/>
      </c>
      <c r="N148" s="107" t="str">
        <f>IF(A148="","",C148+J148)</f>
        <v/>
      </c>
      <c r="O148" s="107" t="str">
        <f>IF(A148="","",H148+M148)</f>
        <v/>
      </c>
      <c r="P148" s="107" t="str">
        <f>IF(A148="","",CHOOSE(計算過程!$B$72,ROUND(F147*計算過程!$B$32/計算過程!$B$6,0),ROUNDDOWN(F147*計算過程!$B$32/計算過程!$B$6,0),ROUNDUP(F147*計算過程!$B$32/計算過程!$B$6,0)))</f>
        <v/>
      </c>
      <c r="Q148" s="107" t="str">
        <f>IF(A148="","",CHOOSE(計算過程!$B$72,ROUND(G147*計算過程!$B$33/計算過程!$B$6,0),ROUNDDOWN(G147*計算過程!$B$33/計算過程!$B$6,0),ROUNDUP(G147*計算過程!$B$33/計算過程!$B$6,0)))</f>
        <v/>
      </c>
    </row>
    <row r="149" spans="1:17">
      <c r="A149" s="106" t="str">
        <f>IF(OR(計算過程!$B$98="",ROWS($A$8:A149)&gt;計算過程!$B$71),"",ROWS($A$8:A149))</f>
        <v/>
      </c>
      <c r="B149" s="108" t="str">
        <f>IF(A149="","",EDATE(計算過程!$B$98,A149-1))</f>
        <v/>
      </c>
      <c r="C149" s="107" t="str">
        <f>IF(A149="","",IF(A149=計算過程!$B$71,D149+F148+G148,計算過程!$B$78))</f>
        <v/>
      </c>
      <c r="D149" s="107" t="str">
        <f>IF(A149="","",P149+Q149)</f>
        <v/>
      </c>
      <c r="E149" s="107" t="str">
        <f>IF(A149="","",C149-D149)</f>
        <v/>
      </c>
      <c r="F149" s="107" t="str">
        <f>IF(A149="","",IF(A149=計算過程!$B$71,0,MAX(0,F148-(計算過程!$B$76-P149))))</f>
        <v/>
      </c>
      <c r="G149" s="107" t="str">
        <f>IF(A149="","",IF(A149=計算過程!$B$71,0,MAX(0,G148-(計算過程!$B$77-Q149))))</f>
        <v/>
      </c>
      <c r="H149" s="107" t="str">
        <f>IF(A149="","",F149+G149)</f>
        <v/>
      </c>
      <c r="I149" s="106" t="str">
        <f>IF(A149="","",IF(AND(OR(MONTH(B149)=6,MONTH(B149)=12),I148&lt;計算過程!$B$69),I148+1,I148))</f>
        <v/>
      </c>
      <c r="J149" s="107" t="str">
        <f>IF(A149="","",IF(I149&gt;I148,IF(I149=計算過程!$B$69,M148+K149,計算過程!$B$81),0))</f>
        <v/>
      </c>
      <c r="K149" s="107" t="str">
        <f>IF(A149="","",IF(I149&gt;I148,CHOOSE(計算過程!$B$72,ROUND(M148*計算過程!$B$79,0),ROUNDDOWN(M148*計算過程!$B$79,0),ROUNDUP(M148*計算過程!$B$79,0)),0))</f>
        <v/>
      </c>
      <c r="L149" s="107" t="str">
        <f>IF(A149="","",J149-K149)</f>
        <v/>
      </c>
      <c r="M149" s="107" t="str">
        <f>IF(A149="","",IF(I149&gt;I148,M148-L149,M148))</f>
        <v/>
      </c>
      <c r="N149" s="107" t="str">
        <f>IF(A149="","",C149+J149)</f>
        <v/>
      </c>
      <c r="O149" s="107" t="str">
        <f>IF(A149="","",H149+M149)</f>
        <v/>
      </c>
      <c r="P149" s="107" t="str">
        <f>IF(A149="","",CHOOSE(計算過程!$B$72,ROUND(F148*計算過程!$B$32/計算過程!$B$6,0),ROUNDDOWN(F148*計算過程!$B$32/計算過程!$B$6,0),ROUNDUP(F148*計算過程!$B$32/計算過程!$B$6,0)))</f>
        <v/>
      </c>
      <c r="Q149" s="107" t="str">
        <f>IF(A149="","",CHOOSE(計算過程!$B$72,ROUND(G148*計算過程!$B$33/計算過程!$B$6,0),ROUNDDOWN(G148*計算過程!$B$33/計算過程!$B$6,0),ROUNDUP(G148*計算過程!$B$33/計算過程!$B$6,0)))</f>
        <v/>
      </c>
    </row>
    <row r="150" spans="1:17">
      <c r="A150" s="106" t="str">
        <f>IF(OR(計算過程!$B$98="",ROWS($A$8:A150)&gt;計算過程!$B$71),"",ROWS($A$8:A150))</f>
        <v/>
      </c>
      <c r="B150" s="108" t="str">
        <f>IF(A150="","",EDATE(計算過程!$B$98,A150-1))</f>
        <v/>
      </c>
      <c r="C150" s="107" t="str">
        <f>IF(A150="","",IF(A150=計算過程!$B$71,D150+F149+G149,計算過程!$B$78))</f>
        <v/>
      </c>
      <c r="D150" s="107" t="str">
        <f>IF(A150="","",P150+Q150)</f>
        <v/>
      </c>
      <c r="E150" s="107" t="str">
        <f>IF(A150="","",C150-D150)</f>
        <v/>
      </c>
      <c r="F150" s="107" t="str">
        <f>IF(A150="","",IF(A150=計算過程!$B$71,0,MAX(0,F149-(計算過程!$B$76-P150))))</f>
        <v/>
      </c>
      <c r="G150" s="107" t="str">
        <f>IF(A150="","",IF(A150=計算過程!$B$71,0,MAX(0,G149-(計算過程!$B$77-Q150))))</f>
        <v/>
      </c>
      <c r="H150" s="107" t="str">
        <f>IF(A150="","",F150+G150)</f>
        <v/>
      </c>
      <c r="I150" s="106" t="str">
        <f>IF(A150="","",IF(AND(OR(MONTH(B150)=6,MONTH(B150)=12),I149&lt;計算過程!$B$69),I149+1,I149))</f>
        <v/>
      </c>
      <c r="J150" s="107" t="str">
        <f>IF(A150="","",IF(I150&gt;I149,IF(I150=計算過程!$B$69,M149+K150,計算過程!$B$81),0))</f>
        <v/>
      </c>
      <c r="K150" s="107" t="str">
        <f>IF(A150="","",IF(I150&gt;I149,CHOOSE(計算過程!$B$72,ROUND(M149*計算過程!$B$79,0),ROUNDDOWN(M149*計算過程!$B$79,0),ROUNDUP(M149*計算過程!$B$79,0)),0))</f>
        <v/>
      </c>
      <c r="L150" s="107" t="str">
        <f>IF(A150="","",J150-K150)</f>
        <v/>
      </c>
      <c r="M150" s="107" t="str">
        <f>IF(A150="","",IF(I150&gt;I149,M149-L150,M149))</f>
        <v/>
      </c>
      <c r="N150" s="107" t="str">
        <f>IF(A150="","",C150+J150)</f>
        <v/>
      </c>
      <c r="O150" s="107" t="str">
        <f>IF(A150="","",H150+M150)</f>
        <v/>
      </c>
      <c r="P150" s="107" t="str">
        <f>IF(A150="","",CHOOSE(計算過程!$B$72,ROUND(F149*計算過程!$B$32/計算過程!$B$6,0),ROUNDDOWN(F149*計算過程!$B$32/計算過程!$B$6,0),ROUNDUP(F149*計算過程!$B$32/計算過程!$B$6,0)))</f>
        <v/>
      </c>
      <c r="Q150" s="107" t="str">
        <f>IF(A150="","",CHOOSE(計算過程!$B$72,ROUND(G149*計算過程!$B$33/計算過程!$B$6,0),ROUNDDOWN(G149*計算過程!$B$33/計算過程!$B$6,0),ROUNDUP(G149*計算過程!$B$33/計算過程!$B$6,0)))</f>
        <v/>
      </c>
    </row>
    <row r="151" spans="1:17">
      <c r="A151" s="106" t="str">
        <f>IF(OR(計算過程!$B$98="",ROWS($A$8:A151)&gt;計算過程!$B$71),"",ROWS($A$8:A151))</f>
        <v/>
      </c>
      <c r="B151" s="108" t="str">
        <f>IF(A151="","",EDATE(計算過程!$B$98,A151-1))</f>
        <v/>
      </c>
      <c r="C151" s="107" t="str">
        <f>IF(A151="","",IF(A151=計算過程!$B$71,D151+F150+G150,計算過程!$B$78))</f>
        <v/>
      </c>
      <c r="D151" s="107" t="str">
        <f>IF(A151="","",P151+Q151)</f>
        <v/>
      </c>
      <c r="E151" s="107" t="str">
        <f>IF(A151="","",C151-D151)</f>
        <v/>
      </c>
      <c r="F151" s="107" t="str">
        <f>IF(A151="","",IF(A151=計算過程!$B$71,0,MAX(0,F150-(計算過程!$B$76-P151))))</f>
        <v/>
      </c>
      <c r="G151" s="107" t="str">
        <f>IF(A151="","",IF(A151=計算過程!$B$71,0,MAX(0,G150-(計算過程!$B$77-Q151))))</f>
        <v/>
      </c>
      <c r="H151" s="107" t="str">
        <f>IF(A151="","",F151+G151)</f>
        <v/>
      </c>
      <c r="I151" s="106" t="str">
        <f>IF(A151="","",IF(AND(OR(MONTH(B151)=6,MONTH(B151)=12),I150&lt;計算過程!$B$69),I150+1,I150))</f>
        <v/>
      </c>
      <c r="J151" s="107" t="str">
        <f>IF(A151="","",IF(I151&gt;I150,IF(I151=計算過程!$B$69,M150+K151,計算過程!$B$81),0))</f>
        <v/>
      </c>
      <c r="K151" s="107" t="str">
        <f>IF(A151="","",IF(I151&gt;I150,CHOOSE(計算過程!$B$72,ROUND(M150*計算過程!$B$79,0),ROUNDDOWN(M150*計算過程!$B$79,0),ROUNDUP(M150*計算過程!$B$79,0)),0))</f>
        <v/>
      </c>
      <c r="L151" s="107" t="str">
        <f>IF(A151="","",J151-K151)</f>
        <v/>
      </c>
      <c r="M151" s="107" t="str">
        <f>IF(A151="","",IF(I151&gt;I150,M150-L151,M150))</f>
        <v/>
      </c>
      <c r="N151" s="107" t="str">
        <f>IF(A151="","",C151+J151)</f>
        <v/>
      </c>
      <c r="O151" s="107" t="str">
        <f>IF(A151="","",H151+M151)</f>
        <v/>
      </c>
      <c r="P151" s="107" t="str">
        <f>IF(A151="","",CHOOSE(計算過程!$B$72,ROUND(F150*計算過程!$B$32/計算過程!$B$6,0),ROUNDDOWN(F150*計算過程!$B$32/計算過程!$B$6,0),ROUNDUP(F150*計算過程!$B$32/計算過程!$B$6,0)))</f>
        <v/>
      </c>
      <c r="Q151" s="107" t="str">
        <f>IF(A151="","",CHOOSE(計算過程!$B$72,ROUND(G150*計算過程!$B$33/計算過程!$B$6,0),ROUNDDOWN(G150*計算過程!$B$33/計算過程!$B$6,0),ROUNDUP(G150*計算過程!$B$33/計算過程!$B$6,0)))</f>
        <v/>
      </c>
    </row>
    <row r="152" spans="1:17">
      <c r="A152" s="106" t="str">
        <f>IF(OR(計算過程!$B$98="",ROWS($A$8:A152)&gt;計算過程!$B$71),"",ROWS($A$8:A152))</f>
        <v/>
      </c>
      <c r="B152" s="108" t="str">
        <f>IF(A152="","",EDATE(計算過程!$B$98,A152-1))</f>
        <v/>
      </c>
      <c r="C152" s="107" t="str">
        <f>IF(A152="","",IF(A152=計算過程!$B$71,D152+F151+G151,計算過程!$B$78))</f>
        <v/>
      </c>
      <c r="D152" s="107" t="str">
        <f>IF(A152="","",P152+Q152)</f>
        <v/>
      </c>
      <c r="E152" s="107" t="str">
        <f>IF(A152="","",C152-D152)</f>
        <v/>
      </c>
      <c r="F152" s="107" t="str">
        <f>IF(A152="","",IF(A152=計算過程!$B$71,0,MAX(0,F151-(計算過程!$B$76-P152))))</f>
        <v/>
      </c>
      <c r="G152" s="107" t="str">
        <f>IF(A152="","",IF(A152=計算過程!$B$71,0,MAX(0,G151-(計算過程!$B$77-Q152))))</f>
        <v/>
      </c>
      <c r="H152" s="107" t="str">
        <f>IF(A152="","",F152+G152)</f>
        <v/>
      </c>
      <c r="I152" s="106" t="str">
        <f>IF(A152="","",IF(AND(OR(MONTH(B152)=6,MONTH(B152)=12),I151&lt;計算過程!$B$69),I151+1,I151))</f>
        <v/>
      </c>
      <c r="J152" s="107" t="str">
        <f>IF(A152="","",IF(I152&gt;I151,IF(I152=計算過程!$B$69,M151+K152,計算過程!$B$81),0))</f>
        <v/>
      </c>
      <c r="K152" s="107" t="str">
        <f>IF(A152="","",IF(I152&gt;I151,CHOOSE(計算過程!$B$72,ROUND(M151*計算過程!$B$79,0),ROUNDDOWN(M151*計算過程!$B$79,0),ROUNDUP(M151*計算過程!$B$79,0)),0))</f>
        <v/>
      </c>
      <c r="L152" s="107" t="str">
        <f>IF(A152="","",J152-K152)</f>
        <v/>
      </c>
      <c r="M152" s="107" t="str">
        <f>IF(A152="","",IF(I152&gt;I151,M151-L152,M151))</f>
        <v/>
      </c>
      <c r="N152" s="107" t="str">
        <f>IF(A152="","",C152+J152)</f>
        <v/>
      </c>
      <c r="O152" s="107" t="str">
        <f>IF(A152="","",H152+M152)</f>
        <v/>
      </c>
      <c r="P152" s="107" t="str">
        <f>IF(A152="","",CHOOSE(計算過程!$B$72,ROUND(F151*計算過程!$B$32/計算過程!$B$6,0),ROUNDDOWN(F151*計算過程!$B$32/計算過程!$B$6,0),ROUNDUP(F151*計算過程!$B$32/計算過程!$B$6,0)))</f>
        <v/>
      </c>
      <c r="Q152" s="107" t="str">
        <f>IF(A152="","",CHOOSE(計算過程!$B$72,ROUND(G151*計算過程!$B$33/計算過程!$B$6,0),ROUNDDOWN(G151*計算過程!$B$33/計算過程!$B$6,0),ROUNDUP(G151*計算過程!$B$33/計算過程!$B$6,0)))</f>
        <v/>
      </c>
    </row>
    <row r="153" spans="1:17">
      <c r="A153" s="106" t="str">
        <f>IF(OR(計算過程!$B$98="",ROWS($A$8:A153)&gt;計算過程!$B$71),"",ROWS($A$8:A153))</f>
        <v/>
      </c>
      <c r="B153" s="108" t="str">
        <f>IF(A153="","",EDATE(計算過程!$B$98,A153-1))</f>
        <v/>
      </c>
      <c r="C153" s="107" t="str">
        <f>IF(A153="","",IF(A153=計算過程!$B$71,D153+F152+G152,計算過程!$B$78))</f>
        <v/>
      </c>
      <c r="D153" s="107" t="str">
        <f>IF(A153="","",P153+Q153)</f>
        <v/>
      </c>
      <c r="E153" s="107" t="str">
        <f>IF(A153="","",C153-D153)</f>
        <v/>
      </c>
      <c r="F153" s="107" t="str">
        <f>IF(A153="","",IF(A153=計算過程!$B$71,0,MAX(0,F152-(計算過程!$B$76-P153))))</f>
        <v/>
      </c>
      <c r="G153" s="107" t="str">
        <f>IF(A153="","",IF(A153=計算過程!$B$71,0,MAX(0,G152-(計算過程!$B$77-Q153))))</f>
        <v/>
      </c>
      <c r="H153" s="107" t="str">
        <f>IF(A153="","",F153+G153)</f>
        <v/>
      </c>
      <c r="I153" s="106" t="str">
        <f>IF(A153="","",IF(AND(OR(MONTH(B153)=6,MONTH(B153)=12),I152&lt;計算過程!$B$69),I152+1,I152))</f>
        <v/>
      </c>
      <c r="J153" s="107" t="str">
        <f>IF(A153="","",IF(I153&gt;I152,IF(I153=計算過程!$B$69,M152+K153,計算過程!$B$81),0))</f>
        <v/>
      </c>
      <c r="K153" s="107" t="str">
        <f>IF(A153="","",IF(I153&gt;I152,CHOOSE(計算過程!$B$72,ROUND(M152*計算過程!$B$79,0),ROUNDDOWN(M152*計算過程!$B$79,0),ROUNDUP(M152*計算過程!$B$79,0)),0))</f>
        <v/>
      </c>
      <c r="L153" s="107" t="str">
        <f>IF(A153="","",J153-K153)</f>
        <v/>
      </c>
      <c r="M153" s="107" t="str">
        <f>IF(A153="","",IF(I153&gt;I152,M152-L153,M152))</f>
        <v/>
      </c>
      <c r="N153" s="107" t="str">
        <f>IF(A153="","",C153+J153)</f>
        <v/>
      </c>
      <c r="O153" s="107" t="str">
        <f>IF(A153="","",H153+M153)</f>
        <v/>
      </c>
      <c r="P153" s="107" t="str">
        <f>IF(A153="","",CHOOSE(計算過程!$B$72,ROUND(F152*計算過程!$B$32/計算過程!$B$6,0),ROUNDDOWN(F152*計算過程!$B$32/計算過程!$B$6,0),ROUNDUP(F152*計算過程!$B$32/計算過程!$B$6,0)))</f>
        <v/>
      </c>
      <c r="Q153" s="107" t="str">
        <f>IF(A153="","",CHOOSE(計算過程!$B$72,ROUND(G152*計算過程!$B$33/計算過程!$B$6,0),ROUNDDOWN(G152*計算過程!$B$33/計算過程!$B$6,0),ROUNDUP(G152*計算過程!$B$33/計算過程!$B$6,0)))</f>
        <v/>
      </c>
    </row>
    <row r="154" spans="1:17">
      <c r="A154" s="106" t="str">
        <f>IF(OR(計算過程!$B$98="",ROWS($A$8:A154)&gt;計算過程!$B$71),"",ROWS($A$8:A154))</f>
        <v/>
      </c>
      <c r="B154" s="108" t="str">
        <f>IF(A154="","",EDATE(計算過程!$B$98,A154-1))</f>
        <v/>
      </c>
      <c r="C154" s="107" t="str">
        <f>IF(A154="","",IF(A154=計算過程!$B$71,D154+F153+G153,計算過程!$B$78))</f>
        <v/>
      </c>
      <c r="D154" s="107" t="str">
        <f>IF(A154="","",P154+Q154)</f>
        <v/>
      </c>
      <c r="E154" s="107" t="str">
        <f>IF(A154="","",C154-D154)</f>
        <v/>
      </c>
      <c r="F154" s="107" t="str">
        <f>IF(A154="","",IF(A154=計算過程!$B$71,0,MAX(0,F153-(計算過程!$B$76-P154))))</f>
        <v/>
      </c>
      <c r="G154" s="107" t="str">
        <f>IF(A154="","",IF(A154=計算過程!$B$71,0,MAX(0,G153-(計算過程!$B$77-Q154))))</f>
        <v/>
      </c>
      <c r="H154" s="107" t="str">
        <f>IF(A154="","",F154+G154)</f>
        <v/>
      </c>
      <c r="I154" s="106" t="str">
        <f>IF(A154="","",IF(AND(OR(MONTH(B154)=6,MONTH(B154)=12),I153&lt;計算過程!$B$69),I153+1,I153))</f>
        <v/>
      </c>
      <c r="J154" s="107" t="str">
        <f>IF(A154="","",IF(I154&gt;I153,IF(I154=計算過程!$B$69,M153+K154,計算過程!$B$81),0))</f>
        <v/>
      </c>
      <c r="K154" s="107" t="str">
        <f>IF(A154="","",IF(I154&gt;I153,CHOOSE(計算過程!$B$72,ROUND(M153*計算過程!$B$79,0),ROUNDDOWN(M153*計算過程!$B$79,0),ROUNDUP(M153*計算過程!$B$79,0)),0))</f>
        <v/>
      </c>
      <c r="L154" s="107" t="str">
        <f>IF(A154="","",J154-K154)</f>
        <v/>
      </c>
      <c r="M154" s="107" t="str">
        <f>IF(A154="","",IF(I154&gt;I153,M153-L154,M153))</f>
        <v/>
      </c>
      <c r="N154" s="107" t="str">
        <f>IF(A154="","",C154+J154)</f>
        <v/>
      </c>
      <c r="O154" s="107" t="str">
        <f>IF(A154="","",H154+M154)</f>
        <v/>
      </c>
      <c r="P154" s="107" t="str">
        <f>IF(A154="","",CHOOSE(計算過程!$B$72,ROUND(F153*計算過程!$B$32/計算過程!$B$6,0),ROUNDDOWN(F153*計算過程!$B$32/計算過程!$B$6,0),ROUNDUP(F153*計算過程!$B$32/計算過程!$B$6,0)))</f>
        <v/>
      </c>
      <c r="Q154" s="107" t="str">
        <f>IF(A154="","",CHOOSE(計算過程!$B$72,ROUND(G153*計算過程!$B$33/計算過程!$B$6,0),ROUNDDOWN(G153*計算過程!$B$33/計算過程!$B$6,0),ROUNDUP(G153*計算過程!$B$33/計算過程!$B$6,0)))</f>
        <v/>
      </c>
    </row>
    <row r="155" spans="1:17">
      <c r="A155" s="106" t="str">
        <f>IF(OR(計算過程!$B$98="",ROWS($A$8:A155)&gt;計算過程!$B$71),"",ROWS($A$8:A155))</f>
        <v/>
      </c>
      <c r="B155" s="108" t="str">
        <f>IF(A155="","",EDATE(計算過程!$B$98,A155-1))</f>
        <v/>
      </c>
      <c r="C155" s="107" t="str">
        <f>IF(A155="","",IF(A155=計算過程!$B$71,D155+F154+G154,計算過程!$B$78))</f>
        <v/>
      </c>
      <c r="D155" s="107" t="str">
        <f>IF(A155="","",P155+Q155)</f>
        <v/>
      </c>
      <c r="E155" s="107" t="str">
        <f>IF(A155="","",C155-D155)</f>
        <v/>
      </c>
      <c r="F155" s="107" t="str">
        <f>IF(A155="","",IF(A155=計算過程!$B$71,0,MAX(0,F154-(計算過程!$B$76-P155))))</f>
        <v/>
      </c>
      <c r="G155" s="107" t="str">
        <f>IF(A155="","",IF(A155=計算過程!$B$71,0,MAX(0,G154-(計算過程!$B$77-Q155))))</f>
        <v/>
      </c>
      <c r="H155" s="107" t="str">
        <f>IF(A155="","",F155+G155)</f>
        <v/>
      </c>
      <c r="I155" s="106" t="str">
        <f>IF(A155="","",IF(AND(OR(MONTH(B155)=6,MONTH(B155)=12),I154&lt;計算過程!$B$69),I154+1,I154))</f>
        <v/>
      </c>
      <c r="J155" s="107" t="str">
        <f>IF(A155="","",IF(I155&gt;I154,IF(I155=計算過程!$B$69,M154+K155,計算過程!$B$81),0))</f>
        <v/>
      </c>
      <c r="K155" s="107" t="str">
        <f>IF(A155="","",IF(I155&gt;I154,CHOOSE(計算過程!$B$72,ROUND(M154*計算過程!$B$79,0),ROUNDDOWN(M154*計算過程!$B$79,0),ROUNDUP(M154*計算過程!$B$79,0)),0))</f>
        <v/>
      </c>
      <c r="L155" s="107" t="str">
        <f>IF(A155="","",J155-K155)</f>
        <v/>
      </c>
      <c r="M155" s="107" t="str">
        <f>IF(A155="","",IF(I155&gt;I154,M154-L155,M154))</f>
        <v/>
      </c>
      <c r="N155" s="107" t="str">
        <f>IF(A155="","",C155+J155)</f>
        <v/>
      </c>
      <c r="O155" s="107" t="str">
        <f>IF(A155="","",H155+M155)</f>
        <v/>
      </c>
      <c r="P155" s="107" t="str">
        <f>IF(A155="","",CHOOSE(計算過程!$B$72,ROUND(F154*計算過程!$B$32/計算過程!$B$6,0),ROUNDDOWN(F154*計算過程!$B$32/計算過程!$B$6,0),ROUNDUP(F154*計算過程!$B$32/計算過程!$B$6,0)))</f>
        <v/>
      </c>
      <c r="Q155" s="107" t="str">
        <f>IF(A155="","",CHOOSE(計算過程!$B$72,ROUND(G154*計算過程!$B$33/計算過程!$B$6,0),ROUNDDOWN(G154*計算過程!$B$33/計算過程!$B$6,0),ROUNDUP(G154*計算過程!$B$33/計算過程!$B$6,0)))</f>
        <v/>
      </c>
    </row>
    <row r="156" spans="1:17">
      <c r="A156" s="106" t="str">
        <f>IF(OR(計算過程!$B$98="",ROWS($A$8:A156)&gt;計算過程!$B$71),"",ROWS($A$8:A156))</f>
        <v/>
      </c>
      <c r="B156" s="108" t="str">
        <f>IF(A156="","",EDATE(計算過程!$B$98,A156-1))</f>
        <v/>
      </c>
      <c r="C156" s="107" t="str">
        <f>IF(A156="","",IF(A156=計算過程!$B$71,D156+F155+G155,計算過程!$B$78))</f>
        <v/>
      </c>
      <c r="D156" s="107" t="str">
        <f>IF(A156="","",P156+Q156)</f>
        <v/>
      </c>
      <c r="E156" s="107" t="str">
        <f>IF(A156="","",C156-D156)</f>
        <v/>
      </c>
      <c r="F156" s="107" t="str">
        <f>IF(A156="","",IF(A156=計算過程!$B$71,0,MAX(0,F155-(計算過程!$B$76-P156))))</f>
        <v/>
      </c>
      <c r="G156" s="107" t="str">
        <f>IF(A156="","",IF(A156=計算過程!$B$71,0,MAX(0,G155-(計算過程!$B$77-Q156))))</f>
        <v/>
      </c>
      <c r="H156" s="107" t="str">
        <f>IF(A156="","",F156+G156)</f>
        <v/>
      </c>
      <c r="I156" s="106" t="str">
        <f>IF(A156="","",IF(AND(OR(MONTH(B156)=6,MONTH(B156)=12),I155&lt;計算過程!$B$69),I155+1,I155))</f>
        <v/>
      </c>
      <c r="J156" s="107" t="str">
        <f>IF(A156="","",IF(I156&gt;I155,IF(I156=計算過程!$B$69,M155+K156,計算過程!$B$81),0))</f>
        <v/>
      </c>
      <c r="K156" s="107" t="str">
        <f>IF(A156="","",IF(I156&gt;I155,CHOOSE(計算過程!$B$72,ROUND(M155*計算過程!$B$79,0),ROUNDDOWN(M155*計算過程!$B$79,0),ROUNDUP(M155*計算過程!$B$79,0)),0))</f>
        <v/>
      </c>
      <c r="L156" s="107" t="str">
        <f>IF(A156="","",J156-K156)</f>
        <v/>
      </c>
      <c r="M156" s="107" t="str">
        <f>IF(A156="","",IF(I156&gt;I155,M155-L156,M155))</f>
        <v/>
      </c>
      <c r="N156" s="107" t="str">
        <f>IF(A156="","",C156+J156)</f>
        <v/>
      </c>
      <c r="O156" s="107" t="str">
        <f>IF(A156="","",H156+M156)</f>
        <v/>
      </c>
      <c r="P156" s="107" t="str">
        <f>IF(A156="","",CHOOSE(計算過程!$B$72,ROUND(F155*計算過程!$B$32/計算過程!$B$6,0),ROUNDDOWN(F155*計算過程!$B$32/計算過程!$B$6,0),ROUNDUP(F155*計算過程!$B$32/計算過程!$B$6,0)))</f>
        <v/>
      </c>
      <c r="Q156" s="107" t="str">
        <f>IF(A156="","",CHOOSE(計算過程!$B$72,ROUND(G155*計算過程!$B$33/計算過程!$B$6,0),ROUNDDOWN(G155*計算過程!$B$33/計算過程!$B$6,0),ROUNDUP(G155*計算過程!$B$33/計算過程!$B$6,0)))</f>
        <v/>
      </c>
    </row>
    <row r="157" spans="1:17">
      <c r="A157" s="106" t="str">
        <f>IF(OR(計算過程!$B$98="",ROWS($A$8:A157)&gt;計算過程!$B$71),"",ROWS($A$8:A157))</f>
        <v/>
      </c>
      <c r="B157" s="108" t="str">
        <f>IF(A157="","",EDATE(計算過程!$B$98,A157-1))</f>
        <v/>
      </c>
      <c r="C157" s="107" t="str">
        <f>IF(A157="","",IF(A157=計算過程!$B$71,D157+F156+G156,計算過程!$B$78))</f>
        <v/>
      </c>
      <c r="D157" s="107" t="str">
        <f>IF(A157="","",P157+Q157)</f>
        <v/>
      </c>
      <c r="E157" s="107" t="str">
        <f>IF(A157="","",C157-D157)</f>
        <v/>
      </c>
      <c r="F157" s="107" t="str">
        <f>IF(A157="","",IF(A157=計算過程!$B$71,0,MAX(0,F156-(計算過程!$B$76-P157))))</f>
        <v/>
      </c>
      <c r="G157" s="107" t="str">
        <f>IF(A157="","",IF(A157=計算過程!$B$71,0,MAX(0,G156-(計算過程!$B$77-Q157))))</f>
        <v/>
      </c>
      <c r="H157" s="107" t="str">
        <f>IF(A157="","",F157+G157)</f>
        <v/>
      </c>
      <c r="I157" s="106" t="str">
        <f>IF(A157="","",IF(AND(OR(MONTH(B157)=6,MONTH(B157)=12),I156&lt;計算過程!$B$69),I156+1,I156))</f>
        <v/>
      </c>
      <c r="J157" s="107" t="str">
        <f>IF(A157="","",IF(I157&gt;I156,IF(I157=計算過程!$B$69,M156+K157,計算過程!$B$81),0))</f>
        <v/>
      </c>
      <c r="K157" s="107" t="str">
        <f>IF(A157="","",IF(I157&gt;I156,CHOOSE(計算過程!$B$72,ROUND(M156*計算過程!$B$79,0),ROUNDDOWN(M156*計算過程!$B$79,0),ROUNDUP(M156*計算過程!$B$79,0)),0))</f>
        <v/>
      </c>
      <c r="L157" s="107" t="str">
        <f>IF(A157="","",J157-K157)</f>
        <v/>
      </c>
      <c r="M157" s="107" t="str">
        <f>IF(A157="","",IF(I157&gt;I156,M156-L157,M156))</f>
        <v/>
      </c>
      <c r="N157" s="107" t="str">
        <f>IF(A157="","",C157+J157)</f>
        <v/>
      </c>
      <c r="O157" s="107" t="str">
        <f>IF(A157="","",H157+M157)</f>
        <v/>
      </c>
      <c r="P157" s="107" t="str">
        <f>IF(A157="","",CHOOSE(計算過程!$B$72,ROUND(F156*計算過程!$B$32/計算過程!$B$6,0),ROUNDDOWN(F156*計算過程!$B$32/計算過程!$B$6,0),ROUNDUP(F156*計算過程!$B$32/計算過程!$B$6,0)))</f>
        <v/>
      </c>
      <c r="Q157" s="107" t="str">
        <f>IF(A157="","",CHOOSE(計算過程!$B$72,ROUND(G156*計算過程!$B$33/計算過程!$B$6,0),ROUNDDOWN(G156*計算過程!$B$33/計算過程!$B$6,0),ROUNDUP(G156*計算過程!$B$33/計算過程!$B$6,0)))</f>
        <v/>
      </c>
    </row>
    <row r="158" spans="1:17">
      <c r="A158" s="106" t="str">
        <f>IF(OR(計算過程!$B$98="",ROWS($A$8:A158)&gt;計算過程!$B$71),"",ROWS($A$8:A158))</f>
        <v/>
      </c>
      <c r="B158" s="108" t="str">
        <f>IF(A158="","",EDATE(計算過程!$B$98,A158-1))</f>
        <v/>
      </c>
      <c r="C158" s="107" t="str">
        <f>IF(A158="","",IF(A158=計算過程!$B$71,D158+F157+G157,計算過程!$B$78))</f>
        <v/>
      </c>
      <c r="D158" s="107" t="str">
        <f>IF(A158="","",P158+Q158)</f>
        <v/>
      </c>
      <c r="E158" s="107" t="str">
        <f>IF(A158="","",C158-D158)</f>
        <v/>
      </c>
      <c r="F158" s="107" t="str">
        <f>IF(A158="","",IF(A158=計算過程!$B$71,0,MAX(0,F157-(計算過程!$B$76-P158))))</f>
        <v/>
      </c>
      <c r="G158" s="107" t="str">
        <f>IF(A158="","",IF(A158=計算過程!$B$71,0,MAX(0,G157-(計算過程!$B$77-Q158))))</f>
        <v/>
      </c>
      <c r="H158" s="107" t="str">
        <f>IF(A158="","",F158+G158)</f>
        <v/>
      </c>
      <c r="I158" s="106" t="str">
        <f>IF(A158="","",IF(AND(OR(MONTH(B158)=6,MONTH(B158)=12),I157&lt;計算過程!$B$69),I157+1,I157))</f>
        <v/>
      </c>
      <c r="J158" s="107" t="str">
        <f>IF(A158="","",IF(I158&gt;I157,IF(I158=計算過程!$B$69,M157+K158,計算過程!$B$81),0))</f>
        <v/>
      </c>
      <c r="K158" s="107" t="str">
        <f>IF(A158="","",IF(I158&gt;I157,CHOOSE(計算過程!$B$72,ROUND(M157*計算過程!$B$79,0),ROUNDDOWN(M157*計算過程!$B$79,0),ROUNDUP(M157*計算過程!$B$79,0)),0))</f>
        <v/>
      </c>
      <c r="L158" s="107" t="str">
        <f>IF(A158="","",J158-K158)</f>
        <v/>
      </c>
      <c r="M158" s="107" t="str">
        <f>IF(A158="","",IF(I158&gt;I157,M157-L158,M157))</f>
        <v/>
      </c>
      <c r="N158" s="107" t="str">
        <f>IF(A158="","",C158+J158)</f>
        <v/>
      </c>
      <c r="O158" s="107" t="str">
        <f>IF(A158="","",H158+M158)</f>
        <v/>
      </c>
      <c r="P158" s="107" t="str">
        <f>IF(A158="","",CHOOSE(計算過程!$B$72,ROUND(F157*計算過程!$B$32/計算過程!$B$6,0),ROUNDDOWN(F157*計算過程!$B$32/計算過程!$B$6,0),ROUNDUP(F157*計算過程!$B$32/計算過程!$B$6,0)))</f>
        <v/>
      </c>
      <c r="Q158" s="107" t="str">
        <f>IF(A158="","",CHOOSE(計算過程!$B$72,ROUND(G157*計算過程!$B$33/計算過程!$B$6,0),ROUNDDOWN(G157*計算過程!$B$33/計算過程!$B$6,0),ROUNDUP(G157*計算過程!$B$33/計算過程!$B$6,0)))</f>
        <v/>
      </c>
    </row>
    <row r="159" spans="1:17">
      <c r="A159" s="106" t="str">
        <f>IF(OR(計算過程!$B$98="",ROWS($A$8:A159)&gt;計算過程!$B$71),"",ROWS($A$8:A159))</f>
        <v/>
      </c>
      <c r="B159" s="108" t="str">
        <f>IF(A159="","",EDATE(計算過程!$B$98,A159-1))</f>
        <v/>
      </c>
      <c r="C159" s="107" t="str">
        <f>IF(A159="","",IF(A159=計算過程!$B$71,D159+F158+G158,計算過程!$B$78))</f>
        <v/>
      </c>
      <c r="D159" s="107" t="str">
        <f>IF(A159="","",P159+Q159)</f>
        <v/>
      </c>
      <c r="E159" s="107" t="str">
        <f>IF(A159="","",C159-D159)</f>
        <v/>
      </c>
      <c r="F159" s="107" t="str">
        <f>IF(A159="","",IF(A159=計算過程!$B$71,0,MAX(0,F158-(計算過程!$B$76-P159))))</f>
        <v/>
      </c>
      <c r="G159" s="107" t="str">
        <f>IF(A159="","",IF(A159=計算過程!$B$71,0,MAX(0,G158-(計算過程!$B$77-Q159))))</f>
        <v/>
      </c>
      <c r="H159" s="107" t="str">
        <f>IF(A159="","",F159+G159)</f>
        <v/>
      </c>
      <c r="I159" s="106" t="str">
        <f>IF(A159="","",IF(AND(OR(MONTH(B159)=6,MONTH(B159)=12),I158&lt;計算過程!$B$69),I158+1,I158))</f>
        <v/>
      </c>
      <c r="J159" s="107" t="str">
        <f>IF(A159="","",IF(I159&gt;I158,IF(I159=計算過程!$B$69,M158+K159,計算過程!$B$81),0))</f>
        <v/>
      </c>
      <c r="K159" s="107" t="str">
        <f>IF(A159="","",IF(I159&gt;I158,CHOOSE(計算過程!$B$72,ROUND(M158*計算過程!$B$79,0),ROUNDDOWN(M158*計算過程!$B$79,0),ROUNDUP(M158*計算過程!$B$79,0)),0))</f>
        <v/>
      </c>
      <c r="L159" s="107" t="str">
        <f>IF(A159="","",J159-K159)</f>
        <v/>
      </c>
      <c r="M159" s="107" t="str">
        <f>IF(A159="","",IF(I159&gt;I158,M158-L159,M158))</f>
        <v/>
      </c>
      <c r="N159" s="107" t="str">
        <f>IF(A159="","",C159+J159)</f>
        <v/>
      </c>
      <c r="O159" s="107" t="str">
        <f>IF(A159="","",H159+M159)</f>
        <v/>
      </c>
      <c r="P159" s="107" t="str">
        <f>IF(A159="","",CHOOSE(計算過程!$B$72,ROUND(F158*計算過程!$B$32/計算過程!$B$6,0),ROUNDDOWN(F158*計算過程!$B$32/計算過程!$B$6,0),ROUNDUP(F158*計算過程!$B$32/計算過程!$B$6,0)))</f>
        <v/>
      </c>
      <c r="Q159" s="107" t="str">
        <f>IF(A159="","",CHOOSE(計算過程!$B$72,ROUND(G158*計算過程!$B$33/計算過程!$B$6,0),ROUNDDOWN(G158*計算過程!$B$33/計算過程!$B$6,0),ROUNDUP(G158*計算過程!$B$33/計算過程!$B$6,0)))</f>
        <v/>
      </c>
    </row>
    <row r="160" spans="1:17">
      <c r="A160" s="106" t="str">
        <f>IF(OR(計算過程!$B$98="",ROWS($A$8:A160)&gt;計算過程!$B$71),"",ROWS($A$8:A160))</f>
        <v/>
      </c>
      <c r="B160" s="108" t="str">
        <f>IF(A160="","",EDATE(計算過程!$B$98,A160-1))</f>
        <v/>
      </c>
      <c r="C160" s="107" t="str">
        <f>IF(A160="","",IF(A160=計算過程!$B$71,D160+F159+G159,計算過程!$B$78))</f>
        <v/>
      </c>
      <c r="D160" s="107" t="str">
        <f>IF(A160="","",P160+Q160)</f>
        <v/>
      </c>
      <c r="E160" s="107" t="str">
        <f>IF(A160="","",C160-D160)</f>
        <v/>
      </c>
      <c r="F160" s="107" t="str">
        <f>IF(A160="","",IF(A160=計算過程!$B$71,0,MAX(0,F159-(計算過程!$B$76-P160))))</f>
        <v/>
      </c>
      <c r="G160" s="107" t="str">
        <f>IF(A160="","",IF(A160=計算過程!$B$71,0,MAX(0,G159-(計算過程!$B$77-Q160))))</f>
        <v/>
      </c>
      <c r="H160" s="107" t="str">
        <f>IF(A160="","",F160+G160)</f>
        <v/>
      </c>
      <c r="I160" s="106" t="str">
        <f>IF(A160="","",IF(AND(OR(MONTH(B160)=6,MONTH(B160)=12),I159&lt;計算過程!$B$69),I159+1,I159))</f>
        <v/>
      </c>
      <c r="J160" s="107" t="str">
        <f>IF(A160="","",IF(I160&gt;I159,IF(I160=計算過程!$B$69,M159+K160,計算過程!$B$81),0))</f>
        <v/>
      </c>
      <c r="K160" s="107" t="str">
        <f>IF(A160="","",IF(I160&gt;I159,CHOOSE(計算過程!$B$72,ROUND(M159*計算過程!$B$79,0),ROUNDDOWN(M159*計算過程!$B$79,0),ROUNDUP(M159*計算過程!$B$79,0)),0))</f>
        <v/>
      </c>
      <c r="L160" s="107" t="str">
        <f>IF(A160="","",J160-K160)</f>
        <v/>
      </c>
      <c r="M160" s="107" t="str">
        <f>IF(A160="","",IF(I160&gt;I159,M159-L160,M159))</f>
        <v/>
      </c>
      <c r="N160" s="107" t="str">
        <f>IF(A160="","",C160+J160)</f>
        <v/>
      </c>
      <c r="O160" s="107" t="str">
        <f>IF(A160="","",H160+M160)</f>
        <v/>
      </c>
      <c r="P160" s="107" t="str">
        <f>IF(A160="","",CHOOSE(計算過程!$B$72,ROUND(F159*計算過程!$B$32/計算過程!$B$6,0),ROUNDDOWN(F159*計算過程!$B$32/計算過程!$B$6,0),ROUNDUP(F159*計算過程!$B$32/計算過程!$B$6,0)))</f>
        <v/>
      </c>
      <c r="Q160" s="107" t="str">
        <f>IF(A160="","",CHOOSE(計算過程!$B$72,ROUND(G159*計算過程!$B$33/計算過程!$B$6,0),ROUNDDOWN(G159*計算過程!$B$33/計算過程!$B$6,0),ROUNDUP(G159*計算過程!$B$33/計算過程!$B$6,0)))</f>
        <v/>
      </c>
    </row>
    <row r="161" spans="1:17">
      <c r="A161" s="106" t="str">
        <f>IF(OR(計算過程!$B$98="",ROWS($A$8:A161)&gt;計算過程!$B$71),"",ROWS($A$8:A161))</f>
        <v/>
      </c>
      <c r="B161" s="108" t="str">
        <f>IF(A161="","",EDATE(計算過程!$B$98,A161-1))</f>
        <v/>
      </c>
      <c r="C161" s="107" t="str">
        <f>IF(A161="","",IF(A161=計算過程!$B$71,D161+F160+G160,計算過程!$B$78))</f>
        <v/>
      </c>
      <c r="D161" s="107" t="str">
        <f>IF(A161="","",P161+Q161)</f>
        <v/>
      </c>
      <c r="E161" s="107" t="str">
        <f>IF(A161="","",C161-D161)</f>
        <v/>
      </c>
      <c r="F161" s="107" t="str">
        <f>IF(A161="","",IF(A161=計算過程!$B$71,0,MAX(0,F160-(計算過程!$B$76-P161))))</f>
        <v/>
      </c>
      <c r="G161" s="107" t="str">
        <f>IF(A161="","",IF(A161=計算過程!$B$71,0,MAX(0,G160-(計算過程!$B$77-Q161))))</f>
        <v/>
      </c>
      <c r="H161" s="107" t="str">
        <f>IF(A161="","",F161+G161)</f>
        <v/>
      </c>
      <c r="I161" s="106" t="str">
        <f>IF(A161="","",IF(AND(OR(MONTH(B161)=6,MONTH(B161)=12),I160&lt;計算過程!$B$69),I160+1,I160))</f>
        <v/>
      </c>
      <c r="J161" s="107" t="str">
        <f>IF(A161="","",IF(I161&gt;I160,IF(I161=計算過程!$B$69,M160+K161,計算過程!$B$81),0))</f>
        <v/>
      </c>
      <c r="K161" s="107" t="str">
        <f>IF(A161="","",IF(I161&gt;I160,CHOOSE(計算過程!$B$72,ROUND(M160*計算過程!$B$79,0),ROUNDDOWN(M160*計算過程!$B$79,0),ROUNDUP(M160*計算過程!$B$79,0)),0))</f>
        <v/>
      </c>
      <c r="L161" s="107" t="str">
        <f>IF(A161="","",J161-K161)</f>
        <v/>
      </c>
      <c r="M161" s="107" t="str">
        <f>IF(A161="","",IF(I161&gt;I160,M160-L161,M160))</f>
        <v/>
      </c>
      <c r="N161" s="107" t="str">
        <f>IF(A161="","",C161+J161)</f>
        <v/>
      </c>
      <c r="O161" s="107" t="str">
        <f>IF(A161="","",H161+M161)</f>
        <v/>
      </c>
      <c r="P161" s="107" t="str">
        <f>IF(A161="","",CHOOSE(計算過程!$B$72,ROUND(F160*計算過程!$B$32/計算過程!$B$6,0),ROUNDDOWN(F160*計算過程!$B$32/計算過程!$B$6,0),ROUNDUP(F160*計算過程!$B$32/計算過程!$B$6,0)))</f>
        <v/>
      </c>
      <c r="Q161" s="107" t="str">
        <f>IF(A161="","",CHOOSE(計算過程!$B$72,ROUND(G160*計算過程!$B$33/計算過程!$B$6,0),ROUNDDOWN(G160*計算過程!$B$33/計算過程!$B$6,0),ROUNDUP(G160*計算過程!$B$33/計算過程!$B$6,0)))</f>
        <v/>
      </c>
    </row>
    <row r="162" spans="1:17">
      <c r="A162" s="106" t="str">
        <f>IF(OR(計算過程!$B$98="",ROWS($A$8:A162)&gt;計算過程!$B$71),"",ROWS($A$8:A162))</f>
        <v/>
      </c>
      <c r="B162" s="108" t="str">
        <f>IF(A162="","",EDATE(計算過程!$B$98,A162-1))</f>
        <v/>
      </c>
      <c r="C162" s="107" t="str">
        <f>IF(A162="","",IF(A162=計算過程!$B$71,D162+F161+G161,計算過程!$B$78))</f>
        <v/>
      </c>
      <c r="D162" s="107" t="str">
        <f>IF(A162="","",P162+Q162)</f>
        <v/>
      </c>
      <c r="E162" s="107" t="str">
        <f>IF(A162="","",C162-D162)</f>
        <v/>
      </c>
      <c r="F162" s="107" t="str">
        <f>IF(A162="","",IF(A162=計算過程!$B$71,0,MAX(0,F161-(計算過程!$B$76-P162))))</f>
        <v/>
      </c>
      <c r="G162" s="107" t="str">
        <f>IF(A162="","",IF(A162=計算過程!$B$71,0,MAX(0,G161-(計算過程!$B$77-Q162))))</f>
        <v/>
      </c>
      <c r="H162" s="107" t="str">
        <f>IF(A162="","",F162+G162)</f>
        <v/>
      </c>
      <c r="I162" s="106" t="str">
        <f>IF(A162="","",IF(AND(OR(MONTH(B162)=6,MONTH(B162)=12),I161&lt;計算過程!$B$69),I161+1,I161))</f>
        <v/>
      </c>
      <c r="J162" s="107" t="str">
        <f>IF(A162="","",IF(I162&gt;I161,IF(I162=計算過程!$B$69,M161+K162,計算過程!$B$81),0))</f>
        <v/>
      </c>
      <c r="K162" s="107" t="str">
        <f>IF(A162="","",IF(I162&gt;I161,CHOOSE(計算過程!$B$72,ROUND(M161*計算過程!$B$79,0),ROUNDDOWN(M161*計算過程!$B$79,0),ROUNDUP(M161*計算過程!$B$79,0)),0))</f>
        <v/>
      </c>
      <c r="L162" s="107" t="str">
        <f>IF(A162="","",J162-K162)</f>
        <v/>
      </c>
      <c r="M162" s="107" t="str">
        <f>IF(A162="","",IF(I162&gt;I161,M161-L162,M161))</f>
        <v/>
      </c>
      <c r="N162" s="107" t="str">
        <f>IF(A162="","",C162+J162)</f>
        <v/>
      </c>
      <c r="O162" s="107" t="str">
        <f>IF(A162="","",H162+M162)</f>
        <v/>
      </c>
      <c r="P162" s="107" t="str">
        <f>IF(A162="","",CHOOSE(計算過程!$B$72,ROUND(F161*計算過程!$B$32/計算過程!$B$6,0),ROUNDDOWN(F161*計算過程!$B$32/計算過程!$B$6,0),ROUNDUP(F161*計算過程!$B$32/計算過程!$B$6,0)))</f>
        <v/>
      </c>
      <c r="Q162" s="107" t="str">
        <f>IF(A162="","",CHOOSE(計算過程!$B$72,ROUND(G161*計算過程!$B$33/計算過程!$B$6,0),ROUNDDOWN(G161*計算過程!$B$33/計算過程!$B$6,0),ROUNDUP(G161*計算過程!$B$33/計算過程!$B$6,0)))</f>
        <v/>
      </c>
    </row>
    <row r="163" spans="1:17">
      <c r="A163" s="106" t="str">
        <f>IF(OR(計算過程!$B$98="",ROWS($A$8:A163)&gt;計算過程!$B$71),"",ROWS($A$8:A163))</f>
        <v/>
      </c>
      <c r="B163" s="108" t="str">
        <f>IF(A163="","",EDATE(計算過程!$B$98,A163-1))</f>
        <v/>
      </c>
      <c r="C163" s="107" t="str">
        <f>IF(A163="","",IF(A163=計算過程!$B$71,D163+F162+G162,計算過程!$B$78))</f>
        <v/>
      </c>
      <c r="D163" s="107" t="str">
        <f>IF(A163="","",P163+Q163)</f>
        <v/>
      </c>
      <c r="E163" s="107" t="str">
        <f>IF(A163="","",C163-D163)</f>
        <v/>
      </c>
      <c r="F163" s="107" t="str">
        <f>IF(A163="","",IF(A163=計算過程!$B$71,0,MAX(0,F162-(計算過程!$B$76-P163))))</f>
        <v/>
      </c>
      <c r="G163" s="107" t="str">
        <f>IF(A163="","",IF(A163=計算過程!$B$71,0,MAX(0,G162-(計算過程!$B$77-Q163))))</f>
        <v/>
      </c>
      <c r="H163" s="107" t="str">
        <f>IF(A163="","",F163+G163)</f>
        <v/>
      </c>
      <c r="I163" s="106" t="str">
        <f>IF(A163="","",IF(AND(OR(MONTH(B163)=6,MONTH(B163)=12),I162&lt;計算過程!$B$69),I162+1,I162))</f>
        <v/>
      </c>
      <c r="J163" s="107" t="str">
        <f>IF(A163="","",IF(I163&gt;I162,IF(I163=計算過程!$B$69,M162+K163,計算過程!$B$81),0))</f>
        <v/>
      </c>
      <c r="K163" s="107" t="str">
        <f>IF(A163="","",IF(I163&gt;I162,CHOOSE(計算過程!$B$72,ROUND(M162*計算過程!$B$79,0),ROUNDDOWN(M162*計算過程!$B$79,0),ROUNDUP(M162*計算過程!$B$79,0)),0))</f>
        <v/>
      </c>
      <c r="L163" s="107" t="str">
        <f>IF(A163="","",J163-K163)</f>
        <v/>
      </c>
      <c r="M163" s="107" t="str">
        <f>IF(A163="","",IF(I163&gt;I162,M162-L163,M162))</f>
        <v/>
      </c>
      <c r="N163" s="107" t="str">
        <f>IF(A163="","",C163+J163)</f>
        <v/>
      </c>
      <c r="O163" s="107" t="str">
        <f>IF(A163="","",H163+M163)</f>
        <v/>
      </c>
      <c r="P163" s="107" t="str">
        <f>IF(A163="","",CHOOSE(計算過程!$B$72,ROUND(F162*計算過程!$B$32/計算過程!$B$6,0),ROUNDDOWN(F162*計算過程!$B$32/計算過程!$B$6,0),ROUNDUP(F162*計算過程!$B$32/計算過程!$B$6,0)))</f>
        <v/>
      </c>
      <c r="Q163" s="107" t="str">
        <f>IF(A163="","",CHOOSE(計算過程!$B$72,ROUND(G162*計算過程!$B$33/計算過程!$B$6,0),ROUNDDOWN(G162*計算過程!$B$33/計算過程!$B$6,0),ROUNDUP(G162*計算過程!$B$33/計算過程!$B$6,0)))</f>
        <v/>
      </c>
    </row>
    <row r="164" spans="1:17">
      <c r="A164" s="106" t="str">
        <f>IF(OR(計算過程!$B$98="",ROWS($A$8:A164)&gt;計算過程!$B$71),"",ROWS($A$8:A164))</f>
        <v/>
      </c>
      <c r="B164" s="108" t="str">
        <f>IF(A164="","",EDATE(計算過程!$B$98,A164-1))</f>
        <v/>
      </c>
      <c r="C164" s="107" t="str">
        <f>IF(A164="","",IF(A164=計算過程!$B$71,D164+F163+G163,計算過程!$B$78))</f>
        <v/>
      </c>
      <c r="D164" s="107" t="str">
        <f>IF(A164="","",P164+Q164)</f>
        <v/>
      </c>
      <c r="E164" s="107" t="str">
        <f>IF(A164="","",C164-D164)</f>
        <v/>
      </c>
      <c r="F164" s="107" t="str">
        <f>IF(A164="","",IF(A164=計算過程!$B$71,0,MAX(0,F163-(計算過程!$B$76-P164))))</f>
        <v/>
      </c>
      <c r="G164" s="107" t="str">
        <f>IF(A164="","",IF(A164=計算過程!$B$71,0,MAX(0,G163-(計算過程!$B$77-Q164))))</f>
        <v/>
      </c>
      <c r="H164" s="107" t="str">
        <f>IF(A164="","",F164+G164)</f>
        <v/>
      </c>
      <c r="I164" s="106" t="str">
        <f>IF(A164="","",IF(AND(OR(MONTH(B164)=6,MONTH(B164)=12),I163&lt;計算過程!$B$69),I163+1,I163))</f>
        <v/>
      </c>
      <c r="J164" s="107" t="str">
        <f>IF(A164="","",IF(I164&gt;I163,IF(I164=計算過程!$B$69,M163+K164,計算過程!$B$81),0))</f>
        <v/>
      </c>
      <c r="K164" s="107" t="str">
        <f>IF(A164="","",IF(I164&gt;I163,CHOOSE(計算過程!$B$72,ROUND(M163*計算過程!$B$79,0),ROUNDDOWN(M163*計算過程!$B$79,0),ROUNDUP(M163*計算過程!$B$79,0)),0))</f>
        <v/>
      </c>
      <c r="L164" s="107" t="str">
        <f>IF(A164="","",J164-K164)</f>
        <v/>
      </c>
      <c r="M164" s="107" t="str">
        <f>IF(A164="","",IF(I164&gt;I163,M163-L164,M163))</f>
        <v/>
      </c>
      <c r="N164" s="107" t="str">
        <f>IF(A164="","",C164+J164)</f>
        <v/>
      </c>
      <c r="O164" s="107" t="str">
        <f>IF(A164="","",H164+M164)</f>
        <v/>
      </c>
      <c r="P164" s="107" t="str">
        <f>IF(A164="","",CHOOSE(計算過程!$B$72,ROUND(F163*計算過程!$B$32/計算過程!$B$6,0),ROUNDDOWN(F163*計算過程!$B$32/計算過程!$B$6,0),ROUNDUP(F163*計算過程!$B$32/計算過程!$B$6,0)))</f>
        <v/>
      </c>
      <c r="Q164" s="107" t="str">
        <f>IF(A164="","",CHOOSE(計算過程!$B$72,ROUND(G163*計算過程!$B$33/計算過程!$B$6,0),ROUNDDOWN(G163*計算過程!$B$33/計算過程!$B$6,0),ROUNDUP(G163*計算過程!$B$33/計算過程!$B$6,0)))</f>
        <v/>
      </c>
    </row>
    <row r="165" spans="1:17">
      <c r="A165" s="106" t="str">
        <f>IF(OR(計算過程!$B$98="",ROWS($A$8:A165)&gt;計算過程!$B$71),"",ROWS($A$8:A165))</f>
        <v/>
      </c>
      <c r="B165" s="108" t="str">
        <f>IF(A165="","",EDATE(計算過程!$B$98,A165-1))</f>
        <v/>
      </c>
      <c r="C165" s="107" t="str">
        <f>IF(A165="","",IF(A165=計算過程!$B$71,D165+F164+G164,計算過程!$B$78))</f>
        <v/>
      </c>
      <c r="D165" s="107" t="str">
        <f>IF(A165="","",P165+Q165)</f>
        <v/>
      </c>
      <c r="E165" s="107" t="str">
        <f>IF(A165="","",C165-D165)</f>
        <v/>
      </c>
      <c r="F165" s="107" t="str">
        <f>IF(A165="","",IF(A165=計算過程!$B$71,0,MAX(0,F164-(計算過程!$B$76-P165))))</f>
        <v/>
      </c>
      <c r="G165" s="107" t="str">
        <f>IF(A165="","",IF(A165=計算過程!$B$71,0,MAX(0,G164-(計算過程!$B$77-Q165))))</f>
        <v/>
      </c>
      <c r="H165" s="107" t="str">
        <f>IF(A165="","",F165+G165)</f>
        <v/>
      </c>
      <c r="I165" s="106" t="str">
        <f>IF(A165="","",IF(AND(OR(MONTH(B165)=6,MONTH(B165)=12),I164&lt;計算過程!$B$69),I164+1,I164))</f>
        <v/>
      </c>
      <c r="J165" s="107" t="str">
        <f>IF(A165="","",IF(I165&gt;I164,IF(I165=計算過程!$B$69,M164+K165,計算過程!$B$81),0))</f>
        <v/>
      </c>
      <c r="K165" s="107" t="str">
        <f>IF(A165="","",IF(I165&gt;I164,CHOOSE(計算過程!$B$72,ROUND(M164*計算過程!$B$79,0),ROUNDDOWN(M164*計算過程!$B$79,0),ROUNDUP(M164*計算過程!$B$79,0)),0))</f>
        <v/>
      </c>
      <c r="L165" s="107" t="str">
        <f>IF(A165="","",J165-K165)</f>
        <v/>
      </c>
      <c r="M165" s="107" t="str">
        <f>IF(A165="","",IF(I165&gt;I164,M164-L165,M164))</f>
        <v/>
      </c>
      <c r="N165" s="107" t="str">
        <f>IF(A165="","",C165+J165)</f>
        <v/>
      </c>
      <c r="O165" s="107" t="str">
        <f>IF(A165="","",H165+M165)</f>
        <v/>
      </c>
      <c r="P165" s="107" t="str">
        <f>IF(A165="","",CHOOSE(計算過程!$B$72,ROUND(F164*計算過程!$B$32/計算過程!$B$6,0),ROUNDDOWN(F164*計算過程!$B$32/計算過程!$B$6,0),ROUNDUP(F164*計算過程!$B$32/計算過程!$B$6,0)))</f>
        <v/>
      </c>
      <c r="Q165" s="107" t="str">
        <f>IF(A165="","",CHOOSE(計算過程!$B$72,ROUND(G164*計算過程!$B$33/計算過程!$B$6,0),ROUNDDOWN(G164*計算過程!$B$33/計算過程!$B$6,0),ROUNDUP(G164*計算過程!$B$33/計算過程!$B$6,0)))</f>
        <v/>
      </c>
    </row>
    <row r="166" spans="1:17">
      <c r="A166" s="106" t="str">
        <f>IF(OR(計算過程!$B$98="",ROWS($A$8:A166)&gt;計算過程!$B$71),"",ROWS($A$8:A166))</f>
        <v/>
      </c>
      <c r="B166" s="108" t="str">
        <f>IF(A166="","",EDATE(計算過程!$B$98,A166-1))</f>
        <v/>
      </c>
      <c r="C166" s="107" t="str">
        <f>IF(A166="","",IF(A166=計算過程!$B$71,D166+F165+G165,計算過程!$B$78))</f>
        <v/>
      </c>
      <c r="D166" s="107" t="str">
        <f>IF(A166="","",P166+Q166)</f>
        <v/>
      </c>
      <c r="E166" s="107" t="str">
        <f>IF(A166="","",C166-D166)</f>
        <v/>
      </c>
      <c r="F166" s="107" t="str">
        <f>IF(A166="","",IF(A166=計算過程!$B$71,0,MAX(0,F165-(計算過程!$B$76-P166))))</f>
        <v/>
      </c>
      <c r="G166" s="107" t="str">
        <f>IF(A166="","",IF(A166=計算過程!$B$71,0,MAX(0,G165-(計算過程!$B$77-Q166))))</f>
        <v/>
      </c>
      <c r="H166" s="107" t="str">
        <f>IF(A166="","",F166+G166)</f>
        <v/>
      </c>
      <c r="I166" s="106" t="str">
        <f>IF(A166="","",IF(AND(OR(MONTH(B166)=6,MONTH(B166)=12),I165&lt;計算過程!$B$69),I165+1,I165))</f>
        <v/>
      </c>
      <c r="J166" s="107" t="str">
        <f>IF(A166="","",IF(I166&gt;I165,IF(I166=計算過程!$B$69,M165+K166,計算過程!$B$81),0))</f>
        <v/>
      </c>
      <c r="K166" s="107" t="str">
        <f>IF(A166="","",IF(I166&gt;I165,CHOOSE(計算過程!$B$72,ROUND(M165*計算過程!$B$79,0),ROUNDDOWN(M165*計算過程!$B$79,0),ROUNDUP(M165*計算過程!$B$79,0)),0))</f>
        <v/>
      </c>
      <c r="L166" s="107" t="str">
        <f>IF(A166="","",J166-K166)</f>
        <v/>
      </c>
      <c r="M166" s="107" t="str">
        <f>IF(A166="","",IF(I166&gt;I165,M165-L166,M165))</f>
        <v/>
      </c>
      <c r="N166" s="107" t="str">
        <f>IF(A166="","",C166+J166)</f>
        <v/>
      </c>
      <c r="O166" s="107" t="str">
        <f>IF(A166="","",H166+M166)</f>
        <v/>
      </c>
      <c r="P166" s="107" t="str">
        <f>IF(A166="","",CHOOSE(計算過程!$B$72,ROUND(F165*計算過程!$B$32/計算過程!$B$6,0),ROUNDDOWN(F165*計算過程!$B$32/計算過程!$B$6,0),ROUNDUP(F165*計算過程!$B$32/計算過程!$B$6,0)))</f>
        <v/>
      </c>
      <c r="Q166" s="107" t="str">
        <f>IF(A166="","",CHOOSE(計算過程!$B$72,ROUND(G165*計算過程!$B$33/計算過程!$B$6,0),ROUNDDOWN(G165*計算過程!$B$33/計算過程!$B$6,0),ROUNDUP(G165*計算過程!$B$33/計算過程!$B$6,0)))</f>
        <v/>
      </c>
    </row>
    <row r="167" spans="1:17">
      <c r="A167" s="106" t="str">
        <f>IF(OR(計算過程!$B$98="",ROWS($A$8:A167)&gt;計算過程!$B$71),"",ROWS($A$8:A167))</f>
        <v/>
      </c>
      <c r="B167" s="108" t="str">
        <f>IF(A167="","",EDATE(計算過程!$B$98,A167-1))</f>
        <v/>
      </c>
      <c r="C167" s="107" t="str">
        <f>IF(A167="","",IF(A167=計算過程!$B$71,D167+F166+G166,計算過程!$B$78))</f>
        <v/>
      </c>
      <c r="D167" s="107" t="str">
        <f>IF(A167="","",P167+Q167)</f>
        <v/>
      </c>
      <c r="E167" s="107" t="str">
        <f>IF(A167="","",C167-D167)</f>
        <v/>
      </c>
      <c r="F167" s="107" t="str">
        <f>IF(A167="","",IF(A167=計算過程!$B$71,0,MAX(0,F166-(計算過程!$B$76-P167))))</f>
        <v/>
      </c>
      <c r="G167" s="107" t="str">
        <f>IF(A167="","",IF(A167=計算過程!$B$71,0,MAX(0,G166-(計算過程!$B$77-Q167))))</f>
        <v/>
      </c>
      <c r="H167" s="107" t="str">
        <f>IF(A167="","",F167+G167)</f>
        <v/>
      </c>
      <c r="I167" s="106" t="str">
        <f>IF(A167="","",IF(AND(OR(MONTH(B167)=6,MONTH(B167)=12),I166&lt;計算過程!$B$69),I166+1,I166))</f>
        <v/>
      </c>
      <c r="J167" s="107" t="str">
        <f>IF(A167="","",IF(I167&gt;I166,IF(I167=計算過程!$B$69,M166+K167,計算過程!$B$81),0))</f>
        <v/>
      </c>
      <c r="K167" s="107" t="str">
        <f>IF(A167="","",IF(I167&gt;I166,CHOOSE(計算過程!$B$72,ROUND(M166*計算過程!$B$79,0),ROUNDDOWN(M166*計算過程!$B$79,0),ROUNDUP(M166*計算過程!$B$79,0)),0))</f>
        <v/>
      </c>
      <c r="L167" s="107" t="str">
        <f>IF(A167="","",J167-K167)</f>
        <v/>
      </c>
      <c r="M167" s="107" t="str">
        <f>IF(A167="","",IF(I167&gt;I166,M166-L167,M166))</f>
        <v/>
      </c>
      <c r="N167" s="107" t="str">
        <f>IF(A167="","",C167+J167)</f>
        <v/>
      </c>
      <c r="O167" s="107" t="str">
        <f>IF(A167="","",H167+M167)</f>
        <v/>
      </c>
      <c r="P167" s="107" t="str">
        <f>IF(A167="","",CHOOSE(計算過程!$B$72,ROUND(F166*計算過程!$B$32/計算過程!$B$6,0),ROUNDDOWN(F166*計算過程!$B$32/計算過程!$B$6,0),ROUNDUP(F166*計算過程!$B$32/計算過程!$B$6,0)))</f>
        <v/>
      </c>
      <c r="Q167" s="107" t="str">
        <f>IF(A167="","",CHOOSE(計算過程!$B$72,ROUND(G166*計算過程!$B$33/計算過程!$B$6,0),ROUNDDOWN(G166*計算過程!$B$33/計算過程!$B$6,0),ROUNDUP(G166*計算過程!$B$33/計算過程!$B$6,0)))</f>
        <v/>
      </c>
    </row>
    <row r="168" spans="1:17">
      <c r="A168" s="106" t="str">
        <f>IF(OR(計算過程!$B$98="",ROWS($A$8:A168)&gt;計算過程!$B$71),"",ROWS($A$8:A168))</f>
        <v/>
      </c>
      <c r="B168" s="108" t="str">
        <f>IF(A168="","",EDATE(計算過程!$B$98,A168-1))</f>
        <v/>
      </c>
      <c r="C168" s="107" t="str">
        <f>IF(A168="","",IF(A168=計算過程!$B$71,D168+F167+G167,計算過程!$B$78))</f>
        <v/>
      </c>
      <c r="D168" s="107" t="str">
        <f>IF(A168="","",P168+Q168)</f>
        <v/>
      </c>
      <c r="E168" s="107" t="str">
        <f>IF(A168="","",C168-D168)</f>
        <v/>
      </c>
      <c r="F168" s="107" t="str">
        <f>IF(A168="","",IF(A168=計算過程!$B$71,0,MAX(0,F167-(計算過程!$B$76-P168))))</f>
        <v/>
      </c>
      <c r="G168" s="107" t="str">
        <f>IF(A168="","",IF(A168=計算過程!$B$71,0,MAX(0,G167-(計算過程!$B$77-Q168))))</f>
        <v/>
      </c>
      <c r="H168" s="107" t="str">
        <f>IF(A168="","",F168+G168)</f>
        <v/>
      </c>
      <c r="I168" s="106" t="str">
        <f>IF(A168="","",IF(AND(OR(MONTH(B168)=6,MONTH(B168)=12),I167&lt;計算過程!$B$69),I167+1,I167))</f>
        <v/>
      </c>
      <c r="J168" s="107" t="str">
        <f>IF(A168="","",IF(I168&gt;I167,IF(I168=計算過程!$B$69,M167+K168,計算過程!$B$81),0))</f>
        <v/>
      </c>
      <c r="K168" s="107" t="str">
        <f>IF(A168="","",IF(I168&gt;I167,CHOOSE(計算過程!$B$72,ROUND(M167*計算過程!$B$79,0),ROUNDDOWN(M167*計算過程!$B$79,0),ROUNDUP(M167*計算過程!$B$79,0)),0))</f>
        <v/>
      </c>
      <c r="L168" s="107" t="str">
        <f>IF(A168="","",J168-K168)</f>
        <v/>
      </c>
      <c r="M168" s="107" t="str">
        <f>IF(A168="","",IF(I168&gt;I167,M167-L168,M167))</f>
        <v/>
      </c>
      <c r="N168" s="107" t="str">
        <f>IF(A168="","",C168+J168)</f>
        <v/>
      </c>
      <c r="O168" s="107" t="str">
        <f>IF(A168="","",H168+M168)</f>
        <v/>
      </c>
      <c r="P168" s="107" t="str">
        <f>IF(A168="","",CHOOSE(計算過程!$B$72,ROUND(F167*計算過程!$B$32/計算過程!$B$6,0),ROUNDDOWN(F167*計算過程!$B$32/計算過程!$B$6,0),ROUNDUP(F167*計算過程!$B$32/計算過程!$B$6,0)))</f>
        <v/>
      </c>
      <c r="Q168" s="107" t="str">
        <f>IF(A168="","",CHOOSE(計算過程!$B$72,ROUND(G167*計算過程!$B$33/計算過程!$B$6,0),ROUNDDOWN(G167*計算過程!$B$33/計算過程!$B$6,0),ROUNDUP(G167*計算過程!$B$33/計算過程!$B$6,0)))</f>
        <v/>
      </c>
    </row>
    <row r="169" spans="1:17">
      <c r="A169" s="106" t="str">
        <f>IF(OR(計算過程!$B$98="",ROWS($A$8:A169)&gt;計算過程!$B$71),"",ROWS($A$8:A169))</f>
        <v/>
      </c>
      <c r="B169" s="108" t="str">
        <f>IF(A169="","",EDATE(計算過程!$B$98,A169-1))</f>
        <v/>
      </c>
      <c r="C169" s="107" t="str">
        <f>IF(A169="","",IF(A169=計算過程!$B$71,D169+F168+G168,計算過程!$B$78))</f>
        <v/>
      </c>
      <c r="D169" s="107" t="str">
        <f>IF(A169="","",P169+Q169)</f>
        <v/>
      </c>
      <c r="E169" s="107" t="str">
        <f>IF(A169="","",C169-D169)</f>
        <v/>
      </c>
      <c r="F169" s="107" t="str">
        <f>IF(A169="","",IF(A169=計算過程!$B$71,0,MAX(0,F168-(計算過程!$B$76-P169))))</f>
        <v/>
      </c>
      <c r="G169" s="107" t="str">
        <f>IF(A169="","",IF(A169=計算過程!$B$71,0,MAX(0,G168-(計算過程!$B$77-Q169))))</f>
        <v/>
      </c>
      <c r="H169" s="107" t="str">
        <f>IF(A169="","",F169+G169)</f>
        <v/>
      </c>
      <c r="I169" s="106" t="str">
        <f>IF(A169="","",IF(AND(OR(MONTH(B169)=6,MONTH(B169)=12),I168&lt;計算過程!$B$69),I168+1,I168))</f>
        <v/>
      </c>
      <c r="J169" s="107" t="str">
        <f>IF(A169="","",IF(I169&gt;I168,IF(I169=計算過程!$B$69,M168+K169,計算過程!$B$81),0))</f>
        <v/>
      </c>
      <c r="K169" s="107" t="str">
        <f>IF(A169="","",IF(I169&gt;I168,CHOOSE(計算過程!$B$72,ROUND(M168*計算過程!$B$79,0),ROUNDDOWN(M168*計算過程!$B$79,0),ROUNDUP(M168*計算過程!$B$79,0)),0))</f>
        <v/>
      </c>
      <c r="L169" s="107" t="str">
        <f>IF(A169="","",J169-K169)</f>
        <v/>
      </c>
      <c r="M169" s="107" t="str">
        <f>IF(A169="","",IF(I169&gt;I168,M168-L169,M168))</f>
        <v/>
      </c>
      <c r="N169" s="107" t="str">
        <f>IF(A169="","",C169+J169)</f>
        <v/>
      </c>
      <c r="O169" s="107" t="str">
        <f>IF(A169="","",H169+M169)</f>
        <v/>
      </c>
      <c r="P169" s="107" t="str">
        <f>IF(A169="","",CHOOSE(計算過程!$B$72,ROUND(F168*計算過程!$B$32/計算過程!$B$6,0),ROUNDDOWN(F168*計算過程!$B$32/計算過程!$B$6,0),ROUNDUP(F168*計算過程!$B$32/計算過程!$B$6,0)))</f>
        <v/>
      </c>
      <c r="Q169" s="107" t="str">
        <f>IF(A169="","",CHOOSE(計算過程!$B$72,ROUND(G168*計算過程!$B$33/計算過程!$B$6,0),ROUNDDOWN(G168*計算過程!$B$33/計算過程!$B$6,0),ROUNDUP(G168*計算過程!$B$33/計算過程!$B$6,0)))</f>
        <v/>
      </c>
    </row>
    <row r="170" spans="1:17">
      <c r="A170" s="106" t="str">
        <f>IF(OR(計算過程!$B$98="",ROWS($A$8:A170)&gt;計算過程!$B$71),"",ROWS($A$8:A170))</f>
        <v/>
      </c>
      <c r="B170" s="108" t="str">
        <f>IF(A170="","",EDATE(計算過程!$B$98,A170-1))</f>
        <v/>
      </c>
      <c r="C170" s="107" t="str">
        <f>IF(A170="","",IF(A170=計算過程!$B$71,D170+F169+G169,計算過程!$B$78))</f>
        <v/>
      </c>
      <c r="D170" s="107" t="str">
        <f>IF(A170="","",P170+Q170)</f>
        <v/>
      </c>
      <c r="E170" s="107" t="str">
        <f>IF(A170="","",C170-D170)</f>
        <v/>
      </c>
      <c r="F170" s="107" t="str">
        <f>IF(A170="","",IF(A170=計算過程!$B$71,0,MAX(0,F169-(計算過程!$B$76-P170))))</f>
        <v/>
      </c>
      <c r="G170" s="107" t="str">
        <f>IF(A170="","",IF(A170=計算過程!$B$71,0,MAX(0,G169-(計算過程!$B$77-Q170))))</f>
        <v/>
      </c>
      <c r="H170" s="107" t="str">
        <f>IF(A170="","",F170+G170)</f>
        <v/>
      </c>
      <c r="I170" s="106" t="str">
        <f>IF(A170="","",IF(AND(OR(MONTH(B170)=6,MONTH(B170)=12),I169&lt;計算過程!$B$69),I169+1,I169))</f>
        <v/>
      </c>
      <c r="J170" s="107" t="str">
        <f>IF(A170="","",IF(I170&gt;I169,IF(I170=計算過程!$B$69,M169+K170,計算過程!$B$81),0))</f>
        <v/>
      </c>
      <c r="K170" s="107" t="str">
        <f>IF(A170="","",IF(I170&gt;I169,CHOOSE(計算過程!$B$72,ROUND(M169*計算過程!$B$79,0),ROUNDDOWN(M169*計算過程!$B$79,0),ROUNDUP(M169*計算過程!$B$79,0)),0))</f>
        <v/>
      </c>
      <c r="L170" s="107" t="str">
        <f>IF(A170="","",J170-K170)</f>
        <v/>
      </c>
      <c r="M170" s="107" t="str">
        <f>IF(A170="","",IF(I170&gt;I169,M169-L170,M169))</f>
        <v/>
      </c>
      <c r="N170" s="107" t="str">
        <f>IF(A170="","",C170+J170)</f>
        <v/>
      </c>
      <c r="O170" s="107" t="str">
        <f>IF(A170="","",H170+M170)</f>
        <v/>
      </c>
      <c r="P170" s="107" t="str">
        <f>IF(A170="","",CHOOSE(計算過程!$B$72,ROUND(F169*計算過程!$B$32/計算過程!$B$6,0),ROUNDDOWN(F169*計算過程!$B$32/計算過程!$B$6,0),ROUNDUP(F169*計算過程!$B$32/計算過程!$B$6,0)))</f>
        <v/>
      </c>
      <c r="Q170" s="107" t="str">
        <f>IF(A170="","",CHOOSE(計算過程!$B$72,ROUND(G169*計算過程!$B$33/計算過程!$B$6,0),ROUNDDOWN(G169*計算過程!$B$33/計算過程!$B$6,0),ROUNDUP(G169*計算過程!$B$33/計算過程!$B$6,0)))</f>
        <v/>
      </c>
    </row>
    <row r="171" spans="1:17">
      <c r="A171" s="106" t="str">
        <f>IF(OR(計算過程!$B$98="",ROWS($A$8:A171)&gt;計算過程!$B$71),"",ROWS($A$8:A171))</f>
        <v/>
      </c>
      <c r="B171" s="108" t="str">
        <f>IF(A171="","",EDATE(計算過程!$B$98,A171-1))</f>
        <v/>
      </c>
      <c r="C171" s="107" t="str">
        <f>IF(A171="","",IF(A171=計算過程!$B$71,D171+F170+G170,計算過程!$B$78))</f>
        <v/>
      </c>
      <c r="D171" s="107" t="str">
        <f>IF(A171="","",P171+Q171)</f>
        <v/>
      </c>
      <c r="E171" s="107" t="str">
        <f>IF(A171="","",C171-D171)</f>
        <v/>
      </c>
      <c r="F171" s="107" t="str">
        <f>IF(A171="","",IF(A171=計算過程!$B$71,0,MAX(0,F170-(計算過程!$B$76-P171))))</f>
        <v/>
      </c>
      <c r="G171" s="107" t="str">
        <f>IF(A171="","",IF(A171=計算過程!$B$71,0,MAX(0,G170-(計算過程!$B$77-Q171))))</f>
        <v/>
      </c>
      <c r="H171" s="107" t="str">
        <f>IF(A171="","",F171+G171)</f>
        <v/>
      </c>
      <c r="I171" s="106" t="str">
        <f>IF(A171="","",IF(AND(OR(MONTH(B171)=6,MONTH(B171)=12),I170&lt;計算過程!$B$69),I170+1,I170))</f>
        <v/>
      </c>
      <c r="J171" s="107" t="str">
        <f>IF(A171="","",IF(I171&gt;I170,IF(I171=計算過程!$B$69,M170+K171,計算過程!$B$81),0))</f>
        <v/>
      </c>
      <c r="K171" s="107" t="str">
        <f>IF(A171="","",IF(I171&gt;I170,CHOOSE(計算過程!$B$72,ROUND(M170*計算過程!$B$79,0),ROUNDDOWN(M170*計算過程!$B$79,0),ROUNDUP(M170*計算過程!$B$79,0)),0))</f>
        <v/>
      </c>
      <c r="L171" s="107" t="str">
        <f>IF(A171="","",J171-K171)</f>
        <v/>
      </c>
      <c r="M171" s="107" t="str">
        <f>IF(A171="","",IF(I171&gt;I170,M170-L171,M170))</f>
        <v/>
      </c>
      <c r="N171" s="107" t="str">
        <f>IF(A171="","",C171+J171)</f>
        <v/>
      </c>
      <c r="O171" s="107" t="str">
        <f>IF(A171="","",H171+M171)</f>
        <v/>
      </c>
      <c r="P171" s="107" t="str">
        <f>IF(A171="","",CHOOSE(計算過程!$B$72,ROUND(F170*計算過程!$B$32/計算過程!$B$6,0),ROUNDDOWN(F170*計算過程!$B$32/計算過程!$B$6,0),ROUNDUP(F170*計算過程!$B$32/計算過程!$B$6,0)))</f>
        <v/>
      </c>
      <c r="Q171" s="107" t="str">
        <f>IF(A171="","",CHOOSE(計算過程!$B$72,ROUND(G170*計算過程!$B$33/計算過程!$B$6,0),ROUNDDOWN(G170*計算過程!$B$33/計算過程!$B$6,0),ROUNDUP(G170*計算過程!$B$33/計算過程!$B$6,0)))</f>
        <v/>
      </c>
    </row>
    <row r="172" spans="1:17">
      <c r="A172" s="106" t="str">
        <f>IF(OR(計算過程!$B$98="",ROWS($A$8:A172)&gt;計算過程!$B$71),"",ROWS($A$8:A172))</f>
        <v/>
      </c>
      <c r="B172" s="108" t="str">
        <f>IF(A172="","",EDATE(計算過程!$B$98,A172-1))</f>
        <v/>
      </c>
      <c r="C172" s="107" t="str">
        <f>IF(A172="","",IF(A172=計算過程!$B$71,D172+F171+G171,計算過程!$B$78))</f>
        <v/>
      </c>
      <c r="D172" s="107" t="str">
        <f>IF(A172="","",P172+Q172)</f>
        <v/>
      </c>
      <c r="E172" s="107" t="str">
        <f>IF(A172="","",C172-D172)</f>
        <v/>
      </c>
      <c r="F172" s="107" t="str">
        <f>IF(A172="","",IF(A172=計算過程!$B$71,0,MAX(0,F171-(計算過程!$B$76-P172))))</f>
        <v/>
      </c>
      <c r="G172" s="107" t="str">
        <f>IF(A172="","",IF(A172=計算過程!$B$71,0,MAX(0,G171-(計算過程!$B$77-Q172))))</f>
        <v/>
      </c>
      <c r="H172" s="107" t="str">
        <f>IF(A172="","",F172+G172)</f>
        <v/>
      </c>
      <c r="I172" s="106" t="str">
        <f>IF(A172="","",IF(AND(OR(MONTH(B172)=6,MONTH(B172)=12),I171&lt;計算過程!$B$69),I171+1,I171))</f>
        <v/>
      </c>
      <c r="J172" s="107" t="str">
        <f>IF(A172="","",IF(I172&gt;I171,IF(I172=計算過程!$B$69,M171+K172,計算過程!$B$81),0))</f>
        <v/>
      </c>
      <c r="K172" s="107" t="str">
        <f>IF(A172="","",IF(I172&gt;I171,CHOOSE(計算過程!$B$72,ROUND(M171*計算過程!$B$79,0),ROUNDDOWN(M171*計算過程!$B$79,0),ROUNDUP(M171*計算過程!$B$79,0)),0))</f>
        <v/>
      </c>
      <c r="L172" s="107" t="str">
        <f>IF(A172="","",J172-K172)</f>
        <v/>
      </c>
      <c r="M172" s="107" t="str">
        <f>IF(A172="","",IF(I172&gt;I171,M171-L172,M171))</f>
        <v/>
      </c>
      <c r="N172" s="107" t="str">
        <f>IF(A172="","",C172+J172)</f>
        <v/>
      </c>
      <c r="O172" s="107" t="str">
        <f>IF(A172="","",H172+M172)</f>
        <v/>
      </c>
      <c r="P172" s="107" t="str">
        <f>IF(A172="","",CHOOSE(計算過程!$B$72,ROUND(F171*計算過程!$B$32/計算過程!$B$6,0),ROUNDDOWN(F171*計算過程!$B$32/計算過程!$B$6,0),ROUNDUP(F171*計算過程!$B$32/計算過程!$B$6,0)))</f>
        <v/>
      </c>
      <c r="Q172" s="107" t="str">
        <f>IF(A172="","",CHOOSE(計算過程!$B$72,ROUND(G171*計算過程!$B$33/計算過程!$B$6,0),ROUNDDOWN(G171*計算過程!$B$33/計算過程!$B$6,0),ROUNDUP(G171*計算過程!$B$33/計算過程!$B$6,0)))</f>
        <v/>
      </c>
    </row>
    <row r="173" spans="1:17">
      <c r="A173" s="106" t="str">
        <f>IF(OR(計算過程!$B$98="",ROWS($A$8:A173)&gt;計算過程!$B$71),"",ROWS($A$8:A173))</f>
        <v/>
      </c>
      <c r="B173" s="108" t="str">
        <f>IF(A173="","",EDATE(計算過程!$B$98,A173-1))</f>
        <v/>
      </c>
      <c r="C173" s="107" t="str">
        <f>IF(A173="","",IF(A173=計算過程!$B$71,D173+F172+G172,計算過程!$B$78))</f>
        <v/>
      </c>
      <c r="D173" s="107" t="str">
        <f>IF(A173="","",P173+Q173)</f>
        <v/>
      </c>
      <c r="E173" s="107" t="str">
        <f>IF(A173="","",C173-D173)</f>
        <v/>
      </c>
      <c r="F173" s="107" t="str">
        <f>IF(A173="","",IF(A173=計算過程!$B$71,0,MAX(0,F172-(計算過程!$B$76-P173))))</f>
        <v/>
      </c>
      <c r="G173" s="107" t="str">
        <f>IF(A173="","",IF(A173=計算過程!$B$71,0,MAX(0,G172-(計算過程!$B$77-Q173))))</f>
        <v/>
      </c>
      <c r="H173" s="107" t="str">
        <f>IF(A173="","",F173+G173)</f>
        <v/>
      </c>
      <c r="I173" s="106" t="str">
        <f>IF(A173="","",IF(AND(OR(MONTH(B173)=6,MONTH(B173)=12),I172&lt;計算過程!$B$69),I172+1,I172))</f>
        <v/>
      </c>
      <c r="J173" s="107" t="str">
        <f>IF(A173="","",IF(I173&gt;I172,IF(I173=計算過程!$B$69,M172+K173,計算過程!$B$81),0))</f>
        <v/>
      </c>
      <c r="K173" s="107" t="str">
        <f>IF(A173="","",IF(I173&gt;I172,CHOOSE(計算過程!$B$72,ROUND(M172*計算過程!$B$79,0),ROUNDDOWN(M172*計算過程!$B$79,0),ROUNDUP(M172*計算過程!$B$79,0)),0))</f>
        <v/>
      </c>
      <c r="L173" s="107" t="str">
        <f>IF(A173="","",J173-K173)</f>
        <v/>
      </c>
      <c r="M173" s="107" t="str">
        <f>IF(A173="","",IF(I173&gt;I172,M172-L173,M172))</f>
        <v/>
      </c>
      <c r="N173" s="107" t="str">
        <f>IF(A173="","",C173+J173)</f>
        <v/>
      </c>
      <c r="O173" s="107" t="str">
        <f>IF(A173="","",H173+M173)</f>
        <v/>
      </c>
      <c r="P173" s="107" t="str">
        <f>IF(A173="","",CHOOSE(計算過程!$B$72,ROUND(F172*計算過程!$B$32/計算過程!$B$6,0),ROUNDDOWN(F172*計算過程!$B$32/計算過程!$B$6,0),ROUNDUP(F172*計算過程!$B$32/計算過程!$B$6,0)))</f>
        <v/>
      </c>
      <c r="Q173" s="107" t="str">
        <f>IF(A173="","",CHOOSE(計算過程!$B$72,ROUND(G172*計算過程!$B$33/計算過程!$B$6,0),ROUNDDOWN(G172*計算過程!$B$33/計算過程!$B$6,0),ROUNDUP(G172*計算過程!$B$33/計算過程!$B$6,0)))</f>
        <v/>
      </c>
    </row>
    <row r="174" spans="1:17">
      <c r="A174" s="106" t="str">
        <f>IF(OR(計算過程!$B$98="",ROWS($A$8:A174)&gt;計算過程!$B$71),"",ROWS($A$8:A174))</f>
        <v/>
      </c>
      <c r="B174" s="108" t="str">
        <f>IF(A174="","",EDATE(計算過程!$B$98,A174-1))</f>
        <v/>
      </c>
      <c r="C174" s="107" t="str">
        <f>IF(A174="","",IF(A174=計算過程!$B$71,D174+F173+G173,計算過程!$B$78))</f>
        <v/>
      </c>
      <c r="D174" s="107" t="str">
        <f>IF(A174="","",P174+Q174)</f>
        <v/>
      </c>
      <c r="E174" s="107" t="str">
        <f>IF(A174="","",C174-D174)</f>
        <v/>
      </c>
      <c r="F174" s="107" t="str">
        <f>IF(A174="","",IF(A174=計算過程!$B$71,0,MAX(0,F173-(計算過程!$B$76-P174))))</f>
        <v/>
      </c>
      <c r="G174" s="107" t="str">
        <f>IF(A174="","",IF(A174=計算過程!$B$71,0,MAX(0,G173-(計算過程!$B$77-Q174))))</f>
        <v/>
      </c>
      <c r="H174" s="107" t="str">
        <f>IF(A174="","",F174+G174)</f>
        <v/>
      </c>
      <c r="I174" s="106" t="str">
        <f>IF(A174="","",IF(AND(OR(MONTH(B174)=6,MONTH(B174)=12),I173&lt;計算過程!$B$69),I173+1,I173))</f>
        <v/>
      </c>
      <c r="J174" s="107" t="str">
        <f>IF(A174="","",IF(I174&gt;I173,IF(I174=計算過程!$B$69,M173+K174,計算過程!$B$81),0))</f>
        <v/>
      </c>
      <c r="K174" s="107" t="str">
        <f>IF(A174="","",IF(I174&gt;I173,CHOOSE(計算過程!$B$72,ROUND(M173*計算過程!$B$79,0),ROUNDDOWN(M173*計算過程!$B$79,0),ROUNDUP(M173*計算過程!$B$79,0)),0))</f>
        <v/>
      </c>
      <c r="L174" s="107" t="str">
        <f>IF(A174="","",J174-K174)</f>
        <v/>
      </c>
      <c r="M174" s="107" t="str">
        <f>IF(A174="","",IF(I174&gt;I173,M173-L174,M173))</f>
        <v/>
      </c>
      <c r="N174" s="107" t="str">
        <f>IF(A174="","",C174+J174)</f>
        <v/>
      </c>
      <c r="O174" s="107" t="str">
        <f>IF(A174="","",H174+M174)</f>
        <v/>
      </c>
      <c r="P174" s="107" t="str">
        <f>IF(A174="","",CHOOSE(計算過程!$B$72,ROUND(F173*計算過程!$B$32/計算過程!$B$6,0),ROUNDDOWN(F173*計算過程!$B$32/計算過程!$B$6,0),ROUNDUP(F173*計算過程!$B$32/計算過程!$B$6,0)))</f>
        <v/>
      </c>
      <c r="Q174" s="107" t="str">
        <f>IF(A174="","",CHOOSE(計算過程!$B$72,ROUND(G173*計算過程!$B$33/計算過程!$B$6,0),ROUNDDOWN(G173*計算過程!$B$33/計算過程!$B$6,0),ROUNDUP(G173*計算過程!$B$33/計算過程!$B$6,0)))</f>
        <v/>
      </c>
    </row>
    <row r="175" spans="1:17">
      <c r="A175" s="106" t="str">
        <f>IF(OR(計算過程!$B$98="",ROWS($A$8:A175)&gt;計算過程!$B$71),"",ROWS($A$8:A175))</f>
        <v/>
      </c>
      <c r="B175" s="108" t="str">
        <f>IF(A175="","",EDATE(計算過程!$B$98,A175-1))</f>
        <v/>
      </c>
      <c r="C175" s="107" t="str">
        <f>IF(A175="","",IF(A175=計算過程!$B$71,D175+F174+G174,計算過程!$B$78))</f>
        <v/>
      </c>
      <c r="D175" s="107" t="str">
        <f>IF(A175="","",P175+Q175)</f>
        <v/>
      </c>
      <c r="E175" s="107" t="str">
        <f>IF(A175="","",C175-D175)</f>
        <v/>
      </c>
      <c r="F175" s="107" t="str">
        <f>IF(A175="","",IF(A175=計算過程!$B$71,0,MAX(0,F174-(計算過程!$B$76-P175))))</f>
        <v/>
      </c>
      <c r="G175" s="107" t="str">
        <f>IF(A175="","",IF(A175=計算過程!$B$71,0,MAX(0,G174-(計算過程!$B$77-Q175))))</f>
        <v/>
      </c>
      <c r="H175" s="107" t="str">
        <f>IF(A175="","",F175+G175)</f>
        <v/>
      </c>
      <c r="I175" s="106" t="str">
        <f>IF(A175="","",IF(AND(OR(MONTH(B175)=6,MONTH(B175)=12),I174&lt;計算過程!$B$69),I174+1,I174))</f>
        <v/>
      </c>
      <c r="J175" s="107" t="str">
        <f>IF(A175="","",IF(I175&gt;I174,IF(I175=計算過程!$B$69,M174+K175,計算過程!$B$81),0))</f>
        <v/>
      </c>
      <c r="K175" s="107" t="str">
        <f>IF(A175="","",IF(I175&gt;I174,CHOOSE(計算過程!$B$72,ROUND(M174*計算過程!$B$79,0),ROUNDDOWN(M174*計算過程!$B$79,0),ROUNDUP(M174*計算過程!$B$79,0)),0))</f>
        <v/>
      </c>
      <c r="L175" s="107" t="str">
        <f>IF(A175="","",J175-K175)</f>
        <v/>
      </c>
      <c r="M175" s="107" t="str">
        <f>IF(A175="","",IF(I175&gt;I174,M174-L175,M174))</f>
        <v/>
      </c>
      <c r="N175" s="107" t="str">
        <f>IF(A175="","",C175+J175)</f>
        <v/>
      </c>
      <c r="O175" s="107" t="str">
        <f>IF(A175="","",H175+M175)</f>
        <v/>
      </c>
      <c r="P175" s="107" t="str">
        <f>IF(A175="","",CHOOSE(計算過程!$B$72,ROUND(F174*計算過程!$B$32/計算過程!$B$6,0),ROUNDDOWN(F174*計算過程!$B$32/計算過程!$B$6,0),ROUNDUP(F174*計算過程!$B$32/計算過程!$B$6,0)))</f>
        <v/>
      </c>
      <c r="Q175" s="107" t="str">
        <f>IF(A175="","",CHOOSE(計算過程!$B$72,ROUND(G174*計算過程!$B$33/計算過程!$B$6,0),ROUNDDOWN(G174*計算過程!$B$33/計算過程!$B$6,0),ROUNDUP(G174*計算過程!$B$33/計算過程!$B$6,0)))</f>
        <v/>
      </c>
    </row>
    <row r="176" spans="1:17">
      <c r="A176" s="106" t="str">
        <f>IF(OR(計算過程!$B$98="",ROWS($A$8:A176)&gt;計算過程!$B$71),"",ROWS($A$8:A176))</f>
        <v/>
      </c>
      <c r="B176" s="108" t="str">
        <f>IF(A176="","",EDATE(計算過程!$B$98,A176-1))</f>
        <v/>
      </c>
      <c r="C176" s="107" t="str">
        <f>IF(A176="","",IF(A176=計算過程!$B$71,D176+F175+G175,計算過程!$B$78))</f>
        <v/>
      </c>
      <c r="D176" s="107" t="str">
        <f>IF(A176="","",P176+Q176)</f>
        <v/>
      </c>
      <c r="E176" s="107" t="str">
        <f>IF(A176="","",C176-D176)</f>
        <v/>
      </c>
      <c r="F176" s="107" t="str">
        <f>IF(A176="","",IF(A176=計算過程!$B$71,0,MAX(0,F175-(計算過程!$B$76-P176))))</f>
        <v/>
      </c>
      <c r="G176" s="107" t="str">
        <f>IF(A176="","",IF(A176=計算過程!$B$71,0,MAX(0,G175-(計算過程!$B$77-Q176))))</f>
        <v/>
      </c>
      <c r="H176" s="107" t="str">
        <f>IF(A176="","",F176+G176)</f>
        <v/>
      </c>
      <c r="I176" s="106" t="str">
        <f>IF(A176="","",IF(AND(OR(MONTH(B176)=6,MONTH(B176)=12),I175&lt;計算過程!$B$69),I175+1,I175))</f>
        <v/>
      </c>
      <c r="J176" s="107" t="str">
        <f>IF(A176="","",IF(I176&gt;I175,IF(I176=計算過程!$B$69,M175+K176,計算過程!$B$81),0))</f>
        <v/>
      </c>
      <c r="K176" s="107" t="str">
        <f>IF(A176="","",IF(I176&gt;I175,CHOOSE(計算過程!$B$72,ROUND(M175*計算過程!$B$79,0),ROUNDDOWN(M175*計算過程!$B$79,0),ROUNDUP(M175*計算過程!$B$79,0)),0))</f>
        <v/>
      </c>
      <c r="L176" s="107" t="str">
        <f>IF(A176="","",J176-K176)</f>
        <v/>
      </c>
      <c r="M176" s="107" t="str">
        <f>IF(A176="","",IF(I176&gt;I175,M175-L176,M175))</f>
        <v/>
      </c>
      <c r="N176" s="107" t="str">
        <f>IF(A176="","",C176+J176)</f>
        <v/>
      </c>
      <c r="O176" s="107" t="str">
        <f>IF(A176="","",H176+M176)</f>
        <v/>
      </c>
      <c r="P176" s="107" t="str">
        <f>IF(A176="","",CHOOSE(計算過程!$B$72,ROUND(F175*計算過程!$B$32/計算過程!$B$6,0),ROUNDDOWN(F175*計算過程!$B$32/計算過程!$B$6,0),ROUNDUP(F175*計算過程!$B$32/計算過程!$B$6,0)))</f>
        <v/>
      </c>
      <c r="Q176" s="107" t="str">
        <f>IF(A176="","",CHOOSE(計算過程!$B$72,ROUND(G175*計算過程!$B$33/計算過程!$B$6,0),ROUNDDOWN(G175*計算過程!$B$33/計算過程!$B$6,0),ROUNDUP(G175*計算過程!$B$33/計算過程!$B$6,0)))</f>
        <v/>
      </c>
    </row>
    <row r="177" spans="1:17">
      <c r="A177" s="106" t="str">
        <f>IF(OR(計算過程!$B$98="",ROWS($A$8:A177)&gt;計算過程!$B$71),"",ROWS($A$8:A177))</f>
        <v/>
      </c>
      <c r="B177" s="108" t="str">
        <f>IF(A177="","",EDATE(計算過程!$B$98,A177-1))</f>
        <v/>
      </c>
      <c r="C177" s="107" t="str">
        <f>IF(A177="","",IF(A177=計算過程!$B$71,D177+F176+G176,計算過程!$B$78))</f>
        <v/>
      </c>
      <c r="D177" s="107" t="str">
        <f>IF(A177="","",P177+Q177)</f>
        <v/>
      </c>
      <c r="E177" s="107" t="str">
        <f>IF(A177="","",C177-D177)</f>
        <v/>
      </c>
      <c r="F177" s="107" t="str">
        <f>IF(A177="","",IF(A177=計算過程!$B$71,0,MAX(0,F176-(計算過程!$B$76-P177))))</f>
        <v/>
      </c>
      <c r="G177" s="107" t="str">
        <f>IF(A177="","",IF(A177=計算過程!$B$71,0,MAX(0,G176-(計算過程!$B$77-Q177))))</f>
        <v/>
      </c>
      <c r="H177" s="107" t="str">
        <f>IF(A177="","",F177+G177)</f>
        <v/>
      </c>
      <c r="I177" s="106" t="str">
        <f>IF(A177="","",IF(AND(OR(MONTH(B177)=6,MONTH(B177)=12),I176&lt;計算過程!$B$69),I176+1,I176))</f>
        <v/>
      </c>
      <c r="J177" s="107" t="str">
        <f>IF(A177="","",IF(I177&gt;I176,IF(I177=計算過程!$B$69,M176+K177,計算過程!$B$81),0))</f>
        <v/>
      </c>
      <c r="K177" s="107" t="str">
        <f>IF(A177="","",IF(I177&gt;I176,CHOOSE(計算過程!$B$72,ROUND(M176*計算過程!$B$79,0),ROUNDDOWN(M176*計算過程!$B$79,0),ROUNDUP(M176*計算過程!$B$79,0)),0))</f>
        <v/>
      </c>
      <c r="L177" s="107" t="str">
        <f>IF(A177="","",J177-K177)</f>
        <v/>
      </c>
      <c r="M177" s="107" t="str">
        <f>IF(A177="","",IF(I177&gt;I176,M176-L177,M176))</f>
        <v/>
      </c>
      <c r="N177" s="107" t="str">
        <f>IF(A177="","",C177+J177)</f>
        <v/>
      </c>
      <c r="O177" s="107" t="str">
        <f>IF(A177="","",H177+M177)</f>
        <v/>
      </c>
      <c r="P177" s="107" t="str">
        <f>IF(A177="","",CHOOSE(計算過程!$B$72,ROUND(F176*計算過程!$B$32/計算過程!$B$6,0),ROUNDDOWN(F176*計算過程!$B$32/計算過程!$B$6,0),ROUNDUP(F176*計算過程!$B$32/計算過程!$B$6,0)))</f>
        <v/>
      </c>
      <c r="Q177" s="107" t="str">
        <f>IF(A177="","",CHOOSE(計算過程!$B$72,ROUND(G176*計算過程!$B$33/計算過程!$B$6,0),ROUNDDOWN(G176*計算過程!$B$33/計算過程!$B$6,0),ROUNDUP(G176*計算過程!$B$33/計算過程!$B$6,0)))</f>
        <v/>
      </c>
    </row>
    <row r="178" spans="1:17">
      <c r="A178" s="106" t="str">
        <f>IF(OR(計算過程!$B$98="",ROWS($A$8:A178)&gt;計算過程!$B$71),"",ROWS($A$8:A178))</f>
        <v/>
      </c>
      <c r="B178" s="108" t="str">
        <f>IF(A178="","",EDATE(計算過程!$B$98,A178-1))</f>
        <v/>
      </c>
      <c r="C178" s="107" t="str">
        <f>IF(A178="","",IF(A178=計算過程!$B$71,D178+F177+G177,計算過程!$B$78))</f>
        <v/>
      </c>
      <c r="D178" s="107" t="str">
        <f>IF(A178="","",P178+Q178)</f>
        <v/>
      </c>
      <c r="E178" s="107" t="str">
        <f>IF(A178="","",C178-D178)</f>
        <v/>
      </c>
      <c r="F178" s="107" t="str">
        <f>IF(A178="","",IF(A178=計算過程!$B$71,0,MAX(0,F177-(計算過程!$B$76-P178))))</f>
        <v/>
      </c>
      <c r="G178" s="107" t="str">
        <f>IF(A178="","",IF(A178=計算過程!$B$71,0,MAX(0,G177-(計算過程!$B$77-Q178))))</f>
        <v/>
      </c>
      <c r="H178" s="107" t="str">
        <f>IF(A178="","",F178+G178)</f>
        <v/>
      </c>
      <c r="I178" s="106" t="str">
        <f>IF(A178="","",IF(AND(OR(MONTH(B178)=6,MONTH(B178)=12),I177&lt;計算過程!$B$69),I177+1,I177))</f>
        <v/>
      </c>
      <c r="J178" s="107" t="str">
        <f>IF(A178="","",IF(I178&gt;I177,IF(I178=計算過程!$B$69,M177+K178,計算過程!$B$81),0))</f>
        <v/>
      </c>
      <c r="K178" s="107" t="str">
        <f>IF(A178="","",IF(I178&gt;I177,CHOOSE(計算過程!$B$72,ROUND(M177*計算過程!$B$79,0),ROUNDDOWN(M177*計算過程!$B$79,0),ROUNDUP(M177*計算過程!$B$79,0)),0))</f>
        <v/>
      </c>
      <c r="L178" s="107" t="str">
        <f>IF(A178="","",J178-K178)</f>
        <v/>
      </c>
      <c r="M178" s="107" t="str">
        <f>IF(A178="","",IF(I178&gt;I177,M177-L178,M177))</f>
        <v/>
      </c>
      <c r="N178" s="107" t="str">
        <f>IF(A178="","",C178+J178)</f>
        <v/>
      </c>
      <c r="O178" s="107" t="str">
        <f>IF(A178="","",H178+M178)</f>
        <v/>
      </c>
      <c r="P178" s="107" t="str">
        <f>IF(A178="","",CHOOSE(計算過程!$B$72,ROUND(F177*計算過程!$B$32/計算過程!$B$6,0),ROUNDDOWN(F177*計算過程!$B$32/計算過程!$B$6,0),ROUNDUP(F177*計算過程!$B$32/計算過程!$B$6,0)))</f>
        <v/>
      </c>
      <c r="Q178" s="107" t="str">
        <f>IF(A178="","",CHOOSE(計算過程!$B$72,ROUND(G177*計算過程!$B$33/計算過程!$B$6,0),ROUNDDOWN(G177*計算過程!$B$33/計算過程!$B$6,0),ROUNDUP(G177*計算過程!$B$33/計算過程!$B$6,0)))</f>
        <v/>
      </c>
    </row>
    <row r="179" spans="1:17">
      <c r="A179" s="106" t="str">
        <f>IF(OR(計算過程!$B$98="",ROWS($A$8:A179)&gt;計算過程!$B$71),"",ROWS($A$8:A179))</f>
        <v/>
      </c>
      <c r="B179" s="108" t="str">
        <f>IF(A179="","",EDATE(計算過程!$B$98,A179-1))</f>
        <v/>
      </c>
      <c r="C179" s="107" t="str">
        <f>IF(A179="","",IF(A179=計算過程!$B$71,D179+F178+G178,計算過程!$B$78))</f>
        <v/>
      </c>
      <c r="D179" s="107" t="str">
        <f>IF(A179="","",P179+Q179)</f>
        <v/>
      </c>
      <c r="E179" s="107" t="str">
        <f>IF(A179="","",C179-D179)</f>
        <v/>
      </c>
      <c r="F179" s="107" t="str">
        <f>IF(A179="","",IF(A179=計算過程!$B$71,0,MAX(0,F178-(計算過程!$B$76-P179))))</f>
        <v/>
      </c>
      <c r="G179" s="107" t="str">
        <f>IF(A179="","",IF(A179=計算過程!$B$71,0,MAX(0,G178-(計算過程!$B$77-Q179))))</f>
        <v/>
      </c>
      <c r="H179" s="107" t="str">
        <f>IF(A179="","",F179+G179)</f>
        <v/>
      </c>
      <c r="I179" s="106" t="str">
        <f>IF(A179="","",IF(AND(OR(MONTH(B179)=6,MONTH(B179)=12),I178&lt;計算過程!$B$69),I178+1,I178))</f>
        <v/>
      </c>
      <c r="J179" s="107" t="str">
        <f>IF(A179="","",IF(I179&gt;I178,IF(I179=計算過程!$B$69,M178+K179,計算過程!$B$81),0))</f>
        <v/>
      </c>
      <c r="K179" s="107" t="str">
        <f>IF(A179="","",IF(I179&gt;I178,CHOOSE(計算過程!$B$72,ROUND(M178*計算過程!$B$79,0),ROUNDDOWN(M178*計算過程!$B$79,0),ROUNDUP(M178*計算過程!$B$79,0)),0))</f>
        <v/>
      </c>
      <c r="L179" s="107" t="str">
        <f>IF(A179="","",J179-K179)</f>
        <v/>
      </c>
      <c r="M179" s="107" t="str">
        <f>IF(A179="","",IF(I179&gt;I178,M178-L179,M178))</f>
        <v/>
      </c>
      <c r="N179" s="107" t="str">
        <f>IF(A179="","",C179+J179)</f>
        <v/>
      </c>
      <c r="O179" s="107" t="str">
        <f>IF(A179="","",H179+M179)</f>
        <v/>
      </c>
      <c r="P179" s="107" t="str">
        <f>IF(A179="","",CHOOSE(計算過程!$B$72,ROUND(F178*計算過程!$B$32/計算過程!$B$6,0),ROUNDDOWN(F178*計算過程!$B$32/計算過程!$B$6,0),ROUNDUP(F178*計算過程!$B$32/計算過程!$B$6,0)))</f>
        <v/>
      </c>
      <c r="Q179" s="107" t="str">
        <f>IF(A179="","",CHOOSE(計算過程!$B$72,ROUND(G178*計算過程!$B$33/計算過程!$B$6,0),ROUNDDOWN(G178*計算過程!$B$33/計算過程!$B$6,0),ROUNDUP(G178*計算過程!$B$33/計算過程!$B$6,0)))</f>
        <v/>
      </c>
    </row>
    <row r="180" spans="1:17">
      <c r="A180" s="106" t="str">
        <f>IF(OR(計算過程!$B$98="",ROWS($A$8:A180)&gt;計算過程!$B$71),"",ROWS($A$8:A180))</f>
        <v/>
      </c>
      <c r="B180" s="108" t="str">
        <f>IF(A180="","",EDATE(計算過程!$B$98,A180-1))</f>
        <v/>
      </c>
      <c r="C180" s="107" t="str">
        <f>IF(A180="","",IF(A180=計算過程!$B$71,D180+F179+G179,計算過程!$B$78))</f>
        <v/>
      </c>
      <c r="D180" s="107" t="str">
        <f>IF(A180="","",P180+Q180)</f>
        <v/>
      </c>
      <c r="E180" s="107" t="str">
        <f>IF(A180="","",C180-D180)</f>
        <v/>
      </c>
      <c r="F180" s="107" t="str">
        <f>IF(A180="","",IF(A180=計算過程!$B$71,0,MAX(0,F179-(計算過程!$B$76-P180))))</f>
        <v/>
      </c>
      <c r="G180" s="107" t="str">
        <f>IF(A180="","",IF(A180=計算過程!$B$71,0,MAX(0,G179-(計算過程!$B$77-Q180))))</f>
        <v/>
      </c>
      <c r="H180" s="107" t="str">
        <f>IF(A180="","",F180+G180)</f>
        <v/>
      </c>
      <c r="I180" s="106" t="str">
        <f>IF(A180="","",IF(AND(OR(MONTH(B180)=6,MONTH(B180)=12),I179&lt;計算過程!$B$69),I179+1,I179))</f>
        <v/>
      </c>
      <c r="J180" s="107" t="str">
        <f>IF(A180="","",IF(I180&gt;I179,IF(I180=計算過程!$B$69,M179+K180,計算過程!$B$81),0))</f>
        <v/>
      </c>
      <c r="K180" s="107" t="str">
        <f>IF(A180="","",IF(I180&gt;I179,CHOOSE(計算過程!$B$72,ROUND(M179*計算過程!$B$79,0),ROUNDDOWN(M179*計算過程!$B$79,0),ROUNDUP(M179*計算過程!$B$79,0)),0))</f>
        <v/>
      </c>
      <c r="L180" s="107" t="str">
        <f>IF(A180="","",J180-K180)</f>
        <v/>
      </c>
      <c r="M180" s="107" t="str">
        <f>IF(A180="","",IF(I180&gt;I179,M179-L180,M179))</f>
        <v/>
      </c>
      <c r="N180" s="107" t="str">
        <f>IF(A180="","",C180+J180)</f>
        <v/>
      </c>
      <c r="O180" s="107" t="str">
        <f>IF(A180="","",H180+M180)</f>
        <v/>
      </c>
      <c r="P180" s="107" t="str">
        <f>IF(A180="","",CHOOSE(計算過程!$B$72,ROUND(F179*計算過程!$B$32/計算過程!$B$6,0),ROUNDDOWN(F179*計算過程!$B$32/計算過程!$B$6,0),ROUNDUP(F179*計算過程!$B$32/計算過程!$B$6,0)))</f>
        <v/>
      </c>
      <c r="Q180" s="107" t="str">
        <f>IF(A180="","",CHOOSE(計算過程!$B$72,ROUND(G179*計算過程!$B$33/計算過程!$B$6,0),ROUNDDOWN(G179*計算過程!$B$33/計算過程!$B$6,0),ROUNDUP(G179*計算過程!$B$33/計算過程!$B$6,0)))</f>
        <v/>
      </c>
    </row>
    <row r="181" spans="1:17">
      <c r="A181" s="106" t="str">
        <f>IF(OR(計算過程!$B$98="",ROWS($A$8:A181)&gt;計算過程!$B$71),"",ROWS($A$8:A181))</f>
        <v/>
      </c>
      <c r="B181" s="108" t="str">
        <f>IF(A181="","",EDATE(計算過程!$B$98,A181-1))</f>
        <v/>
      </c>
      <c r="C181" s="107" t="str">
        <f>IF(A181="","",IF(A181=計算過程!$B$71,D181+F180+G180,計算過程!$B$78))</f>
        <v/>
      </c>
      <c r="D181" s="107" t="str">
        <f>IF(A181="","",P181+Q181)</f>
        <v/>
      </c>
      <c r="E181" s="107" t="str">
        <f>IF(A181="","",C181-D181)</f>
        <v/>
      </c>
      <c r="F181" s="107" t="str">
        <f>IF(A181="","",IF(A181=計算過程!$B$71,0,MAX(0,F180-(計算過程!$B$76-P181))))</f>
        <v/>
      </c>
      <c r="G181" s="107" t="str">
        <f>IF(A181="","",IF(A181=計算過程!$B$71,0,MAX(0,G180-(計算過程!$B$77-Q181))))</f>
        <v/>
      </c>
      <c r="H181" s="107" t="str">
        <f>IF(A181="","",F181+G181)</f>
        <v/>
      </c>
      <c r="I181" s="106" t="str">
        <f>IF(A181="","",IF(AND(OR(MONTH(B181)=6,MONTH(B181)=12),I180&lt;計算過程!$B$69),I180+1,I180))</f>
        <v/>
      </c>
      <c r="J181" s="107" t="str">
        <f>IF(A181="","",IF(I181&gt;I180,IF(I181=計算過程!$B$69,M180+K181,計算過程!$B$81),0))</f>
        <v/>
      </c>
      <c r="K181" s="107" t="str">
        <f>IF(A181="","",IF(I181&gt;I180,CHOOSE(計算過程!$B$72,ROUND(M180*計算過程!$B$79,0),ROUNDDOWN(M180*計算過程!$B$79,0),ROUNDUP(M180*計算過程!$B$79,0)),0))</f>
        <v/>
      </c>
      <c r="L181" s="107" t="str">
        <f>IF(A181="","",J181-K181)</f>
        <v/>
      </c>
      <c r="M181" s="107" t="str">
        <f>IF(A181="","",IF(I181&gt;I180,M180-L181,M180))</f>
        <v/>
      </c>
      <c r="N181" s="107" t="str">
        <f>IF(A181="","",C181+J181)</f>
        <v/>
      </c>
      <c r="O181" s="107" t="str">
        <f>IF(A181="","",H181+M181)</f>
        <v/>
      </c>
      <c r="P181" s="107" t="str">
        <f>IF(A181="","",CHOOSE(計算過程!$B$72,ROUND(F180*計算過程!$B$32/計算過程!$B$6,0),ROUNDDOWN(F180*計算過程!$B$32/計算過程!$B$6,0),ROUNDUP(F180*計算過程!$B$32/計算過程!$B$6,0)))</f>
        <v/>
      </c>
      <c r="Q181" s="107" t="str">
        <f>IF(A181="","",CHOOSE(計算過程!$B$72,ROUND(G180*計算過程!$B$33/計算過程!$B$6,0),ROUNDDOWN(G180*計算過程!$B$33/計算過程!$B$6,0),ROUNDUP(G180*計算過程!$B$33/計算過程!$B$6,0)))</f>
        <v/>
      </c>
    </row>
    <row r="182" spans="1:17">
      <c r="A182" s="106" t="str">
        <f>IF(OR(計算過程!$B$98="",ROWS($A$8:A182)&gt;計算過程!$B$71),"",ROWS($A$8:A182))</f>
        <v/>
      </c>
      <c r="B182" s="108" t="str">
        <f>IF(A182="","",EDATE(計算過程!$B$98,A182-1))</f>
        <v/>
      </c>
      <c r="C182" s="107" t="str">
        <f>IF(A182="","",IF(A182=計算過程!$B$71,D182+F181+G181,計算過程!$B$78))</f>
        <v/>
      </c>
      <c r="D182" s="107" t="str">
        <f>IF(A182="","",P182+Q182)</f>
        <v/>
      </c>
      <c r="E182" s="107" t="str">
        <f>IF(A182="","",C182-D182)</f>
        <v/>
      </c>
      <c r="F182" s="107" t="str">
        <f>IF(A182="","",IF(A182=計算過程!$B$71,0,MAX(0,F181-(計算過程!$B$76-P182))))</f>
        <v/>
      </c>
      <c r="G182" s="107" t="str">
        <f>IF(A182="","",IF(A182=計算過程!$B$71,0,MAX(0,G181-(計算過程!$B$77-Q182))))</f>
        <v/>
      </c>
      <c r="H182" s="107" t="str">
        <f>IF(A182="","",F182+G182)</f>
        <v/>
      </c>
      <c r="I182" s="106" t="str">
        <f>IF(A182="","",IF(AND(OR(MONTH(B182)=6,MONTH(B182)=12),I181&lt;計算過程!$B$69),I181+1,I181))</f>
        <v/>
      </c>
      <c r="J182" s="107" t="str">
        <f>IF(A182="","",IF(I182&gt;I181,IF(I182=計算過程!$B$69,M181+K182,計算過程!$B$81),0))</f>
        <v/>
      </c>
      <c r="K182" s="107" t="str">
        <f>IF(A182="","",IF(I182&gt;I181,CHOOSE(計算過程!$B$72,ROUND(M181*計算過程!$B$79,0),ROUNDDOWN(M181*計算過程!$B$79,0),ROUNDUP(M181*計算過程!$B$79,0)),0))</f>
        <v/>
      </c>
      <c r="L182" s="107" t="str">
        <f>IF(A182="","",J182-K182)</f>
        <v/>
      </c>
      <c r="M182" s="107" t="str">
        <f>IF(A182="","",IF(I182&gt;I181,M181-L182,M181))</f>
        <v/>
      </c>
      <c r="N182" s="107" t="str">
        <f>IF(A182="","",C182+J182)</f>
        <v/>
      </c>
      <c r="O182" s="107" t="str">
        <f>IF(A182="","",H182+M182)</f>
        <v/>
      </c>
      <c r="P182" s="107" t="str">
        <f>IF(A182="","",CHOOSE(計算過程!$B$72,ROUND(F181*計算過程!$B$32/計算過程!$B$6,0),ROUNDDOWN(F181*計算過程!$B$32/計算過程!$B$6,0),ROUNDUP(F181*計算過程!$B$32/計算過程!$B$6,0)))</f>
        <v/>
      </c>
      <c r="Q182" s="107" t="str">
        <f>IF(A182="","",CHOOSE(計算過程!$B$72,ROUND(G181*計算過程!$B$33/計算過程!$B$6,0),ROUNDDOWN(G181*計算過程!$B$33/計算過程!$B$6,0),ROUNDUP(G181*計算過程!$B$33/計算過程!$B$6,0)))</f>
        <v/>
      </c>
    </row>
    <row r="183" spans="1:17">
      <c r="A183" s="106" t="str">
        <f>IF(OR(計算過程!$B$98="",ROWS($A$8:A183)&gt;計算過程!$B$71),"",ROWS($A$8:A183))</f>
        <v/>
      </c>
      <c r="B183" s="108" t="str">
        <f>IF(A183="","",EDATE(計算過程!$B$98,A183-1))</f>
        <v/>
      </c>
      <c r="C183" s="107" t="str">
        <f>IF(A183="","",IF(A183=計算過程!$B$71,D183+F182+G182,計算過程!$B$78))</f>
        <v/>
      </c>
      <c r="D183" s="107" t="str">
        <f>IF(A183="","",P183+Q183)</f>
        <v/>
      </c>
      <c r="E183" s="107" t="str">
        <f>IF(A183="","",C183-D183)</f>
        <v/>
      </c>
      <c r="F183" s="107" t="str">
        <f>IF(A183="","",IF(A183=計算過程!$B$71,0,MAX(0,F182-(計算過程!$B$76-P183))))</f>
        <v/>
      </c>
      <c r="G183" s="107" t="str">
        <f>IF(A183="","",IF(A183=計算過程!$B$71,0,MAX(0,G182-(計算過程!$B$77-Q183))))</f>
        <v/>
      </c>
      <c r="H183" s="107" t="str">
        <f>IF(A183="","",F183+G183)</f>
        <v/>
      </c>
      <c r="I183" s="106" t="str">
        <f>IF(A183="","",IF(AND(OR(MONTH(B183)=6,MONTH(B183)=12),I182&lt;計算過程!$B$69),I182+1,I182))</f>
        <v/>
      </c>
      <c r="J183" s="107" t="str">
        <f>IF(A183="","",IF(I183&gt;I182,IF(I183=計算過程!$B$69,M182+K183,計算過程!$B$81),0))</f>
        <v/>
      </c>
      <c r="K183" s="107" t="str">
        <f>IF(A183="","",IF(I183&gt;I182,CHOOSE(計算過程!$B$72,ROUND(M182*計算過程!$B$79,0),ROUNDDOWN(M182*計算過程!$B$79,0),ROUNDUP(M182*計算過程!$B$79,0)),0))</f>
        <v/>
      </c>
      <c r="L183" s="107" t="str">
        <f>IF(A183="","",J183-K183)</f>
        <v/>
      </c>
      <c r="M183" s="107" t="str">
        <f>IF(A183="","",IF(I183&gt;I182,M182-L183,M182))</f>
        <v/>
      </c>
      <c r="N183" s="107" t="str">
        <f>IF(A183="","",C183+J183)</f>
        <v/>
      </c>
      <c r="O183" s="107" t="str">
        <f>IF(A183="","",H183+M183)</f>
        <v/>
      </c>
      <c r="P183" s="107" t="str">
        <f>IF(A183="","",CHOOSE(計算過程!$B$72,ROUND(F182*計算過程!$B$32/計算過程!$B$6,0),ROUNDDOWN(F182*計算過程!$B$32/計算過程!$B$6,0),ROUNDUP(F182*計算過程!$B$32/計算過程!$B$6,0)))</f>
        <v/>
      </c>
      <c r="Q183" s="107" t="str">
        <f>IF(A183="","",CHOOSE(計算過程!$B$72,ROUND(G182*計算過程!$B$33/計算過程!$B$6,0),ROUNDDOWN(G182*計算過程!$B$33/計算過程!$B$6,0),ROUNDUP(G182*計算過程!$B$33/計算過程!$B$6,0)))</f>
        <v/>
      </c>
    </row>
    <row r="184" spans="1:17">
      <c r="A184" s="106" t="str">
        <f>IF(OR(計算過程!$B$98="",ROWS($A$8:A184)&gt;計算過程!$B$71),"",ROWS($A$8:A184))</f>
        <v/>
      </c>
      <c r="B184" s="108" t="str">
        <f>IF(A184="","",EDATE(計算過程!$B$98,A184-1))</f>
        <v/>
      </c>
      <c r="C184" s="107" t="str">
        <f>IF(A184="","",IF(A184=計算過程!$B$71,D184+F183+G183,計算過程!$B$78))</f>
        <v/>
      </c>
      <c r="D184" s="107" t="str">
        <f>IF(A184="","",P184+Q184)</f>
        <v/>
      </c>
      <c r="E184" s="107" t="str">
        <f>IF(A184="","",C184-D184)</f>
        <v/>
      </c>
      <c r="F184" s="107" t="str">
        <f>IF(A184="","",IF(A184=計算過程!$B$71,0,MAX(0,F183-(計算過程!$B$76-P184))))</f>
        <v/>
      </c>
      <c r="G184" s="107" t="str">
        <f>IF(A184="","",IF(A184=計算過程!$B$71,0,MAX(0,G183-(計算過程!$B$77-Q184))))</f>
        <v/>
      </c>
      <c r="H184" s="107" t="str">
        <f>IF(A184="","",F184+G184)</f>
        <v/>
      </c>
      <c r="I184" s="106" t="str">
        <f>IF(A184="","",IF(AND(OR(MONTH(B184)=6,MONTH(B184)=12),I183&lt;計算過程!$B$69),I183+1,I183))</f>
        <v/>
      </c>
      <c r="J184" s="107" t="str">
        <f>IF(A184="","",IF(I184&gt;I183,IF(I184=計算過程!$B$69,M183+K184,計算過程!$B$81),0))</f>
        <v/>
      </c>
      <c r="K184" s="107" t="str">
        <f>IF(A184="","",IF(I184&gt;I183,CHOOSE(計算過程!$B$72,ROUND(M183*計算過程!$B$79,0),ROUNDDOWN(M183*計算過程!$B$79,0),ROUNDUP(M183*計算過程!$B$79,0)),0))</f>
        <v/>
      </c>
      <c r="L184" s="107" t="str">
        <f>IF(A184="","",J184-K184)</f>
        <v/>
      </c>
      <c r="M184" s="107" t="str">
        <f>IF(A184="","",IF(I184&gt;I183,M183-L184,M183))</f>
        <v/>
      </c>
      <c r="N184" s="107" t="str">
        <f>IF(A184="","",C184+J184)</f>
        <v/>
      </c>
      <c r="O184" s="107" t="str">
        <f>IF(A184="","",H184+M184)</f>
        <v/>
      </c>
      <c r="P184" s="107" t="str">
        <f>IF(A184="","",CHOOSE(計算過程!$B$72,ROUND(F183*計算過程!$B$32/計算過程!$B$6,0),ROUNDDOWN(F183*計算過程!$B$32/計算過程!$B$6,0),ROUNDUP(F183*計算過程!$B$32/計算過程!$B$6,0)))</f>
        <v/>
      </c>
      <c r="Q184" s="107" t="str">
        <f>IF(A184="","",CHOOSE(計算過程!$B$72,ROUND(G183*計算過程!$B$33/計算過程!$B$6,0),ROUNDDOWN(G183*計算過程!$B$33/計算過程!$B$6,0),ROUNDUP(G183*計算過程!$B$33/計算過程!$B$6,0)))</f>
        <v/>
      </c>
    </row>
    <row r="185" spans="1:17">
      <c r="A185" s="106" t="str">
        <f>IF(OR(計算過程!$B$98="",ROWS($A$8:A185)&gt;計算過程!$B$71),"",ROWS($A$8:A185))</f>
        <v/>
      </c>
      <c r="B185" s="108" t="str">
        <f>IF(A185="","",EDATE(計算過程!$B$98,A185-1))</f>
        <v/>
      </c>
      <c r="C185" s="107" t="str">
        <f>IF(A185="","",IF(A185=計算過程!$B$71,D185+F184+G184,計算過程!$B$78))</f>
        <v/>
      </c>
      <c r="D185" s="107" t="str">
        <f>IF(A185="","",P185+Q185)</f>
        <v/>
      </c>
      <c r="E185" s="107" t="str">
        <f>IF(A185="","",C185-D185)</f>
        <v/>
      </c>
      <c r="F185" s="107" t="str">
        <f>IF(A185="","",IF(A185=計算過程!$B$71,0,MAX(0,F184-(計算過程!$B$76-P185))))</f>
        <v/>
      </c>
      <c r="G185" s="107" t="str">
        <f>IF(A185="","",IF(A185=計算過程!$B$71,0,MAX(0,G184-(計算過程!$B$77-Q185))))</f>
        <v/>
      </c>
      <c r="H185" s="107" t="str">
        <f>IF(A185="","",F185+G185)</f>
        <v/>
      </c>
      <c r="I185" s="106" t="str">
        <f>IF(A185="","",IF(AND(OR(MONTH(B185)=6,MONTH(B185)=12),I184&lt;計算過程!$B$69),I184+1,I184))</f>
        <v/>
      </c>
      <c r="J185" s="107" t="str">
        <f>IF(A185="","",IF(I185&gt;I184,IF(I185=計算過程!$B$69,M184+K185,計算過程!$B$81),0))</f>
        <v/>
      </c>
      <c r="K185" s="107" t="str">
        <f>IF(A185="","",IF(I185&gt;I184,CHOOSE(計算過程!$B$72,ROUND(M184*計算過程!$B$79,0),ROUNDDOWN(M184*計算過程!$B$79,0),ROUNDUP(M184*計算過程!$B$79,0)),0))</f>
        <v/>
      </c>
      <c r="L185" s="107" t="str">
        <f>IF(A185="","",J185-K185)</f>
        <v/>
      </c>
      <c r="M185" s="107" t="str">
        <f>IF(A185="","",IF(I185&gt;I184,M184-L185,M184))</f>
        <v/>
      </c>
      <c r="N185" s="107" t="str">
        <f>IF(A185="","",C185+J185)</f>
        <v/>
      </c>
      <c r="O185" s="107" t="str">
        <f>IF(A185="","",H185+M185)</f>
        <v/>
      </c>
      <c r="P185" s="107" t="str">
        <f>IF(A185="","",CHOOSE(計算過程!$B$72,ROUND(F184*計算過程!$B$32/計算過程!$B$6,0),ROUNDDOWN(F184*計算過程!$B$32/計算過程!$B$6,0),ROUNDUP(F184*計算過程!$B$32/計算過程!$B$6,0)))</f>
        <v/>
      </c>
      <c r="Q185" s="107" t="str">
        <f>IF(A185="","",CHOOSE(計算過程!$B$72,ROUND(G184*計算過程!$B$33/計算過程!$B$6,0),ROUNDDOWN(G184*計算過程!$B$33/計算過程!$B$6,0),ROUNDUP(G184*計算過程!$B$33/計算過程!$B$6,0)))</f>
        <v/>
      </c>
    </row>
    <row r="186" spans="1:17">
      <c r="A186" s="106" t="str">
        <f>IF(OR(計算過程!$B$98="",ROWS($A$8:A186)&gt;計算過程!$B$71),"",ROWS($A$8:A186))</f>
        <v/>
      </c>
      <c r="B186" s="108" t="str">
        <f>IF(A186="","",EDATE(計算過程!$B$98,A186-1))</f>
        <v/>
      </c>
      <c r="C186" s="107" t="str">
        <f>IF(A186="","",IF(A186=計算過程!$B$71,D186+F185+G185,計算過程!$B$78))</f>
        <v/>
      </c>
      <c r="D186" s="107" t="str">
        <f>IF(A186="","",P186+Q186)</f>
        <v/>
      </c>
      <c r="E186" s="107" t="str">
        <f>IF(A186="","",C186-D186)</f>
        <v/>
      </c>
      <c r="F186" s="107" t="str">
        <f>IF(A186="","",IF(A186=計算過程!$B$71,0,MAX(0,F185-(計算過程!$B$76-P186))))</f>
        <v/>
      </c>
      <c r="G186" s="107" t="str">
        <f>IF(A186="","",IF(A186=計算過程!$B$71,0,MAX(0,G185-(計算過程!$B$77-Q186))))</f>
        <v/>
      </c>
      <c r="H186" s="107" t="str">
        <f>IF(A186="","",F186+G186)</f>
        <v/>
      </c>
      <c r="I186" s="106" t="str">
        <f>IF(A186="","",IF(AND(OR(MONTH(B186)=6,MONTH(B186)=12),I185&lt;計算過程!$B$69),I185+1,I185))</f>
        <v/>
      </c>
      <c r="J186" s="107" t="str">
        <f>IF(A186="","",IF(I186&gt;I185,IF(I186=計算過程!$B$69,M185+K186,計算過程!$B$81),0))</f>
        <v/>
      </c>
      <c r="K186" s="107" t="str">
        <f>IF(A186="","",IF(I186&gt;I185,CHOOSE(計算過程!$B$72,ROUND(M185*計算過程!$B$79,0),ROUNDDOWN(M185*計算過程!$B$79,0),ROUNDUP(M185*計算過程!$B$79,0)),0))</f>
        <v/>
      </c>
      <c r="L186" s="107" t="str">
        <f>IF(A186="","",J186-K186)</f>
        <v/>
      </c>
      <c r="M186" s="107" t="str">
        <f>IF(A186="","",IF(I186&gt;I185,M185-L186,M185))</f>
        <v/>
      </c>
      <c r="N186" s="107" t="str">
        <f>IF(A186="","",C186+J186)</f>
        <v/>
      </c>
      <c r="O186" s="107" t="str">
        <f>IF(A186="","",H186+M186)</f>
        <v/>
      </c>
      <c r="P186" s="107" t="str">
        <f>IF(A186="","",CHOOSE(計算過程!$B$72,ROUND(F185*計算過程!$B$32/計算過程!$B$6,0),ROUNDDOWN(F185*計算過程!$B$32/計算過程!$B$6,0),ROUNDUP(F185*計算過程!$B$32/計算過程!$B$6,0)))</f>
        <v/>
      </c>
      <c r="Q186" s="107" t="str">
        <f>IF(A186="","",CHOOSE(計算過程!$B$72,ROUND(G185*計算過程!$B$33/計算過程!$B$6,0),ROUNDDOWN(G185*計算過程!$B$33/計算過程!$B$6,0),ROUNDUP(G185*計算過程!$B$33/計算過程!$B$6,0)))</f>
        <v/>
      </c>
    </row>
    <row r="187" spans="1:17">
      <c r="A187" s="106" t="str">
        <f>IF(OR(計算過程!$B$98="",ROWS($A$8:A187)&gt;計算過程!$B$71),"",ROWS($A$8:A187))</f>
        <v/>
      </c>
      <c r="B187" s="108" t="str">
        <f>IF(A187="","",EDATE(計算過程!$B$98,A187-1))</f>
        <v/>
      </c>
      <c r="C187" s="107" t="str">
        <f>IF(A187="","",IF(A187=計算過程!$B$71,D187+F186+G186,計算過程!$B$78))</f>
        <v/>
      </c>
      <c r="D187" s="107" t="str">
        <f>IF(A187="","",P187+Q187)</f>
        <v/>
      </c>
      <c r="E187" s="107" t="str">
        <f>IF(A187="","",C187-D187)</f>
        <v/>
      </c>
      <c r="F187" s="107" t="str">
        <f>IF(A187="","",IF(A187=計算過程!$B$71,0,MAX(0,F186-(計算過程!$B$76-P187))))</f>
        <v/>
      </c>
      <c r="G187" s="107" t="str">
        <f>IF(A187="","",IF(A187=計算過程!$B$71,0,MAX(0,G186-(計算過程!$B$77-Q187))))</f>
        <v/>
      </c>
      <c r="H187" s="107" t="str">
        <f>IF(A187="","",F187+G187)</f>
        <v/>
      </c>
      <c r="I187" s="106" t="str">
        <f>IF(A187="","",IF(AND(OR(MONTH(B187)=6,MONTH(B187)=12),I186&lt;計算過程!$B$69),I186+1,I186))</f>
        <v/>
      </c>
      <c r="J187" s="107" t="str">
        <f>IF(A187="","",IF(I187&gt;I186,IF(I187=計算過程!$B$69,M186+K187,計算過程!$B$81),0))</f>
        <v/>
      </c>
      <c r="K187" s="107" t="str">
        <f>IF(A187="","",IF(I187&gt;I186,CHOOSE(計算過程!$B$72,ROUND(M186*計算過程!$B$79,0),ROUNDDOWN(M186*計算過程!$B$79,0),ROUNDUP(M186*計算過程!$B$79,0)),0))</f>
        <v/>
      </c>
      <c r="L187" s="107" t="str">
        <f>IF(A187="","",J187-K187)</f>
        <v/>
      </c>
      <c r="M187" s="107" t="str">
        <f>IF(A187="","",IF(I187&gt;I186,M186-L187,M186))</f>
        <v/>
      </c>
      <c r="N187" s="107" t="str">
        <f>IF(A187="","",C187+J187)</f>
        <v/>
      </c>
      <c r="O187" s="107" t="str">
        <f>IF(A187="","",H187+M187)</f>
        <v/>
      </c>
      <c r="P187" s="107" t="str">
        <f>IF(A187="","",CHOOSE(計算過程!$B$72,ROUND(F186*計算過程!$B$32/計算過程!$B$6,0),ROUNDDOWN(F186*計算過程!$B$32/計算過程!$B$6,0),ROUNDUP(F186*計算過程!$B$32/計算過程!$B$6,0)))</f>
        <v/>
      </c>
      <c r="Q187" s="107" t="str">
        <f>IF(A187="","",CHOOSE(計算過程!$B$72,ROUND(G186*計算過程!$B$33/計算過程!$B$6,0),ROUNDDOWN(G186*計算過程!$B$33/計算過程!$B$6,0),ROUNDUP(G186*計算過程!$B$33/計算過程!$B$6,0)))</f>
        <v/>
      </c>
    </row>
    <row r="188" spans="1:17">
      <c r="A188" s="106" t="str">
        <f>IF(OR(計算過程!$B$98="",ROWS($A$8:A188)&gt;計算過程!$B$71),"",ROWS($A$8:A188))</f>
        <v/>
      </c>
      <c r="B188" s="108" t="str">
        <f>IF(A188="","",EDATE(計算過程!$B$98,A188-1))</f>
        <v/>
      </c>
      <c r="C188" s="107" t="str">
        <f>IF(A188="","",IF(A188=計算過程!$B$71,D188+F187+G187,計算過程!$B$78))</f>
        <v/>
      </c>
      <c r="D188" s="107" t="str">
        <f>IF(A188="","",P188+Q188)</f>
        <v/>
      </c>
      <c r="E188" s="107" t="str">
        <f>IF(A188="","",C188-D188)</f>
        <v/>
      </c>
      <c r="F188" s="107" t="str">
        <f>IF(A188="","",IF(A188=計算過程!$B$71,0,MAX(0,F187-(計算過程!$B$76-P188))))</f>
        <v/>
      </c>
      <c r="G188" s="107" t="str">
        <f>IF(A188="","",IF(A188=計算過程!$B$71,0,MAX(0,G187-(計算過程!$B$77-Q188))))</f>
        <v/>
      </c>
      <c r="H188" s="107" t="str">
        <f>IF(A188="","",F188+G188)</f>
        <v/>
      </c>
      <c r="I188" s="106" t="str">
        <f>IF(A188="","",IF(AND(OR(MONTH(B188)=6,MONTH(B188)=12),I187&lt;計算過程!$B$69),I187+1,I187))</f>
        <v/>
      </c>
      <c r="J188" s="107" t="str">
        <f>IF(A188="","",IF(I188&gt;I187,IF(I188=計算過程!$B$69,M187+K188,計算過程!$B$81),0))</f>
        <v/>
      </c>
      <c r="K188" s="107" t="str">
        <f>IF(A188="","",IF(I188&gt;I187,CHOOSE(計算過程!$B$72,ROUND(M187*計算過程!$B$79,0),ROUNDDOWN(M187*計算過程!$B$79,0),ROUNDUP(M187*計算過程!$B$79,0)),0))</f>
        <v/>
      </c>
      <c r="L188" s="107" t="str">
        <f>IF(A188="","",J188-K188)</f>
        <v/>
      </c>
      <c r="M188" s="107" t="str">
        <f>IF(A188="","",IF(I188&gt;I187,M187-L188,M187))</f>
        <v/>
      </c>
      <c r="N188" s="107" t="str">
        <f>IF(A188="","",C188+J188)</f>
        <v/>
      </c>
      <c r="O188" s="107" t="str">
        <f>IF(A188="","",H188+M188)</f>
        <v/>
      </c>
      <c r="P188" s="107" t="str">
        <f>IF(A188="","",CHOOSE(計算過程!$B$72,ROUND(F187*計算過程!$B$32/計算過程!$B$6,0),ROUNDDOWN(F187*計算過程!$B$32/計算過程!$B$6,0),ROUNDUP(F187*計算過程!$B$32/計算過程!$B$6,0)))</f>
        <v/>
      </c>
      <c r="Q188" s="107" t="str">
        <f>IF(A188="","",CHOOSE(計算過程!$B$72,ROUND(G187*計算過程!$B$33/計算過程!$B$6,0),ROUNDDOWN(G187*計算過程!$B$33/計算過程!$B$6,0),ROUNDUP(G187*計算過程!$B$33/計算過程!$B$6,0)))</f>
        <v/>
      </c>
    </row>
    <row r="189" spans="1:17">
      <c r="A189" s="106" t="str">
        <f>IF(OR(計算過程!$B$98="",ROWS($A$8:A189)&gt;計算過程!$B$71),"",ROWS($A$8:A189))</f>
        <v/>
      </c>
      <c r="B189" s="108" t="str">
        <f>IF(A189="","",EDATE(計算過程!$B$98,A189-1))</f>
        <v/>
      </c>
      <c r="C189" s="107" t="str">
        <f>IF(A189="","",IF(A189=計算過程!$B$71,D189+F188+G188,計算過程!$B$78))</f>
        <v/>
      </c>
      <c r="D189" s="107" t="str">
        <f>IF(A189="","",P189+Q189)</f>
        <v/>
      </c>
      <c r="E189" s="107" t="str">
        <f>IF(A189="","",C189-D189)</f>
        <v/>
      </c>
      <c r="F189" s="107" t="str">
        <f>IF(A189="","",IF(A189=計算過程!$B$71,0,MAX(0,F188-(計算過程!$B$76-P189))))</f>
        <v/>
      </c>
      <c r="G189" s="107" t="str">
        <f>IF(A189="","",IF(A189=計算過程!$B$71,0,MAX(0,G188-(計算過程!$B$77-Q189))))</f>
        <v/>
      </c>
      <c r="H189" s="107" t="str">
        <f>IF(A189="","",F189+G189)</f>
        <v/>
      </c>
      <c r="I189" s="106" t="str">
        <f>IF(A189="","",IF(AND(OR(MONTH(B189)=6,MONTH(B189)=12),I188&lt;計算過程!$B$69),I188+1,I188))</f>
        <v/>
      </c>
      <c r="J189" s="107" t="str">
        <f>IF(A189="","",IF(I189&gt;I188,IF(I189=計算過程!$B$69,M188+K189,計算過程!$B$81),0))</f>
        <v/>
      </c>
      <c r="K189" s="107" t="str">
        <f>IF(A189="","",IF(I189&gt;I188,CHOOSE(計算過程!$B$72,ROUND(M188*計算過程!$B$79,0),ROUNDDOWN(M188*計算過程!$B$79,0),ROUNDUP(M188*計算過程!$B$79,0)),0))</f>
        <v/>
      </c>
      <c r="L189" s="107" t="str">
        <f>IF(A189="","",J189-K189)</f>
        <v/>
      </c>
      <c r="M189" s="107" t="str">
        <f>IF(A189="","",IF(I189&gt;I188,M188-L189,M188))</f>
        <v/>
      </c>
      <c r="N189" s="107" t="str">
        <f>IF(A189="","",C189+J189)</f>
        <v/>
      </c>
      <c r="O189" s="107" t="str">
        <f>IF(A189="","",H189+M189)</f>
        <v/>
      </c>
      <c r="P189" s="107" t="str">
        <f>IF(A189="","",CHOOSE(計算過程!$B$72,ROUND(F188*計算過程!$B$32/計算過程!$B$6,0),ROUNDDOWN(F188*計算過程!$B$32/計算過程!$B$6,0),ROUNDUP(F188*計算過程!$B$32/計算過程!$B$6,0)))</f>
        <v/>
      </c>
      <c r="Q189" s="107" t="str">
        <f>IF(A189="","",CHOOSE(計算過程!$B$72,ROUND(G188*計算過程!$B$33/計算過程!$B$6,0),ROUNDDOWN(G188*計算過程!$B$33/計算過程!$B$6,0),ROUNDUP(G188*計算過程!$B$33/計算過程!$B$6,0)))</f>
        <v/>
      </c>
    </row>
    <row r="190" spans="1:17">
      <c r="A190" s="106" t="str">
        <f>IF(OR(計算過程!$B$98="",ROWS($A$8:A190)&gt;計算過程!$B$71),"",ROWS($A$8:A190))</f>
        <v/>
      </c>
      <c r="B190" s="108" t="str">
        <f>IF(A190="","",EDATE(計算過程!$B$98,A190-1))</f>
        <v/>
      </c>
      <c r="C190" s="107" t="str">
        <f>IF(A190="","",IF(A190=計算過程!$B$71,D190+F189+G189,計算過程!$B$78))</f>
        <v/>
      </c>
      <c r="D190" s="107" t="str">
        <f>IF(A190="","",P190+Q190)</f>
        <v/>
      </c>
      <c r="E190" s="107" t="str">
        <f>IF(A190="","",C190-D190)</f>
        <v/>
      </c>
      <c r="F190" s="107" t="str">
        <f>IF(A190="","",IF(A190=計算過程!$B$71,0,MAX(0,F189-(計算過程!$B$76-P190))))</f>
        <v/>
      </c>
      <c r="G190" s="107" t="str">
        <f>IF(A190="","",IF(A190=計算過程!$B$71,0,MAX(0,G189-(計算過程!$B$77-Q190))))</f>
        <v/>
      </c>
      <c r="H190" s="107" t="str">
        <f>IF(A190="","",F190+G190)</f>
        <v/>
      </c>
      <c r="I190" s="106" t="str">
        <f>IF(A190="","",IF(AND(OR(MONTH(B190)=6,MONTH(B190)=12),I189&lt;計算過程!$B$69),I189+1,I189))</f>
        <v/>
      </c>
      <c r="J190" s="107" t="str">
        <f>IF(A190="","",IF(I190&gt;I189,IF(I190=計算過程!$B$69,M189+K190,計算過程!$B$81),0))</f>
        <v/>
      </c>
      <c r="K190" s="107" t="str">
        <f>IF(A190="","",IF(I190&gt;I189,CHOOSE(計算過程!$B$72,ROUND(M189*計算過程!$B$79,0),ROUNDDOWN(M189*計算過程!$B$79,0),ROUNDUP(M189*計算過程!$B$79,0)),0))</f>
        <v/>
      </c>
      <c r="L190" s="107" t="str">
        <f>IF(A190="","",J190-K190)</f>
        <v/>
      </c>
      <c r="M190" s="107" t="str">
        <f>IF(A190="","",IF(I190&gt;I189,M189-L190,M189))</f>
        <v/>
      </c>
      <c r="N190" s="107" t="str">
        <f>IF(A190="","",C190+J190)</f>
        <v/>
      </c>
      <c r="O190" s="107" t="str">
        <f>IF(A190="","",H190+M190)</f>
        <v/>
      </c>
      <c r="P190" s="107" t="str">
        <f>IF(A190="","",CHOOSE(計算過程!$B$72,ROUND(F189*計算過程!$B$32/計算過程!$B$6,0),ROUNDDOWN(F189*計算過程!$B$32/計算過程!$B$6,0),ROUNDUP(F189*計算過程!$B$32/計算過程!$B$6,0)))</f>
        <v/>
      </c>
      <c r="Q190" s="107" t="str">
        <f>IF(A190="","",CHOOSE(計算過程!$B$72,ROUND(G189*計算過程!$B$33/計算過程!$B$6,0),ROUNDDOWN(G189*計算過程!$B$33/計算過程!$B$6,0),ROUNDUP(G189*計算過程!$B$33/計算過程!$B$6,0)))</f>
        <v/>
      </c>
    </row>
    <row r="191" spans="1:17">
      <c r="A191" s="106" t="str">
        <f>IF(OR(計算過程!$B$98="",ROWS($A$8:A191)&gt;計算過程!$B$71),"",ROWS($A$8:A191))</f>
        <v/>
      </c>
      <c r="B191" s="108" t="str">
        <f>IF(A191="","",EDATE(計算過程!$B$98,A191-1))</f>
        <v/>
      </c>
      <c r="C191" s="107" t="str">
        <f>IF(A191="","",IF(A191=計算過程!$B$71,D191+F190+G190,計算過程!$B$78))</f>
        <v/>
      </c>
      <c r="D191" s="107" t="str">
        <f>IF(A191="","",P191+Q191)</f>
        <v/>
      </c>
      <c r="E191" s="107" t="str">
        <f>IF(A191="","",C191-D191)</f>
        <v/>
      </c>
      <c r="F191" s="107" t="str">
        <f>IF(A191="","",IF(A191=計算過程!$B$71,0,MAX(0,F190-(計算過程!$B$76-P191))))</f>
        <v/>
      </c>
      <c r="G191" s="107" t="str">
        <f>IF(A191="","",IF(A191=計算過程!$B$71,0,MAX(0,G190-(計算過程!$B$77-Q191))))</f>
        <v/>
      </c>
      <c r="H191" s="107" t="str">
        <f>IF(A191="","",F191+G191)</f>
        <v/>
      </c>
      <c r="I191" s="106" t="str">
        <f>IF(A191="","",IF(AND(OR(MONTH(B191)=6,MONTH(B191)=12),I190&lt;計算過程!$B$69),I190+1,I190))</f>
        <v/>
      </c>
      <c r="J191" s="107" t="str">
        <f>IF(A191="","",IF(I191&gt;I190,IF(I191=計算過程!$B$69,M190+K191,計算過程!$B$81),0))</f>
        <v/>
      </c>
      <c r="K191" s="107" t="str">
        <f>IF(A191="","",IF(I191&gt;I190,CHOOSE(計算過程!$B$72,ROUND(M190*計算過程!$B$79,0),ROUNDDOWN(M190*計算過程!$B$79,0),ROUNDUP(M190*計算過程!$B$79,0)),0))</f>
        <v/>
      </c>
      <c r="L191" s="107" t="str">
        <f>IF(A191="","",J191-K191)</f>
        <v/>
      </c>
      <c r="M191" s="107" t="str">
        <f>IF(A191="","",IF(I191&gt;I190,M190-L191,M190))</f>
        <v/>
      </c>
      <c r="N191" s="107" t="str">
        <f>IF(A191="","",C191+J191)</f>
        <v/>
      </c>
      <c r="O191" s="107" t="str">
        <f>IF(A191="","",H191+M191)</f>
        <v/>
      </c>
      <c r="P191" s="107" t="str">
        <f>IF(A191="","",CHOOSE(計算過程!$B$72,ROUND(F190*計算過程!$B$32/計算過程!$B$6,0),ROUNDDOWN(F190*計算過程!$B$32/計算過程!$B$6,0),ROUNDUP(F190*計算過程!$B$32/計算過程!$B$6,0)))</f>
        <v/>
      </c>
      <c r="Q191" s="107" t="str">
        <f>IF(A191="","",CHOOSE(計算過程!$B$72,ROUND(G190*計算過程!$B$33/計算過程!$B$6,0),ROUNDDOWN(G190*計算過程!$B$33/計算過程!$B$6,0),ROUNDUP(G190*計算過程!$B$33/計算過程!$B$6,0)))</f>
        <v/>
      </c>
    </row>
    <row r="192" spans="1:17">
      <c r="A192" s="106" t="str">
        <f>IF(OR(計算過程!$B$98="",ROWS($A$8:A192)&gt;計算過程!$B$71),"",ROWS($A$8:A192))</f>
        <v/>
      </c>
      <c r="B192" s="108" t="str">
        <f>IF(A192="","",EDATE(計算過程!$B$98,A192-1))</f>
        <v/>
      </c>
      <c r="C192" s="107" t="str">
        <f>IF(A192="","",IF(A192=計算過程!$B$71,D192+F191+G191,計算過程!$B$78))</f>
        <v/>
      </c>
      <c r="D192" s="107" t="str">
        <f>IF(A192="","",P192+Q192)</f>
        <v/>
      </c>
      <c r="E192" s="107" t="str">
        <f>IF(A192="","",C192-D192)</f>
        <v/>
      </c>
      <c r="F192" s="107" t="str">
        <f>IF(A192="","",IF(A192=計算過程!$B$71,0,MAX(0,F191-(計算過程!$B$76-P192))))</f>
        <v/>
      </c>
      <c r="G192" s="107" t="str">
        <f>IF(A192="","",IF(A192=計算過程!$B$71,0,MAX(0,G191-(計算過程!$B$77-Q192))))</f>
        <v/>
      </c>
      <c r="H192" s="107" t="str">
        <f>IF(A192="","",F192+G192)</f>
        <v/>
      </c>
      <c r="I192" s="106" t="str">
        <f>IF(A192="","",IF(AND(OR(MONTH(B192)=6,MONTH(B192)=12),I191&lt;計算過程!$B$69),I191+1,I191))</f>
        <v/>
      </c>
      <c r="J192" s="107" t="str">
        <f>IF(A192="","",IF(I192&gt;I191,IF(I192=計算過程!$B$69,M191+K192,計算過程!$B$81),0))</f>
        <v/>
      </c>
      <c r="K192" s="107" t="str">
        <f>IF(A192="","",IF(I192&gt;I191,CHOOSE(計算過程!$B$72,ROUND(M191*計算過程!$B$79,0),ROUNDDOWN(M191*計算過程!$B$79,0),ROUNDUP(M191*計算過程!$B$79,0)),0))</f>
        <v/>
      </c>
      <c r="L192" s="107" t="str">
        <f>IF(A192="","",J192-K192)</f>
        <v/>
      </c>
      <c r="M192" s="107" t="str">
        <f>IF(A192="","",IF(I192&gt;I191,M191-L192,M191))</f>
        <v/>
      </c>
      <c r="N192" s="107" t="str">
        <f>IF(A192="","",C192+J192)</f>
        <v/>
      </c>
      <c r="O192" s="107" t="str">
        <f>IF(A192="","",H192+M192)</f>
        <v/>
      </c>
      <c r="P192" s="107" t="str">
        <f>IF(A192="","",CHOOSE(計算過程!$B$72,ROUND(F191*計算過程!$B$32/計算過程!$B$6,0),ROUNDDOWN(F191*計算過程!$B$32/計算過程!$B$6,0),ROUNDUP(F191*計算過程!$B$32/計算過程!$B$6,0)))</f>
        <v/>
      </c>
      <c r="Q192" s="107" t="str">
        <f>IF(A192="","",CHOOSE(計算過程!$B$72,ROUND(G191*計算過程!$B$33/計算過程!$B$6,0),ROUNDDOWN(G191*計算過程!$B$33/計算過程!$B$6,0),ROUNDUP(G191*計算過程!$B$33/計算過程!$B$6,0)))</f>
        <v/>
      </c>
    </row>
    <row r="193" spans="1:17">
      <c r="A193" s="106" t="str">
        <f>IF(OR(計算過程!$B$98="",ROWS($A$8:A193)&gt;計算過程!$B$71),"",ROWS($A$8:A193))</f>
        <v/>
      </c>
      <c r="B193" s="108" t="str">
        <f>IF(A193="","",EDATE(計算過程!$B$98,A193-1))</f>
        <v/>
      </c>
      <c r="C193" s="107" t="str">
        <f>IF(A193="","",IF(A193=計算過程!$B$71,D193+F192+G192,計算過程!$B$78))</f>
        <v/>
      </c>
      <c r="D193" s="107" t="str">
        <f>IF(A193="","",P193+Q193)</f>
        <v/>
      </c>
      <c r="E193" s="107" t="str">
        <f>IF(A193="","",C193-D193)</f>
        <v/>
      </c>
      <c r="F193" s="107" t="str">
        <f>IF(A193="","",IF(A193=計算過程!$B$71,0,MAX(0,F192-(計算過程!$B$76-P193))))</f>
        <v/>
      </c>
      <c r="G193" s="107" t="str">
        <f>IF(A193="","",IF(A193=計算過程!$B$71,0,MAX(0,G192-(計算過程!$B$77-Q193))))</f>
        <v/>
      </c>
      <c r="H193" s="107" t="str">
        <f>IF(A193="","",F193+G193)</f>
        <v/>
      </c>
      <c r="I193" s="106" t="str">
        <f>IF(A193="","",IF(AND(OR(MONTH(B193)=6,MONTH(B193)=12),I192&lt;計算過程!$B$69),I192+1,I192))</f>
        <v/>
      </c>
      <c r="J193" s="107" t="str">
        <f>IF(A193="","",IF(I193&gt;I192,IF(I193=計算過程!$B$69,M192+K193,計算過程!$B$81),0))</f>
        <v/>
      </c>
      <c r="K193" s="107" t="str">
        <f>IF(A193="","",IF(I193&gt;I192,CHOOSE(計算過程!$B$72,ROUND(M192*計算過程!$B$79,0),ROUNDDOWN(M192*計算過程!$B$79,0),ROUNDUP(M192*計算過程!$B$79,0)),0))</f>
        <v/>
      </c>
      <c r="L193" s="107" t="str">
        <f>IF(A193="","",J193-K193)</f>
        <v/>
      </c>
      <c r="M193" s="107" t="str">
        <f>IF(A193="","",IF(I193&gt;I192,M192-L193,M192))</f>
        <v/>
      </c>
      <c r="N193" s="107" t="str">
        <f>IF(A193="","",C193+J193)</f>
        <v/>
      </c>
      <c r="O193" s="107" t="str">
        <f>IF(A193="","",H193+M193)</f>
        <v/>
      </c>
      <c r="P193" s="107" t="str">
        <f>IF(A193="","",CHOOSE(計算過程!$B$72,ROUND(F192*計算過程!$B$32/計算過程!$B$6,0),ROUNDDOWN(F192*計算過程!$B$32/計算過程!$B$6,0),ROUNDUP(F192*計算過程!$B$32/計算過程!$B$6,0)))</f>
        <v/>
      </c>
      <c r="Q193" s="107" t="str">
        <f>IF(A193="","",CHOOSE(計算過程!$B$72,ROUND(G192*計算過程!$B$33/計算過程!$B$6,0),ROUNDDOWN(G192*計算過程!$B$33/計算過程!$B$6,0),ROUNDUP(G192*計算過程!$B$33/計算過程!$B$6,0)))</f>
        <v/>
      </c>
    </row>
    <row r="194" spans="1:17">
      <c r="A194" s="106" t="str">
        <f>IF(OR(計算過程!$B$98="",ROWS($A$8:A194)&gt;計算過程!$B$71),"",ROWS($A$8:A194))</f>
        <v/>
      </c>
      <c r="B194" s="108" t="str">
        <f>IF(A194="","",EDATE(計算過程!$B$98,A194-1))</f>
        <v/>
      </c>
      <c r="C194" s="107" t="str">
        <f>IF(A194="","",IF(A194=計算過程!$B$71,D194+F193+G193,計算過程!$B$78))</f>
        <v/>
      </c>
      <c r="D194" s="107" t="str">
        <f>IF(A194="","",P194+Q194)</f>
        <v/>
      </c>
      <c r="E194" s="107" t="str">
        <f>IF(A194="","",C194-D194)</f>
        <v/>
      </c>
      <c r="F194" s="107" t="str">
        <f>IF(A194="","",IF(A194=計算過程!$B$71,0,MAX(0,F193-(計算過程!$B$76-P194))))</f>
        <v/>
      </c>
      <c r="G194" s="107" t="str">
        <f>IF(A194="","",IF(A194=計算過程!$B$71,0,MAX(0,G193-(計算過程!$B$77-Q194))))</f>
        <v/>
      </c>
      <c r="H194" s="107" t="str">
        <f>IF(A194="","",F194+G194)</f>
        <v/>
      </c>
      <c r="I194" s="106" t="str">
        <f>IF(A194="","",IF(AND(OR(MONTH(B194)=6,MONTH(B194)=12),I193&lt;計算過程!$B$69),I193+1,I193))</f>
        <v/>
      </c>
      <c r="J194" s="107" t="str">
        <f>IF(A194="","",IF(I194&gt;I193,IF(I194=計算過程!$B$69,M193+K194,計算過程!$B$81),0))</f>
        <v/>
      </c>
      <c r="K194" s="107" t="str">
        <f>IF(A194="","",IF(I194&gt;I193,CHOOSE(計算過程!$B$72,ROUND(M193*計算過程!$B$79,0),ROUNDDOWN(M193*計算過程!$B$79,0),ROUNDUP(M193*計算過程!$B$79,0)),0))</f>
        <v/>
      </c>
      <c r="L194" s="107" t="str">
        <f>IF(A194="","",J194-K194)</f>
        <v/>
      </c>
      <c r="M194" s="107" t="str">
        <f>IF(A194="","",IF(I194&gt;I193,M193-L194,M193))</f>
        <v/>
      </c>
      <c r="N194" s="107" t="str">
        <f>IF(A194="","",C194+J194)</f>
        <v/>
      </c>
      <c r="O194" s="107" t="str">
        <f>IF(A194="","",H194+M194)</f>
        <v/>
      </c>
      <c r="P194" s="107" t="str">
        <f>IF(A194="","",CHOOSE(計算過程!$B$72,ROUND(F193*計算過程!$B$32/計算過程!$B$6,0),ROUNDDOWN(F193*計算過程!$B$32/計算過程!$B$6,0),ROUNDUP(F193*計算過程!$B$32/計算過程!$B$6,0)))</f>
        <v/>
      </c>
      <c r="Q194" s="107" t="str">
        <f>IF(A194="","",CHOOSE(計算過程!$B$72,ROUND(G193*計算過程!$B$33/計算過程!$B$6,0),ROUNDDOWN(G193*計算過程!$B$33/計算過程!$B$6,0),ROUNDUP(G193*計算過程!$B$33/計算過程!$B$6,0)))</f>
        <v/>
      </c>
    </row>
    <row r="195" spans="1:17">
      <c r="A195" s="106" t="str">
        <f>IF(OR(計算過程!$B$98="",ROWS($A$8:A195)&gt;計算過程!$B$71),"",ROWS($A$8:A195))</f>
        <v/>
      </c>
      <c r="B195" s="108" t="str">
        <f>IF(A195="","",EDATE(計算過程!$B$98,A195-1))</f>
        <v/>
      </c>
      <c r="C195" s="107" t="str">
        <f>IF(A195="","",IF(A195=計算過程!$B$71,D195+F194+G194,計算過程!$B$78))</f>
        <v/>
      </c>
      <c r="D195" s="107" t="str">
        <f>IF(A195="","",P195+Q195)</f>
        <v/>
      </c>
      <c r="E195" s="107" t="str">
        <f>IF(A195="","",C195-D195)</f>
        <v/>
      </c>
      <c r="F195" s="107" t="str">
        <f>IF(A195="","",IF(A195=計算過程!$B$71,0,MAX(0,F194-(計算過程!$B$76-P195))))</f>
        <v/>
      </c>
      <c r="G195" s="107" t="str">
        <f>IF(A195="","",IF(A195=計算過程!$B$71,0,MAX(0,G194-(計算過程!$B$77-Q195))))</f>
        <v/>
      </c>
      <c r="H195" s="107" t="str">
        <f>IF(A195="","",F195+G195)</f>
        <v/>
      </c>
      <c r="I195" s="106" t="str">
        <f>IF(A195="","",IF(AND(OR(MONTH(B195)=6,MONTH(B195)=12),I194&lt;計算過程!$B$69),I194+1,I194))</f>
        <v/>
      </c>
      <c r="J195" s="107" t="str">
        <f>IF(A195="","",IF(I195&gt;I194,IF(I195=計算過程!$B$69,M194+K195,計算過程!$B$81),0))</f>
        <v/>
      </c>
      <c r="K195" s="107" t="str">
        <f>IF(A195="","",IF(I195&gt;I194,CHOOSE(計算過程!$B$72,ROUND(M194*計算過程!$B$79,0),ROUNDDOWN(M194*計算過程!$B$79,0),ROUNDUP(M194*計算過程!$B$79,0)),0))</f>
        <v/>
      </c>
      <c r="L195" s="107" t="str">
        <f>IF(A195="","",J195-K195)</f>
        <v/>
      </c>
      <c r="M195" s="107" t="str">
        <f>IF(A195="","",IF(I195&gt;I194,M194-L195,M194))</f>
        <v/>
      </c>
      <c r="N195" s="107" t="str">
        <f>IF(A195="","",C195+J195)</f>
        <v/>
      </c>
      <c r="O195" s="107" t="str">
        <f>IF(A195="","",H195+M195)</f>
        <v/>
      </c>
      <c r="P195" s="107" t="str">
        <f>IF(A195="","",CHOOSE(計算過程!$B$72,ROUND(F194*計算過程!$B$32/計算過程!$B$6,0),ROUNDDOWN(F194*計算過程!$B$32/計算過程!$B$6,0),ROUNDUP(F194*計算過程!$B$32/計算過程!$B$6,0)))</f>
        <v/>
      </c>
      <c r="Q195" s="107" t="str">
        <f>IF(A195="","",CHOOSE(計算過程!$B$72,ROUND(G194*計算過程!$B$33/計算過程!$B$6,0),ROUNDDOWN(G194*計算過程!$B$33/計算過程!$B$6,0),ROUNDUP(G194*計算過程!$B$33/計算過程!$B$6,0)))</f>
        <v/>
      </c>
    </row>
    <row r="196" spans="1:17">
      <c r="A196" s="106" t="str">
        <f>IF(OR(計算過程!$B$98="",ROWS($A$8:A196)&gt;計算過程!$B$71),"",ROWS($A$8:A196))</f>
        <v/>
      </c>
      <c r="B196" s="108" t="str">
        <f>IF(A196="","",EDATE(計算過程!$B$98,A196-1))</f>
        <v/>
      </c>
      <c r="C196" s="107" t="str">
        <f>IF(A196="","",IF(A196=計算過程!$B$71,D196+F195+G195,計算過程!$B$78))</f>
        <v/>
      </c>
      <c r="D196" s="107" t="str">
        <f>IF(A196="","",P196+Q196)</f>
        <v/>
      </c>
      <c r="E196" s="107" t="str">
        <f>IF(A196="","",C196-D196)</f>
        <v/>
      </c>
      <c r="F196" s="107" t="str">
        <f>IF(A196="","",IF(A196=計算過程!$B$71,0,MAX(0,F195-(計算過程!$B$76-P196))))</f>
        <v/>
      </c>
      <c r="G196" s="107" t="str">
        <f>IF(A196="","",IF(A196=計算過程!$B$71,0,MAX(0,G195-(計算過程!$B$77-Q196))))</f>
        <v/>
      </c>
      <c r="H196" s="107" t="str">
        <f>IF(A196="","",F196+G196)</f>
        <v/>
      </c>
      <c r="I196" s="106" t="str">
        <f>IF(A196="","",IF(AND(OR(MONTH(B196)=6,MONTH(B196)=12),I195&lt;計算過程!$B$69),I195+1,I195))</f>
        <v/>
      </c>
      <c r="J196" s="107" t="str">
        <f>IF(A196="","",IF(I196&gt;I195,IF(I196=計算過程!$B$69,M195+K196,計算過程!$B$81),0))</f>
        <v/>
      </c>
      <c r="K196" s="107" t="str">
        <f>IF(A196="","",IF(I196&gt;I195,CHOOSE(計算過程!$B$72,ROUND(M195*計算過程!$B$79,0),ROUNDDOWN(M195*計算過程!$B$79,0),ROUNDUP(M195*計算過程!$B$79,0)),0))</f>
        <v/>
      </c>
      <c r="L196" s="107" t="str">
        <f>IF(A196="","",J196-K196)</f>
        <v/>
      </c>
      <c r="M196" s="107" t="str">
        <f>IF(A196="","",IF(I196&gt;I195,M195-L196,M195))</f>
        <v/>
      </c>
      <c r="N196" s="107" t="str">
        <f>IF(A196="","",C196+J196)</f>
        <v/>
      </c>
      <c r="O196" s="107" t="str">
        <f>IF(A196="","",H196+M196)</f>
        <v/>
      </c>
      <c r="P196" s="107" t="str">
        <f>IF(A196="","",CHOOSE(計算過程!$B$72,ROUND(F195*計算過程!$B$32/計算過程!$B$6,0),ROUNDDOWN(F195*計算過程!$B$32/計算過程!$B$6,0),ROUNDUP(F195*計算過程!$B$32/計算過程!$B$6,0)))</f>
        <v/>
      </c>
      <c r="Q196" s="107" t="str">
        <f>IF(A196="","",CHOOSE(計算過程!$B$72,ROUND(G195*計算過程!$B$33/計算過程!$B$6,0),ROUNDDOWN(G195*計算過程!$B$33/計算過程!$B$6,0),ROUNDUP(G195*計算過程!$B$33/計算過程!$B$6,0)))</f>
        <v/>
      </c>
    </row>
    <row r="197" spans="1:17">
      <c r="A197" s="106" t="str">
        <f>IF(OR(計算過程!$B$98="",ROWS($A$8:A197)&gt;計算過程!$B$71),"",ROWS($A$8:A197))</f>
        <v/>
      </c>
      <c r="B197" s="108" t="str">
        <f>IF(A197="","",EDATE(計算過程!$B$98,A197-1))</f>
        <v/>
      </c>
      <c r="C197" s="107" t="str">
        <f>IF(A197="","",IF(A197=計算過程!$B$71,D197+F196+G196,計算過程!$B$78))</f>
        <v/>
      </c>
      <c r="D197" s="107" t="str">
        <f>IF(A197="","",P197+Q197)</f>
        <v/>
      </c>
      <c r="E197" s="107" t="str">
        <f>IF(A197="","",C197-D197)</f>
        <v/>
      </c>
      <c r="F197" s="107" t="str">
        <f>IF(A197="","",IF(A197=計算過程!$B$71,0,MAX(0,F196-(計算過程!$B$76-P197))))</f>
        <v/>
      </c>
      <c r="G197" s="107" t="str">
        <f>IF(A197="","",IF(A197=計算過程!$B$71,0,MAX(0,G196-(計算過程!$B$77-Q197))))</f>
        <v/>
      </c>
      <c r="H197" s="107" t="str">
        <f>IF(A197="","",F197+G197)</f>
        <v/>
      </c>
      <c r="I197" s="106" t="str">
        <f>IF(A197="","",IF(AND(OR(MONTH(B197)=6,MONTH(B197)=12),I196&lt;計算過程!$B$69),I196+1,I196))</f>
        <v/>
      </c>
      <c r="J197" s="107" t="str">
        <f>IF(A197="","",IF(I197&gt;I196,IF(I197=計算過程!$B$69,M196+K197,計算過程!$B$81),0))</f>
        <v/>
      </c>
      <c r="K197" s="107" t="str">
        <f>IF(A197="","",IF(I197&gt;I196,CHOOSE(計算過程!$B$72,ROUND(M196*計算過程!$B$79,0),ROUNDDOWN(M196*計算過程!$B$79,0),ROUNDUP(M196*計算過程!$B$79,0)),0))</f>
        <v/>
      </c>
      <c r="L197" s="107" t="str">
        <f>IF(A197="","",J197-K197)</f>
        <v/>
      </c>
      <c r="M197" s="107" t="str">
        <f>IF(A197="","",IF(I197&gt;I196,M196-L197,M196))</f>
        <v/>
      </c>
      <c r="N197" s="107" t="str">
        <f>IF(A197="","",C197+J197)</f>
        <v/>
      </c>
      <c r="O197" s="107" t="str">
        <f>IF(A197="","",H197+M197)</f>
        <v/>
      </c>
      <c r="P197" s="107" t="str">
        <f>IF(A197="","",CHOOSE(計算過程!$B$72,ROUND(F196*計算過程!$B$32/計算過程!$B$6,0),ROUNDDOWN(F196*計算過程!$B$32/計算過程!$B$6,0),ROUNDUP(F196*計算過程!$B$32/計算過程!$B$6,0)))</f>
        <v/>
      </c>
      <c r="Q197" s="107" t="str">
        <f>IF(A197="","",CHOOSE(計算過程!$B$72,ROUND(G196*計算過程!$B$33/計算過程!$B$6,0),ROUNDDOWN(G196*計算過程!$B$33/計算過程!$B$6,0),ROUNDUP(G196*計算過程!$B$33/計算過程!$B$6,0)))</f>
        <v/>
      </c>
    </row>
    <row r="198" spans="1:17">
      <c r="A198" s="106" t="str">
        <f>IF(OR(計算過程!$B$98="",ROWS($A$8:A198)&gt;計算過程!$B$71),"",ROWS($A$8:A198))</f>
        <v/>
      </c>
      <c r="B198" s="108" t="str">
        <f>IF(A198="","",EDATE(計算過程!$B$98,A198-1))</f>
        <v/>
      </c>
      <c r="C198" s="107" t="str">
        <f>IF(A198="","",IF(A198=計算過程!$B$71,D198+F197+G197,計算過程!$B$78))</f>
        <v/>
      </c>
      <c r="D198" s="107" t="str">
        <f>IF(A198="","",P198+Q198)</f>
        <v/>
      </c>
      <c r="E198" s="107" t="str">
        <f>IF(A198="","",C198-D198)</f>
        <v/>
      </c>
      <c r="F198" s="107" t="str">
        <f>IF(A198="","",IF(A198=計算過程!$B$71,0,MAX(0,F197-(計算過程!$B$76-P198))))</f>
        <v/>
      </c>
      <c r="G198" s="107" t="str">
        <f>IF(A198="","",IF(A198=計算過程!$B$71,0,MAX(0,G197-(計算過程!$B$77-Q198))))</f>
        <v/>
      </c>
      <c r="H198" s="107" t="str">
        <f>IF(A198="","",F198+G198)</f>
        <v/>
      </c>
      <c r="I198" s="106" t="str">
        <f>IF(A198="","",IF(AND(OR(MONTH(B198)=6,MONTH(B198)=12),I197&lt;計算過程!$B$69),I197+1,I197))</f>
        <v/>
      </c>
      <c r="J198" s="107" t="str">
        <f>IF(A198="","",IF(I198&gt;I197,IF(I198=計算過程!$B$69,M197+K198,計算過程!$B$81),0))</f>
        <v/>
      </c>
      <c r="K198" s="107" t="str">
        <f>IF(A198="","",IF(I198&gt;I197,CHOOSE(計算過程!$B$72,ROUND(M197*計算過程!$B$79,0),ROUNDDOWN(M197*計算過程!$B$79,0),ROUNDUP(M197*計算過程!$B$79,0)),0))</f>
        <v/>
      </c>
      <c r="L198" s="107" t="str">
        <f>IF(A198="","",J198-K198)</f>
        <v/>
      </c>
      <c r="M198" s="107" t="str">
        <f>IF(A198="","",IF(I198&gt;I197,M197-L198,M197))</f>
        <v/>
      </c>
      <c r="N198" s="107" t="str">
        <f>IF(A198="","",C198+J198)</f>
        <v/>
      </c>
      <c r="O198" s="107" t="str">
        <f>IF(A198="","",H198+M198)</f>
        <v/>
      </c>
      <c r="P198" s="107" t="str">
        <f>IF(A198="","",CHOOSE(計算過程!$B$72,ROUND(F197*計算過程!$B$32/計算過程!$B$6,0),ROUNDDOWN(F197*計算過程!$B$32/計算過程!$B$6,0),ROUNDUP(F197*計算過程!$B$32/計算過程!$B$6,0)))</f>
        <v/>
      </c>
      <c r="Q198" s="107" t="str">
        <f>IF(A198="","",CHOOSE(計算過程!$B$72,ROUND(G197*計算過程!$B$33/計算過程!$B$6,0),ROUNDDOWN(G197*計算過程!$B$33/計算過程!$B$6,0),ROUNDUP(G197*計算過程!$B$33/計算過程!$B$6,0)))</f>
        <v/>
      </c>
    </row>
    <row r="199" spans="1:17">
      <c r="A199" s="106" t="str">
        <f>IF(OR(計算過程!$B$98="",ROWS($A$8:A199)&gt;計算過程!$B$71),"",ROWS($A$8:A199))</f>
        <v/>
      </c>
      <c r="B199" s="108" t="str">
        <f>IF(A199="","",EDATE(計算過程!$B$98,A199-1))</f>
        <v/>
      </c>
      <c r="C199" s="107" t="str">
        <f>IF(A199="","",IF(A199=計算過程!$B$71,D199+F198+G198,計算過程!$B$78))</f>
        <v/>
      </c>
      <c r="D199" s="107" t="str">
        <f>IF(A199="","",P199+Q199)</f>
        <v/>
      </c>
      <c r="E199" s="107" t="str">
        <f>IF(A199="","",C199-D199)</f>
        <v/>
      </c>
      <c r="F199" s="107" t="str">
        <f>IF(A199="","",IF(A199=計算過程!$B$71,0,MAX(0,F198-(計算過程!$B$76-P199))))</f>
        <v/>
      </c>
      <c r="G199" s="107" t="str">
        <f>IF(A199="","",IF(A199=計算過程!$B$71,0,MAX(0,G198-(計算過程!$B$77-Q199))))</f>
        <v/>
      </c>
      <c r="H199" s="107" t="str">
        <f>IF(A199="","",F199+G199)</f>
        <v/>
      </c>
      <c r="I199" s="106" t="str">
        <f>IF(A199="","",IF(AND(OR(MONTH(B199)=6,MONTH(B199)=12),I198&lt;計算過程!$B$69),I198+1,I198))</f>
        <v/>
      </c>
      <c r="J199" s="107" t="str">
        <f>IF(A199="","",IF(I199&gt;I198,IF(I199=計算過程!$B$69,M198+K199,計算過程!$B$81),0))</f>
        <v/>
      </c>
      <c r="K199" s="107" t="str">
        <f>IF(A199="","",IF(I199&gt;I198,CHOOSE(計算過程!$B$72,ROUND(M198*計算過程!$B$79,0),ROUNDDOWN(M198*計算過程!$B$79,0),ROUNDUP(M198*計算過程!$B$79,0)),0))</f>
        <v/>
      </c>
      <c r="L199" s="107" t="str">
        <f>IF(A199="","",J199-K199)</f>
        <v/>
      </c>
      <c r="M199" s="107" t="str">
        <f>IF(A199="","",IF(I199&gt;I198,M198-L199,M198))</f>
        <v/>
      </c>
      <c r="N199" s="107" t="str">
        <f>IF(A199="","",C199+J199)</f>
        <v/>
      </c>
      <c r="O199" s="107" t="str">
        <f>IF(A199="","",H199+M199)</f>
        <v/>
      </c>
      <c r="P199" s="107" t="str">
        <f>IF(A199="","",CHOOSE(計算過程!$B$72,ROUND(F198*計算過程!$B$32/計算過程!$B$6,0),ROUNDDOWN(F198*計算過程!$B$32/計算過程!$B$6,0),ROUNDUP(F198*計算過程!$B$32/計算過程!$B$6,0)))</f>
        <v/>
      </c>
      <c r="Q199" s="107" t="str">
        <f>IF(A199="","",CHOOSE(計算過程!$B$72,ROUND(G198*計算過程!$B$33/計算過程!$B$6,0),ROUNDDOWN(G198*計算過程!$B$33/計算過程!$B$6,0),ROUNDUP(G198*計算過程!$B$33/計算過程!$B$6,0)))</f>
        <v/>
      </c>
    </row>
    <row r="200" spans="1:17">
      <c r="A200" s="106" t="str">
        <f>IF(OR(計算過程!$B$98="",ROWS($A$8:A200)&gt;計算過程!$B$71),"",ROWS($A$8:A200))</f>
        <v/>
      </c>
      <c r="B200" s="108" t="str">
        <f>IF(A200="","",EDATE(計算過程!$B$98,A200-1))</f>
        <v/>
      </c>
      <c r="C200" s="107" t="str">
        <f>IF(A200="","",IF(A200=計算過程!$B$71,D200+F199+G199,計算過程!$B$78))</f>
        <v/>
      </c>
      <c r="D200" s="107" t="str">
        <f>IF(A200="","",P200+Q200)</f>
        <v/>
      </c>
      <c r="E200" s="107" t="str">
        <f>IF(A200="","",C200-D200)</f>
        <v/>
      </c>
      <c r="F200" s="107" t="str">
        <f>IF(A200="","",IF(A200=計算過程!$B$71,0,MAX(0,F199-(計算過程!$B$76-P200))))</f>
        <v/>
      </c>
      <c r="G200" s="107" t="str">
        <f>IF(A200="","",IF(A200=計算過程!$B$71,0,MAX(0,G199-(計算過程!$B$77-Q200))))</f>
        <v/>
      </c>
      <c r="H200" s="107" t="str">
        <f>IF(A200="","",F200+G200)</f>
        <v/>
      </c>
      <c r="I200" s="106" t="str">
        <f>IF(A200="","",IF(AND(OR(MONTH(B200)=6,MONTH(B200)=12),I199&lt;計算過程!$B$69),I199+1,I199))</f>
        <v/>
      </c>
      <c r="J200" s="107" t="str">
        <f>IF(A200="","",IF(I200&gt;I199,IF(I200=計算過程!$B$69,M199+K200,計算過程!$B$81),0))</f>
        <v/>
      </c>
      <c r="K200" s="107" t="str">
        <f>IF(A200="","",IF(I200&gt;I199,CHOOSE(計算過程!$B$72,ROUND(M199*計算過程!$B$79,0),ROUNDDOWN(M199*計算過程!$B$79,0),ROUNDUP(M199*計算過程!$B$79,0)),0))</f>
        <v/>
      </c>
      <c r="L200" s="107" t="str">
        <f>IF(A200="","",J200-K200)</f>
        <v/>
      </c>
      <c r="M200" s="107" t="str">
        <f>IF(A200="","",IF(I200&gt;I199,M199-L200,M199))</f>
        <v/>
      </c>
      <c r="N200" s="107" t="str">
        <f>IF(A200="","",C200+J200)</f>
        <v/>
      </c>
      <c r="O200" s="107" t="str">
        <f>IF(A200="","",H200+M200)</f>
        <v/>
      </c>
      <c r="P200" s="107" t="str">
        <f>IF(A200="","",CHOOSE(計算過程!$B$72,ROUND(F199*計算過程!$B$32/計算過程!$B$6,0),ROUNDDOWN(F199*計算過程!$B$32/計算過程!$B$6,0),ROUNDUP(F199*計算過程!$B$32/計算過程!$B$6,0)))</f>
        <v/>
      </c>
      <c r="Q200" s="107" t="str">
        <f>IF(A200="","",CHOOSE(計算過程!$B$72,ROUND(G199*計算過程!$B$33/計算過程!$B$6,0),ROUNDDOWN(G199*計算過程!$B$33/計算過程!$B$6,0),ROUNDUP(G199*計算過程!$B$33/計算過程!$B$6,0)))</f>
        <v/>
      </c>
    </row>
    <row r="201" spans="1:17">
      <c r="A201" s="106" t="str">
        <f>IF(OR(計算過程!$B$98="",ROWS($A$8:A201)&gt;計算過程!$B$71),"",ROWS($A$8:A201))</f>
        <v/>
      </c>
      <c r="B201" s="108" t="str">
        <f>IF(A201="","",EDATE(計算過程!$B$98,A201-1))</f>
        <v/>
      </c>
      <c r="C201" s="107" t="str">
        <f>IF(A201="","",IF(A201=計算過程!$B$71,D201+F200+G200,計算過程!$B$78))</f>
        <v/>
      </c>
      <c r="D201" s="107" t="str">
        <f>IF(A201="","",P201+Q201)</f>
        <v/>
      </c>
      <c r="E201" s="107" t="str">
        <f>IF(A201="","",C201-D201)</f>
        <v/>
      </c>
      <c r="F201" s="107" t="str">
        <f>IF(A201="","",IF(A201=計算過程!$B$71,0,MAX(0,F200-(計算過程!$B$76-P201))))</f>
        <v/>
      </c>
      <c r="G201" s="107" t="str">
        <f>IF(A201="","",IF(A201=計算過程!$B$71,0,MAX(0,G200-(計算過程!$B$77-Q201))))</f>
        <v/>
      </c>
      <c r="H201" s="107" t="str">
        <f>IF(A201="","",F201+G201)</f>
        <v/>
      </c>
      <c r="I201" s="106" t="str">
        <f>IF(A201="","",IF(AND(OR(MONTH(B201)=6,MONTH(B201)=12),I200&lt;計算過程!$B$69),I200+1,I200))</f>
        <v/>
      </c>
      <c r="J201" s="107" t="str">
        <f>IF(A201="","",IF(I201&gt;I200,IF(I201=計算過程!$B$69,M200+K201,計算過程!$B$81),0))</f>
        <v/>
      </c>
      <c r="K201" s="107" t="str">
        <f>IF(A201="","",IF(I201&gt;I200,CHOOSE(計算過程!$B$72,ROUND(M200*計算過程!$B$79,0),ROUNDDOWN(M200*計算過程!$B$79,0),ROUNDUP(M200*計算過程!$B$79,0)),0))</f>
        <v/>
      </c>
      <c r="L201" s="107" t="str">
        <f>IF(A201="","",J201-K201)</f>
        <v/>
      </c>
      <c r="M201" s="107" t="str">
        <f>IF(A201="","",IF(I201&gt;I200,M200-L201,M200))</f>
        <v/>
      </c>
      <c r="N201" s="107" t="str">
        <f>IF(A201="","",C201+J201)</f>
        <v/>
      </c>
      <c r="O201" s="107" t="str">
        <f>IF(A201="","",H201+M201)</f>
        <v/>
      </c>
      <c r="P201" s="107" t="str">
        <f>IF(A201="","",CHOOSE(計算過程!$B$72,ROUND(F200*計算過程!$B$32/計算過程!$B$6,0),ROUNDDOWN(F200*計算過程!$B$32/計算過程!$B$6,0),ROUNDUP(F200*計算過程!$B$32/計算過程!$B$6,0)))</f>
        <v/>
      </c>
      <c r="Q201" s="107" t="str">
        <f>IF(A201="","",CHOOSE(計算過程!$B$72,ROUND(G200*計算過程!$B$33/計算過程!$B$6,0),ROUNDDOWN(G200*計算過程!$B$33/計算過程!$B$6,0),ROUNDUP(G200*計算過程!$B$33/計算過程!$B$6,0)))</f>
        <v/>
      </c>
    </row>
    <row r="202" spans="1:17">
      <c r="A202" s="106" t="str">
        <f>IF(OR(計算過程!$B$98="",ROWS($A$8:A202)&gt;計算過程!$B$71),"",ROWS($A$8:A202))</f>
        <v/>
      </c>
      <c r="B202" s="108" t="str">
        <f>IF(A202="","",EDATE(計算過程!$B$98,A202-1))</f>
        <v/>
      </c>
      <c r="C202" s="107" t="str">
        <f>IF(A202="","",IF(A202=計算過程!$B$71,D202+F201+G201,計算過程!$B$78))</f>
        <v/>
      </c>
      <c r="D202" s="107" t="str">
        <f>IF(A202="","",P202+Q202)</f>
        <v/>
      </c>
      <c r="E202" s="107" t="str">
        <f>IF(A202="","",C202-D202)</f>
        <v/>
      </c>
      <c r="F202" s="107" t="str">
        <f>IF(A202="","",IF(A202=計算過程!$B$71,0,MAX(0,F201-(計算過程!$B$76-P202))))</f>
        <v/>
      </c>
      <c r="G202" s="107" t="str">
        <f>IF(A202="","",IF(A202=計算過程!$B$71,0,MAX(0,G201-(計算過程!$B$77-Q202))))</f>
        <v/>
      </c>
      <c r="H202" s="107" t="str">
        <f>IF(A202="","",F202+G202)</f>
        <v/>
      </c>
      <c r="I202" s="106" t="str">
        <f>IF(A202="","",IF(AND(OR(MONTH(B202)=6,MONTH(B202)=12),I201&lt;計算過程!$B$69),I201+1,I201))</f>
        <v/>
      </c>
      <c r="J202" s="107" t="str">
        <f>IF(A202="","",IF(I202&gt;I201,IF(I202=計算過程!$B$69,M201+K202,計算過程!$B$81),0))</f>
        <v/>
      </c>
      <c r="K202" s="107" t="str">
        <f>IF(A202="","",IF(I202&gt;I201,CHOOSE(計算過程!$B$72,ROUND(M201*計算過程!$B$79,0),ROUNDDOWN(M201*計算過程!$B$79,0),ROUNDUP(M201*計算過程!$B$79,0)),0))</f>
        <v/>
      </c>
      <c r="L202" s="107" t="str">
        <f>IF(A202="","",J202-K202)</f>
        <v/>
      </c>
      <c r="M202" s="107" t="str">
        <f>IF(A202="","",IF(I202&gt;I201,M201-L202,M201))</f>
        <v/>
      </c>
      <c r="N202" s="107" t="str">
        <f>IF(A202="","",C202+J202)</f>
        <v/>
      </c>
      <c r="O202" s="107" t="str">
        <f>IF(A202="","",H202+M202)</f>
        <v/>
      </c>
      <c r="P202" s="107" t="str">
        <f>IF(A202="","",CHOOSE(計算過程!$B$72,ROUND(F201*計算過程!$B$32/計算過程!$B$6,0),ROUNDDOWN(F201*計算過程!$B$32/計算過程!$B$6,0),ROUNDUP(F201*計算過程!$B$32/計算過程!$B$6,0)))</f>
        <v/>
      </c>
      <c r="Q202" s="107" t="str">
        <f>IF(A202="","",CHOOSE(計算過程!$B$72,ROUND(G201*計算過程!$B$33/計算過程!$B$6,0),ROUNDDOWN(G201*計算過程!$B$33/計算過程!$B$6,0),ROUNDUP(G201*計算過程!$B$33/計算過程!$B$6,0)))</f>
        <v/>
      </c>
    </row>
    <row r="203" spans="1:17">
      <c r="A203" s="106" t="str">
        <f>IF(OR(計算過程!$B$98="",ROWS($A$8:A203)&gt;計算過程!$B$71),"",ROWS($A$8:A203))</f>
        <v/>
      </c>
      <c r="B203" s="108" t="str">
        <f>IF(A203="","",EDATE(計算過程!$B$98,A203-1))</f>
        <v/>
      </c>
      <c r="C203" s="107" t="str">
        <f>IF(A203="","",IF(A203=計算過程!$B$71,D203+F202+G202,計算過程!$B$78))</f>
        <v/>
      </c>
      <c r="D203" s="107" t="str">
        <f>IF(A203="","",P203+Q203)</f>
        <v/>
      </c>
      <c r="E203" s="107" t="str">
        <f>IF(A203="","",C203-D203)</f>
        <v/>
      </c>
      <c r="F203" s="107" t="str">
        <f>IF(A203="","",IF(A203=計算過程!$B$71,0,MAX(0,F202-(計算過程!$B$76-P203))))</f>
        <v/>
      </c>
      <c r="G203" s="107" t="str">
        <f>IF(A203="","",IF(A203=計算過程!$B$71,0,MAX(0,G202-(計算過程!$B$77-Q203))))</f>
        <v/>
      </c>
      <c r="H203" s="107" t="str">
        <f>IF(A203="","",F203+G203)</f>
        <v/>
      </c>
      <c r="I203" s="106" t="str">
        <f>IF(A203="","",IF(AND(OR(MONTH(B203)=6,MONTH(B203)=12),I202&lt;計算過程!$B$69),I202+1,I202))</f>
        <v/>
      </c>
      <c r="J203" s="107" t="str">
        <f>IF(A203="","",IF(I203&gt;I202,IF(I203=計算過程!$B$69,M202+K203,計算過程!$B$81),0))</f>
        <v/>
      </c>
      <c r="K203" s="107" t="str">
        <f>IF(A203="","",IF(I203&gt;I202,CHOOSE(計算過程!$B$72,ROUND(M202*計算過程!$B$79,0),ROUNDDOWN(M202*計算過程!$B$79,0),ROUNDUP(M202*計算過程!$B$79,0)),0))</f>
        <v/>
      </c>
      <c r="L203" s="107" t="str">
        <f>IF(A203="","",J203-K203)</f>
        <v/>
      </c>
      <c r="M203" s="107" t="str">
        <f>IF(A203="","",IF(I203&gt;I202,M202-L203,M202))</f>
        <v/>
      </c>
      <c r="N203" s="107" t="str">
        <f>IF(A203="","",C203+J203)</f>
        <v/>
      </c>
      <c r="O203" s="107" t="str">
        <f>IF(A203="","",H203+M203)</f>
        <v/>
      </c>
      <c r="P203" s="107" t="str">
        <f>IF(A203="","",CHOOSE(計算過程!$B$72,ROUND(F202*計算過程!$B$32/計算過程!$B$6,0),ROUNDDOWN(F202*計算過程!$B$32/計算過程!$B$6,0),ROUNDUP(F202*計算過程!$B$32/計算過程!$B$6,0)))</f>
        <v/>
      </c>
      <c r="Q203" s="107" t="str">
        <f>IF(A203="","",CHOOSE(計算過程!$B$72,ROUND(G202*計算過程!$B$33/計算過程!$B$6,0),ROUNDDOWN(G202*計算過程!$B$33/計算過程!$B$6,0),ROUNDUP(G202*計算過程!$B$33/計算過程!$B$6,0)))</f>
        <v/>
      </c>
    </row>
    <row r="204" spans="1:17">
      <c r="A204" s="106" t="str">
        <f>IF(OR(計算過程!$B$98="",ROWS($A$8:A204)&gt;計算過程!$B$71),"",ROWS($A$8:A204))</f>
        <v/>
      </c>
      <c r="B204" s="108" t="str">
        <f>IF(A204="","",EDATE(計算過程!$B$98,A204-1))</f>
        <v/>
      </c>
      <c r="C204" s="107" t="str">
        <f>IF(A204="","",IF(A204=計算過程!$B$71,D204+F203+G203,計算過程!$B$78))</f>
        <v/>
      </c>
      <c r="D204" s="107" t="str">
        <f>IF(A204="","",P204+Q204)</f>
        <v/>
      </c>
      <c r="E204" s="107" t="str">
        <f>IF(A204="","",C204-D204)</f>
        <v/>
      </c>
      <c r="F204" s="107" t="str">
        <f>IF(A204="","",IF(A204=計算過程!$B$71,0,MAX(0,F203-(計算過程!$B$76-P204))))</f>
        <v/>
      </c>
      <c r="G204" s="107" t="str">
        <f>IF(A204="","",IF(A204=計算過程!$B$71,0,MAX(0,G203-(計算過程!$B$77-Q204))))</f>
        <v/>
      </c>
      <c r="H204" s="107" t="str">
        <f>IF(A204="","",F204+G204)</f>
        <v/>
      </c>
      <c r="I204" s="106" t="str">
        <f>IF(A204="","",IF(AND(OR(MONTH(B204)=6,MONTH(B204)=12),I203&lt;計算過程!$B$69),I203+1,I203))</f>
        <v/>
      </c>
      <c r="J204" s="107" t="str">
        <f>IF(A204="","",IF(I204&gt;I203,IF(I204=計算過程!$B$69,M203+K204,計算過程!$B$81),0))</f>
        <v/>
      </c>
      <c r="K204" s="107" t="str">
        <f>IF(A204="","",IF(I204&gt;I203,CHOOSE(計算過程!$B$72,ROUND(M203*計算過程!$B$79,0),ROUNDDOWN(M203*計算過程!$B$79,0),ROUNDUP(M203*計算過程!$B$79,0)),0))</f>
        <v/>
      </c>
      <c r="L204" s="107" t="str">
        <f>IF(A204="","",J204-K204)</f>
        <v/>
      </c>
      <c r="M204" s="107" t="str">
        <f>IF(A204="","",IF(I204&gt;I203,M203-L204,M203))</f>
        <v/>
      </c>
      <c r="N204" s="107" t="str">
        <f>IF(A204="","",C204+J204)</f>
        <v/>
      </c>
      <c r="O204" s="107" t="str">
        <f>IF(A204="","",H204+M204)</f>
        <v/>
      </c>
      <c r="P204" s="107" t="str">
        <f>IF(A204="","",CHOOSE(計算過程!$B$72,ROUND(F203*計算過程!$B$32/計算過程!$B$6,0),ROUNDDOWN(F203*計算過程!$B$32/計算過程!$B$6,0),ROUNDUP(F203*計算過程!$B$32/計算過程!$B$6,0)))</f>
        <v/>
      </c>
      <c r="Q204" s="107" t="str">
        <f>IF(A204="","",CHOOSE(計算過程!$B$72,ROUND(G203*計算過程!$B$33/計算過程!$B$6,0),ROUNDDOWN(G203*計算過程!$B$33/計算過程!$B$6,0),ROUNDUP(G203*計算過程!$B$33/計算過程!$B$6,0)))</f>
        <v/>
      </c>
    </row>
    <row r="205" spans="1:17">
      <c r="A205" s="106" t="str">
        <f>IF(OR(計算過程!$B$98="",ROWS($A$8:A205)&gt;計算過程!$B$71),"",ROWS($A$8:A205))</f>
        <v/>
      </c>
      <c r="B205" s="108" t="str">
        <f>IF(A205="","",EDATE(計算過程!$B$98,A205-1))</f>
        <v/>
      </c>
      <c r="C205" s="107" t="str">
        <f>IF(A205="","",IF(A205=計算過程!$B$71,D205+F204+G204,計算過程!$B$78))</f>
        <v/>
      </c>
      <c r="D205" s="107" t="str">
        <f>IF(A205="","",P205+Q205)</f>
        <v/>
      </c>
      <c r="E205" s="107" t="str">
        <f>IF(A205="","",C205-D205)</f>
        <v/>
      </c>
      <c r="F205" s="107" t="str">
        <f>IF(A205="","",IF(A205=計算過程!$B$71,0,MAX(0,F204-(計算過程!$B$76-P205))))</f>
        <v/>
      </c>
      <c r="G205" s="107" t="str">
        <f>IF(A205="","",IF(A205=計算過程!$B$71,0,MAX(0,G204-(計算過程!$B$77-Q205))))</f>
        <v/>
      </c>
      <c r="H205" s="107" t="str">
        <f>IF(A205="","",F205+G205)</f>
        <v/>
      </c>
      <c r="I205" s="106" t="str">
        <f>IF(A205="","",IF(AND(OR(MONTH(B205)=6,MONTH(B205)=12),I204&lt;計算過程!$B$69),I204+1,I204))</f>
        <v/>
      </c>
      <c r="J205" s="107" t="str">
        <f>IF(A205="","",IF(I205&gt;I204,IF(I205=計算過程!$B$69,M204+K205,計算過程!$B$81),0))</f>
        <v/>
      </c>
      <c r="K205" s="107" t="str">
        <f>IF(A205="","",IF(I205&gt;I204,CHOOSE(計算過程!$B$72,ROUND(M204*計算過程!$B$79,0),ROUNDDOWN(M204*計算過程!$B$79,0),ROUNDUP(M204*計算過程!$B$79,0)),0))</f>
        <v/>
      </c>
      <c r="L205" s="107" t="str">
        <f>IF(A205="","",J205-K205)</f>
        <v/>
      </c>
      <c r="M205" s="107" t="str">
        <f>IF(A205="","",IF(I205&gt;I204,M204-L205,M204))</f>
        <v/>
      </c>
      <c r="N205" s="107" t="str">
        <f>IF(A205="","",C205+J205)</f>
        <v/>
      </c>
      <c r="O205" s="107" t="str">
        <f>IF(A205="","",H205+M205)</f>
        <v/>
      </c>
      <c r="P205" s="107" t="str">
        <f>IF(A205="","",CHOOSE(計算過程!$B$72,ROUND(F204*計算過程!$B$32/計算過程!$B$6,0),ROUNDDOWN(F204*計算過程!$B$32/計算過程!$B$6,0),ROUNDUP(F204*計算過程!$B$32/計算過程!$B$6,0)))</f>
        <v/>
      </c>
      <c r="Q205" s="107" t="str">
        <f>IF(A205="","",CHOOSE(計算過程!$B$72,ROUND(G204*計算過程!$B$33/計算過程!$B$6,0),ROUNDDOWN(G204*計算過程!$B$33/計算過程!$B$6,0),ROUNDUP(G204*計算過程!$B$33/計算過程!$B$6,0)))</f>
        <v/>
      </c>
    </row>
    <row r="206" spans="1:17">
      <c r="A206" s="106" t="str">
        <f>IF(OR(計算過程!$B$98="",ROWS($A$8:A206)&gt;計算過程!$B$71),"",ROWS($A$8:A206))</f>
        <v/>
      </c>
      <c r="B206" s="108" t="str">
        <f>IF(A206="","",EDATE(計算過程!$B$98,A206-1))</f>
        <v/>
      </c>
      <c r="C206" s="107" t="str">
        <f>IF(A206="","",IF(A206=計算過程!$B$71,D206+F205+G205,計算過程!$B$78))</f>
        <v/>
      </c>
      <c r="D206" s="107" t="str">
        <f>IF(A206="","",P206+Q206)</f>
        <v/>
      </c>
      <c r="E206" s="107" t="str">
        <f>IF(A206="","",C206-D206)</f>
        <v/>
      </c>
      <c r="F206" s="107" t="str">
        <f>IF(A206="","",IF(A206=計算過程!$B$71,0,MAX(0,F205-(計算過程!$B$76-P206))))</f>
        <v/>
      </c>
      <c r="G206" s="107" t="str">
        <f>IF(A206="","",IF(A206=計算過程!$B$71,0,MAX(0,G205-(計算過程!$B$77-Q206))))</f>
        <v/>
      </c>
      <c r="H206" s="107" t="str">
        <f>IF(A206="","",F206+G206)</f>
        <v/>
      </c>
      <c r="I206" s="106" t="str">
        <f>IF(A206="","",IF(AND(OR(MONTH(B206)=6,MONTH(B206)=12),I205&lt;計算過程!$B$69),I205+1,I205))</f>
        <v/>
      </c>
      <c r="J206" s="107" t="str">
        <f>IF(A206="","",IF(I206&gt;I205,IF(I206=計算過程!$B$69,M205+K206,計算過程!$B$81),0))</f>
        <v/>
      </c>
      <c r="K206" s="107" t="str">
        <f>IF(A206="","",IF(I206&gt;I205,CHOOSE(計算過程!$B$72,ROUND(M205*計算過程!$B$79,0),ROUNDDOWN(M205*計算過程!$B$79,0),ROUNDUP(M205*計算過程!$B$79,0)),0))</f>
        <v/>
      </c>
      <c r="L206" s="107" t="str">
        <f>IF(A206="","",J206-K206)</f>
        <v/>
      </c>
      <c r="M206" s="107" t="str">
        <f>IF(A206="","",IF(I206&gt;I205,M205-L206,M205))</f>
        <v/>
      </c>
      <c r="N206" s="107" t="str">
        <f>IF(A206="","",C206+J206)</f>
        <v/>
      </c>
      <c r="O206" s="107" t="str">
        <f>IF(A206="","",H206+M206)</f>
        <v/>
      </c>
      <c r="P206" s="107" t="str">
        <f>IF(A206="","",CHOOSE(計算過程!$B$72,ROUND(F205*計算過程!$B$32/計算過程!$B$6,0),ROUNDDOWN(F205*計算過程!$B$32/計算過程!$B$6,0),ROUNDUP(F205*計算過程!$B$32/計算過程!$B$6,0)))</f>
        <v/>
      </c>
      <c r="Q206" s="107" t="str">
        <f>IF(A206="","",CHOOSE(計算過程!$B$72,ROUND(G205*計算過程!$B$33/計算過程!$B$6,0),ROUNDDOWN(G205*計算過程!$B$33/計算過程!$B$6,0),ROUNDUP(G205*計算過程!$B$33/計算過程!$B$6,0)))</f>
        <v/>
      </c>
    </row>
    <row r="207" spans="1:17">
      <c r="A207" s="106" t="str">
        <f>IF(OR(計算過程!$B$98="",ROWS($A$8:A207)&gt;計算過程!$B$71),"",ROWS($A$8:A207))</f>
        <v/>
      </c>
      <c r="B207" s="108" t="str">
        <f>IF(A207="","",EDATE(計算過程!$B$98,A207-1))</f>
        <v/>
      </c>
      <c r="C207" s="107" t="str">
        <f>IF(A207="","",IF(A207=計算過程!$B$71,D207+F206+G206,計算過程!$B$78))</f>
        <v/>
      </c>
      <c r="D207" s="107" t="str">
        <f>IF(A207="","",P207+Q207)</f>
        <v/>
      </c>
      <c r="E207" s="107" t="str">
        <f>IF(A207="","",C207-D207)</f>
        <v/>
      </c>
      <c r="F207" s="107" t="str">
        <f>IF(A207="","",IF(A207=計算過程!$B$71,0,MAX(0,F206-(計算過程!$B$76-P207))))</f>
        <v/>
      </c>
      <c r="G207" s="107" t="str">
        <f>IF(A207="","",IF(A207=計算過程!$B$71,0,MAX(0,G206-(計算過程!$B$77-Q207))))</f>
        <v/>
      </c>
      <c r="H207" s="107" t="str">
        <f>IF(A207="","",F207+G207)</f>
        <v/>
      </c>
      <c r="I207" s="106" t="str">
        <f>IF(A207="","",IF(AND(OR(MONTH(B207)=6,MONTH(B207)=12),I206&lt;計算過程!$B$69),I206+1,I206))</f>
        <v/>
      </c>
      <c r="J207" s="107" t="str">
        <f>IF(A207="","",IF(I207&gt;I206,IF(I207=計算過程!$B$69,M206+K207,計算過程!$B$81),0))</f>
        <v/>
      </c>
      <c r="K207" s="107" t="str">
        <f>IF(A207="","",IF(I207&gt;I206,CHOOSE(計算過程!$B$72,ROUND(M206*計算過程!$B$79,0),ROUNDDOWN(M206*計算過程!$B$79,0),ROUNDUP(M206*計算過程!$B$79,0)),0))</f>
        <v/>
      </c>
      <c r="L207" s="107" t="str">
        <f>IF(A207="","",J207-K207)</f>
        <v/>
      </c>
      <c r="M207" s="107" t="str">
        <f>IF(A207="","",IF(I207&gt;I206,M206-L207,M206))</f>
        <v/>
      </c>
      <c r="N207" s="107" t="str">
        <f>IF(A207="","",C207+J207)</f>
        <v/>
      </c>
      <c r="O207" s="107" t="str">
        <f>IF(A207="","",H207+M207)</f>
        <v/>
      </c>
      <c r="P207" s="107" t="str">
        <f>IF(A207="","",CHOOSE(計算過程!$B$72,ROUND(F206*計算過程!$B$32/計算過程!$B$6,0),ROUNDDOWN(F206*計算過程!$B$32/計算過程!$B$6,0),ROUNDUP(F206*計算過程!$B$32/計算過程!$B$6,0)))</f>
        <v/>
      </c>
      <c r="Q207" s="107" t="str">
        <f>IF(A207="","",CHOOSE(計算過程!$B$72,ROUND(G206*計算過程!$B$33/計算過程!$B$6,0),ROUNDDOWN(G206*計算過程!$B$33/計算過程!$B$6,0),ROUNDUP(G206*計算過程!$B$33/計算過程!$B$6,0)))</f>
        <v/>
      </c>
    </row>
    <row r="208" spans="1:17">
      <c r="A208" s="106" t="str">
        <f>IF(OR(計算過程!$B$98="",ROWS($A$8:A208)&gt;計算過程!$B$71),"",ROWS($A$8:A208))</f>
        <v/>
      </c>
      <c r="B208" s="108" t="str">
        <f>IF(A208="","",EDATE(計算過程!$B$98,A208-1))</f>
        <v/>
      </c>
      <c r="C208" s="107" t="str">
        <f>IF(A208="","",IF(A208=計算過程!$B$71,D208+F207+G207,計算過程!$B$78))</f>
        <v/>
      </c>
      <c r="D208" s="107" t="str">
        <f>IF(A208="","",P208+Q208)</f>
        <v/>
      </c>
      <c r="E208" s="107" t="str">
        <f>IF(A208="","",C208-D208)</f>
        <v/>
      </c>
      <c r="F208" s="107" t="str">
        <f>IF(A208="","",IF(A208=計算過程!$B$71,0,MAX(0,F207-(計算過程!$B$76-P208))))</f>
        <v/>
      </c>
      <c r="G208" s="107" t="str">
        <f>IF(A208="","",IF(A208=計算過程!$B$71,0,MAX(0,G207-(計算過程!$B$77-Q208))))</f>
        <v/>
      </c>
      <c r="H208" s="107" t="str">
        <f>IF(A208="","",F208+G208)</f>
        <v/>
      </c>
      <c r="I208" s="106" t="str">
        <f>IF(A208="","",IF(AND(OR(MONTH(B208)=6,MONTH(B208)=12),I207&lt;計算過程!$B$69),I207+1,I207))</f>
        <v/>
      </c>
      <c r="J208" s="107" t="str">
        <f>IF(A208="","",IF(I208&gt;I207,IF(I208=計算過程!$B$69,M207+K208,計算過程!$B$81),0))</f>
        <v/>
      </c>
      <c r="K208" s="107" t="str">
        <f>IF(A208="","",IF(I208&gt;I207,CHOOSE(計算過程!$B$72,ROUND(M207*計算過程!$B$79,0),ROUNDDOWN(M207*計算過程!$B$79,0),ROUNDUP(M207*計算過程!$B$79,0)),0))</f>
        <v/>
      </c>
      <c r="L208" s="107" t="str">
        <f>IF(A208="","",J208-K208)</f>
        <v/>
      </c>
      <c r="M208" s="107" t="str">
        <f>IF(A208="","",IF(I208&gt;I207,M207-L208,M207))</f>
        <v/>
      </c>
      <c r="N208" s="107" t="str">
        <f>IF(A208="","",C208+J208)</f>
        <v/>
      </c>
      <c r="O208" s="107" t="str">
        <f>IF(A208="","",H208+M208)</f>
        <v/>
      </c>
      <c r="P208" s="107" t="str">
        <f>IF(A208="","",CHOOSE(計算過程!$B$72,ROUND(F207*計算過程!$B$32/計算過程!$B$6,0),ROUNDDOWN(F207*計算過程!$B$32/計算過程!$B$6,0),ROUNDUP(F207*計算過程!$B$32/計算過程!$B$6,0)))</f>
        <v/>
      </c>
      <c r="Q208" s="107" t="str">
        <f>IF(A208="","",CHOOSE(計算過程!$B$72,ROUND(G207*計算過程!$B$33/計算過程!$B$6,0),ROUNDDOWN(G207*計算過程!$B$33/計算過程!$B$6,0),ROUNDUP(G207*計算過程!$B$33/計算過程!$B$6,0)))</f>
        <v/>
      </c>
    </row>
    <row r="209" spans="1:17">
      <c r="A209" s="106" t="str">
        <f>IF(OR(計算過程!$B$98="",ROWS($A$8:A209)&gt;計算過程!$B$71),"",ROWS($A$8:A209))</f>
        <v/>
      </c>
      <c r="B209" s="108" t="str">
        <f>IF(A209="","",EDATE(計算過程!$B$98,A209-1))</f>
        <v/>
      </c>
      <c r="C209" s="107" t="str">
        <f>IF(A209="","",IF(A209=計算過程!$B$71,D209+F208+G208,計算過程!$B$78))</f>
        <v/>
      </c>
      <c r="D209" s="107" t="str">
        <f>IF(A209="","",P209+Q209)</f>
        <v/>
      </c>
      <c r="E209" s="107" t="str">
        <f>IF(A209="","",C209-D209)</f>
        <v/>
      </c>
      <c r="F209" s="107" t="str">
        <f>IF(A209="","",IF(A209=計算過程!$B$71,0,MAX(0,F208-(計算過程!$B$76-P209))))</f>
        <v/>
      </c>
      <c r="G209" s="107" t="str">
        <f>IF(A209="","",IF(A209=計算過程!$B$71,0,MAX(0,G208-(計算過程!$B$77-Q209))))</f>
        <v/>
      </c>
      <c r="H209" s="107" t="str">
        <f>IF(A209="","",F209+G209)</f>
        <v/>
      </c>
      <c r="I209" s="106" t="str">
        <f>IF(A209="","",IF(AND(OR(MONTH(B209)=6,MONTH(B209)=12),I208&lt;計算過程!$B$69),I208+1,I208))</f>
        <v/>
      </c>
      <c r="J209" s="107" t="str">
        <f>IF(A209="","",IF(I209&gt;I208,IF(I209=計算過程!$B$69,M208+K209,計算過程!$B$81),0))</f>
        <v/>
      </c>
      <c r="K209" s="107" t="str">
        <f>IF(A209="","",IF(I209&gt;I208,CHOOSE(計算過程!$B$72,ROUND(M208*計算過程!$B$79,0),ROUNDDOWN(M208*計算過程!$B$79,0),ROUNDUP(M208*計算過程!$B$79,0)),0))</f>
        <v/>
      </c>
      <c r="L209" s="107" t="str">
        <f>IF(A209="","",J209-K209)</f>
        <v/>
      </c>
      <c r="M209" s="107" t="str">
        <f>IF(A209="","",IF(I209&gt;I208,M208-L209,M208))</f>
        <v/>
      </c>
      <c r="N209" s="107" t="str">
        <f>IF(A209="","",C209+J209)</f>
        <v/>
      </c>
      <c r="O209" s="107" t="str">
        <f>IF(A209="","",H209+M209)</f>
        <v/>
      </c>
      <c r="P209" s="107" t="str">
        <f>IF(A209="","",CHOOSE(計算過程!$B$72,ROUND(F208*計算過程!$B$32/計算過程!$B$6,0),ROUNDDOWN(F208*計算過程!$B$32/計算過程!$B$6,0),ROUNDUP(F208*計算過程!$B$32/計算過程!$B$6,0)))</f>
        <v/>
      </c>
      <c r="Q209" s="107" t="str">
        <f>IF(A209="","",CHOOSE(計算過程!$B$72,ROUND(G208*計算過程!$B$33/計算過程!$B$6,0),ROUNDDOWN(G208*計算過程!$B$33/計算過程!$B$6,0),ROUNDUP(G208*計算過程!$B$33/計算過程!$B$6,0)))</f>
        <v/>
      </c>
    </row>
    <row r="210" spans="1:17">
      <c r="A210" s="106" t="str">
        <f>IF(OR(計算過程!$B$98="",ROWS($A$8:A210)&gt;計算過程!$B$71),"",ROWS($A$8:A210))</f>
        <v/>
      </c>
      <c r="B210" s="108" t="str">
        <f>IF(A210="","",EDATE(計算過程!$B$98,A210-1))</f>
        <v/>
      </c>
      <c r="C210" s="107" t="str">
        <f>IF(A210="","",IF(A210=計算過程!$B$71,D210+F209+G209,計算過程!$B$78))</f>
        <v/>
      </c>
      <c r="D210" s="107" t="str">
        <f>IF(A210="","",P210+Q210)</f>
        <v/>
      </c>
      <c r="E210" s="107" t="str">
        <f>IF(A210="","",C210-D210)</f>
        <v/>
      </c>
      <c r="F210" s="107" t="str">
        <f>IF(A210="","",IF(A210=計算過程!$B$71,0,MAX(0,F209-(計算過程!$B$76-P210))))</f>
        <v/>
      </c>
      <c r="G210" s="107" t="str">
        <f>IF(A210="","",IF(A210=計算過程!$B$71,0,MAX(0,G209-(計算過程!$B$77-Q210))))</f>
        <v/>
      </c>
      <c r="H210" s="107" t="str">
        <f>IF(A210="","",F210+G210)</f>
        <v/>
      </c>
      <c r="I210" s="106" t="str">
        <f>IF(A210="","",IF(AND(OR(MONTH(B210)=6,MONTH(B210)=12),I209&lt;計算過程!$B$69),I209+1,I209))</f>
        <v/>
      </c>
      <c r="J210" s="107" t="str">
        <f>IF(A210="","",IF(I210&gt;I209,IF(I210=計算過程!$B$69,M209+K210,計算過程!$B$81),0))</f>
        <v/>
      </c>
      <c r="K210" s="107" t="str">
        <f>IF(A210="","",IF(I210&gt;I209,CHOOSE(計算過程!$B$72,ROUND(M209*計算過程!$B$79,0),ROUNDDOWN(M209*計算過程!$B$79,0),ROUNDUP(M209*計算過程!$B$79,0)),0))</f>
        <v/>
      </c>
      <c r="L210" s="107" t="str">
        <f>IF(A210="","",J210-K210)</f>
        <v/>
      </c>
      <c r="M210" s="107" t="str">
        <f>IF(A210="","",IF(I210&gt;I209,M209-L210,M209))</f>
        <v/>
      </c>
      <c r="N210" s="107" t="str">
        <f>IF(A210="","",C210+J210)</f>
        <v/>
      </c>
      <c r="O210" s="107" t="str">
        <f>IF(A210="","",H210+M210)</f>
        <v/>
      </c>
      <c r="P210" s="107" t="str">
        <f>IF(A210="","",CHOOSE(計算過程!$B$72,ROUND(F209*計算過程!$B$32/計算過程!$B$6,0),ROUNDDOWN(F209*計算過程!$B$32/計算過程!$B$6,0),ROUNDUP(F209*計算過程!$B$32/計算過程!$B$6,0)))</f>
        <v/>
      </c>
      <c r="Q210" s="107" t="str">
        <f>IF(A210="","",CHOOSE(計算過程!$B$72,ROUND(G209*計算過程!$B$33/計算過程!$B$6,0),ROUNDDOWN(G209*計算過程!$B$33/計算過程!$B$6,0),ROUNDUP(G209*計算過程!$B$33/計算過程!$B$6,0)))</f>
        <v/>
      </c>
    </row>
    <row r="211" spans="1:17">
      <c r="A211" s="106" t="str">
        <f>IF(OR(計算過程!$B$98="",ROWS($A$8:A211)&gt;計算過程!$B$71),"",ROWS($A$8:A211))</f>
        <v/>
      </c>
      <c r="B211" s="108" t="str">
        <f>IF(A211="","",EDATE(計算過程!$B$98,A211-1))</f>
        <v/>
      </c>
      <c r="C211" s="107" t="str">
        <f>IF(A211="","",IF(A211=計算過程!$B$71,D211+F210+G210,計算過程!$B$78))</f>
        <v/>
      </c>
      <c r="D211" s="107" t="str">
        <f>IF(A211="","",P211+Q211)</f>
        <v/>
      </c>
      <c r="E211" s="107" t="str">
        <f>IF(A211="","",C211-D211)</f>
        <v/>
      </c>
      <c r="F211" s="107" t="str">
        <f>IF(A211="","",IF(A211=計算過程!$B$71,0,MAX(0,F210-(計算過程!$B$76-P211))))</f>
        <v/>
      </c>
      <c r="G211" s="107" t="str">
        <f>IF(A211="","",IF(A211=計算過程!$B$71,0,MAX(0,G210-(計算過程!$B$77-Q211))))</f>
        <v/>
      </c>
      <c r="H211" s="107" t="str">
        <f>IF(A211="","",F211+G211)</f>
        <v/>
      </c>
      <c r="I211" s="106" t="str">
        <f>IF(A211="","",IF(AND(OR(MONTH(B211)=6,MONTH(B211)=12),I210&lt;計算過程!$B$69),I210+1,I210))</f>
        <v/>
      </c>
      <c r="J211" s="107" t="str">
        <f>IF(A211="","",IF(I211&gt;I210,IF(I211=計算過程!$B$69,M210+K211,計算過程!$B$81),0))</f>
        <v/>
      </c>
      <c r="K211" s="107" t="str">
        <f>IF(A211="","",IF(I211&gt;I210,CHOOSE(計算過程!$B$72,ROUND(M210*計算過程!$B$79,0),ROUNDDOWN(M210*計算過程!$B$79,0),ROUNDUP(M210*計算過程!$B$79,0)),0))</f>
        <v/>
      </c>
      <c r="L211" s="107" t="str">
        <f>IF(A211="","",J211-K211)</f>
        <v/>
      </c>
      <c r="M211" s="107" t="str">
        <f>IF(A211="","",IF(I211&gt;I210,M210-L211,M210))</f>
        <v/>
      </c>
      <c r="N211" s="107" t="str">
        <f>IF(A211="","",C211+J211)</f>
        <v/>
      </c>
      <c r="O211" s="107" t="str">
        <f>IF(A211="","",H211+M211)</f>
        <v/>
      </c>
      <c r="P211" s="107" t="str">
        <f>IF(A211="","",CHOOSE(計算過程!$B$72,ROUND(F210*計算過程!$B$32/計算過程!$B$6,0),ROUNDDOWN(F210*計算過程!$B$32/計算過程!$B$6,0),ROUNDUP(F210*計算過程!$B$32/計算過程!$B$6,0)))</f>
        <v/>
      </c>
      <c r="Q211" s="107" t="str">
        <f>IF(A211="","",CHOOSE(計算過程!$B$72,ROUND(G210*計算過程!$B$33/計算過程!$B$6,0),ROUNDDOWN(G210*計算過程!$B$33/計算過程!$B$6,0),ROUNDUP(G210*計算過程!$B$33/計算過程!$B$6,0)))</f>
        <v/>
      </c>
    </row>
    <row r="212" spans="1:17">
      <c r="A212" s="106" t="str">
        <f>IF(OR(計算過程!$B$98="",ROWS($A$8:A212)&gt;計算過程!$B$71),"",ROWS($A$8:A212))</f>
        <v/>
      </c>
      <c r="B212" s="108" t="str">
        <f>IF(A212="","",EDATE(計算過程!$B$98,A212-1))</f>
        <v/>
      </c>
      <c r="C212" s="107" t="str">
        <f>IF(A212="","",IF(A212=計算過程!$B$71,D212+F211+G211,計算過程!$B$78))</f>
        <v/>
      </c>
      <c r="D212" s="107" t="str">
        <f>IF(A212="","",P212+Q212)</f>
        <v/>
      </c>
      <c r="E212" s="107" t="str">
        <f>IF(A212="","",C212-D212)</f>
        <v/>
      </c>
      <c r="F212" s="107" t="str">
        <f>IF(A212="","",IF(A212=計算過程!$B$71,0,MAX(0,F211-(計算過程!$B$76-P212))))</f>
        <v/>
      </c>
      <c r="G212" s="107" t="str">
        <f>IF(A212="","",IF(A212=計算過程!$B$71,0,MAX(0,G211-(計算過程!$B$77-Q212))))</f>
        <v/>
      </c>
      <c r="H212" s="107" t="str">
        <f>IF(A212="","",F212+G212)</f>
        <v/>
      </c>
      <c r="I212" s="106" t="str">
        <f>IF(A212="","",IF(AND(OR(MONTH(B212)=6,MONTH(B212)=12),I211&lt;計算過程!$B$69),I211+1,I211))</f>
        <v/>
      </c>
      <c r="J212" s="107" t="str">
        <f>IF(A212="","",IF(I212&gt;I211,IF(I212=計算過程!$B$69,M211+K212,計算過程!$B$81),0))</f>
        <v/>
      </c>
      <c r="K212" s="107" t="str">
        <f>IF(A212="","",IF(I212&gt;I211,CHOOSE(計算過程!$B$72,ROUND(M211*計算過程!$B$79,0),ROUNDDOWN(M211*計算過程!$B$79,0),ROUNDUP(M211*計算過程!$B$79,0)),0))</f>
        <v/>
      </c>
      <c r="L212" s="107" t="str">
        <f>IF(A212="","",J212-K212)</f>
        <v/>
      </c>
      <c r="M212" s="107" t="str">
        <f>IF(A212="","",IF(I212&gt;I211,M211-L212,M211))</f>
        <v/>
      </c>
      <c r="N212" s="107" t="str">
        <f>IF(A212="","",C212+J212)</f>
        <v/>
      </c>
      <c r="O212" s="107" t="str">
        <f>IF(A212="","",H212+M212)</f>
        <v/>
      </c>
      <c r="P212" s="107" t="str">
        <f>IF(A212="","",CHOOSE(計算過程!$B$72,ROUND(F211*計算過程!$B$32/計算過程!$B$6,0),ROUNDDOWN(F211*計算過程!$B$32/計算過程!$B$6,0),ROUNDUP(F211*計算過程!$B$32/計算過程!$B$6,0)))</f>
        <v/>
      </c>
      <c r="Q212" s="107" t="str">
        <f>IF(A212="","",CHOOSE(計算過程!$B$72,ROUND(G211*計算過程!$B$33/計算過程!$B$6,0),ROUNDDOWN(G211*計算過程!$B$33/計算過程!$B$6,0),ROUNDUP(G211*計算過程!$B$33/計算過程!$B$6,0)))</f>
        <v/>
      </c>
    </row>
    <row r="213" spans="1:17">
      <c r="A213" s="106" t="str">
        <f>IF(OR(計算過程!$B$98="",ROWS($A$8:A213)&gt;計算過程!$B$71),"",ROWS($A$8:A213))</f>
        <v/>
      </c>
      <c r="B213" s="108" t="str">
        <f>IF(A213="","",EDATE(計算過程!$B$98,A213-1))</f>
        <v/>
      </c>
      <c r="C213" s="107" t="str">
        <f>IF(A213="","",IF(A213=計算過程!$B$71,D213+F212+G212,計算過程!$B$78))</f>
        <v/>
      </c>
      <c r="D213" s="107" t="str">
        <f>IF(A213="","",P213+Q213)</f>
        <v/>
      </c>
      <c r="E213" s="107" t="str">
        <f>IF(A213="","",C213-D213)</f>
        <v/>
      </c>
      <c r="F213" s="107" t="str">
        <f>IF(A213="","",IF(A213=計算過程!$B$71,0,MAX(0,F212-(計算過程!$B$76-P213))))</f>
        <v/>
      </c>
      <c r="G213" s="107" t="str">
        <f>IF(A213="","",IF(A213=計算過程!$B$71,0,MAX(0,G212-(計算過程!$B$77-Q213))))</f>
        <v/>
      </c>
      <c r="H213" s="107" t="str">
        <f>IF(A213="","",F213+G213)</f>
        <v/>
      </c>
      <c r="I213" s="106" t="str">
        <f>IF(A213="","",IF(AND(OR(MONTH(B213)=6,MONTH(B213)=12),I212&lt;計算過程!$B$69),I212+1,I212))</f>
        <v/>
      </c>
      <c r="J213" s="107" t="str">
        <f>IF(A213="","",IF(I213&gt;I212,IF(I213=計算過程!$B$69,M212+K213,計算過程!$B$81),0))</f>
        <v/>
      </c>
      <c r="K213" s="107" t="str">
        <f>IF(A213="","",IF(I213&gt;I212,CHOOSE(計算過程!$B$72,ROUND(M212*計算過程!$B$79,0),ROUNDDOWN(M212*計算過程!$B$79,0),ROUNDUP(M212*計算過程!$B$79,0)),0))</f>
        <v/>
      </c>
      <c r="L213" s="107" t="str">
        <f>IF(A213="","",J213-K213)</f>
        <v/>
      </c>
      <c r="M213" s="107" t="str">
        <f>IF(A213="","",IF(I213&gt;I212,M212-L213,M212))</f>
        <v/>
      </c>
      <c r="N213" s="107" t="str">
        <f>IF(A213="","",C213+J213)</f>
        <v/>
      </c>
      <c r="O213" s="107" t="str">
        <f>IF(A213="","",H213+M213)</f>
        <v/>
      </c>
      <c r="P213" s="107" t="str">
        <f>IF(A213="","",CHOOSE(計算過程!$B$72,ROUND(F212*計算過程!$B$32/計算過程!$B$6,0),ROUNDDOWN(F212*計算過程!$B$32/計算過程!$B$6,0),ROUNDUP(F212*計算過程!$B$32/計算過程!$B$6,0)))</f>
        <v/>
      </c>
      <c r="Q213" s="107" t="str">
        <f>IF(A213="","",CHOOSE(計算過程!$B$72,ROUND(G212*計算過程!$B$33/計算過程!$B$6,0),ROUNDDOWN(G212*計算過程!$B$33/計算過程!$B$6,0),ROUNDUP(G212*計算過程!$B$33/計算過程!$B$6,0)))</f>
        <v/>
      </c>
    </row>
    <row r="214" spans="1:17">
      <c r="A214" s="106" t="str">
        <f>IF(OR(計算過程!$B$98="",ROWS($A$8:A214)&gt;計算過程!$B$71),"",ROWS($A$8:A214))</f>
        <v/>
      </c>
      <c r="B214" s="108" t="str">
        <f>IF(A214="","",EDATE(計算過程!$B$98,A214-1))</f>
        <v/>
      </c>
      <c r="C214" s="107" t="str">
        <f>IF(A214="","",IF(A214=計算過程!$B$71,D214+F213+G213,計算過程!$B$78))</f>
        <v/>
      </c>
      <c r="D214" s="107" t="str">
        <f>IF(A214="","",P214+Q214)</f>
        <v/>
      </c>
      <c r="E214" s="107" t="str">
        <f>IF(A214="","",C214-D214)</f>
        <v/>
      </c>
      <c r="F214" s="107" t="str">
        <f>IF(A214="","",IF(A214=計算過程!$B$71,0,MAX(0,F213-(計算過程!$B$76-P214))))</f>
        <v/>
      </c>
      <c r="G214" s="107" t="str">
        <f>IF(A214="","",IF(A214=計算過程!$B$71,0,MAX(0,G213-(計算過程!$B$77-Q214))))</f>
        <v/>
      </c>
      <c r="H214" s="107" t="str">
        <f>IF(A214="","",F214+G214)</f>
        <v/>
      </c>
      <c r="I214" s="106" t="str">
        <f>IF(A214="","",IF(AND(OR(MONTH(B214)=6,MONTH(B214)=12),I213&lt;計算過程!$B$69),I213+1,I213))</f>
        <v/>
      </c>
      <c r="J214" s="107" t="str">
        <f>IF(A214="","",IF(I214&gt;I213,IF(I214=計算過程!$B$69,M213+K214,計算過程!$B$81),0))</f>
        <v/>
      </c>
      <c r="K214" s="107" t="str">
        <f>IF(A214="","",IF(I214&gt;I213,CHOOSE(計算過程!$B$72,ROUND(M213*計算過程!$B$79,0),ROUNDDOWN(M213*計算過程!$B$79,0),ROUNDUP(M213*計算過程!$B$79,0)),0))</f>
        <v/>
      </c>
      <c r="L214" s="107" t="str">
        <f>IF(A214="","",J214-K214)</f>
        <v/>
      </c>
      <c r="M214" s="107" t="str">
        <f>IF(A214="","",IF(I214&gt;I213,M213-L214,M213))</f>
        <v/>
      </c>
      <c r="N214" s="107" t="str">
        <f>IF(A214="","",C214+J214)</f>
        <v/>
      </c>
      <c r="O214" s="107" t="str">
        <f>IF(A214="","",H214+M214)</f>
        <v/>
      </c>
      <c r="P214" s="107" t="str">
        <f>IF(A214="","",CHOOSE(計算過程!$B$72,ROUND(F213*計算過程!$B$32/計算過程!$B$6,0),ROUNDDOWN(F213*計算過程!$B$32/計算過程!$B$6,0),ROUNDUP(F213*計算過程!$B$32/計算過程!$B$6,0)))</f>
        <v/>
      </c>
      <c r="Q214" s="107" t="str">
        <f>IF(A214="","",CHOOSE(計算過程!$B$72,ROUND(G213*計算過程!$B$33/計算過程!$B$6,0),ROUNDDOWN(G213*計算過程!$B$33/計算過程!$B$6,0),ROUNDUP(G213*計算過程!$B$33/計算過程!$B$6,0)))</f>
        <v/>
      </c>
    </row>
    <row r="215" spans="1:17">
      <c r="A215" s="106" t="str">
        <f>IF(OR(計算過程!$B$98="",ROWS($A$8:A215)&gt;計算過程!$B$71),"",ROWS($A$8:A215))</f>
        <v/>
      </c>
      <c r="B215" s="108" t="str">
        <f>IF(A215="","",EDATE(計算過程!$B$98,A215-1))</f>
        <v/>
      </c>
      <c r="C215" s="107" t="str">
        <f>IF(A215="","",IF(A215=計算過程!$B$71,D215+F214+G214,計算過程!$B$78))</f>
        <v/>
      </c>
      <c r="D215" s="107" t="str">
        <f>IF(A215="","",P215+Q215)</f>
        <v/>
      </c>
      <c r="E215" s="107" t="str">
        <f>IF(A215="","",C215-D215)</f>
        <v/>
      </c>
      <c r="F215" s="107" t="str">
        <f>IF(A215="","",IF(A215=計算過程!$B$71,0,MAX(0,F214-(計算過程!$B$76-P215))))</f>
        <v/>
      </c>
      <c r="G215" s="107" t="str">
        <f>IF(A215="","",IF(A215=計算過程!$B$71,0,MAX(0,G214-(計算過程!$B$77-Q215))))</f>
        <v/>
      </c>
      <c r="H215" s="107" t="str">
        <f>IF(A215="","",F215+G215)</f>
        <v/>
      </c>
      <c r="I215" s="106" t="str">
        <f>IF(A215="","",IF(AND(OR(MONTH(B215)=6,MONTH(B215)=12),I214&lt;計算過程!$B$69),I214+1,I214))</f>
        <v/>
      </c>
      <c r="J215" s="107" t="str">
        <f>IF(A215="","",IF(I215&gt;I214,IF(I215=計算過程!$B$69,M214+K215,計算過程!$B$81),0))</f>
        <v/>
      </c>
      <c r="K215" s="107" t="str">
        <f>IF(A215="","",IF(I215&gt;I214,CHOOSE(計算過程!$B$72,ROUND(M214*計算過程!$B$79,0),ROUNDDOWN(M214*計算過程!$B$79,0),ROUNDUP(M214*計算過程!$B$79,0)),0))</f>
        <v/>
      </c>
      <c r="L215" s="107" t="str">
        <f>IF(A215="","",J215-K215)</f>
        <v/>
      </c>
      <c r="M215" s="107" t="str">
        <f>IF(A215="","",IF(I215&gt;I214,M214-L215,M214))</f>
        <v/>
      </c>
      <c r="N215" s="107" t="str">
        <f>IF(A215="","",C215+J215)</f>
        <v/>
      </c>
      <c r="O215" s="107" t="str">
        <f>IF(A215="","",H215+M215)</f>
        <v/>
      </c>
      <c r="P215" s="107" t="str">
        <f>IF(A215="","",CHOOSE(計算過程!$B$72,ROUND(F214*計算過程!$B$32/計算過程!$B$6,0),ROUNDDOWN(F214*計算過程!$B$32/計算過程!$B$6,0),ROUNDUP(F214*計算過程!$B$32/計算過程!$B$6,0)))</f>
        <v/>
      </c>
      <c r="Q215" s="107" t="str">
        <f>IF(A215="","",CHOOSE(計算過程!$B$72,ROUND(G214*計算過程!$B$33/計算過程!$B$6,0),ROUNDDOWN(G214*計算過程!$B$33/計算過程!$B$6,0),ROUNDUP(G214*計算過程!$B$33/計算過程!$B$6,0)))</f>
        <v/>
      </c>
    </row>
    <row r="216" spans="1:17">
      <c r="A216" s="106" t="str">
        <f>IF(OR(計算過程!$B$98="",ROWS($A$8:A216)&gt;計算過程!$B$71),"",ROWS($A$8:A216))</f>
        <v/>
      </c>
      <c r="B216" s="108" t="str">
        <f>IF(A216="","",EDATE(計算過程!$B$98,A216-1))</f>
        <v/>
      </c>
      <c r="C216" s="107" t="str">
        <f>IF(A216="","",IF(A216=計算過程!$B$71,D216+F215+G215,計算過程!$B$78))</f>
        <v/>
      </c>
      <c r="D216" s="107" t="str">
        <f>IF(A216="","",P216+Q216)</f>
        <v/>
      </c>
      <c r="E216" s="107" t="str">
        <f>IF(A216="","",C216-D216)</f>
        <v/>
      </c>
      <c r="F216" s="107" t="str">
        <f>IF(A216="","",IF(A216=計算過程!$B$71,0,MAX(0,F215-(計算過程!$B$76-P216))))</f>
        <v/>
      </c>
      <c r="G216" s="107" t="str">
        <f>IF(A216="","",IF(A216=計算過程!$B$71,0,MAX(0,G215-(計算過程!$B$77-Q216))))</f>
        <v/>
      </c>
      <c r="H216" s="107" t="str">
        <f>IF(A216="","",F216+G216)</f>
        <v/>
      </c>
      <c r="I216" s="106" t="str">
        <f>IF(A216="","",IF(AND(OR(MONTH(B216)=6,MONTH(B216)=12),I215&lt;計算過程!$B$69),I215+1,I215))</f>
        <v/>
      </c>
      <c r="J216" s="107" t="str">
        <f>IF(A216="","",IF(I216&gt;I215,IF(I216=計算過程!$B$69,M215+K216,計算過程!$B$81),0))</f>
        <v/>
      </c>
      <c r="K216" s="107" t="str">
        <f>IF(A216="","",IF(I216&gt;I215,CHOOSE(計算過程!$B$72,ROUND(M215*計算過程!$B$79,0),ROUNDDOWN(M215*計算過程!$B$79,0),ROUNDUP(M215*計算過程!$B$79,0)),0))</f>
        <v/>
      </c>
      <c r="L216" s="107" t="str">
        <f>IF(A216="","",J216-K216)</f>
        <v/>
      </c>
      <c r="M216" s="107" t="str">
        <f>IF(A216="","",IF(I216&gt;I215,M215-L216,M215))</f>
        <v/>
      </c>
      <c r="N216" s="107" t="str">
        <f>IF(A216="","",C216+J216)</f>
        <v/>
      </c>
      <c r="O216" s="107" t="str">
        <f>IF(A216="","",H216+M216)</f>
        <v/>
      </c>
      <c r="P216" s="107" t="str">
        <f>IF(A216="","",CHOOSE(計算過程!$B$72,ROUND(F215*計算過程!$B$32/計算過程!$B$6,0),ROUNDDOWN(F215*計算過程!$B$32/計算過程!$B$6,0),ROUNDUP(F215*計算過程!$B$32/計算過程!$B$6,0)))</f>
        <v/>
      </c>
      <c r="Q216" s="107" t="str">
        <f>IF(A216="","",CHOOSE(計算過程!$B$72,ROUND(G215*計算過程!$B$33/計算過程!$B$6,0),ROUNDDOWN(G215*計算過程!$B$33/計算過程!$B$6,0),ROUNDUP(G215*計算過程!$B$33/計算過程!$B$6,0)))</f>
        <v/>
      </c>
    </row>
    <row r="217" spans="1:17">
      <c r="A217" s="106" t="str">
        <f>IF(OR(計算過程!$B$98="",ROWS($A$8:A217)&gt;計算過程!$B$71),"",ROWS($A$8:A217))</f>
        <v/>
      </c>
      <c r="B217" s="108" t="str">
        <f>IF(A217="","",EDATE(計算過程!$B$98,A217-1))</f>
        <v/>
      </c>
      <c r="C217" s="107" t="str">
        <f>IF(A217="","",IF(A217=計算過程!$B$71,D217+F216+G216,計算過程!$B$78))</f>
        <v/>
      </c>
      <c r="D217" s="107" t="str">
        <f>IF(A217="","",P217+Q217)</f>
        <v/>
      </c>
      <c r="E217" s="107" t="str">
        <f>IF(A217="","",C217-D217)</f>
        <v/>
      </c>
      <c r="F217" s="107" t="str">
        <f>IF(A217="","",IF(A217=計算過程!$B$71,0,MAX(0,F216-(計算過程!$B$76-P217))))</f>
        <v/>
      </c>
      <c r="G217" s="107" t="str">
        <f>IF(A217="","",IF(A217=計算過程!$B$71,0,MAX(0,G216-(計算過程!$B$77-Q217))))</f>
        <v/>
      </c>
      <c r="H217" s="107" t="str">
        <f>IF(A217="","",F217+G217)</f>
        <v/>
      </c>
      <c r="I217" s="106" t="str">
        <f>IF(A217="","",IF(AND(OR(MONTH(B217)=6,MONTH(B217)=12),I216&lt;計算過程!$B$69),I216+1,I216))</f>
        <v/>
      </c>
      <c r="J217" s="107" t="str">
        <f>IF(A217="","",IF(I217&gt;I216,IF(I217=計算過程!$B$69,M216+K217,計算過程!$B$81),0))</f>
        <v/>
      </c>
      <c r="K217" s="107" t="str">
        <f>IF(A217="","",IF(I217&gt;I216,CHOOSE(計算過程!$B$72,ROUND(M216*計算過程!$B$79,0),ROUNDDOWN(M216*計算過程!$B$79,0),ROUNDUP(M216*計算過程!$B$79,0)),0))</f>
        <v/>
      </c>
      <c r="L217" s="107" t="str">
        <f>IF(A217="","",J217-K217)</f>
        <v/>
      </c>
      <c r="M217" s="107" t="str">
        <f>IF(A217="","",IF(I217&gt;I216,M216-L217,M216))</f>
        <v/>
      </c>
      <c r="N217" s="107" t="str">
        <f>IF(A217="","",C217+J217)</f>
        <v/>
      </c>
      <c r="O217" s="107" t="str">
        <f>IF(A217="","",H217+M217)</f>
        <v/>
      </c>
      <c r="P217" s="107" t="str">
        <f>IF(A217="","",CHOOSE(計算過程!$B$72,ROUND(F216*計算過程!$B$32/計算過程!$B$6,0),ROUNDDOWN(F216*計算過程!$B$32/計算過程!$B$6,0),ROUNDUP(F216*計算過程!$B$32/計算過程!$B$6,0)))</f>
        <v/>
      </c>
      <c r="Q217" s="107" t="str">
        <f>IF(A217="","",CHOOSE(計算過程!$B$72,ROUND(G216*計算過程!$B$33/計算過程!$B$6,0),ROUNDDOWN(G216*計算過程!$B$33/計算過程!$B$6,0),ROUNDUP(G216*計算過程!$B$33/計算過程!$B$6,0)))</f>
        <v/>
      </c>
    </row>
    <row r="218" spans="1:17">
      <c r="A218" s="106" t="str">
        <f>IF(OR(計算過程!$B$98="",ROWS($A$8:A218)&gt;計算過程!$B$71),"",ROWS($A$8:A218))</f>
        <v/>
      </c>
      <c r="B218" s="108" t="str">
        <f>IF(A218="","",EDATE(計算過程!$B$98,A218-1))</f>
        <v/>
      </c>
      <c r="C218" s="107" t="str">
        <f>IF(A218="","",IF(A218=計算過程!$B$71,D218+F217+G217,計算過程!$B$78))</f>
        <v/>
      </c>
      <c r="D218" s="107" t="str">
        <f>IF(A218="","",P218+Q218)</f>
        <v/>
      </c>
      <c r="E218" s="107" t="str">
        <f>IF(A218="","",C218-D218)</f>
        <v/>
      </c>
      <c r="F218" s="107" t="str">
        <f>IF(A218="","",IF(A218=計算過程!$B$71,0,MAX(0,F217-(計算過程!$B$76-P218))))</f>
        <v/>
      </c>
      <c r="G218" s="107" t="str">
        <f>IF(A218="","",IF(A218=計算過程!$B$71,0,MAX(0,G217-(計算過程!$B$77-Q218))))</f>
        <v/>
      </c>
      <c r="H218" s="107" t="str">
        <f>IF(A218="","",F218+G218)</f>
        <v/>
      </c>
      <c r="I218" s="106" t="str">
        <f>IF(A218="","",IF(AND(OR(MONTH(B218)=6,MONTH(B218)=12),I217&lt;計算過程!$B$69),I217+1,I217))</f>
        <v/>
      </c>
      <c r="J218" s="107" t="str">
        <f>IF(A218="","",IF(I218&gt;I217,IF(I218=計算過程!$B$69,M217+K218,計算過程!$B$81),0))</f>
        <v/>
      </c>
      <c r="K218" s="107" t="str">
        <f>IF(A218="","",IF(I218&gt;I217,CHOOSE(計算過程!$B$72,ROUND(M217*計算過程!$B$79,0),ROUNDDOWN(M217*計算過程!$B$79,0),ROUNDUP(M217*計算過程!$B$79,0)),0))</f>
        <v/>
      </c>
      <c r="L218" s="107" t="str">
        <f>IF(A218="","",J218-K218)</f>
        <v/>
      </c>
      <c r="M218" s="107" t="str">
        <f>IF(A218="","",IF(I218&gt;I217,M217-L218,M217))</f>
        <v/>
      </c>
      <c r="N218" s="107" t="str">
        <f>IF(A218="","",C218+J218)</f>
        <v/>
      </c>
      <c r="O218" s="107" t="str">
        <f>IF(A218="","",H218+M218)</f>
        <v/>
      </c>
      <c r="P218" s="107" t="str">
        <f>IF(A218="","",CHOOSE(計算過程!$B$72,ROUND(F217*計算過程!$B$32/計算過程!$B$6,0),ROUNDDOWN(F217*計算過程!$B$32/計算過程!$B$6,0),ROUNDUP(F217*計算過程!$B$32/計算過程!$B$6,0)))</f>
        <v/>
      </c>
      <c r="Q218" s="107" t="str">
        <f>IF(A218="","",CHOOSE(計算過程!$B$72,ROUND(G217*計算過程!$B$33/計算過程!$B$6,0),ROUNDDOWN(G217*計算過程!$B$33/計算過程!$B$6,0),ROUNDUP(G217*計算過程!$B$33/計算過程!$B$6,0)))</f>
        <v/>
      </c>
    </row>
    <row r="219" spans="1:17">
      <c r="A219" s="106" t="str">
        <f>IF(OR(計算過程!$B$98="",ROWS($A$8:A219)&gt;計算過程!$B$71),"",ROWS($A$8:A219))</f>
        <v/>
      </c>
      <c r="B219" s="108" t="str">
        <f>IF(A219="","",EDATE(計算過程!$B$98,A219-1))</f>
        <v/>
      </c>
      <c r="C219" s="107" t="str">
        <f>IF(A219="","",IF(A219=計算過程!$B$71,D219+F218+G218,計算過程!$B$78))</f>
        <v/>
      </c>
      <c r="D219" s="107" t="str">
        <f>IF(A219="","",P219+Q219)</f>
        <v/>
      </c>
      <c r="E219" s="107" t="str">
        <f>IF(A219="","",C219-D219)</f>
        <v/>
      </c>
      <c r="F219" s="107" t="str">
        <f>IF(A219="","",IF(A219=計算過程!$B$71,0,MAX(0,F218-(計算過程!$B$76-P219))))</f>
        <v/>
      </c>
      <c r="G219" s="107" t="str">
        <f>IF(A219="","",IF(A219=計算過程!$B$71,0,MAX(0,G218-(計算過程!$B$77-Q219))))</f>
        <v/>
      </c>
      <c r="H219" s="107" t="str">
        <f>IF(A219="","",F219+G219)</f>
        <v/>
      </c>
      <c r="I219" s="106" t="str">
        <f>IF(A219="","",IF(AND(OR(MONTH(B219)=6,MONTH(B219)=12),I218&lt;計算過程!$B$69),I218+1,I218))</f>
        <v/>
      </c>
      <c r="J219" s="107" t="str">
        <f>IF(A219="","",IF(I219&gt;I218,IF(I219=計算過程!$B$69,M218+K219,計算過程!$B$81),0))</f>
        <v/>
      </c>
      <c r="K219" s="107" t="str">
        <f>IF(A219="","",IF(I219&gt;I218,CHOOSE(計算過程!$B$72,ROUND(M218*計算過程!$B$79,0),ROUNDDOWN(M218*計算過程!$B$79,0),ROUNDUP(M218*計算過程!$B$79,0)),0))</f>
        <v/>
      </c>
      <c r="L219" s="107" t="str">
        <f>IF(A219="","",J219-K219)</f>
        <v/>
      </c>
      <c r="M219" s="107" t="str">
        <f>IF(A219="","",IF(I219&gt;I218,M218-L219,M218))</f>
        <v/>
      </c>
      <c r="N219" s="107" t="str">
        <f>IF(A219="","",C219+J219)</f>
        <v/>
      </c>
      <c r="O219" s="107" t="str">
        <f>IF(A219="","",H219+M219)</f>
        <v/>
      </c>
      <c r="P219" s="107" t="str">
        <f>IF(A219="","",CHOOSE(計算過程!$B$72,ROUND(F218*計算過程!$B$32/計算過程!$B$6,0),ROUNDDOWN(F218*計算過程!$B$32/計算過程!$B$6,0),ROUNDUP(F218*計算過程!$B$32/計算過程!$B$6,0)))</f>
        <v/>
      </c>
      <c r="Q219" s="107" t="str">
        <f>IF(A219="","",CHOOSE(計算過程!$B$72,ROUND(G218*計算過程!$B$33/計算過程!$B$6,0),ROUNDDOWN(G218*計算過程!$B$33/計算過程!$B$6,0),ROUNDUP(G218*計算過程!$B$33/計算過程!$B$6,0)))</f>
        <v/>
      </c>
    </row>
    <row r="220" spans="1:17">
      <c r="A220" s="106" t="str">
        <f>IF(OR(計算過程!$B$98="",ROWS($A$8:A220)&gt;計算過程!$B$71),"",ROWS($A$8:A220))</f>
        <v/>
      </c>
      <c r="B220" s="108" t="str">
        <f>IF(A220="","",EDATE(計算過程!$B$98,A220-1))</f>
        <v/>
      </c>
      <c r="C220" s="107" t="str">
        <f>IF(A220="","",IF(A220=計算過程!$B$71,D220+F219+G219,計算過程!$B$78))</f>
        <v/>
      </c>
      <c r="D220" s="107" t="str">
        <f>IF(A220="","",P220+Q220)</f>
        <v/>
      </c>
      <c r="E220" s="107" t="str">
        <f>IF(A220="","",C220-D220)</f>
        <v/>
      </c>
      <c r="F220" s="107" t="str">
        <f>IF(A220="","",IF(A220=計算過程!$B$71,0,MAX(0,F219-(計算過程!$B$76-P220))))</f>
        <v/>
      </c>
      <c r="G220" s="107" t="str">
        <f>IF(A220="","",IF(A220=計算過程!$B$71,0,MAX(0,G219-(計算過程!$B$77-Q220))))</f>
        <v/>
      </c>
      <c r="H220" s="107" t="str">
        <f>IF(A220="","",F220+G220)</f>
        <v/>
      </c>
      <c r="I220" s="106" t="str">
        <f>IF(A220="","",IF(AND(OR(MONTH(B220)=6,MONTH(B220)=12),I219&lt;計算過程!$B$69),I219+1,I219))</f>
        <v/>
      </c>
      <c r="J220" s="107" t="str">
        <f>IF(A220="","",IF(I220&gt;I219,IF(I220=計算過程!$B$69,M219+K220,計算過程!$B$81),0))</f>
        <v/>
      </c>
      <c r="K220" s="107" t="str">
        <f>IF(A220="","",IF(I220&gt;I219,CHOOSE(計算過程!$B$72,ROUND(M219*計算過程!$B$79,0),ROUNDDOWN(M219*計算過程!$B$79,0),ROUNDUP(M219*計算過程!$B$79,0)),0))</f>
        <v/>
      </c>
      <c r="L220" s="107" t="str">
        <f>IF(A220="","",J220-K220)</f>
        <v/>
      </c>
      <c r="M220" s="107" t="str">
        <f>IF(A220="","",IF(I220&gt;I219,M219-L220,M219))</f>
        <v/>
      </c>
      <c r="N220" s="107" t="str">
        <f>IF(A220="","",C220+J220)</f>
        <v/>
      </c>
      <c r="O220" s="107" t="str">
        <f>IF(A220="","",H220+M220)</f>
        <v/>
      </c>
      <c r="P220" s="107" t="str">
        <f>IF(A220="","",CHOOSE(計算過程!$B$72,ROUND(F219*計算過程!$B$32/計算過程!$B$6,0),ROUNDDOWN(F219*計算過程!$B$32/計算過程!$B$6,0),ROUNDUP(F219*計算過程!$B$32/計算過程!$B$6,0)))</f>
        <v/>
      </c>
      <c r="Q220" s="107" t="str">
        <f>IF(A220="","",CHOOSE(計算過程!$B$72,ROUND(G219*計算過程!$B$33/計算過程!$B$6,0),ROUNDDOWN(G219*計算過程!$B$33/計算過程!$B$6,0),ROUNDUP(G219*計算過程!$B$33/計算過程!$B$6,0)))</f>
        <v/>
      </c>
    </row>
    <row r="221" spans="1:17">
      <c r="A221" s="106" t="str">
        <f>IF(OR(計算過程!$B$98="",ROWS($A$8:A221)&gt;計算過程!$B$71),"",ROWS($A$8:A221))</f>
        <v/>
      </c>
      <c r="B221" s="108" t="str">
        <f>IF(A221="","",EDATE(計算過程!$B$98,A221-1))</f>
        <v/>
      </c>
      <c r="C221" s="107" t="str">
        <f>IF(A221="","",IF(A221=計算過程!$B$71,D221+F220+G220,計算過程!$B$78))</f>
        <v/>
      </c>
      <c r="D221" s="107" t="str">
        <f>IF(A221="","",P221+Q221)</f>
        <v/>
      </c>
      <c r="E221" s="107" t="str">
        <f>IF(A221="","",C221-D221)</f>
        <v/>
      </c>
      <c r="F221" s="107" t="str">
        <f>IF(A221="","",IF(A221=計算過程!$B$71,0,MAX(0,F220-(計算過程!$B$76-P221))))</f>
        <v/>
      </c>
      <c r="G221" s="107" t="str">
        <f>IF(A221="","",IF(A221=計算過程!$B$71,0,MAX(0,G220-(計算過程!$B$77-Q221))))</f>
        <v/>
      </c>
      <c r="H221" s="107" t="str">
        <f>IF(A221="","",F221+G221)</f>
        <v/>
      </c>
      <c r="I221" s="106" t="str">
        <f>IF(A221="","",IF(AND(OR(MONTH(B221)=6,MONTH(B221)=12),I220&lt;計算過程!$B$69),I220+1,I220))</f>
        <v/>
      </c>
      <c r="J221" s="107" t="str">
        <f>IF(A221="","",IF(I221&gt;I220,IF(I221=計算過程!$B$69,M220+K221,計算過程!$B$81),0))</f>
        <v/>
      </c>
      <c r="K221" s="107" t="str">
        <f>IF(A221="","",IF(I221&gt;I220,CHOOSE(計算過程!$B$72,ROUND(M220*計算過程!$B$79,0),ROUNDDOWN(M220*計算過程!$B$79,0),ROUNDUP(M220*計算過程!$B$79,0)),0))</f>
        <v/>
      </c>
      <c r="L221" s="107" t="str">
        <f>IF(A221="","",J221-K221)</f>
        <v/>
      </c>
      <c r="M221" s="107" t="str">
        <f>IF(A221="","",IF(I221&gt;I220,M220-L221,M220))</f>
        <v/>
      </c>
      <c r="N221" s="107" t="str">
        <f>IF(A221="","",C221+J221)</f>
        <v/>
      </c>
      <c r="O221" s="107" t="str">
        <f>IF(A221="","",H221+M221)</f>
        <v/>
      </c>
      <c r="P221" s="107" t="str">
        <f>IF(A221="","",CHOOSE(計算過程!$B$72,ROUND(F220*計算過程!$B$32/計算過程!$B$6,0),ROUNDDOWN(F220*計算過程!$B$32/計算過程!$B$6,0),ROUNDUP(F220*計算過程!$B$32/計算過程!$B$6,0)))</f>
        <v/>
      </c>
      <c r="Q221" s="107" t="str">
        <f>IF(A221="","",CHOOSE(計算過程!$B$72,ROUND(G220*計算過程!$B$33/計算過程!$B$6,0),ROUNDDOWN(G220*計算過程!$B$33/計算過程!$B$6,0),ROUNDUP(G220*計算過程!$B$33/計算過程!$B$6,0)))</f>
        <v/>
      </c>
    </row>
    <row r="222" spans="1:17">
      <c r="A222" s="106" t="str">
        <f>IF(OR(計算過程!$B$98="",ROWS($A$8:A222)&gt;計算過程!$B$71),"",ROWS($A$8:A222))</f>
        <v/>
      </c>
      <c r="B222" s="108" t="str">
        <f>IF(A222="","",EDATE(計算過程!$B$98,A222-1))</f>
        <v/>
      </c>
      <c r="C222" s="107" t="str">
        <f>IF(A222="","",IF(A222=計算過程!$B$71,D222+F221+G221,計算過程!$B$78))</f>
        <v/>
      </c>
      <c r="D222" s="107" t="str">
        <f>IF(A222="","",P222+Q222)</f>
        <v/>
      </c>
      <c r="E222" s="107" t="str">
        <f>IF(A222="","",C222-D222)</f>
        <v/>
      </c>
      <c r="F222" s="107" t="str">
        <f>IF(A222="","",IF(A222=計算過程!$B$71,0,MAX(0,F221-(計算過程!$B$76-P222))))</f>
        <v/>
      </c>
      <c r="G222" s="107" t="str">
        <f>IF(A222="","",IF(A222=計算過程!$B$71,0,MAX(0,G221-(計算過程!$B$77-Q222))))</f>
        <v/>
      </c>
      <c r="H222" s="107" t="str">
        <f>IF(A222="","",F222+G222)</f>
        <v/>
      </c>
      <c r="I222" s="106" t="str">
        <f>IF(A222="","",IF(AND(OR(MONTH(B222)=6,MONTH(B222)=12),I221&lt;計算過程!$B$69),I221+1,I221))</f>
        <v/>
      </c>
      <c r="J222" s="107" t="str">
        <f>IF(A222="","",IF(I222&gt;I221,IF(I222=計算過程!$B$69,M221+K222,計算過程!$B$81),0))</f>
        <v/>
      </c>
      <c r="K222" s="107" t="str">
        <f>IF(A222="","",IF(I222&gt;I221,CHOOSE(計算過程!$B$72,ROUND(M221*計算過程!$B$79,0),ROUNDDOWN(M221*計算過程!$B$79,0),ROUNDUP(M221*計算過程!$B$79,0)),0))</f>
        <v/>
      </c>
      <c r="L222" s="107" t="str">
        <f>IF(A222="","",J222-K222)</f>
        <v/>
      </c>
      <c r="M222" s="107" t="str">
        <f>IF(A222="","",IF(I222&gt;I221,M221-L222,M221))</f>
        <v/>
      </c>
      <c r="N222" s="107" t="str">
        <f>IF(A222="","",C222+J222)</f>
        <v/>
      </c>
      <c r="O222" s="107" t="str">
        <f>IF(A222="","",H222+M222)</f>
        <v/>
      </c>
      <c r="P222" s="107" t="str">
        <f>IF(A222="","",CHOOSE(計算過程!$B$72,ROUND(F221*計算過程!$B$32/計算過程!$B$6,0),ROUNDDOWN(F221*計算過程!$B$32/計算過程!$B$6,0),ROUNDUP(F221*計算過程!$B$32/計算過程!$B$6,0)))</f>
        <v/>
      </c>
      <c r="Q222" s="107" t="str">
        <f>IF(A222="","",CHOOSE(計算過程!$B$72,ROUND(G221*計算過程!$B$33/計算過程!$B$6,0),ROUNDDOWN(G221*計算過程!$B$33/計算過程!$B$6,0),ROUNDUP(G221*計算過程!$B$33/計算過程!$B$6,0)))</f>
        <v/>
      </c>
    </row>
    <row r="223" spans="1:17">
      <c r="A223" s="106" t="str">
        <f>IF(OR(計算過程!$B$98="",ROWS($A$8:A223)&gt;計算過程!$B$71),"",ROWS($A$8:A223))</f>
        <v/>
      </c>
      <c r="B223" s="108" t="str">
        <f>IF(A223="","",EDATE(計算過程!$B$98,A223-1))</f>
        <v/>
      </c>
      <c r="C223" s="107" t="str">
        <f>IF(A223="","",IF(A223=計算過程!$B$71,D223+F222+G222,計算過程!$B$78))</f>
        <v/>
      </c>
      <c r="D223" s="107" t="str">
        <f>IF(A223="","",P223+Q223)</f>
        <v/>
      </c>
      <c r="E223" s="107" t="str">
        <f>IF(A223="","",C223-D223)</f>
        <v/>
      </c>
      <c r="F223" s="107" t="str">
        <f>IF(A223="","",IF(A223=計算過程!$B$71,0,MAX(0,F222-(計算過程!$B$76-P223))))</f>
        <v/>
      </c>
      <c r="G223" s="107" t="str">
        <f>IF(A223="","",IF(A223=計算過程!$B$71,0,MAX(0,G222-(計算過程!$B$77-Q223))))</f>
        <v/>
      </c>
      <c r="H223" s="107" t="str">
        <f>IF(A223="","",F223+G223)</f>
        <v/>
      </c>
      <c r="I223" s="106" t="str">
        <f>IF(A223="","",IF(AND(OR(MONTH(B223)=6,MONTH(B223)=12),I222&lt;計算過程!$B$69),I222+1,I222))</f>
        <v/>
      </c>
      <c r="J223" s="107" t="str">
        <f>IF(A223="","",IF(I223&gt;I222,IF(I223=計算過程!$B$69,M222+K223,計算過程!$B$81),0))</f>
        <v/>
      </c>
      <c r="K223" s="107" t="str">
        <f>IF(A223="","",IF(I223&gt;I222,CHOOSE(計算過程!$B$72,ROUND(M222*計算過程!$B$79,0),ROUNDDOWN(M222*計算過程!$B$79,0),ROUNDUP(M222*計算過程!$B$79,0)),0))</f>
        <v/>
      </c>
      <c r="L223" s="107" t="str">
        <f>IF(A223="","",J223-K223)</f>
        <v/>
      </c>
      <c r="M223" s="107" t="str">
        <f>IF(A223="","",IF(I223&gt;I222,M222-L223,M222))</f>
        <v/>
      </c>
      <c r="N223" s="107" t="str">
        <f>IF(A223="","",C223+J223)</f>
        <v/>
      </c>
      <c r="O223" s="107" t="str">
        <f>IF(A223="","",H223+M223)</f>
        <v/>
      </c>
      <c r="P223" s="107" t="str">
        <f>IF(A223="","",CHOOSE(計算過程!$B$72,ROUND(F222*計算過程!$B$32/計算過程!$B$6,0),ROUNDDOWN(F222*計算過程!$B$32/計算過程!$B$6,0),ROUNDUP(F222*計算過程!$B$32/計算過程!$B$6,0)))</f>
        <v/>
      </c>
      <c r="Q223" s="107" t="str">
        <f>IF(A223="","",CHOOSE(計算過程!$B$72,ROUND(G222*計算過程!$B$33/計算過程!$B$6,0),ROUNDDOWN(G222*計算過程!$B$33/計算過程!$B$6,0),ROUNDUP(G222*計算過程!$B$33/計算過程!$B$6,0)))</f>
        <v/>
      </c>
    </row>
    <row r="224" spans="1:17">
      <c r="A224" s="106" t="str">
        <f>IF(OR(計算過程!$B$98="",ROWS($A$8:A224)&gt;計算過程!$B$71),"",ROWS($A$8:A224))</f>
        <v/>
      </c>
      <c r="B224" s="108" t="str">
        <f>IF(A224="","",EDATE(計算過程!$B$98,A224-1))</f>
        <v/>
      </c>
      <c r="C224" s="107" t="str">
        <f>IF(A224="","",IF(A224=計算過程!$B$71,D224+F223+G223,計算過程!$B$78))</f>
        <v/>
      </c>
      <c r="D224" s="107" t="str">
        <f>IF(A224="","",P224+Q224)</f>
        <v/>
      </c>
      <c r="E224" s="107" t="str">
        <f>IF(A224="","",C224-D224)</f>
        <v/>
      </c>
      <c r="F224" s="107" t="str">
        <f>IF(A224="","",IF(A224=計算過程!$B$71,0,MAX(0,F223-(計算過程!$B$76-P224))))</f>
        <v/>
      </c>
      <c r="G224" s="107" t="str">
        <f>IF(A224="","",IF(A224=計算過程!$B$71,0,MAX(0,G223-(計算過程!$B$77-Q224))))</f>
        <v/>
      </c>
      <c r="H224" s="107" t="str">
        <f>IF(A224="","",F224+G224)</f>
        <v/>
      </c>
      <c r="I224" s="106" t="str">
        <f>IF(A224="","",IF(AND(OR(MONTH(B224)=6,MONTH(B224)=12),I223&lt;計算過程!$B$69),I223+1,I223))</f>
        <v/>
      </c>
      <c r="J224" s="107" t="str">
        <f>IF(A224="","",IF(I224&gt;I223,IF(I224=計算過程!$B$69,M223+K224,計算過程!$B$81),0))</f>
        <v/>
      </c>
      <c r="K224" s="107" t="str">
        <f>IF(A224="","",IF(I224&gt;I223,CHOOSE(計算過程!$B$72,ROUND(M223*計算過程!$B$79,0),ROUNDDOWN(M223*計算過程!$B$79,0),ROUNDUP(M223*計算過程!$B$79,0)),0))</f>
        <v/>
      </c>
      <c r="L224" s="107" t="str">
        <f>IF(A224="","",J224-K224)</f>
        <v/>
      </c>
      <c r="M224" s="107" t="str">
        <f>IF(A224="","",IF(I224&gt;I223,M223-L224,M223))</f>
        <v/>
      </c>
      <c r="N224" s="107" t="str">
        <f>IF(A224="","",C224+J224)</f>
        <v/>
      </c>
      <c r="O224" s="107" t="str">
        <f>IF(A224="","",H224+M224)</f>
        <v/>
      </c>
      <c r="P224" s="107" t="str">
        <f>IF(A224="","",CHOOSE(計算過程!$B$72,ROUND(F223*計算過程!$B$32/計算過程!$B$6,0),ROUNDDOWN(F223*計算過程!$B$32/計算過程!$B$6,0),ROUNDUP(F223*計算過程!$B$32/計算過程!$B$6,0)))</f>
        <v/>
      </c>
      <c r="Q224" s="107" t="str">
        <f>IF(A224="","",CHOOSE(計算過程!$B$72,ROUND(G223*計算過程!$B$33/計算過程!$B$6,0),ROUNDDOWN(G223*計算過程!$B$33/計算過程!$B$6,0),ROUNDUP(G223*計算過程!$B$33/計算過程!$B$6,0)))</f>
        <v/>
      </c>
    </row>
    <row r="225" spans="1:17">
      <c r="A225" s="106" t="str">
        <f>IF(OR(計算過程!$B$98="",ROWS($A$8:A225)&gt;計算過程!$B$71),"",ROWS($A$8:A225))</f>
        <v/>
      </c>
      <c r="B225" s="108" t="str">
        <f>IF(A225="","",EDATE(計算過程!$B$98,A225-1))</f>
        <v/>
      </c>
      <c r="C225" s="107" t="str">
        <f>IF(A225="","",IF(A225=計算過程!$B$71,D225+F224+G224,計算過程!$B$78))</f>
        <v/>
      </c>
      <c r="D225" s="107" t="str">
        <f>IF(A225="","",P225+Q225)</f>
        <v/>
      </c>
      <c r="E225" s="107" t="str">
        <f>IF(A225="","",C225-D225)</f>
        <v/>
      </c>
      <c r="F225" s="107" t="str">
        <f>IF(A225="","",IF(A225=計算過程!$B$71,0,MAX(0,F224-(計算過程!$B$76-P225))))</f>
        <v/>
      </c>
      <c r="G225" s="107" t="str">
        <f>IF(A225="","",IF(A225=計算過程!$B$71,0,MAX(0,G224-(計算過程!$B$77-Q225))))</f>
        <v/>
      </c>
      <c r="H225" s="107" t="str">
        <f>IF(A225="","",F225+G225)</f>
        <v/>
      </c>
      <c r="I225" s="106" t="str">
        <f>IF(A225="","",IF(AND(OR(MONTH(B225)=6,MONTH(B225)=12),I224&lt;計算過程!$B$69),I224+1,I224))</f>
        <v/>
      </c>
      <c r="J225" s="107" t="str">
        <f>IF(A225="","",IF(I225&gt;I224,IF(I225=計算過程!$B$69,M224+K225,計算過程!$B$81),0))</f>
        <v/>
      </c>
      <c r="K225" s="107" t="str">
        <f>IF(A225="","",IF(I225&gt;I224,CHOOSE(計算過程!$B$72,ROUND(M224*計算過程!$B$79,0),ROUNDDOWN(M224*計算過程!$B$79,0),ROUNDUP(M224*計算過程!$B$79,0)),0))</f>
        <v/>
      </c>
      <c r="L225" s="107" t="str">
        <f>IF(A225="","",J225-K225)</f>
        <v/>
      </c>
      <c r="M225" s="107" t="str">
        <f>IF(A225="","",IF(I225&gt;I224,M224-L225,M224))</f>
        <v/>
      </c>
      <c r="N225" s="107" t="str">
        <f>IF(A225="","",C225+J225)</f>
        <v/>
      </c>
      <c r="O225" s="107" t="str">
        <f>IF(A225="","",H225+M225)</f>
        <v/>
      </c>
      <c r="P225" s="107" t="str">
        <f>IF(A225="","",CHOOSE(計算過程!$B$72,ROUND(F224*計算過程!$B$32/計算過程!$B$6,0),ROUNDDOWN(F224*計算過程!$B$32/計算過程!$B$6,0),ROUNDUP(F224*計算過程!$B$32/計算過程!$B$6,0)))</f>
        <v/>
      </c>
      <c r="Q225" s="107" t="str">
        <f>IF(A225="","",CHOOSE(計算過程!$B$72,ROUND(G224*計算過程!$B$33/計算過程!$B$6,0),ROUNDDOWN(G224*計算過程!$B$33/計算過程!$B$6,0),ROUNDUP(G224*計算過程!$B$33/計算過程!$B$6,0)))</f>
        <v/>
      </c>
    </row>
    <row r="226" spans="1:17">
      <c r="A226" s="106" t="str">
        <f>IF(OR(計算過程!$B$98="",ROWS($A$8:A226)&gt;計算過程!$B$71),"",ROWS($A$8:A226))</f>
        <v/>
      </c>
      <c r="B226" s="108" t="str">
        <f>IF(A226="","",EDATE(計算過程!$B$98,A226-1))</f>
        <v/>
      </c>
      <c r="C226" s="107" t="str">
        <f>IF(A226="","",IF(A226=計算過程!$B$71,D226+F225+G225,計算過程!$B$78))</f>
        <v/>
      </c>
      <c r="D226" s="107" t="str">
        <f>IF(A226="","",P226+Q226)</f>
        <v/>
      </c>
      <c r="E226" s="107" t="str">
        <f>IF(A226="","",C226-D226)</f>
        <v/>
      </c>
      <c r="F226" s="107" t="str">
        <f>IF(A226="","",IF(A226=計算過程!$B$71,0,MAX(0,F225-(計算過程!$B$76-P226))))</f>
        <v/>
      </c>
      <c r="G226" s="107" t="str">
        <f>IF(A226="","",IF(A226=計算過程!$B$71,0,MAX(0,G225-(計算過程!$B$77-Q226))))</f>
        <v/>
      </c>
      <c r="H226" s="107" t="str">
        <f>IF(A226="","",F226+G226)</f>
        <v/>
      </c>
      <c r="I226" s="106" t="str">
        <f>IF(A226="","",IF(AND(OR(MONTH(B226)=6,MONTH(B226)=12),I225&lt;計算過程!$B$69),I225+1,I225))</f>
        <v/>
      </c>
      <c r="J226" s="107" t="str">
        <f>IF(A226="","",IF(I226&gt;I225,IF(I226=計算過程!$B$69,M225+K226,計算過程!$B$81),0))</f>
        <v/>
      </c>
      <c r="K226" s="107" t="str">
        <f>IF(A226="","",IF(I226&gt;I225,CHOOSE(計算過程!$B$72,ROUND(M225*計算過程!$B$79,0),ROUNDDOWN(M225*計算過程!$B$79,0),ROUNDUP(M225*計算過程!$B$79,0)),0))</f>
        <v/>
      </c>
      <c r="L226" s="107" t="str">
        <f>IF(A226="","",J226-K226)</f>
        <v/>
      </c>
      <c r="M226" s="107" t="str">
        <f>IF(A226="","",IF(I226&gt;I225,M225-L226,M225))</f>
        <v/>
      </c>
      <c r="N226" s="107" t="str">
        <f>IF(A226="","",C226+J226)</f>
        <v/>
      </c>
      <c r="O226" s="107" t="str">
        <f>IF(A226="","",H226+M226)</f>
        <v/>
      </c>
      <c r="P226" s="107" t="str">
        <f>IF(A226="","",CHOOSE(計算過程!$B$72,ROUND(F225*計算過程!$B$32/計算過程!$B$6,0),ROUNDDOWN(F225*計算過程!$B$32/計算過程!$B$6,0),ROUNDUP(F225*計算過程!$B$32/計算過程!$B$6,0)))</f>
        <v/>
      </c>
      <c r="Q226" s="107" t="str">
        <f>IF(A226="","",CHOOSE(計算過程!$B$72,ROUND(G225*計算過程!$B$33/計算過程!$B$6,0),ROUNDDOWN(G225*計算過程!$B$33/計算過程!$B$6,0),ROUNDUP(G225*計算過程!$B$33/計算過程!$B$6,0)))</f>
        <v/>
      </c>
    </row>
    <row r="227" spans="1:17">
      <c r="A227" s="106" t="str">
        <f>IF(OR(計算過程!$B$98="",ROWS($A$8:A227)&gt;計算過程!$B$71),"",ROWS($A$8:A227))</f>
        <v/>
      </c>
      <c r="B227" s="108" t="str">
        <f>IF(A227="","",EDATE(計算過程!$B$98,A227-1))</f>
        <v/>
      </c>
      <c r="C227" s="107" t="str">
        <f>IF(A227="","",IF(A227=計算過程!$B$71,D227+F226+G226,計算過程!$B$78))</f>
        <v/>
      </c>
      <c r="D227" s="107" t="str">
        <f>IF(A227="","",P227+Q227)</f>
        <v/>
      </c>
      <c r="E227" s="107" t="str">
        <f>IF(A227="","",C227-D227)</f>
        <v/>
      </c>
      <c r="F227" s="107" t="str">
        <f>IF(A227="","",IF(A227=計算過程!$B$71,0,MAX(0,F226-(計算過程!$B$76-P227))))</f>
        <v/>
      </c>
      <c r="G227" s="107" t="str">
        <f>IF(A227="","",IF(A227=計算過程!$B$71,0,MAX(0,G226-(計算過程!$B$77-Q227))))</f>
        <v/>
      </c>
      <c r="H227" s="107" t="str">
        <f>IF(A227="","",F227+G227)</f>
        <v/>
      </c>
      <c r="I227" s="106" t="str">
        <f>IF(A227="","",IF(AND(OR(MONTH(B227)=6,MONTH(B227)=12),I226&lt;計算過程!$B$69),I226+1,I226))</f>
        <v/>
      </c>
      <c r="J227" s="107" t="str">
        <f>IF(A227="","",IF(I227&gt;I226,IF(I227=計算過程!$B$69,M226+K227,計算過程!$B$81),0))</f>
        <v/>
      </c>
      <c r="K227" s="107" t="str">
        <f>IF(A227="","",IF(I227&gt;I226,CHOOSE(計算過程!$B$72,ROUND(M226*計算過程!$B$79,0),ROUNDDOWN(M226*計算過程!$B$79,0),ROUNDUP(M226*計算過程!$B$79,0)),0))</f>
        <v/>
      </c>
      <c r="L227" s="107" t="str">
        <f>IF(A227="","",J227-K227)</f>
        <v/>
      </c>
      <c r="M227" s="107" t="str">
        <f>IF(A227="","",IF(I227&gt;I226,M226-L227,M226))</f>
        <v/>
      </c>
      <c r="N227" s="107" t="str">
        <f>IF(A227="","",C227+J227)</f>
        <v/>
      </c>
      <c r="O227" s="107" t="str">
        <f>IF(A227="","",H227+M227)</f>
        <v/>
      </c>
      <c r="P227" s="107" t="str">
        <f>IF(A227="","",CHOOSE(計算過程!$B$72,ROUND(F226*計算過程!$B$32/計算過程!$B$6,0),ROUNDDOWN(F226*計算過程!$B$32/計算過程!$B$6,0),ROUNDUP(F226*計算過程!$B$32/計算過程!$B$6,0)))</f>
        <v/>
      </c>
      <c r="Q227" s="107" t="str">
        <f>IF(A227="","",CHOOSE(計算過程!$B$72,ROUND(G226*計算過程!$B$33/計算過程!$B$6,0),ROUNDDOWN(G226*計算過程!$B$33/計算過程!$B$6,0),ROUNDUP(G226*計算過程!$B$33/計算過程!$B$6,0)))</f>
        <v/>
      </c>
    </row>
    <row r="228" spans="1:17">
      <c r="A228" s="106" t="str">
        <f>IF(OR(計算過程!$B$98="",ROWS($A$8:A228)&gt;計算過程!$B$71),"",ROWS($A$8:A228))</f>
        <v/>
      </c>
      <c r="B228" s="108" t="str">
        <f>IF(A228="","",EDATE(計算過程!$B$98,A228-1))</f>
        <v/>
      </c>
      <c r="C228" s="107" t="str">
        <f>IF(A228="","",IF(A228=計算過程!$B$71,D228+F227+G227,計算過程!$B$78))</f>
        <v/>
      </c>
      <c r="D228" s="107" t="str">
        <f>IF(A228="","",P228+Q228)</f>
        <v/>
      </c>
      <c r="E228" s="107" t="str">
        <f>IF(A228="","",C228-D228)</f>
        <v/>
      </c>
      <c r="F228" s="107" t="str">
        <f>IF(A228="","",IF(A228=計算過程!$B$71,0,MAX(0,F227-(計算過程!$B$76-P228))))</f>
        <v/>
      </c>
      <c r="G228" s="107" t="str">
        <f>IF(A228="","",IF(A228=計算過程!$B$71,0,MAX(0,G227-(計算過程!$B$77-Q228))))</f>
        <v/>
      </c>
      <c r="H228" s="107" t="str">
        <f>IF(A228="","",F228+G228)</f>
        <v/>
      </c>
      <c r="I228" s="106" t="str">
        <f>IF(A228="","",IF(AND(OR(MONTH(B228)=6,MONTH(B228)=12),I227&lt;計算過程!$B$69),I227+1,I227))</f>
        <v/>
      </c>
      <c r="J228" s="107" t="str">
        <f>IF(A228="","",IF(I228&gt;I227,IF(I228=計算過程!$B$69,M227+K228,計算過程!$B$81),0))</f>
        <v/>
      </c>
      <c r="K228" s="107" t="str">
        <f>IF(A228="","",IF(I228&gt;I227,CHOOSE(計算過程!$B$72,ROUND(M227*計算過程!$B$79,0),ROUNDDOWN(M227*計算過程!$B$79,0),ROUNDUP(M227*計算過程!$B$79,0)),0))</f>
        <v/>
      </c>
      <c r="L228" s="107" t="str">
        <f>IF(A228="","",J228-K228)</f>
        <v/>
      </c>
      <c r="M228" s="107" t="str">
        <f>IF(A228="","",IF(I228&gt;I227,M227-L228,M227))</f>
        <v/>
      </c>
      <c r="N228" s="107" t="str">
        <f>IF(A228="","",C228+J228)</f>
        <v/>
      </c>
      <c r="O228" s="107" t="str">
        <f>IF(A228="","",H228+M228)</f>
        <v/>
      </c>
      <c r="P228" s="107" t="str">
        <f>IF(A228="","",CHOOSE(計算過程!$B$72,ROUND(F227*計算過程!$B$32/計算過程!$B$6,0),ROUNDDOWN(F227*計算過程!$B$32/計算過程!$B$6,0),ROUNDUP(F227*計算過程!$B$32/計算過程!$B$6,0)))</f>
        <v/>
      </c>
      <c r="Q228" s="107" t="str">
        <f>IF(A228="","",CHOOSE(計算過程!$B$72,ROUND(G227*計算過程!$B$33/計算過程!$B$6,0),ROUNDDOWN(G227*計算過程!$B$33/計算過程!$B$6,0),ROUNDUP(G227*計算過程!$B$33/計算過程!$B$6,0)))</f>
        <v/>
      </c>
    </row>
    <row r="229" spans="1:17">
      <c r="A229" s="106" t="str">
        <f>IF(OR(計算過程!$B$98="",ROWS($A$8:A229)&gt;計算過程!$B$71),"",ROWS($A$8:A229))</f>
        <v/>
      </c>
      <c r="B229" s="108" t="str">
        <f>IF(A229="","",EDATE(計算過程!$B$98,A229-1))</f>
        <v/>
      </c>
      <c r="C229" s="107" t="str">
        <f>IF(A229="","",IF(A229=計算過程!$B$71,D229+F228+G228,計算過程!$B$78))</f>
        <v/>
      </c>
      <c r="D229" s="107" t="str">
        <f>IF(A229="","",P229+Q229)</f>
        <v/>
      </c>
      <c r="E229" s="107" t="str">
        <f>IF(A229="","",C229-D229)</f>
        <v/>
      </c>
      <c r="F229" s="107" t="str">
        <f>IF(A229="","",IF(A229=計算過程!$B$71,0,MAX(0,F228-(計算過程!$B$76-P229))))</f>
        <v/>
      </c>
      <c r="G229" s="107" t="str">
        <f>IF(A229="","",IF(A229=計算過程!$B$71,0,MAX(0,G228-(計算過程!$B$77-Q229))))</f>
        <v/>
      </c>
      <c r="H229" s="107" t="str">
        <f>IF(A229="","",F229+G229)</f>
        <v/>
      </c>
      <c r="I229" s="106" t="str">
        <f>IF(A229="","",IF(AND(OR(MONTH(B229)=6,MONTH(B229)=12),I228&lt;計算過程!$B$69),I228+1,I228))</f>
        <v/>
      </c>
      <c r="J229" s="107" t="str">
        <f>IF(A229="","",IF(I229&gt;I228,IF(I229=計算過程!$B$69,M228+K229,計算過程!$B$81),0))</f>
        <v/>
      </c>
      <c r="K229" s="107" t="str">
        <f>IF(A229="","",IF(I229&gt;I228,CHOOSE(計算過程!$B$72,ROUND(M228*計算過程!$B$79,0),ROUNDDOWN(M228*計算過程!$B$79,0),ROUNDUP(M228*計算過程!$B$79,0)),0))</f>
        <v/>
      </c>
      <c r="L229" s="107" t="str">
        <f>IF(A229="","",J229-K229)</f>
        <v/>
      </c>
      <c r="M229" s="107" t="str">
        <f>IF(A229="","",IF(I229&gt;I228,M228-L229,M228))</f>
        <v/>
      </c>
      <c r="N229" s="107" t="str">
        <f>IF(A229="","",C229+J229)</f>
        <v/>
      </c>
      <c r="O229" s="107" t="str">
        <f>IF(A229="","",H229+M229)</f>
        <v/>
      </c>
      <c r="P229" s="107" t="str">
        <f>IF(A229="","",CHOOSE(計算過程!$B$72,ROUND(F228*計算過程!$B$32/計算過程!$B$6,0),ROUNDDOWN(F228*計算過程!$B$32/計算過程!$B$6,0),ROUNDUP(F228*計算過程!$B$32/計算過程!$B$6,0)))</f>
        <v/>
      </c>
      <c r="Q229" s="107" t="str">
        <f>IF(A229="","",CHOOSE(計算過程!$B$72,ROUND(G228*計算過程!$B$33/計算過程!$B$6,0),ROUNDDOWN(G228*計算過程!$B$33/計算過程!$B$6,0),ROUNDUP(G228*計算過程!$B$33/計算過程!$B$6,0)))</f>
        <v/>
      </c>
    </row>
    <row r="230" spans="1:17">
      <c r="A230" s="106" t="str">
        <f>IF(OR(計算過程!$B$98="",ROWS($A$8:A230)&gt;計算過程!$B$71),"",ROWS($A$8:A230))</f>
        <v/>
      </c>
      <c r="B230" s="108" t="str">
        <f>IF(A230="","",EDATE(計算過程!$B$98,A230-1))</f>
        <v/>
      </c>
      <c r="C230" s="107" t="str">
        <f>IF(A230="","",IF(A230=計算過程!$B$71,D230+F229+G229,計算過程!$B$78))</f>
        <v/>
      </c>
      <c r="D230" s="107" t="str">
        <f>IF(A230="","",P230+Q230)</f>
        <v/>
      </c>
      <c r="E230" s="107" t="str">
        <f>IF(A230="","",C230-D230)</f>
        <v/>
      </c>
      <c r="F230" s="107" t="str">
        <f>IF(A230="","",IF(A230=計算過程!$B$71,0,MAX(0,F229-(計算過程!$B$76-P230))))</f>
        <v/>
      </c>
      <c r="G230" s="107" t="str">
        <f>IF(A230="","",IF(A230=計算過程!$B$71,0,MAX(0,G229-(計算過程!$B$77-Q230))))</f>
        <v/>
      </c>
      <c r="H230" s="107" t="str">
        <f>IF(A230="","",F230+G230)</f>
        <v/>
      </c>
      <c r="I230" s="106" t="str">
        <f>IF(A230="","",IF(AND(OR(MONTH(B230)=6,MONTH(B230)=12),I229&lt;計算過程!$B$69),I229+1,I229))</f>
        <v/>
      </c>
      <c r="J230" s="107" t="str">
        <f>IF(A230="","",IF(I230&gt;I229,IF(I230=計算過程!$B$69,M229+K230,計算過程!$B$81),0))</f>
        <v/>
      </c>
      <c r="K230" s="107" t="str">
        <f>IF(A230="","",IF(I230&gt;I229,CHOOSE(計算過程!$B$72,ROUND(M229*計算過程!$B$79,0),ROUNDDOWN(M229*計算過程!$B$79,0),ROUNDUP(M229*計算過程!$B$79,0)),0))</f>
        <v/>
      </c>
      <c r="L230" s="107" t="str">
        <f>IF(A230="","",J230-K230)</f>
        <v/>
      </c>
      <c r="M230" s="107" t="str">
        <f>IF(A230="","",IF(I230&gt;I229,M229-L230,M229))</f>
        <v/>
      </c>
      <c r="N230" s="107" t="str">
        <f>IF(A230="","",C230+J230)</f>
        <v/>
      </c>
      <c r="O230" s="107" t="str">
        <f>IF(A230="","",H230+M230)</f>
        <v/>
      </c>
      <c r="P230" s="107" t="str">
        <f>IF(A230="","",CHOOSE(計算過程!$B$72,ROUND(F229*計算過程!$B$32/計算過程!$B$6,0),ROUNDDOWN(F229*計算過程!$B$32/計算過程!$B$6,0),ROUNDUP(F229*計算過程!$B$32/計算過程!$B$6,0)))</f>
        <v/>
      </c>
      <c r="Q230" s="107" t="str">
        <f>IF(A230="","",CHOOSE(計算過程!$B$72,ROUND(G229*計算過程!$B$33/計算過程!$B$6,0),ROUNDDOWN(G229*計算過程!$B$33/計算過程!$B$6,0),ROUNDUP(G229*計算過程!$B$33/計算過程!$B$6,0)))</f>
        <v/>
      </c>
    </row>
    <row r="231" spans="1:17">
      <c r="A231" s="106" t="str">
        <f>IF(OR(計算過程!$B$98="",ROWS($A$8:A231)&gt;計算過程!$B$71),"",ROWS($A$8:A231))</f>
        <v/>
      </c>
      <c r="B231" s="108" t="str">
        <f>IF(A231="","",EDATE(計算過程!$B$98,A231-1))</f>
        <v/>
      </c>
      <c r="C231" s="107" t="str">
        <f>IF(A231="","",IF(A231=計算過程!$B$71,D231+F230+G230,計算過程!$B$78))</f>
        <v/>
      </c>
      <c r="D231" s="107" t="str">
        <f>IF(A231="","",P231+Q231)</f>
        <v/>
      </c>
      <c r="E231" s="107" t="str">
        <f>IF(A231="","",C231-D231)</f>
        <v/>
      </c>
      <c r="F231" s="107" t="str">
        <f>IF(A231="","",IF(A231=計算過程!$B$71,0,MAX(0,F230-(計算過程!$B$76-P231))))</f>
        <v/>
      </c>
      <c r="G231" s="107" t="str">
        <f>IF(A231="","",IF(A231=計算過程!$B$71,0,MAX(0,G230-(計算過程!$B$77-Q231))))</f>
        <v/>
      </c>
      <c r="H231" s="107" t="str">
        <f>IF(A231="","",F231+G231)</f>
        <v/>
      </c>
      <c r="I231" s="106" t="str">
        <f>IF(A231="","",IF(AND(OR(MONTH(B231)=6,MONTH(B231)=12),I230&lt;計算過程!$B$69),I230+1,I230))</f>
        <v/>
      </c>
      <c r="J231" s="107" t="str">
        <f>IF(A231="","",IF(I231&gt;I230,IF(I231=計算過程!$B$69,M230+K231,計算過程!$B$81),0))</f>
        <v/>
      </c>
      <c r="K231" s="107" t="str">
        <f>IF(A231="","",IF(I231&gt;I230,CHOOSE(計算過程!$B$72,ROUND(M230*計算過程!$B$79,0),ROUNDDOWN(M230*計算過程!$B$79,0),ROUNDUP(M230*計算過程!$B$79,0)),0))</f>
        <v/>
      </c>
      <c r="L231" s="107" t="str">
        <f>IF(A231="","",J231-K231)</f>
        <v/>
      </c>
      <c r="M231" s="107" t="str">
        <f>IF(A231="","",IF(I231&gt;I230,M230-L231,M230))</f>
        <v/>
      </c>
      <c r="N231" s="107" t="str">
        <f>IF(A231="","",C231+J231)</f>
        <v/>
      </c>
      <c r="O231" s="107" t="str">
        <f>IF(A231="","",H231+M231)</f>
        <v/>
      </c>
      <c r="P231" s="107" t="str">
        <f>IF(A231="","",CHOOSE(計算過程!$B$72,ROUND(F230*計算過程!$B$32/計算過程!$B$6,0),ROUNDDOWN(F230*計算過程!$B$32/計算過程!$B$6,0),ROUNDUP(F230*計算過程!$B$32/計算過程!$B$6,0)))</f>
        <v/>
      </c>
      <c r="Q231" s="107" t="str">
        <f>IF(A231="","",CHOOSE(計算過程!$B$72,ROUND(G230*計算過程!$B$33/計算過程!$B$6,0),ROUNDDOWN(G230*計算過程!$B$33/計算過程!$B$6,0),ROUNDUP(G230*計算過程!$B$33/計算過程!$B$6,0)))</f>
        <v/>
      </c>
    </row>
    <row r="232" spans="1:17">
      <c r="A232" s="106" t="str">
        <f>IF(OR(計算過程!$B$98="",ROWS($A$8:A232)&gt;計算過程!$B$71),"",ROWS($A$8:A232))</f>
        <v/>
      </c>
      <c r="B232" s="108" t="str">
        <f>IF(A232="","",EDATE(計算過程!$B$98,A232-1))</f>
        <v/>
      </c>
      <c r="C232" s="107" t="str">
        <f>IF(A232="","",IF(A232=計算過程!$B$71,D232+F231+G231,計算過程!$B$78))</f>
        <v/>
      </c>
      <c r="D232" s="107" t="str">
        <f>IF(A232="","",P232+Q232)</f>
        <v/>
      </c>
      <c r="E232" s="107" t="str">
        <f>IF(A232="","",C232-D232)</f>
        <v/>
      </c>
      <c r="F232" s="107" t="str">
        <f>IF(A232="","",IF(A232=計算過程!$B$71,0,MAX(0,F231-(計算過程!$B$76-P232))))</f>
        <v/>
      </c>
      <c r="G232" s="107" t="str">
        <f>IF(A232="","",IF(A232=計算過程!$B$71,0,MAX(0,G231-(計算過程!$B$77-Q232))))</f>
        <v/>
      </c>
      <c r="H232" s="107" t="str">
        <f>IF(A232="","",F232+G232)</f>
        <v/>
      </c>
      <c r="I232" s="106" t="str">
        <f>IF(A232="","",IF(AND(OR(MONTH(B232)=6,MONTH(B232)=12),I231&lt;計算過程!$B$69),I231+1,I231))</f>
        <v/>
      </c>
      <c r="J232" s="107" t="str">
        <f>IF(A232="","",IF(I232&gt;I231,IF(I232=計算過程!$B$69,M231+K232,計算過程!$B$81),0))</f>
        <v/>
      </c>
      <c r="K232" s="107" t="str">
        <f>IF(A232="","",IF(I232&gt;I231,CHOOSE(計算過程!$B$72,ROUND(M231*計算過程!$B$79,0),ROUNDDOWN(M231*計算過程!$B$79,0),ROUNDUP(M231*計算過程!$B$79,0)),0))</f>
        <v/>
      </c>
      <c r="L232" s="107" t="str">
        <f>IF(A232="","",J232-K232)</f>
        <v/>
      </c>
      <c r="M232" s="107" t="str">
        <f>IF(A232="","",IF(I232&gt;I231,M231-L232,M231))</f>
        <v/>
      </c>
      <c r="N232" s="107" t="str">
        <f>IF(A232="","",C232+J232)</f>
        <v/>
      </c>
      <c r="O232" s="107" t="str">
        <f>IF(A232="","",H232+M232)</f>
        <v/>
      </c>
      <c r="P232" s="107" t="str">
        <f>IF(A232="","",CHOOSE(計算過程!$B$72,ROUND(F231*計算過程!$B$32/計算過程!$B$6,0),ROUNDDOWN(F231*計算過程!$B$32/計算過程!$B$6,0),ROUNDUP(F231*計算過程!$B$32/計算過程!$B$6,0)))</f>
        <v/>
      </c>
      <c r="Q232" s="107" t="str">
        <f>IF(A232="","",CHOOSE(計算過程!$B$72,ROUND(G231*計算過程!$B$33/計算過程!$B$6,0),ROUNDDOWN(G231*計算過程!$B$33/計算過程!$B$6,0),ROUNDUP(G231*計算過程!$B$33/計算過程!$B$6,0)))</f>
        <v/>
      </c>
    </row>
    <row r="233" spans="1:17">
      <c r="A233" s="106" t="str">
        <f>IF(OR(計算過程!$B$98="",ROWS($A$8:A233)&gt;計算過程!$B$71),"",ROWS($A$8:A233))</f>
        <v/>
      </c>
      <c r="B233" s="108" t="str">
        <f>IF(A233="","",EDATE(計算過程!$B$98,A233-1))</f>
        <v/>
      </c>
      <c r="C233" s="107" t="str">
        <f>IF(A233="","",IF(A233=計算過程!$B$71,D233+F232+G232,計算過程!$B$78))</f>
        <v/>
      </c>
      <c r="D233" s="107" t="str">
        <f>IF(A233="","",P233+Q233)</f>
        <v/>
      </c>
      <c r="E233" s="107" t="str">
        <f>IF(A233="","",C233-D233)</f>
        <v/>
      </c>
      <c r="F233" s="107" t="str">
        <f>IF(A233="","",IF(A233=計算過程!$B$71,0,MAX(0,F232-(計算過程!$B$76-P233))))</f>
        <v/>
      </c>
      <c r="G233" s="107" t="str">
        <f>IF(A233="","",IF(A233=計算過程!$B$71,0,MAX(0,G232-(計算過程!$B$77-Q233))))</f>
        <v/>
      </c>
      <c r="H233" s="107" t="str">
        <f>IF(A233="","",F233+G233)</f>
        <v/>
      </c>
      <c r="I233" s="106" t="str">
        <f>IF(A233="","",IF(AND(OR(MONTH(B233)=6,MONTH(B233)=12),I232&lt;計算過程!$B$69),I232+1,I232))</f>
        <v/>
      </c>
      <c r="J233" s="107" t="str">
        <f>IF(A233="","",IF(I233&gt;I232,IF(I233=計算過程!$B$69,M232+K233,計算過程!$B$81),0))</f>
        <v/>
      </c>
      <c r="K233" s="107" t="str">
        <f>IF(A233="","",IF(I233&gt;I232,CHOOSE(計算過程!$B$72,ROUND(M232*計算過程!$B$79,0),ROUNDDOWN(M232*計算過程!$B$79,0),ROUNDUP(M232*計算過程!$B$79,0)),0))</f>
        <v/>
      </c>
      <c r="L233" s="107" t="str">
        <f>IF(A233="","",J233-K233)</f>
        <v/>
      </c>
      <c r="M233" s="107" t="str">
        <f>IF(A233="","",IF(I233&gt;I232,M232-L233,M232))</f>
        <v/>
      </c>
      <c r="N233" s="107" t="str">
        <f>IF(A233="","",C233+J233)</f>
        <v/>
      </c>
      <c r="O233" s="107" t="str">
        <f>IF(A233="","",H233+M233)</f>
        <v/>
      </c>
      <c r="P233" s="107" t="str">
        <f>IF(A233="","",CHOOSE(計算過程!$B$72,ROUND(F232*計算過程!$B$32/計算過程!$B$6,0),ROUNDDOWN(F232*計算過程!$B$32/計算過程!$B$6,0),ROUNDUP(F232*計算過程!$B$32/計算過程!$B$6,0)))</f>
        <v/>
      </c>
      <c r="Q233" s="107" t="str">
        <f>IF(A233="","",CHOOSE(計算過程!$B$72,ROUND(G232*計算過程!$B$33/計算過程!$B$6,0),ROUNDDOWN(G232*計算過程!$B$33/計算過程!$B$6,0),ROUNDUP(G232*計算過程!$B$33/計算過程!$B$6,0)))</f>
        <v/>
      </c>
    </row>
    <row r="234" spans="1:17">
      <c r="A234" s="106" t="str">
        <f>IF(OR(計算過程!$B$98="",ROWS($A$8:A234)&gt;計算過程!$B$71),"",ROWS($A$8:A234))</f>
        <v/>
      </c>
      <c r="B234" s="108" t="str">
        <f>IF(A234="","",EDATE(計算過程!$B$98,A234-1))</f>
        <v/>
      </c>
      <c r="C234" s="107" t="str">
        <f>IF(A234="","",IF(A234=計算過程!$B$71,D234+F233+G233,計算過程!$B$78))</f>
        <v/>
      </c>
      <c r="D234" s="107" t="str">
        <f>IF(A234="","",P234+Q234)</f>
        <v/>
      </c>
      <c r="E234" s="107" t="str">
        <f>IF(A234="","",C234-D234)</f>
        <v/>
      </c>
      <c r="F234" s="107" t="str">
        <f>IF(A234="","",IF(A234=計算過程!$B$71,0,MAX(0,F233-(計算過程!$B$76-P234))))</f>
        <v/>
      </c>
      <c r="G234" s="107" t="str">
        <f>IF(A234="","",IF(A234=計算過程!$B$71,0,MAX(0,G233-(計算過程!$B$77-Q234))))</f>
        <v/>
      </c>
      <c r="H234" s="107" t="str">
        <f>IF(A234="","",F234+G234)</f>
        <v/>
      </c>
      <c r="I234" s="106" t="str">
        <f>IF(A234="","",IF(AND(OR(MONTH(B234)=6,MONTH(B234)=12),I233&lt;計算過程!$B$69),I233+1,I233))</f>
        <v/>
      </c>
      <c r="J234" s="107" t="str">
        <f>IF(A234="","",IF(I234&gt;I233,IF(I234=計算過程!$B$69,M233+K234,計算過程!$B$81),0))</f>
        <v/>
      </c>
      <c r="K234" s="107" t="str">
        <f>IF(A234="","",IF(I234&gt;I233,CHOOSE(計算過程!$B$72,ROUND(M233*計算過程!$B$79,0),ROUNDDOWN(M233*計算過程!$B$79,0),ROUNDUP(M233*計算過程!$B$79,0)),0))</f>
        <v/>
      </c>
      <c r="L234" s="107" t="str">
        <f>IF(A234="","",J234-K234)</f>
        <v/>
      </c>
      <c r="M234" s="107" t="str">
        <f>IF(A234="","",IF(I234&gt;I233,M233-L234,M233))</f>
        <v/>
      </c>
      <c r="N234" s="107" t="str">
        <f>IF(A234="","",C234+J234)</f>
        <v/>
      </c>
      <c r="O234" s="107" t="str">
        <f>IF(A234="","",H234+M234)</f>
        <v/>
      </c>
      <c r="P234" s="107" t="str">
        <f>IF(A234="","",CHOOSE(計算過程!$B$72,ROUND(F233*計算過程!$B$32/計算過程!$B$6,0),ROUNDDOWN(F233*計算過程!$B$32/計算過程!$B$6,0),ROUNDUP(F233*計算過程!$B$32/計算過程!$B$6,0)))</f>
        <v/>
      </c>
      <c r="Q234" s="107" t="str">
        <f>IF(A234="","",CHOOSE(計算過程!$B$72,ROUND(G233*計算過程!$B$33/計算過程!$B$6,0),ROUNDDOWN(G233*計算過程!$B$33/計算過程!$B$6,0),ROUNDUP(G233*計算過程!$B$33/計算過程!$B$6,0)))</f>
        <v/>
      </c>
    </row>
    <row r="235" spans="1:17">
      <c r="A235" s="106" t="str">
        <f>IF(OR(計算過程!$B$98="",ROWS($A$8:A235)&gt;計算過程!$B$71),"",ROWS($A$8:A235))</f>
        <v/>
      </c>
      <c r="B235" s="108" t="str">
        <f>IF(A235="","",EDATE(計算過程!$B$98,A235-1))</f>
        <v/>
      </c>
      <c r="C235" s="107" t="str">
        <f>IF(A235="","",IF(A235=計算過程!$B$71,D235+F234+G234,計算過程!$B$78))</f>
        <v/>
      </c>
      <c r="D235" s="107" t="str">
        <f>IF(A235="","",P235+Q235)</f>
        <v/>
      </c>
      <c r="E235" s="107" t="str">
        <f>IF(A235="","",C235-D235)</f>
        <v/>
      </c>
      <c r="F235" s="107" t="str">
        <f>IF(A235="","",IF(A235=計算過程!$B$71,0,MAX(0,F234-(計算過程!$B$76-P235))))</f>
        <v/>
      </c>
      <c r="G235" s="107" t="str">
        <f>IF(A235="","",IF(A235=計算過程!$B$71,0,MAX(0,G234-(計算過程!$B$77-Q235))))</f>
        <v/>
      </c>
      <c r="H235" s="107" t="str">
        <f>IF(A235="","",F235+G235)</f>
        <v/>
      </c>
      <c r="I235" s="106" t="str">
        <f>IF(A235="","",IF(AND(OR(MONTH(B235)=6,MONTH(B235)=12),I234&lt;計算過程!$B$69),I234+1,I234))</f>
        <v/>
      </c>
      <c r="J235" s="107" t="str">
        <f>IF(A235="","",IF(I235&gt;I234,IF(I235=計算過程!$B$69,M234+K235,計算過程!$B$81),0))</f>
        <v/>
      </c>
      <c r="K235" s="107" t="str">
        <f>IF(A235="","",IF(I235&gt;I234,CHOOSE(計算過程!$B$72,ROUND(M234*計算過程!$B$79,0),ROUNDDOWN(M234*計算過程!$B$79,0),ROUNDUP(M234*計算過程!$B$79,0)),0))</f>
        <v/>
      </c>
      <c r="L235" s="107" t="str">
        <f>IF(A235="","",J235-K235)</f>
        <v/>
      </c>
      <c r="M235" s="107" t="str">
        <f>IF(A235="","",IF(I235&gt;I234,M234-L235,M234))</f>
        <v/>
      </c>
      <c r="N235" s="107" t="str">
        <f>IF(A235="","",C235+J235)</f>
        <v/>
      </c>
      <c r="O235" s="107" t="str">
        <f>IF(A235="","",H235+M235)</f>
        <v/>
      </c>
      <c r="P235" s="107" t="str">
        <f>IF(A235="","",CHOOSE(計算過程!$B$72,ROUND(F234*計算過程!$B$32/計算過程!$B$6,0),ROUNDDOWN(F234*計算過程!$B$32/計算過程!$B$6,0),ROUNDUP(F234*計算過程!$B$32/計算過程!$B$6,0)))</f>
        <v/>
      </c>
      <c r="Q235" s="107" t="str">
        <f>IF(A235="","",CHOOSE(計算過程!$B$72,ROUND(G234*計算過程!$B$33/計算過程!$B$6,0),ROUNDDOWN(G234*計算過程!$B$33/計算過程!$B$6,0),ROUNDUP(G234*計算過程!$B$33/計算過程!$B$6,0)))</f>
        <v/>
      </c>
    </row>
    <row r="236" spans="1:17">
      <c r="A236" s="106" t="str">
        <f>IF(OR(計算過程!$B$98="",ROWS($A$8:A236)&gt;計算過程!$B$71),"",ROWS($A$8:A236))</f>
        <v/>
      </c>
      <c r="B236" s="108" t="str">
        <f>IF(A236="","",EDATE(計算過程!$B$98,A236-1))</f>
        <v/>
      </c>
      <c r="C236" s="107" t="str">
        <f>IF(A236="","",IF(A236=計算過程!$B$71,D236+F235+G235,計算過程!$B$78))</f>
        <v/>
      </c>
      <c r="D236" s="107" t="str">
        <f>IF(A236="","",P236+Q236)</f>
        <v/>
      </c>
      <c r="E236" s="107" t="str">
        <f>IF(A236="","",C236-D236)</f>
        <v/>
      </c>
      <c r="F236" s="107" t="str">
        <f>IF(A236="","",IF(A236=計算過程!$B$71,0,MAX(0,F235-(計算過程!$B$76-P236))))</f>
        <v/>
      </c>
      <c r="G236" s="107" t="str">
        <f>IF(A236="","",IF(A236=計算過程!$B$71,0,MAX(0,G235-(計算過程!$B$77-Q236))))</f>
        <v/>
      </c>
      <c r="H236" s="107" t="str">
        <f>IF(A236="","",F236+G236)</f>
        <v/>
      </c>
      <c r="I236" s="106" t="str">
        <f>IF(A236="","",IF(AND(OR(MONTH(B236)=6,MONTH(B236)=12),I235&lt;計算過程!$B$69),I235+1,I235))</f>
        <v/>
      </c>
      <c r="J236" s="107" t="str">
        <f>IF(A236="","",IF(I236&gt;I235,IF(I236=計算過程!$B$69,M235+K236,計算過程!$B$81),0))</f>
        <v/>
      </c>
      <c r="K236" s="107" t="str">
        <f>IF(A236="","",IF(I236&gt;I235,CHOOSE(計算過程!$B$72,ROUND(M235*計算過程!$B$79,0),ROUNDDOWN(M235*計算過程!$B$79,0),ROUNDUP(M235*計算過程!$B$79,0)),0))</f>
        <v/>
      </c>
      <c r="L236" s="107" t="str">
        <f>IF(A236="","",J236-K236)</f>
        <v/>
      </c>
      <c r="M236" s="107" t="str">
        <f>IF(A236="","",IF(I236&gt;I235,M235-L236,M235))</f>
        <v/>
      </c>
      <c r="N236" s="107" t="str">
        <f>IF(A236="","",C236+J236)</f>
        <v/>
      </c>
      <c r="O236" s="107" t="str">
        <f>IF(A236="","",H236+M236)</f>
        <v/>
      </c>
      <c r="P236" s="107" t="str">
        <f>IF(A236="","",CHOOSE(計算過程!$B$72,ROUND(F235*計算過程!$B$32/計算過程!$B$6,0),ROUNDDOWN(F235*計算過程!$B$32/計算過程!$B$6,0),ROUNDUP(F235*計算過程!$B$32/計算過程!$B$6,0)))</f>
        <v/>
      </c>
      <c r="Q236" s="107" t="str">
        <f>IF(A236="","",CHOOSE(計算過程!$B$72,ROUND(G235*計算過程!$B$33/計算過程!$B$6,0),ROUNDDOWN(G235*計算過程!$B$33/計算過程!$B$6,0),ROUNDUP(G235*計算過程!$B$33/計算過程!$B$6,0)))</f>
        <v/>
      </c>
    </row>
    <row r="237" spans="1:17">
      <c r="A237" s="106" t="str">
        <f>IF(OR(計算過程!$B$98="",ROWS($A$8:A237)&gt;計算過程!$B$71),"",ROWS($A$8:A237))</f>
        <v/>
      </c>
      <c r="B237" s="108" t="str">
        <f>IF(A237="","",EDATE(計算過程!$B$98,A237-1))</f>
        <v/>
      </c>
      <c r="C237" s="107" t="str">
        <f>IF(A237="","",IF(A237=計算過程!$B$71,D237+F236+G236,計算過程!$B$78))</f>
        <v/>
      </c>
      <c r="D237" s="107" t="str">
        <f>IF(A237="","",P237+Q237)</f>
        <v/>
      </c>
      <c r="E237" s="107" t="str">
        <f>IF(A237="","",C237-D237)</f>
        <v/>
      </c>
      <c r="F237" s="107" t="str">
        <f>IF(A237="","",IF(A237=計算過程!$B$71,0,MAX(0,F236-(計算過程!$B$76-P237))))</f>
        <v/>
      </c>
      <c r="G237" s="107" t="str">
        <f>IF(A237="","",IF(A237=計算過程!$B$71,0,MAX(0,G236-(計算過程!$B$77-Q237))))</f>
        <v/>
      </c>
      <c r="H237" s="107" t="str">
        <f>IF(A237="","",F237+G237)</f>
        <v/>
      </c>
      <c r="I237" s="106" t="str">
        <f>IF(A237="","",IF(AND(OR(MONTH(B237)=6,MONTH(B237)=12),I236&lt;計算過程!$B$69),I236+1,I236))</f>
        <v/>
      </c>
      <c r="J237" s="107" t="str">
        <f>IF(A237="","",IF(I237&gt;I236,IF(I237=計算過程!$B$69,M236+K237,計算過程!$B$81),0))</f>
        <v/>
      </c>
      <c r="K237" s="107" t="str">
        <f>IF(A237="","",IF(I237&gt;I236,CHOOSE(計算過程!$B$72,ROUND(M236*計算過程!$B$79,0),ROUNDDOWN(M236*計算過程!$B$79,0),ROUNDUP(M236*計算過程!$B$79,0)),0))</f>
        <v/>
      </c>
      <c r="L237" s="107" t="str">
        <f>IF(A237="","",J237-K237)</f>
        <v/>
      </c>
      <c r="M237" s="107" t="str">
        <f>IF(A237="","",IF(I237&gt;I236,M236-L237,M236))</f>
        <v/>
      </c>
      <c r="N237" s="107" t="str">
        <f>IF(A237="","",C237+J237)</f>
        <v/>
      </c>
      <c r="O237" s="107" t="str">
        <f>IF(A237="","",H237+M237)</f>
        <v/>
      </c>
      <c r="P237" s="107" t="str">
        <f>IF(A237="","",CHOOSE(計算過程!$B$72,ROUND(F236*計算過程!$B$32/計算過程!$B$6,0),ROUNDDOWN(F236*計算過程!$B$32/計算過程!$B$6,0),ROUNDUP(F236*計算過程!$B$32/計算過程!$B$6,0)))</f>
        <v/>
      </c>
      <c r="Q237" s="107" t="str">
        <f>IF(A237="","",CHOOSE(計算過程!$B$72,ROUND(G236*計算過程!$B$33/計算過程!$B$6,0),ROUNDDOWN(G236*計算過程!$B$33/計算過程!$B$6,0),ROUNDUP(G236*計算過程!$B$33/計算過程!$B$6,0)))</f>
        <v/>
      </c>
    </row>
    <row r="238" spans="1:17">
      <c r="A238" s="106" t="str">
        <f>IF(OR(計算過程!$B$98="",ROWS($A$8:A238)&gt;計算過程!$B$71),"",ROWS($A$8:A238))</f>
        <v/>
      </c>
      <c r="B238" s="108" t="str">
        <f>IF(A238="","",EDATE(計算過程!$B$98,A238-1))</f>
        <v/>
      </c>
      <c r="C238" s="107" t="str">
        <f>IF(A238="","",IF(A238=計算過程!$B$71,D238+F237+G237,計算過程!$B$78))</f>
        <v/>
      </c>
      <c r="D238" s="107" t="str">
        <f>IF(A238="","",P238+Q238)</f>
        <v/>
      </c>
      <c r="E238" s="107" t="str">
        <f>IF(A238="","",C238-D238)</f>
        <v/>
      </c>
      <c r="F238" s="107" t="str">
        <f>IF(A238="","",IF(A238=計算過程!$B$71,0,MAX(0,F237-(計算過程!$B$76-P238))))</f>
        <v/>
      </c>
      <c r="G238" s="107" t="str">
        <f>IF(A238="","",IF(A238=計算過程!$B$71,0,MAX(0,G237-(計算過程!$B$77-Q238))))</f>
        <v/>
      </c>
      <c r="H238" s="107" t="str">
        <f>IF(A238="","",F238+G238)</f>
        <v/>
      </c>
      <c r="I238" s="106" t="str">
        <f>IF(A238="","",IF(AND(OR(MONTH(B238)=6,MONTH(B238)=12),I237&lt;計算過程!$B$69),I237+1,I237))</f>
        <v/>
      </c>
      <c r="J238" s="107" t="str">
        <f>IF(A238="","",IF(I238&gt;I237,IF(I238=計算過程!$B$69,M237+K238,計算過程!$B$81),0))</f>
        <v/>
      </c>
      <c r="K238" s="107" t="str">
        <f>IF(A238="","",IF(I238&gt;I237,CHOOSE(計算過程!$B$72,ROUND(M237*計算過程!$B$79,0),ROUNDDOWN(M237*計算過程!$B$79,0),ROUNDUP(M237*計算過程!$B$79,0)),0))</f>
        <v/>
      </c>
      <c r="L238" s="107" t="str">
        <f>IF(A238="","",J238-K238)</f>
        <v/>
      </c>
      <c r="M238" s="107" t="str">
        <f>IF(A238="","",IF(I238&gt;I237,M237-L238,M237))</f>
        <v/>
      </c>
      <c r="N238" s="107" t="str">
        <f>IF(A238="","",C238+J238)</f>
        <v/>
      </c>
      <c r="O238" s="107" t="str">
        <f>IF(A238="","",H238+M238)</f>
        <v/>
      </c>
      <c r="P238" s="107" t="str">
        <f>IF(A238="","",CHOOSE(計算過程!$B$72,ROUND(F237*計算過程!$B$32/計算過程!$B$6,0),ROUNDDOWN(F237*計算過程!$B$32/計算過程!$B$6,0),ROUNDUP(F237*計算過程!$B$32/計算過程!$B$6,0)))</f>
        <v/>
      </c>
      <c r="Q238" s="107" t="str">
        <f>IF(A238="","",CHOOSE(計算過程!$B$72,ROUND(G237*計算過程!$B$33/計算過程!$B$6,0),ROUNDDOWN(G237*計算過程!$B$33/計算過程!$B$6,0),ROUNDUP(G237*計算過程!$B$33/計算過程!$B$6,0)))</f>
        <v/>
      </c>
    </row>
    <row r="239" spans="1:17">
      <c r="A239" s="106" t="str">
        <f>IF(OR(計算過程!$B$98="",ROWS($A$8:A239)&gt;計算過程!$B$71),"",ROWS($A$8:A239))</f>
        <v/>
      </c>
      <c r="B239" s="108" t="str">
        <f>IF(A239="","",EDATE(計算過程!$B$98,A239-1))</f>
        <v/>
      </c>
      <c r="C239" s="107" t="str">
        <f>IF(A239="","",IF(A239=計算過程!$B$71,D239+F238+G238,計算過程!$B$78))</f>
        <v/>
      </c>
      <c r="D239" s="107" t="str">
        <f>IF(A239="","",P239+Q239)</f>
        <v/>
      </c>
      <c r="E239" s="107" t="str">
        <f>IF(A239="","",C239-D239)</f>
        <v/>
      </c>
      <c r="F239" s="107" t="str">
        <f>IF(A239="","",IF(A239=計算過程!$B$71,0,MAX(0,F238-(計算過程!$B$76-P239))))</f>
        <v/>
      </c>
      <c r="G239" s="107" t="str">
        <f>IF(A239="","",IF(A239=計算過程!$B$71,0,MAX(0,G238-(計算過程!$B$77-Q239))))</f>
        <v/>
      </c>
      <c r="H239" s="107" t="str">
        <f>IF(A239="","",F239+G239)</f>
        <v/>
      </c>
      <c r="I239" s="106" t="str">
        <f>IF(A239="","",IF(AND(OR(MONTH(B239)=6,MONTH(B239)=12),I238&lt;計算過程!$B$69),I238+1,I238))</f>
        <v/>
      </c>
      <c r="J239" s="107" t="str">
        <f>IF(A239="","",IF(I239&gt;I238,IF(I239=計算過程!$B$69,M238+K239,計算過程!$B$81),0))</f>
        <v/>
      </c>
      <c r="K239" s="107" t="str">
        <f>IF(A239="","",IF(I239&gt;I238,CHOOSE(計算過程!$B$72,ROUND(M238*計算過程!$B$79,0),ROUNDDOWN(M238*計算過程!$B$79,0),ROUNDUP(M238*計算過程!$B$79,0)),0))</f>
        <v/>
      </c>
      <c r="L239" s="107" t="str">
        <f>IF(A239="","",J239-K239)</f>
        <v/>
      </c>
      <c r="M239" s="107" t="str">
        <f>IF(A239="","",IF(I239&gt;I238,M238-L239,M238))</f>
        <v/>
      </c>
      <c r="N239" s="107" t="str">
        <f>IF(A239="","",C239+J239)</f>
        <v/>
      </c>
      <c r="O239" s="107" t="str">
        <f>IF(A239="","",H239+M239)</f>
        <v/>
      </c>
      <c r="P239" s="107" t="str">
        <f>IF(A239="","",CHOOSE(計算過程!$B$72,ROUND(F238*計算過程!$B$32/計算過程!$B$6,0),ROUNDDOWN(F238*計算過程!$B$32/計算過程!$B$6,0),ROUNDUP(F238*計算過程!$B$32/計算過程!$B$6,0)))</f>
        <v/>
      </c>
      <c r="Q239" s="107" t="str">
        <f>IF(A239="","",CHOOSE(計算過程!$B$72,ROUND(G238*計算過程!$B$33/計算過程!$B$6,0),ROUNDDOWN(G238*計算過程!$B$33/計算過程!$B$6,0),ROUNDUP(G238*計算過程!$B$33/計算過程!$B$6,0)))</f>
        <v/>
      </c>
    </row>
    <row r="240" spans="1:17">
      <c r="A240" s="106" t="str">
        <f>IF(OR(計算過程!$B$98="",ROWS($A$8:A240)&gt;計算過程!$B$71),"",ROWS($A$8:A240))</f>
        <v/>
      </c>
      <c r="B240" s="108" t="str">
        <f>IF(A240="","",EDATE(計算過程!$B$98,A240-1))</f>
        <v/>
      </c>
      <c r="C240" s="107" t="str">
        <f>IF(A240="","",IF(A240=計算過程!$B$71,D240+F239+G239,計算過程!$B$78))</f>
        <v/>
      </c>
      <c r="D240" s="107" t="str">
        <f>IF(A240="","",P240+Q240)</f>
        <v/>
      </c>
      <c r="E240" s="107" t="str">
        <f>IF(A240="","",C240-D240)</f>
        <v/>
      </c>
      <c r="F240" s="107" t="str">
        <f>IF(A240="","",IF(A240=計算過程!$B$71,0,MAX(0,F239-(計算過程!$B$76-P240))))</f>
        <v/>
      </c>
      <c r="G240" s="107" t="str">
        <f>IF(A240="","",IF(A240=計算過程!$B$71,0,MAX(0,G239-(計算過程!$B$77-Q240))))</f>
        <v/>
      </c>
      <c r="H240" s="107" t="str">
        <f>IF(A240="","",F240+G240)</f>
        <v/>
      </c>
      <c r="I240" s="106" t="str">
        <f>IF(A240="","",IF(AND(OR(MONTH(B240)=6,MONTH(B240)=12),I239&lt;計算過程!$B$69),I239+1,I239))</f>
        <v/>
      </c>
      <c r="J240" s="107" t="str">
        <f>IF(A240="","",IF(I240&gt;I239,IF(I240=計算過程!$B$69,M239+K240,計算過程!$B$81),0))</f>
        <v/>
      </c>
      <c r="K240" s="107" t="str">
        <f>IF(A240="","",IF(I240&gt;I239,CHOOSE(計算過程!$B$72,ROUND(M239*計算過程!$B$79,0),ROUNDDOWN(M239*計算過程!$B$79,0),ROUNDUP(M239*計算過程!$B$79,0)),0))</f>
        <v/>
      </c>
      <c r="L240" s="107" t="str">
        <f>IF(A240="","",J240-K240)</f>
        <v/>
      </c>
      <c r="M240" s="107" t="str">
        <f>IF(A240="","",IF(I240&gt;I239,M239-L240,M239))</f>
        <v/>
      </c>
      <c r="N240" s="107" t="str">
        <f>IF(A240="","",C240+J240)</f>
        <v/>
      </c>
      <c r="O240" s="107" t="str">
        <f>IF(A240="","",H240+M240)</f>
        <v/>
      </c>
      <c r="P240" s="107" t="str">
        <f>IF(A240="","",CHOOSE(計算過程!$B$72,ROUND(F239*計算過程!$B$32/計算過程!$B$6,0),ROUNDDOWN(F239*計算過程!$B$32/計算過程!$B$6,0),ROUNDUP(F239*計算過程!$B$32/計算過程!$B$6,0)))</f>
        <v/>
      </c>
      <c r="Q240" s="107" t="str">
        <f>IF(A240="","",CHOOSE(計算過程!$B$72,ROUND(G239*計算過程!$B$33/計算過程!$B$6,0),ROUNDDOWN(G239*計算過程!$B$33/計算過程!$B$6,0),ROUNDUP(G239*計算過程!$B$33/計算過程!$B$6,0)))</f>
        <v/>
      </c>
    </row>
    <row r="241" spans="1:17">
      <c r="A241" s="106" t="str">
        <f>IF(OR(計算過程!$B$98="",ROWS($A$8:A241)&gt;計算過程!$B$71),"",ROWS($A$8:A241))</f>
        <v/>
      </c>
      <c r="B241" s="108" t="str">
        <f>IF(A241="","",EDATE(計算過程!$B$98,A241-1))</f>
        <v/>
      </c>
      <c r="C241" s="107" t="str">
        <f>IF(A241="","",IF(A241=計算過程!$B$71,D241+F240+G240,計算過程!$B$78))</f>
        <v/>
      </c>
      <c r="D241" s="107" t="str">
        <f>IF(A241="","",P241+Q241)</f>
        <v/>
      </c>
      <c r="E241" s="107" t="str">
        <f>IF(A241="","",C241-D241)</f>
        <v/>
      </c>
      <c r="F241" s="107" t="str">
        <f>IF(A241="","",IF(A241=計算過程!$B$71,0,MAX(0,F240-(計算過程!$B$76-P241))))</f>
        <v/>
      </c>
      <c r="G241" s="107" t="str">
        <f>IF(A241="","",IF(A241=計算過程!$B$71,0,MAX(0,G240-(計算過程!$B$77-Q241))))</f>
        <v/>
      </c>
      <c r="H241" s="107" t="str">
        <f>IF(A241="","",F241+G241)</f>
        <v/>
      </c>
      <c r="I241" s="106" t="str">
        <f>IF(A241="","",IF(AND(OR(MONTH(B241)=6,MONTH(B241)=12),I240&lt;計算過程!$B$69),I240+1,I240))</f>
        <v/>
      </c>
      <c r="J241" s="107" t="str">
        <f>IF(A241="","",IF(I241&gt;I240,IF(I241=計算過程!$B$69,M240+K241,計算過程!$B$81),0))</f>
        <v/>
      </c>
      <c r="K241" s="107" t="str">
        <f>IF(A241="","",IF(I241&gt;I240,CHOOSE(計算過程!$B$72,ROUND(M240*計算過程!$B$79,0),ROUNDDOWN(M240*計算過程!$B$79,0),ROUNDUP(M240*計算過程!$B$79,0)),0))</f>
        <v/>
      </c>
      <c r="L241" s="107" t="str">
        <f>IF(A241="","",J241-K241)</f>
        <v/>
      </c>
      <c r="M241" s="107" t="str">
        <f>IF(A241="","",IF(I241&gt;I240,M240-L241,M240))</f>
        <v/>
      </c>
      <c r="N241" s="107" t="str">
        <f>IF(A241="","",C241+J241)</f>
        <v/>
      </c>
      <c r="O241" s="107" t="str">
        <f>IF(A241="","",H241+M241)</f>
        <v/>
      </c>
      <c r="P241" s="107" t="str">
        <f>IF(A241="","",CHOOSE(計算過程!$B$72,ROUND(F240*計算過程!$B$32/計算過程!$B$6,0),ROUNDDOWN(F240*計算過程!$B$32/計算過程!$B$6,0),ROUNDUP(F240*計算過程!$B$32/計算過程!$B$6,0)))</f>
        <v/>
      </c>
      <c r="Q241" s="107" t="str">
        <f>IF(A241="","",CHOOSE(計算過程!$B$72,ROUND(G240*計算過程!$B$33/計算過程!$B$6,0),ROUNDDOWN(G240*計算過程!$B$33/計算過程!$B$6,0),ROUNDUP(G240*計算過程!$B$33/計算過程!$B$6,0)))</f>
        <v/>
      </c>
    </row>
    <row r="242" spans="1:17">
      <c r="A242" s="106" t="str">
        <f>IF(OR(計算過程!$B$98="",ROWS($A$8:A242)&gt;計算過程!$B$71),"",ROWS($A$8:A242))</f>
        <v/>
      </c>
      <c r="B242" s="108" t="str">
        <f>IF(A242="","",EDATE(計算過程!$B$98,A242-1))</f>
        <v/>
      </c>
      <c r="C242" s="107" t="str">
        <f>IF(A242="","",IF(A242=計算過程!$B$71,D242+F241+G241,計算過程!$B$78))</f>
        <v/>
      </c>
      <c r="D242" s="107" t="str">
        <f>IF(A242="","",P242+Q242)</f>
        <v/>
      </c>
      <c r="E242" s="107" t="str">
        <f>IF(A242="","",C242-D242)</f>
        <v/>
      </c>
      <c r="F242" s="107" t="str">
        <f>IF(A242="","",IF(A242=計算過程!$B$71,0,MAX(0,F241-(計算過程!$B$76-P242))))</f>
        <v/>
      </c>
      <c r="G242" s="107" t="str">
        <f>IF(A242="","",IF(A242=計算過程!$B$71,0,MAX(0,G241-(計算過程!$B$77-Q242))))</f>
        <v/>
      </c>
      <c r="H242" s="107" t="str">
        <f>IF(A242="","",F242+G242)</f>
        <v/>
      </c>
      <c r="I242" s="106" t="str">
        <f>IF(A242="","",IF(AND(OR(MONTH(B242)=6,MONTH(B242)=12),I241&lt;計算過程!$B$69),I241+1,I241))</f>
        <v/>
      </c>
      <c r="J242" s="107" t="str">
        <f>IF(A242="","",IF(I242&gt;I241,IF(I242=計算過程!$B$69,M241+K242,計算過程!$B$81),0))</f>
        <v/>
      </c>
      <c r="K242" s="107" t="str">
        <f>IF(A242="","",IF(I242&gt;I241,CHOOSE(計算過程!$B$72,ROUND(M241*計算過程!$B$79,0),ROUNDDOWN(M241*計算過程!$B$79,0),ROUNDUP(M241*計算過程!$B$79,0)),0))</f>
        <v/>
      </c>
      <c r="L242" s="107" t="str">
        <f>IF(A242="","",J242-K242)</f>
        <v/>
      </c>
      <c r="M242" s="107" t="str">
        <f>IF(A242="","",IF(I242&gt;I241,M241-L242,M241))</f>
        <v/>
      </c>
      <c r="N242" s="107" t="str">
        <f>IF(A242="","",C242+J242)</f>
        <v/>
      </c>
      <c r="O242" s="107" t="str">
        <f>IF(A242="","",H242+M242)</f>
        <v/>
      </c>
      <c r="P242" s="107" t="str">
        <f>IF(A242="","",CHOOSE(計算過程!$B$72,ROUND(F241*計算過程!$B$32/計算過程!$B$6,0),ROUNDDOWN(F241*計算過程!$B$32/計算過程!$B$6,0),ROUNDUP(F241*計算過程!$B$32/計算過程!$B$6,0)))</f>
        <v/>
      </c>
      <c r="Q242" s="107" t="str">
        <f>IF(A242="","",CHOOSE(計算過程!$B$72,ROUND(G241*計算過程!$B$33/計算過程!$B$6,0),ROUNDDOWN(G241*計算過程!$B$33/計算過程!$B$6,0),ROUNDUP(G241*計算過程!$B$33/計算過程!$B$6,0)))</f>
        <v/>
      </c>
    </row>
    <row r="243" spans="1:17">
      <c r="A243" s="106" t="str">
        <f>IF(OR(計算過程!$B$98="",ROWS($A$8:A243)&gt;計算過程!$B$71),"",ROWS($A$8:A243))</f>
        <v/>
      </c>
      <c r="B243" s="108" t="str">
        <f>IF(A243="","",EDATE(計算過程!$B$98,A243-1))</f>
        <v/>
      </c>
      <c r="C243" s="107" t="str">
        <f>IF(A243="","",IF(A243=計算過程!$B$71,D243+F242+G242,計算過程!$B$78))</f>
        <v/>
      </c>
      <c r="D243" s="107" t="str">
        <f>IF(A243="","",P243+Q243)</f>
        <v/>
      </c>
      <c r="E243" s="107" t="str">
        <f>IF(A243="","",C243-D243)</f>
        <v/>
      </c>
      <c r="F243" s="107" t="str">
        <f>IF(A243="","",IF(A243=計算過程!$B$71,0,MAX(0,F242-(計算過程!$B$76-P243))))</f>
        <v/>
      </c>
      <c r="G243" s="107" t="str">
        <f>IF(A243="","",IF(A243=計算過程!$B$71,0,MAX(0,G242-(計算過程!$B$77-Q243))))</f>
        <v/>
      </c>
      <c r="H243" s="107" t="str">
        <f>IF(A243="","",F243+G243)</f>
        <v/>
      </c>
      <c r="I243" s="106" t="str">
        <f>IF(A243="","",IF(AND(OR(MONTH(B243)=6,MONTH(B243)=12),I242&lt;計算過程!$B$69),I242+1,I242))</f>
        <v/>
      </c>
      <c r="J243" s="107" t="str">
        <f>IF(A243="","",IF(I243&gt;I242,IF(I243=計算過程!$B$69,M242+K243,計算過程!$B$81),0))</f>
        <v/>
      </c>
      <c r="K243" s="107" t="str">
        <f>IF(A243="","",IF(I243&gt;I242,CHOOSE(計算過程!$B$72,ROUND(M242*計算過程!$B$79,0),ROUNDDOWN(M242*計算過程!$B$79,0),ROUNDUP(M242*計算過程!$B$79,0)),0))</f>
        <v/>
      </c>
      <c r="L243" s="107" t="str">
        <f>IF(A243="","",J243-K243)</f>
        <v/>
      </c>
      <c r="M243" s="107" t="str">
        <f>IF(A243="","",IF(I243&gt;I242,M242-L243,M242))</f>
        <v/>
      </c>
      <c r="N243" s="107" t="str">
        <f>IF(A243="","",C243+J243)</f>
        <v/>
      </c>
      <c r="O243" s="107" t="str">
        <f>IF(A243="","",H243+M243)</f>
        <v/>
      </c>
      <c r="P243" s="107" t="str">
        <f>IF(A243="","",CHOOSE(計算過程!$B$72,ROUND(F242*計算過程!$B$32/計算過程!$B$6,0),ROUNDDOWN(F242*計算過程!$B$32/計算過程!$B$6,0),ROUNDUP(F242*計算過程!$B$32/計算過程!$B$6,0)))</f>
        <v/>
      </c>
      <c r="Q243" s="107" t="str">
        <f>IF(A243="","",CHOOSE(計算過程!$B$72,ROUND(G242*計算過程!$B$33/計算過程!$B$6,0),ROUNDDOWN(G242*計算過程!$B$33/計算過程!$B$6,0),ROUNDUP(G242*計算過程!$B$33/計算過程!$B$6,0)))</f>
        <v/>
      </c>
    </row>
    <row r="244" spans="1:17">
      <c r="A244" s="106" t="str">
        <f>IF(OR(計算過程!$B$98="",ROWS($A$8:A244)&gt;計算過程!$B$71),"",ROWS($A$8:A244))</f>
        <v/>
      </c>
      <c r="B244" s="108" t="str">
        <f>IF(A244="","",EDATE(計算過程!$B$98,A244-1))</f>
        <v/>
      </c>
      <c r="C244" s="107" t="str">
        <f>IF(A244="","",IF(A244=計算過程!$B$71,D244+F243+G243,計算過程!$B$78))</f>
        <v/>
      </c>
      <c r="D244" s="107" t="str">
        <f>IF(A244="","",P244+Q244)</f>
        <v/>
      </c>
      <c r="E244" s="107" t="str">
        <f>IF(A244="","",C244-D244)</f>
        <v/>
      </c>
      <c r="F244" s="107" t="str">
        <f>IF(A244="","",IF(A244=計算過程!$B$71,0,MAX(0,F243-(計算過程!$B$76-P244))))</f>
        <v/>
      </c>
      <c r="G244" s="107" t="str">
        <f>IF(A244="","",IF(A244=計算過程!$B$71,0,MAX(0,G243-(計算過程!$B$77-Q244))))</f>
        <v/>
      </c>
      <c r="H244" s="107" t="str">
        <f>IF(A244="","",F244+G244)</f>
        <v/>
      </c>
      <c r="I244" s="106" t="str">
        <f>IF(A244="","",IF(AND(OR(MONTH(B244)=6,MONTH(B244)=12),I243&lt;計算過程!$B$69),I243+1,I243))</f>
        <v/>
      </c>
      <c r="J244" s="107" t="str">
        <f>IF(A244="","",IF(I244&gt;I243,IF(I244=計算過程!$B$69,M243+K244,計算過程!$B$81),0))</f>
        <v/>
      </c>
      <c r="K244" s="107" t="str">
        <f>IF(A244="","",IF(I244&gt;I243,CHOOSE(計算過程!$B$72,ROUND(M243*計算過程!$B$79,0),ROUNDDOWN(M243*計算過程!$B$79,0),ROUNDUP(M243*計算過程!$B$79,0)),0))</f>
        <v/>
      </c>
      <c r="L244" s="107" t="str">
        <f>IF(A244="","",J244-K244)</f>
        <v/>
      </c>
      <c r="M244" s="107" t="str">
        <f>IF(A244="","",IF(I244&gt;I243,M243-L244,M243))</f>
        <v/>
      </c>
      <c r="N244" s="107" t="str">
        <f>IF(A244="","",C244+J244)</f>
        <v/>
      </c>
      <c r="O244" s="107" t="str">
        <f>IF(A244="","",H244+M244)</f>
        <v/>
      </c>
      <c r="P244" s="107" t="str">
        <f>IF(A244="","",CHOOSE(計算過程!$B$72,ROUND(F243*計算過程!$B$32/計算過程!$B$6,0),ROUNDDOWN(F243*計算過程!$B$32/計算過程!$B$6,0),ROUNDUP(F243*計算過程!$B$32/計算過程!$B$6,0)))</f>
        <v/>
      </c>
      <c r="Q244" s="107" t="str">
        <f>IF(A244="","",CHOOSE(計算過程!$B$72,ROUND(G243*計算過程!$B$33/計算過程!$B$6,0),ROUNDDOWN(G243*計算過程!$B$33/計算過程!$B$6,0),ROUNDUP(G243*計算過程!$B$33/計算過程!$B$6,0)))</f>
        <v/>
      </c>
    </row>
    <row r="245" spans="1:17">
      <c r="A245" s="106" t="str">
        <f>IF(OR(計算過程!$B$98="",ROWS($A$8:A245)&gt;計算過程!$B$71),"",ROWS($A$8:A245))</f>
        <v/>
      </c>
      <c r="B245" s="108" t="str">
        <f>IF(A245="","",EDATE(計算過程!$B$98,A245-1))</f>
        <v/>
      </c>
      <c r="C245" s="107" t="str">
        <f>IF(A245="","",IF(A245=計算過程!$B$71,D245+F244+G244,計算過程!$B$78))</f>
        <v/>
      </c>
      <c r="D245" s="107" t="str">
        <f>IF(A245="","",P245+Q245)</f>
        <v/>
      </c>
      <c r="E245" s="107" t="str">
        <f>IF(A245="","",C245-D245)</f>
        <v/>
      </c>
      <c r="F245" s="107" t="str">
        <f>IF(A245="","",IF(A245=計算過程!$B$71,0,MAX(0,F244-(計算過程!$B$76-P245))))</f>
        <v/>
      </c>
      <c r="G245" s="107" t="str">
        <f>IF(A245="","",IF(A245=計算過程!$B$71,0,MAX(0,G244-(計算過程!$B$77-Q245))))</f>
        <v/>
      </c>
      <c r="H245" s="107" t="str">
        <f>IF(A245="","",F245+G245)</f>
        <v/>
      </c>
      <c r="I245" s="106" t="str">
        <f>IF(A245="","",IF(AND(OR(MONTH(B245)=6,MONTH(B245)=12),I244&lt;計算過程!$B$69),I244+1,I244))</f>
        <v/>
      </c>
      <c r="J245" s="107" t="str">
        <f>IF(A245="","",IF(I245&gt;I244,IF(I245=計算過程!$B$69,M244+K245,計算過程!$B$81),0))</f>
        <v/>
      </c>
      <c r="K245" s="107" t="str">
        <f>IF(A245="","",IF(I245&gt;I244,CHOOSE(計算過程!$B$72,ROUND(M244*計算過程!$B$79,0),ROUNDDOWN(M244*計算過程!$B$79,0),ROUNDUP(M244*計算過程!$B$79,0)),0))</f>
        <v/>
      </c>
      <c r="L245" s="107" t="str">
        <f>IF(A245="","",J245-K245)</f>
        <v/>
      </c>
      <c r="M245" s="107" t="str">
        <f>IF(A245="","",IF(I245&gt;I244,M244-L245,M244))</f>
        <v/>
      </c>
      <c r="N245" s="107" t="str">
        <f>IF(A245="","",C245+J245)</f>
        <v/>
      </c>
      <c r="O245" s="107" t="str">
        <f>IF(A245="","",H245+M245)</f>
        <v/>
      </c>
      <c r="P245" s="107" t="str">
        <f>IF(A245="","",CHOOSE(計算過程!$B$72,ROUND(F244*計算過程!$B$32/計算過程!$B$6,0),ROUNDDOWN(F244*計算過程!$B$32/計算過程!$B$6,0),ROUNDUP(F244*計算過程!$B$32/計算過程!$B$6,0)))</f>
        <v/>
      </c>
      <c r="Q245" s="107" t="str">
        <f>IF(A245="","",CHOOSE(計算過程!$B$72,ROUND(G244*計算過程!$B$33/計算過程!$B$6,0),ROUNDDOWN(G244*計算過程!$B$33/計算過程!$B$6,0),ROUNDUP(G244*計算過程!$B$33/計算過程!$B$6,0)))</f>
        <v/>
      </c>
    </row>
    <row r="246" spans="1:17">
      <c r="A246" s="106" t="str">
        <f>IF(OR(計算過程!$B$98="",ROWS($A$8:A246)&gt;計算過程!$B$71),"",ROWS($A$8:A246))</f>
        <v/>
      </c>
      <c r="B246" s="108" t="str">
        <f>IF(A246="","",EDATE(計算過程!$B$98,A246-1))</f>
        <v/>
      </c>
      <c r="C246" s="107" t="str">
        <f>IF(A246="","",IF(A246=計算過程!$B$71,D246+F245+G245,計算過程!$B$78))</f>
        <v/>
      </c>
      <c r="D246" s="107" t="str">
        <f>IF(A246="","",P246+Q246)</f>
        <v/>
      </c>
      <c r="E246" s="107" t="str">
        <f>IF(A246="","",C246-D246)</f>
        <v/>
      </c>
      <c r="F246" s="107" t="str">
        <f>IF(A246="","",IF(A246=計算過程!$B$71,0,MAX(0,F245-(計算過程!$B$76-P246))))</f>
        <v/>
      </c>
      <c r="G246" s="107" t="str">
        <f>IF(A246="","",IF(A246=計算過程!$B$71,0,MAX(0,G245-(計算過程!$B$77-Q246))))</f>
        <v/>
      </c>
      <c r="H246" s="107" t="str">
        <f>IF(A246="","",F246+G246)</f>
        <v/>
      </c>
      <c r="I246" s="106" t="str">
        <f>IF(A246="","",IF(AND(OR(MONTH(B246)=6,MONTH(B246)=12),I245&lt;計算過程!$B$69),I245+1,I245))</f>
        <v/>
      </c>
      <c r="J246" s="107" t="str">
        <f>IF(A246="","",IF(I246&gt;I245,IF(I246=計算過程!$B$69,M245+K246,計算過程!$B$81),0))</f>
        <v/>
      </c>
      <c r="K246" s="107" t="str">
        <f>IF(A246="","",IF(I246&gt;I245,CHOOSE(計算過程!$B$72,ROUND(M245*計算過程!$B$79,0),ROUNDDOWN(M245*計算過程!$B$79,0),ROUNDUP(M245*計算過程!$B$79,0)),0))</f>
        <v/>
      </c>
      <c r="L246" s="107" t="str">
        <f>IF(A246="","",J246-K246)</f>
        <v/>
      </c>
      <c r="M246" s="107" t="str">
        <f>IF(A246="","",IF(I246&gt;I245,M245-L246,M245))</f>
        <v/>
      </c>
      <c r="N246" s="107" t="str">
        <f>IF(A246="","",C246+J246)</f>
        <v/>
      </c>
      <c r="O246" s="107" t="str">
        <f>IF(A246="","",H246+M246)</f>
        <v/>
      </c>
      <c r="P246" s="107" t="str">
        <f>IF(A246="","",CHOOSE(計算過程!$B$72,ROUND(F245*計算過程!$B$32/計算過程!$B$6,0),ROUNDDOWN(F245*計算過程!$B$32/計算過程!$B$6,0),ROUNDUP(F245*計算過程!$B$32/計算過程!$B$6,0)))</f>
        <v/>
      </c>
      <c r="Q246" s="107" t="str">
        <f>IF(A246="","",CHOOSE(計算過程!$B$72,ROUND(G245*計算過程!$B$33/計算過程!$B$6,0),ROUNDDOWN(G245*計算過程!$B$33/計算過程!$B$6,0),ROUNDUP(G245*計算過程!$B$33/計算過程!$B$6,0)))</f>
        <v/>
      </c>
    </row>
    <row r="247" spans="1:17">
      <c r="A247" s="106" t="str">
        <f>IF(OR(計算過程!$B$98="",ROWS($A$8:A247)&gt;計算過程!$B$71),"",ROWS($A$8:A247))</f>
        <v/>
      </c>
      <c r="B247" s="108" t="str">
        <f>IF(A247="","",EDATE(計算過程!$B$98,A247-1))</f>
        <v/>
      </c>
      <c r="C247" s="107" t="str">
        <f>IF(A247="","",IF(A247=計算過程!$B$71,D247+F246+G246,計算過程!$B$78))</f>
        <v/>
      </c>
      <c r="D247" s="107" t="str">
        <f>IF(A247="","",P247+Q247)</f>
        <v/>
      </c>
      <c r="E247" s="107" t="str">
        <f>IF(A247="","",C247-D247)</f>
        <v/>
      </c>
      <c r="F247" s="107" t="str">
        <f>IF(A247="","",IF(A247=計算過程!$B$71,0,MAX(0,F246-(計算過程!$B$76-P247))))</f>
        <v/>
      </c>
      <c r="G247" s="107" t="str">
        <f>IF(A247="","",IF(A247=計算過程!$B$71,0,MAX(0,G246-(計算過程!$B$77-Q247))))</f>
        <v/>
      </c>
      <c r="H247" s="107" t="str">
        <f>IF(A247="","",F247+G247)</f>
        <v/>
      </c>
      <c r="I247" s="106" t="str">
        <f>IF(A247="","",IF(AND(OR(MONTH(B247)=6,MONTH(B247)=12),I246&lt;計算過程!$B$69),I246+1,I246))</f>
        <v/>
      </c>
      <c r="J247" s="107" t="str">
        <f>IF(A247="","",IF(I247&gt;I246,IF(I247=計算過程!$B$69,M246+K247,計算過程!$B$81),0))</f>
        <v/>
      </c>
      <c r="K247" s="107" t="str">
        <f>IF(A247="","",IF(I247&gt;I246,CHOOSE(計算過程!$B$72,ROUND(M246*計算過程!$B$79,0),ROUNDDOWN(M246*計算過程!$B$79,0),ROUNDUP(M246*計算過程!$B$79,0)),0))</f>
        <v/>
      </c>
      <c r="L247" s="107" t="str">
        <f>IF(A247="","",J247-K247)</f>
        <v/>
      </c>
      <c r="M247" s="107" t="str">
        <f>IF(A247="","",IF(I247&gt;I246,M246-L247,M246))</f>
        <v/>
      </c>
      <c r="N247" s="107" t="str">
        <f>IF(A247="","",C247+J247)</f>
        <v/>
      </c>
      <c r="O247" s="107" t="str">
        <f>IF(A247="","",H247+M247)</f>
        <v/>
      </c>
      <c r="P247" s="107" t="str">
        <f>IF(A247="","",CHOOSE(計算過程!$B$72,ROUND(F246*計算過程!$B$32/計算過程!$B$6,0),ROUNDDOWN(F246*計算過程!$B$32/計算過程!$B$6,0),ROUNDUP(F246*計算過程!$B$32/計算過程!$B$6,0)))</f>
        <v/>
      </c>
      <c r="Q247" s="107" t="str">
        <f>IF(A247="","",CHOOSE(計算過程!$B$72,ROUND(G246*計算過程!$B$33/計算過程!$B$6,0),ROUNDDOWN(G246*計算過程!$B$33/計算過程!$B$6,0),ROUNDUP(G246*計算過程!$B$33/計算過程!$B$6,0)))</f>
        <v/>
      </c>
    </row>
    <row r="248" spans="1:17">
      <c r="A248" s="106" t="str">
        <f>IF(OR(計算過程!$B$98="",ROWS($A$8:A248)&gt;計算過程!$B$71),"",ROWS($A$8:A248))</f>
        <v/>
      </c>
      <c r="B248" s="108" t="str">
        <f>IF(A248="","",EDATE(計算過程!$B$98,A248-1))</f>
        <v/>
      </c>
      <c r="C248" s="107" t="str">
        <f>IF(A248="","",IF(A248=計算過程!$B$71,D248+F247+G247,計算過程!$B$78))</f>
        <v/>
      </c>
      <c r="D248" s="107" t="str">
        <f>IF(A248="","",P248+Q248)</f>
        <v/>
      </c>
      <c r="E248" s="107" t="str">
        <f>IF(A248="","",C248-D248)</f>
        <v/>
      </c>
      <c r="F248" s="107" t="str">
        <f>IF(A248="","",IF(A248=計算過程!$B$71,0,MAX(0,F247-(計算過程!$B$76-P248))))</f>
        <v/>
      </c>
      <c r="G248" s="107" t="str">
        <f>IF(A248="","",IF(A248=計算過程!$B$71,0,MAX(0,G247-(計算過程!$B$77-Q248))))</f>
        <v/>
      </c>
      <c r="H248" s="107" t="str">
        <f>IF(A248="","",F248+G248)</f>
        <v/>
      </c>
      <c r="I248" s="106" t="str">
        <f>IF(A248="","",IF(AND(OR(MONTH(B248)=6,MONTH(B248)=12),I247&lt;計算過程!$B$69),I247+1,I247))</f>
        <v/>
      </c>
      <c r="J248" s="107" t="str">
        <f>IF(A248="","",IF(I248&gt;I247,IF(I248=計算過程!$B$69,M247+K248,計算過程!$B$81),0))</f>
        <v/>
      </c>
      <c r="K248" s="107" t="str">
        <f>IF(A248="","",IF(I248&gt;I247,CHOOSE(計算過程!$B$72,ROUND(M247*計算過程!$B$79,0),ROUNDDOWN(M247*計算過程!$B$79,0),ROUNDUP(M247*計算過程!$B$79,0)),0))</f>
        <v/>
      </c>
      <c r="L248" s="107" t="str">
        <f>IF(A248="","",J248-K248)</f>
        <v/>
      </c>
      <c r="M248" s="107" t="str">
        <f>IF(A248="","",IF(I248&gt;I247,M247-L248,M247))</f>
        <v/>
      </c>
      <c r="N248" s="107" t="str">
        <f>IF(A248="","",C248+J248)</f>
        <v/>
      </c>
      <c r="O248" s="107" t="str">
        <f>IF(A248="","",H248+M248)</f>
        <v/>
      </c>
      <c r="P248" s="107" t="str">
        <f>IF(A248="","",CHOOSE(計算過程!$B$72,ROUND(F247*計算過程!$B$32/計算過程!$B$6,0),ROUNDDOWN(F247*計算過程!$B$32/計算過程!$B$6,0),ROUNDUP(F247*計算過程!$B$32/計算過程!$B$6,0)))</f>
        <v/>
      </c>
      <c r="Q248" s="107" t="str">
        <f>IF(A248="","",CHOOSE(計算過程!$B$72,ROUND(G247*計算過程!$B$33/計算過程!$B$6,0),ROUNDDOWN(G247*計算過程!$B$33/計算過程!$B$6,0),ROUNDUP(G247*計算過程!$B$33/計算過程!$B$6,0)))</f>
        <v/>
      </c>
    </row>
    <row r="249" spans="1:17">
      <c r="A249" s="106" t="str">
        <f>IF(OR(計算過程!$B$98="",ROWS($A$8:A249)&gt;計算過程!$B$71),"",ROWS($A$8:A249))</f>
        <v/>
      </c>
      <c r="B249" s="108" t="str">
        <f>IF(A249="","",EDATE(計算過程!$B$98,A249-1))</f>
        <v/>
      </c>
      <c r="C249" s="107" t="str">
        <f>IF(A249="","",IF(A249=計算過程!$B$71,D249+F248+G248,計算過程!$B$78))</f>
        <v/>
      </c>
      <c r="D249" s="107" t="str">
        <f>IF(A249="","",P249+Q249)</f>
        <v/>
      </c>
      <c r="E249" s="107" t="str">
        <f>IF(A249="","",C249-D249)</f>
        <v/>
      </c>
      <c r="F249" s="107" t="str">
        <f>IF(A249="","",IF(A249=計算過程!$B$71,0,MAX(0,F248-(計算過程!$B$76-P249))))</f>
        <v/>
      </c>
      <c r="G249" s="107" t="str">
        <f>IF(A249="","",IF(A249=計算過程!$B$71,0,MAX(0,G248-(計算過程!$B$77-Q249))))</f>
        <v/>
      </c>
      <c r="H249" s="107" t="str">
        <f>IF(A249="","",F249+G249)</f>
        <v/>
      </c>
      <c r="I249" s="106" t="str">
        <f>IF(A249="","",IF(AND(OR(MONTH(B249)=6,MONTH(B249)=12),I248&lt;計算過程!$B$69),I248+1,I248))</f>
        <v/>
      </c>
      <c r="J249" s="107" t="str">
        <f>IF(A249="","",IF(I249&gt;I248,IF(I249=計算過程!$B$69,M248+K249,計算過程!$B$81),0))</f>
        <v/>
      </c>
      <c r="K249" s="107" t="str">
        <f>IF(A249="","",IF(I249&gt;I248,CHOOSE(計算過程!$B$72,ROUND(M248*計算過程!$B$79,0),ROUNDDOWN(M248*計算過程!$B$79,0),ROUNDUP(M248*計算過程!$B$79,0)),0))</f>
        <v/>
      </c>
      <c r="L249" s="107" t="str">
        <f>IF(A249="","",J249-K249)</f>
        <v/>
      </c>
      <c r="M249" s="107" t="str">
        <f>IF(A249="","",IF(I249&gt;I248,M248-L249,M248))</f>
        <v/>
      </c>
      <c r="N249" s="107" t="str">
        <f>IF(A249="","",C249+J249)</f>
        <v/>
      </c>
      <c r="O249" s="107" t="str">
        <f>IF(A249="","",H249+M249)</f>
        <v/>
      </c>
      <c r="P249" s="107" t="str">
        <f>IF(A249="","",CHOOSE(計算過程!$B$72,ROUND(F248*計算過程!$B$32/計算過程!$B$6,0),ROUNDDOWN(F248*計算過程!$B$32/計算過程!$B$6,0),ROUNDUP(F248*計算過程!$B$32/計算過程!$B$6,0)))</f>
        <v/>
      </c>
      <c r="Q249" s="107" t="str">
        <f>IF(A249="","",CHOOSE(計算過程!$B$72,ROUND(G248*計算過程!$B$33/計算過程!$B$6,0),ROUNDDOWN(G248*計算過程!$B$33/計算過程!$B$6,0),ROUNDUP(G248*計算過程!$B$33/計算過程!$B$6,0)))</f>
        <v/>
      </c>
    </row>
    <row r="250" spans="1:17">
      <c r="A250" s="106" t="str">
        <f>IF(OR(計算過程!$B$98="",ROWS($A$8:A250)&gt;計算過程!$B$71),"",ROWS($A$8:A250))</f>
        <v/>
      </c>
      <c r="B250" s="108" t="str">
        <f>IF(A250="","",EDATE(計算過程!$B$98,A250-1))</f>
        <v/>
      </c>
      <c r="C250" s="107" t="str">
        <f>IF(A250="","",IF(A250=計算過程!$B$71,D250+F249+G249,計算過程!$B$78))</f>
        <v/>
      </c>
      <c r="D250" s="107" t="str">
        <f>IF(A250="","",P250+Q250)</f>
        <v/>
      </c>
      <c r="E250" s="107" t="str">
        <f>IF(A250="","",C250-D250)</f>
        <v/>
      </c>
      <c r="F250" s="107" t="str">
        <f>IF(A250="","",IF(A250=計算過程!$B$71,0,MAX(0,F249-(計算過程!$B$76-P250))))</f>
        <v/>
      </c>
      <c r="G250" s="107" t="str">
        <f>IF(A250="","",IF(A250=計算過程!$B$71,0,MAX(0,G249-(計算過程!$B$77-Q250))))</f>
        <v/>
      </c>
      <c r="H250" s="107" t="str">
        <f>IF(A250="","",F250+G250)</f>
        <v/>
      </c>
      <c r="I250" s="106" t="str">
        <f>IF(A250="","",IF(AND(OR(MONTH(B250)=6,MONTH(B250)=12),I249&lt;計算過程!$B$69),I249+1,I249))</f>
        <v/>
      </c>
      <c r="J250" s="107" t="str">
        <f>IF(A250="","",IF(I250&gt;I249,IF(I250=計算過程!$B$69,M249+K250,計算過程!$B$81),0))</f>
        <v/>
      </c>
      <c r="K250" s="107" t="str">
        <f>IF(A250="","",IF(I250&gt;I249,CHOOSE(計算過程!$B$72,ROUND(M249*計算過程!$B$79,0),ROUNDDOWN(M249*計算過程!$B$79,0),ROUNDUP(M249*計算過程!$B$79,0)),0))</f>
        <v/>
      </c>
      <c r="L250" s="107" t="str">
        <f>IF(A250="","",J250-K250)</f>
        <v/>
      </c>
      <c r="M250" s="107" t="str">
        <f>IF(A250="","",IF(I250&gt;I249,M249-L250,M249))</f>
        <v/>
      </c>
      <c r="N250" s="107" t="str">
        <f>IF(A250="","",C250+J250)</f>
        <v/>
      </c>
      <c r="O250" s="107" t="str">
        <f>IF(A250="","",H250+M250)</f>
        <v/>
      </c>
      <c r="P250" s="107" t="str">
        <f>IF(A250="","",CHOOSE(計算過程!$B$72,ROUND(F249*計算過程!$B$32/計算過程!$B$6,0),ROUNDDOWN(F249*計算過程!$B$32/計算過程!$B$6,0),ROUNDUP(F249*計算過程!$B$32/計算過程!$B$6,0)))</f>
        <v/>
      </c>
      <c r="Q250" s="107" t="str">
        <f>IF(A250="","",CHOOSE(計算過程!$B$72,ROUND(G249*計算過程!$B$33/計算過程!$B$6,0),ROUNDDOWN(G249*計算過程!$B$33/計算過程!$B$6,0),ROUNDUP(G249*計算過程!$B$33/計算過程!$B$6,0)))</f>
        <v/>
      </c>
    </row>
    <row r="251" spans="1:17">
      <c r="A251" s="106" t="str">
        <f>IF(OR(計算過程!$B$98="",ROWS($A$8:A251)&gt;計算過程!$B$71),"",ROWS($A$8:A251))</f>
        <v/>
      </c>
      <c r="B251" s="108" t="str">
        <f>IF(A251="","",EDATE(計算過程!$B$98,A251-1))</f>
        <v/>
      </c>
      <c r="C251" s="107" t="str">
        <f>IF(A251="","",IF(A251=計算過程!$B$71,D251+F250+G250,計算過程!$B$78))</f>
        <v/>
      </c>
      <c r="D251" s="107" t="str">
        <f>IF(A251="","",P251+Q251)</f>
        <v/>
      </c>
      <c r="E251" s="107" t="str">
        <f>IF(A251="","",C251-D251)</f>
        <v/>
      </c>
      <c r="F251" s="107" t="str">
        <f>IF(A251="","",IF(A251=計算過程!$B$71,0,MAX(0,F250-(計算過程!$B$76-P251))))</f>
        <v/>
      </c>
      <c r="G251" s="107" t="str">
        <f>IF(A251="","",IF(A251=計算過程!$B$71,0,MAX(0,G250-(計算過程!$B$77-Q251))))</f>
        <v/>
      </c>
      <c r="H251" s="107" t="str">
        <f>IF(A251="","",F251+G251)</f>
        <v/>
      </c>
      <c r="I251" s="106" t="str">
        <f>IF(A251="","",IF(AND(OR(MONTH(B251)=6,MONTH(B251)=12),I250&lt;計算過程!$B$69),I250+1,I250))</f>
        <v/>
      </c>
      <c r="J251" s="107" t="str">
        <f>IF(A251="","",IF(I251&gt;I250,IF(I251=計算過程!$B$69,M250+K251,計算過程!$B$81),0))</f>
        <v/>
      </c>
      <c r="K251" s="107" t="str">
        <f>IF(A251="","",IF(I251&gt;I250,CHOOSE(計算過程!$B$72,ROUND(M250*計算過程!$B$79,0),ROUNDDOWN(M250*計算過程!$B$79,0),ROUNDUP(M250*計算過程!$B$79,0)),0))</f>
        <v/>
      </c>
      <c r="L251" s="107" t="str">
        <f>IF(A251="","",J251-K251)</f>
        <v/>
      </c>
      <c r="M251" s="107" t="str">
        <f>IF(A251="","",IF(I251&gt;I250,M250-L251,M250))</f>
        <v/>
      </c>
      <c r="N251" s="107" t="str">
        <f>IF(A251="","",C251+J251)</f>
        <v/>
      </c>
      <c r="O251" s="107" t="str">
        <f>IF(A251="","",H251+M251)</f>
        <v/>
      </c>
      <c r="P251" s="107" t="str">
        <f>IF(A251="","",CHOOSE(計算過程!$B$72,ROUND(F250*計算過程!$B$32/計算過程!$B$6,0),ROUNDDOWN(F250*計算過程!$B$32/計算過程!$B$6,0),ROUNDUP(F250*計算過程!$B$32/計算過程!$B$6,0)))</f>
        <v/>
      </c>
      <c r="Q251" s="107" t="str">
        <f>IF(A251="","",CHOOSE(計算過程!$B$72,ROUND(G250*計算過程!$B$33/計算過程!$B$6,0),ROUNDDOWN(G250*計算過程!$B$33/計算過程!$B$6,0),ROUNDUP(G250*計算過程!$B$33/計算過程!$B$6,0)))</f>
        <v/>
      </c>
    </row>
    <row r="252" spans="1:17">
      <c r="A252" s="106" t="str">
        <f>IF(OR(計算過程!$B$98="",ROWS($A$8:A252)&gt;計算過程!$B$71),"",ROWS($A$8:A252))</f>
        <v/>
      </c>
      <c r="B252" s="108" t="str">
        <f>IF(A252="","",EDATE(計算過程!$B$98,A252-1))</f>
        <v/>
      </c>
      <c r="C252" s="107" t="str">
        <f>IF(A252="","",IF(A252=計算過程!$B$71,D252+F251+G251,計算過程!$B$78))</f>
        <v/>
      </c>
      <c r="D252" s="107" t="str">
        <f>IF(A252="","",P252+Q252)</f>
        <v/>
      </c>
      <c r="E252" s="107" t="str">
        <f>IF(A252="","",C252-D252)</f>
        <v/>
      </c>
      <c r="F252" s="107" t="str">
        <f>IF(A252="","",IF(A252=計算過程!$B$71,0,MAX(0,F251-(計算過程!$B$76-P252))))</f>
        <v/>
      </c>
      <c r="G252" s="107" t="str">
        <f>IF(A252="","",IF(A252=計算過程!$B$71,0,MAX(0,G251-(計算過程!$B$77-Q252))))</f>
        <v/>
      </c>
      <c r="H252" s="107" t="str">
        <f>IF(A252="","",F252+G252)</f>
        <v/>
      </c>
      <c r="I252" s="106" t="str">
        <f>IF(A252="","",IF(AND(OR(MONTH(B252)=6,MONTH(B252)=12),I251&lt;計算過程!$B$69),I251+1,I251))</f>
        <v/>
      </c>
      <c r="J252" s="107" t="str">
        <f>IF(A252="","",IF(I252&gt;I251,IF(I252=計算過程!$B$69,M251+K252,計算過程!$B$81),0))</f>
        <v/>
      </c>
      <c r="K252" s="107" t="str">
        <f>IF(A252="","",IF(I252&gt;I251,CHOOSE(計算過程!$B$72,ROUND(M251*計算過程!$B$79,0),ROUNDDOWN(M251*計算過程!$B$79,0),ROUNDUP(M251*計算過程!$B$79,0)),0))</f>
        <v/>
      </c>
      <c r="L252" s="107" t="str">
        <f>IF(A252="","",J252-K252)</f>
        <v/>
      </c>
      <c r="M252" s="107" t="str">
        <f>IF(A252="","",IF(I252&gt;I251,M251-L252,M251))</f>
        <v/>
      </c>
      <c r="N252" s="107" t="str">
        <f>IF(A252="","",C252+J252)</f>
        <v/>
      </c>
      <c r="O252" s="107" t="str">
        <f>IF(A252="","",H252+M252)</f>
        <v/>
      </c>
      <c r="P252" s="107" t="str">
        <f>IF(A252="","",CHOOSE(計算過程!$B$72,ROUND(F251*計算過程!$B$32/計算過程!$B$6,0),ROUNDDOWN(F251*計算過程!$B$32/計算過程!$B$6,0),ROUNDUP(F251*計算過程!$B$32/計算過程!$B$6,0)))</f>
        <v/>
      </c>
      <c r="Q252" s="107" t="str">
        <f>IF(A252="","",CHOOSE(計算過程!$B$72,ROUND(G251*計算過程!$B$33/計算過程!$B$6,0),ROUNDDOWN(G251*計算過程!$B$33/計算過程!$B$6,0),ROUNDUP(G251*計算過程!$B$33/計算過程!$B$6,0)))</f>
        <v/>
      </c>
    </row>
    <row r="253" spans="1:17">
      <c r="A253" s="106" t="str">
        <f>IF(OR(計算過程!$B$98="",ROWS($A$8:A253)&gt;計算過程!$B$71),"",ROWS($A$8:A253))</f>
        <v/>
      </c>
      <c r="B253" s="108" t="str">
        <f>IF(A253="","",EDATE(計算過程!$B$98,A253-1))</f>
        <v/>
      </c>
      <c r="C253" s="107" t="str">
        <f>IF(A253="","",IF(A253=計算過程!$B$71,D253+F252+G252,計算過程!$B$78))</f>
        <v/>
      </c>
      <c r="D253" s="107" t="str">
        <f>IF(A253="","",P253+Q253)</f>
        <v/>
      </c>
      <c r="E253" s="107" t="str">
        <f>IF(A253="","",C253-D253)</f>
        <v/>
      </c>
      <c r="F253" s="107" t="str">
        <f>IF(A253="","",IF(A253=計算過程!$B$71,0,MAX(0,F252-(計算過程!$B$76-P253))))</f>
        <v/>
      </c>
      <c r="G253" s="107" t="str">
        <f>IF(A253="","",IF(A253=計算過程!$B$71,0,MAX(0,G252-(計算過程!$B$77-Q253))))</f>
        <v/>
      </c>
      <c r="H253" s="107" t="str">
        <f>IF(A253="","",F253+G253)</f>
        <v/>
      </c>
      <c r="I253" s="106" t="str">
        <f>IF(A253="","",IF(AND(OR(MONTH(B253)=6,MONTH(B253)=12),I252&lt;計算過程!$B$69),I252+1,I252))</f>
        <v/>
      </c>
      <c r="J253" s="107" t="str">
        <f>IF(A253="","",IF(I253&gt;I252,IF(I253=計算過程!$B$69,M252+K253,計算過程!$B$81),0))</f>
        <v/>
      </c>
      <c r="K253" s="107" t="str">
        <f>IF(A253="","",IF(I253&gt;I252,CHOOSE(計算過程!$B$72,ROUND(M252*計算過程!$B$79,0),ROUNDDOWN(M252*計算過程!$B$79,0),ROUNDUP(M252*計算過程!$B$79,0)),0))</f>
        <v/>
      </c>
      <c r="L253" s="107" t="str">
        <f>IF(A253="","",J253-K253)</f>
        <v/>
      </c>
      <c r="M253" s="107" t="str">
        <f>IF(A253="","",IF(I253&gt;I252,M252-L253,M252))</f>
        <v/>
      </c>
      <c r="N253" s="107" t="str">
        <f>IF(A253="","",C253+J253)</f>
        <v/>
      </c>
      <c r="O253" s="107" t="str">
        <f>IF(A253="","",H253+M253)</f>
        <v/>
      </c>
      <c r="P253" s="107" t="str">
        <f>IF(A253="","",CHOOSE(計算過程!$B$72,ROUND(F252*計算過程!$B$32/計算過程!$B$6,0),ROUNDDOWN(F252*計算過程!$B$32/計算過程!$B$6,0),ROUNDUP(F252*計算過程!$B$32/計算過程!$B$6,0)))</f>
        <v/>
      </c>
      <c r="Q253" s="107" t="str">
        <f>IF(A253="","",CHOOSE(計算過程!$B$72,ROUND(G252*計算過程!$B$33/計算過程!$B$6,0),ROUNDDOWN(G252*計算過程!$B$33/計算過程!$B$6,0),ROUNDUP(G252*計算過程!$B$33/計算過程!$B$6,0)))</f>
        <v/>
      </c>
    </row>
    <row r="254" spans="1:17">
      <c r="A254" s="106" t="str">
        <f>IF(OR(計算過程!$B$98="",ROWS($A$8:A254)&gt;計算過程!$B$71),"",ROWS($A$8:A254))</f>
        <v/>
      </c>
      <c r="B254" s="108" t="str">
        <f>IF(A254="","",EDATE(計算過程!$B$98,A254-1))</f>
        <v/>
      </c>
      <c r="C254" s="107" t="str">
        <f>IF(A254="","",IF(A254=計算過程!$B$71,D254+F253+G253,計算過程!$B$78))</f>
        <v/>
      </c>
      <c r="D254" s="107" t="str">
        <f>IF(A254="","",P254+Q254)</f>
        <v/>
      </c>
      <c r="E254" s="107" t="str">
        <f>IF(A254="","",C254-D254)</f>
        <v/>
      </c>
      <c r="F254" s="107" t="str">
        <f>IF(A254="","",IF(A254=計算過程!$B$71,0,MAX(0,F253-(計算過程!$B$76-P254))))</f>
        <v/>
      </c>
      <c r="G254" s="107" t="str">
        <f>IF(A254="","",IF(A254=計算過程!$B$71,0,MAX(0,G253-(計算過程!$B$77-Q254))))</f>
        <v/>
      </c>
      <c r="H254" s="107" t="str">
        <f>IF(A254="","",F254+G254)</f>
        <v/>
      </c>
      <c r="I254" s="106" t="str">
        <f>IF(A254="","",IF(AND(OR(MONTH(B254)=6,MONTH(B254)=12),I253&lt;計算過程!$B$69),I253+1,I253))</f>
        <v/>
      </c>
      <c r="J254" s="107" t="str">
        <f>IF(A254="","",IF(I254&gt;I253,IF(I254=計算過程!$B$69,M253+K254,計算過程!$B$81),0))</f>
        <v/>
      </c>
      <c r="K254" s="107" t="str">
        <f>IF(A254="","",IF(I254&gt;I253,CHOOSE(計算過程!$B$72,ROUND(M253*計算過程!$B$79,0),ROUNDDOWN(M253*計算過程!$B$79,0),ROUNDUP(M253*計算過程!$B$79,0)),0))</f>
        <v/>
      </c>
      <c r="L254" s="107" t="str">
        <f>IF(A254="","",J254-K254)</f>
        <v/>
      </c>
      <c r="M254" s="107" t="str">
        <f>IF(A254="","",IF(I254&gt;I253,M253-L254,M253))</f>
        <v/>
      </c>
      <c r="N254" s="107" t="str">
        <f>IF(A254="","",C254+J254)</f>
        <v/>
      </c>
      <c r="O254" s="107" t="str">
        <f>IF(A254="","",H254+M254)</f>
        <v/>
      </c>
      <c r="P254" s="107" t="str">
        <f>IF(A254="","",CHOOSE(計算過程!$B$72,ROUND(F253*計算過程!$B$32/計算過程!$B$6,0),ROUNDDOWN(F253*計算過程!$B$32/計算過程!$B$6,0),ROUNDUP(F253*計算過程!$B$32/計算過程!$B$6,0)))</f>
        <v/>
      </c>
      <c r="Q254" s="107" t="str">
        <f>IF(A254="","",CHOOSE(計算過程!$B$72,ROUND(G253*計算過程!$B$33/計算過程!$B$6,0),ROUNDDOWN(G253*計算過程!$B$33/計算過程!$B$6,0),ROUNDUP(G253*計算過程!$B$33/計算過程!$B$6,0)))</f>
        <v/>
      </c>
    </row>
    <row r="255" spans="1:17">
      <c r="A255" s="106" t="str">
        <f>IF(OR(計算過程!$B$98="",ROWS($A$8:A255)&gt;計算過程!$B$71),"",ROWS($A$8:A255))</f>
        <v/>
      </c>
      <c r="B255" s="108" t="str">
        <f>IF(A255="","",EDATE(計算過程!$B$98,A255-1))</f>
        <v/>
      </c>
      <c r="C255" s="107" t="str">
        <f>IF(A255="","",IF(A255=計算過程!$B$71,D255+F254+G254,計算過程!$B$78))</f>
        <v/>
      </c>
      <c r="D255" s="107" t="str">
        <f>IF(A255="","",P255+Q255)</f>
        <v/>
      </c>
      <c r="E255" s="107" t="str">
        <f>IF(A255="","",C255-D255)</f>
        <v/>
      </c>
      <c r="F255" s="107" t="str">
        <f>IF(A255="","",IF(A255=計算過程!$B$71,0,MAX(0,F254-(計算過程!$B$76-P255))))</f>
        <v/>
      </c>
      <c r="G255" s="107" t="str">
        <f>IF(A255="","",IF(A255=計算過程!$B$71,0,MAX(0,G254-(計算過程!$B$77-Q255))))</f>
        <v/>
      </c>
      <c r="H255" s="107" t="str">
        <f>IF(A255="","",F255+G255)</f>
        <v/>
      </c>
      <c r="I255" s="106" t="str">
        <f>IF(A255="","",IF(AND(OR(MONTH(B255)=6,MONTH(B255)=12),I254&lt;計算過程!$B$69),I254+1,I254))</f>
        <v/>
      </c>
      <c r="J255" s="107" t="str">
        <f>IF(A255="","",IF(I255&gt;I254,IF(I255=計算過程!$B$69,M254+K255,計算過程!$B$81),0))</f>
        <v/>
      </c>
      <c r="K255" s="107" t="str">
        <f>IF(A255="","",IF(I255&gt;I254,CHOOSE(計算過程!$B$72,ROUND(M254*計算過程!$B$79,0),ROUNDDOWN(M254*計算過程!$B$79,0),ROUNDUP(M254*計算過程!$B$79,0)),0))</f>
        <v/>
      </c>
      <c r="L255" s="107" t="str">
        <f>IF(A255="","",J255-K255)</f>
        <v/>
      </c>
      <c r="M255" s="107" t="str">
        <f>IF(A255="","",IF(I255&gt;I254,M254-L255,M254))</f>
        <v/>
      </c>
      <c r="N255" s="107" t="str">
        <f>IF(A255="","",C255+J255)</f>
        <v/>
      </c>
      <c r="O255" s="107" t="str">
        <f>IF(A255="","",H255+M255)</f>
        <v/>
      </c>
      <c r="P255" s="107" t="str">
        <f>IF(A255="","",CHOOSE(計算過程!$B$72,ROUND(F254*計算過程!$B$32/計算過程!$B$6,0),ROUNDDOWN(F254*計算過程!$B$32/計算過程!$B$6,0),ROUNDUP(F254*計算過程!$B$32/計算過程!$B$6,0)))</f>
        <v/>
      </c>
      <c r="Q255" s="107" t="str">
        <f>IF(A255="","",CHOOSE(計算過程!$B$72,ROUND(G254*計算過程!$B$33/計算過程!$B$6,0),ROUNDDOWN(G254*計算過程!$B$33/計算過程!$B$6,0),ROUNDUP(G254*計算過程!$B$33/計算過程!$B$6,0)))</f>
        <v/>
      </c>
    </row>
    <row r="256" spans="1:17">
      <c r="A256" s="106" t="str">
        <f>IF(OR(計算過程!$B$98="",ROWS($A$8:A256)&gt;計算過程!$B$71),"",ROWS($A$8:A256))</f>
        <v/>
      </c>
      <c r="B256" s="108" t="str">
        <f>IF(A256="","",EDATE(計算過程!$B$98,A256-1))</f>
        <v/>
      </c>
      <c r="C256" s="107" t="str">
        <f>IF(A256="","",IF(A256=計算過程!$B$71,D256+F255+G255,計算過程!$B$78))</f>
        <v/>
      </c>
      <c r="D256" s="107" t="str">
        <f>IF(A256="","",P256+Q256)</f>
        <v/>
      </c>
      <c r="E256" s="107" t="str">
        <f>IF(A256="","",C256-D256)</f>
        <v/>
      </c>
      <c r="F256" s="107" t="str">
        <f>IF(A256="","",IF(A256=計算過程!$B$71,0,MAX(0,F255-(計算過程!$B$76-P256))))</f>
        <v/>
      </c>
      <c r="G256" s="107" t="str">
        <f>IF(A256="","",IF(A256=計算過程!$B$71,0,MAX(0,G255-(計算過程!$B$77-Q256))))</f>
        <v/>
      </c>
      <c r="H256" s="107" t="str">
        <f>IF(A256="","",F256+G256)</f>
        <v/>
      </c>
      <c r="I256" s="106" t="str">
        <f>IF(A256="","",IF(AND(OR(MONTH(B256)=6,MONTH(B256)=12),I255&lt;計算過程!$B$69),I255+1,I255))</f>
        <v/>
      </c>
      <c r="J256" s="107" t="str">
        <f>IF(A256="","",IF(I256&gt;I255,IF(I256=計算過程!$B$69,M255+K256,計算過程!$B$81),0))</f>
        <v/>
      </c>
      <c r="K256" s="107" t="str">
        <f>IF(A256="","",IF(I256&gt;I255,CHOOSE(計算過程!$B$72,ROUND(M255*計算過程!$B$79,0),ROUNDDOWN(M255*計算過程!$B$79,0),ROUNDUP(M255*計算過程!$B$79,0)),0))</f>
        <v/>
      </c>
      <c r="L256" s="107" t="str">
        <f>IF(A256="","",J256-K256)</f>
        <v/>
      </c>
      <c r="M256" s="107" t="str">
        <f>IF(A256="","",IF(I256&gt;I255,M255-L256,M255))</f>
        <v/>
      </c>
      <c r="N256" s="107" t="str">
        <f>IF(A256="","",C256+J256)</f>
        <v/>
      </c>
      <c r="O256" s="107" t="str">
        <f>IF(A256="","",H256+M256)</f>
        <v/>
      </c>
      <c r="P256" s="107" t="str">
        <f>IF(A256="","",CHOOSE(計算過程!$B$72,ROUND(F255*計算過程!$B$32/計算過程!$B$6,0),ROUNDDOWN(F255*計算過程!$B$32/計算過程!$B$6,0),ROUNDUP(F255*計算過程!$B$32/計算過程!$B$6,0)))</f>
        <v/>
      </c>
      <c r="Q256" s="107" t="str">
        <f>IF(A256="","",CHOOSE(計算過程!$B$72,ROUND(G255*計算過程!$B$33/計算過程!$B$6,0),ROUNDDOWN(G255*計算過程!$B$33/計算過程!$B$6,0),ROUNDUP(G255*計算過程!$B$33/計算過程!$B$6,0)))</f>
        <v/>
      </c>
    </row>
    <row r="257" spans="1:17">
      <c r="A257" s="106" t="str">
        <f>IF(OR(計算過程!$B$98="",ROWS($A$8:A257)&gt;計算過程!$B$71),"",ROWS($A$8:A257))</f>
        <v/>
      </c>
      <c r="B257" s="108" t="str">
        <f>IF(A257="","",EDATE(計算過程!$B$98,A257-1))</f>
        <v/>
      </c>
      <c r="C257" s="107" t="str">
        <f>IF(A257="","",IF(A257=計算過程!$B$71,D257+F256+G256,計算過程!$B$78))</f>
        <v/>
      </c>
      <c r="D257" s="107" t="str">
        <f>IF(A257="","",P257+Q257)</f>
        <v/>
      </c>
      <c r="E257" s="107" t="str">
        <f>IF(A257="","",C257-D257)</f>
        <v/>
      </c>
      <c r="F257" s="107" t="str">
        <f>IF(A257="","",IF(A257=計算過程!$B$71,0,MAX(0,F256-(計算過程!$B$76-P257))))</f>
        <v/>
      </c>
      <c r="G257" s="107" t="str">
        <f>IF(A257="","",IF(A257=計算過程!$B$71,0,MAX(0,G256-(計算過程!$B$77-Q257))))</f>
        <v/>
      </c>
      <c r="H257" s="107" t="str">
        <f>IF(A257="","",F257+G257)</f>
        <v/>
      </c>
      <c r="I257" s="106" t="str">
        <f>IF(A257="","",IF(AND(OR(MONTH(B257)=6,MONTH(B257)=12),I256&lt;計算過程!$B$69),I256+1,I256))</f>
        <v/>
      </c>
      <c r="J257" s="107" t="str">
        <f>IF(A257="","",IF(I257&gt;I256,IF(I257=計算過程!$B$69,M256+K257,計算過程!$B$81),0))</f>
        <v/>
      </c>
      <c r="K257" s="107" t="str">
        <f>IF(A257="","",IF(I257&gt;I256,CHOOSE(計算過程!$B$72,ROUND(M256*計算過程!$B$79,0),ROUNDDOWN(M256*計算過程!$B$79,0),ROUNDUP(M256*計算過程!$B$79,0)),0))</f>
        <v/>
      </c>
      <c r="L257" s="107" t="str">
        <f>IF(A257="","",J257-K257)</f>
        <v/>
      </c>
      <c r="M257" s="107" t="str">
        <f>IF(A257="","",IF(I257&gt;I256,M256-L257,M256))</f>
        <v/>
      </c>
      <c r="N257" s="107" t="str">
        <f>IF(A257="","",C257+J257)</f>
        <v/>
      </c>
      <c r="O257" s="107" t="str">
        <f>IF(A257="","",H257+M257)</f>
        <v/>
      </c>
      <c r="P257" s="107" t="str">
        <f>IF(A257="","",CHOOSE(計算過程!$B$72,ROUND(F256*計算過程!$B$32/計算過程!$B$6,0),ROUNDDOWN(F256*計算過程!$B$32/計算過程!$B$6,0),ROUNDUP(F256*計算過程!$B$32/計算過程!$B$6,0)))</f>
        <v/>
      </c>
      <c r="Q257" s="107" t="str">
        <f>IF(A257="","",CHOOSE(計算過程!$B$72,ROUND(G256*計算過程!$B$33/計算過程!$B$6,0),ROUNDDOWN(G256*計算過程!$B$33/計算過程!$B$6,0),ROUNDUP(G256*計算過程!$B$33/計算過程!$B$6,0)))</f>
        <v/>
      </c>
    </row>
    <row r="258" spans="1:17">
      <c r="A258" s="106" t="str">
        <f>IF(OR(計算過程!$B$98="",ROWS($A$8:A258)&gt;計算過程!$B$71),"",ROWS($A$8:A258))</f>
        <v/>
      </c>
      <c r="B258" s="108" t="str">
        <f>IF(A258="","",EDATE(計算過程!$B$98,A258-1))</f>
        <v/>
      </c>
      <c r="C258" s="107" t="str">
        <f>IF(A258="","",IF(A258=計算過程!$B$71,D258+F257+G257,計算過程!$B$78))</f>
        <v/>
      </c>
      <c r="D258" s="107" t="str">
        <f>IF(A258="","",P258+Q258)</f>
        <v/>
      </c>
      <c r="E258" s="107" t="str">
        <f>IF(A258="","",C258-D258)</f>
        <v/>
      </c>
      <c r="F258" s="107" t="str">
        <f>IF(A258="","",IF(A258=計算過程!$B$71,0,MAX(0,F257-(計算過程!$B$76-P258))))</f>
        <v/>
      </c>
      <c r="G258" s="107" t="str">
        <f>IF(A258="","",IF(A258=計算過程!$B$71,0,MAX(0,G257-(計算過程!$B$77-Q258))))</f>
        <v/>
      </c>
      <c r="H258" s="107" t="str">
        <f>IF(A258="","",F258+G258)</f>
        <v/>
      </c>
      <c r="I258" s="106" t="str">
        <f>IF(A258="","",IF(AND(OR(MONTH(B258)=6,MONTH(B258)=12),I257&lt;計算過程!$B$69),I257+1,I257))</f>
        <v/>
      </c>
      <c r="J258" s="107" t="str">
        <f>IF(A258="","",IF(I258&gt;I257,IF(I258=計算過程!$B$69,M257+K258,計算過程!$B$81),0))</f>
        <v/>
      </c>
      <c r="K258" s="107" t="str">
        <f>IF(A258="","",IF(I258&gt;I257,CHOOSE(計算過程!$B$72,ROUND(M257*計算過程!$B$79,0),ROUNDDOWN(M257*計算過程!$B$79,0),ROUNDUP(M257*計算過程!$B$79,0)),0))</f>
        <v/>
      </c>
      <c r="L258" s="107" t="str">
        <f>IF(A258="","",J258-K258)</f>
        <v/>
      </c>
      <c r="M258" s="107" t="str">
        <f>IF(A258="","",IF(I258&gt;I257,M257-L258,M257))</f>
        <v/>
      </c>
      <c r="N258" s="107" t="str">
        <f>IF(A258="","",C258+J258)</f>
        <v/>
      </c>
      <c r="O258" s="107" t="str">
        <f>IF(A258="","",H258+M258)</f>
        <v/>
      </c>
      <c r="P258" s="107" t="str">
        <f>IF(A258="","",CHOOSE(計算過程!$B$72,ROUND(F257*計算過程!$B$32/計算過程!$B$6,0),ROUNDDOWN(F257*計算過程!$B$32/計算過程!$B$6,0),ROUNDUP(F257*計算過程!$B$32/計算過程!$B$6,0)))</f>
        <v/>
      </c>
      <c r="Q258" s="107" t="str">
        <f>IF(A258="","",CHOOSE(計算過程!$B$72,ROUND(G257*計算過程!$B$33/計算過程!$B$6,0),ROUNDDOWN(G257*計算過程!$B$33/計算過程!$B$6,0),ROUNDUP(G257*計算過程!$B$33/計算過程!$B$6,0)))</f>
        <v/>
      </c>
    </row>
    <row r="259" spans="1:17">
      <c r="A259" s="106" t="str">
        <f>IF(OR(計算過程!$B$98="",ROWS($A$8:A259)&gt;計算過程!$B$71),"",ROWS($A$8:A259))</f>
        <v/>
      </c>
      <c r="B259" s="108" t="str">
        <f>IF(A259="","",EDATE(計算過程!$B$98,A259-1))</f>
        <v/>
      </c>
      <c r="C259" s="107" t="str">
        <f>IF(A259="","",IF(A259=計算過程!$B$71,D259+F258+G258,計算過程!$B$78))</f>
        <v/>
      </c>
      <c r="D259" s="107" t="str">
        <f>IF(A259="","",P259+Q259)</f>
        <v/>
      </c>
      <c r="E259" s="107" t="str">
        <f>IF(A259="","",C259-D259)</f>
        <v/>
      </c>
      <c r="F259" s="107" t="str">
        <f>IF(A259="","",IF(A259=計算過程!$B$71,0,MAX(0,F258-(計算過程!$B$76-P259))))</f>
        <v/>
      </c>
      <c r="G259" s="107" t="str">
        <f>IF(A259="","",IF(A259=計算過程!$B$71,0,MAX(0,G258-(計算過程!$B$77-Q259))))</f>
        <v/>
      </c>
      <c r="H259" s="107" t="str">
        <f>IF(A259="","",F259+G259)</f>
        <v/>
      </c>
      <c r="I259" s="106" t="str">
        <f>IF(A259="","",IF(AND(OR(MONTH(B259)=6,MONTH(B259)=12),I258&lt;計算過程!$B$69),I258+1,I258))</f>
        <v/>
      </c>
      <c r="J259" s="107" t="str">
        <f>IF(A259="","",IF(I259&gt;I258,IF(I259=計算過程!$B$69,M258+K259,計算過程!$B$81),0))</f>
        <v/>
      </c>
      <c r="K259" s="107" t="str">
        <f>IF(A259="","",IF(I259&gt;I258,CHOOSE(計算過程!$B$72,ROUND(M258*計算過程!$B$79,0),ROUNDDOWN(M258*計算過程!$B$79,0),ROUNDUP(M258*計算過程!$B$79,0)),0))</f>
        <v/>
      </c>
      <c r="L259" s="107" t="str">
        <f>IF(A259="","",J259-K259)</f>
        <v/>
      </c>
      <c r="M259" s="107" t="str">
        <f>IF(A259="","",IF(I259&gt;I258,M258-L259,M258))</f>
        <v/>
      </c>
      <c r="N259" s="107" t="str">
        <f>IF(A259="","",C259+J259)</f>
        <v/>
      </c>
      <c r="O259" s="107" t="str">
        <f>IF(A259="","",H259+M259)</f>
        <v/>
      </c>
      <c r="P259" s="107" t="str">
        <f>IF(A259="","",CHOOSE(計算過程!$B$72,ROUND(F258*計算過程!$B$32/計算過程!$B$6,0),ROUNDDOWN(F258*計算過程!$B$32/計算過程!$B$6,0),ROUNDUP(F258*計算過程!$B$32/計算過程!$B$6,0)))</f>
        <v/>
      </c>
      <c r="Q259" s="107" t="str">
        <f>IF(A259="","",CHOOSE(計算過程!$B$72,ROUND(G258*計算過程!$B$33/計算過程!$B$6,0),ROUNDDOWN(G258*計算過程!$B$33/計算過程!$B$6,0),ROUNDUP(G258*計算過程!$B$33/計算過程!$B$6,0)))</f>
        <v/>
      </c>
    </row>
    <row r="260" spans="1:17">
      <c r="A260" s="106" t="str">
        <f>IF(OR(計算過程!$B$98="",ROWS($A$8:A260)&gt;計算過程!$B$71),"",ROWS($A$8:A260))</f>
        <v/>
      </c>
      <c r="B260" s="108" t="str">
        <f>IF(A260="","",EDATE(計算過程!$B$98,A260-1))</f>
        <v/>
      </c>
      <c r="C260" s="107" t="str">
        <f>IF(A260="","",IF(A260=計算過程!$B$71,D260+F259+G259,計算過程!$B$78))</f>
        <v/>
      </c>
      <c r="D260" s="107" t="str">
        <f>IF(A260="","",P260+Q260)</f>
        <v/>
      </c>
      <c r="E260" s="107" t="str">
        <f>IF(A260="","",C260-D260)</f>
        <v/>
      </c>
      <c r="F260" s="107" t="str">
        <f>IF(A260="","",IF(A260=計算過程!$B$71,0,MAX(0,F259-(計算過程!$B$76-P260))))</f>
        <v/>
      </c>
      <c r="G260" s="107" t="str">
        <f>IF(A260="","",IF(A260=計算過程!$B$71,0,MAX(0,G259-(計算過程!$B$77-Q260))))</f>
        <v/>
      </c>
      <c r="H260" s="107" t="str">
        <f>IF(A260="","",F260+G260)</f>
        <v/>
      </c>
      <c r="I260" s="106" t="str">
        <f>IF(A260="","",IF(AND(OR(MONTH(B260)=6,MONTH(B260)=12),I259&lt;計算過程!$B$69),I259+1,I259))</f>
        <v/>
      </c>
      <c r="J260" s="107" t="str">
        <f>IF(A260="","",IF(I260&gt;I259,IF(I260=計算過程!$B$69,M259+K260,計算過程!$B$81),0))</f>
        <v/>
      </c>
      <c r="K260" s="107" t="str">
        <f>IF(A260="","",IF(I260&gt;I259,CHOOSE(計算過程!$B$72,ROUND(M259*計算過程!$B$79,0),ROUNDDOWN(M259*計算過程!$B$79,0),ROUNDUP(M259*計算過程!$B$79,0)),0))</f>
        <v/>
      </c>
      <c r="L260" s="107" t="str">
        <f>IF(A260="","",J260-K260)</f>
        <v/>
      </c>
      <c r="M260" s="107" t="str">
        <f>IF(A260="","",IF(I260&gt;I259,M259-L260,M259))</f>
        <v/>
      </c>
      <c r="N260" s="107" t="str">
        <f>IF(A260="","",C260+J260)</f>
        <v/>
      </c>
      <c r="O260" s="107" t="str">
        <f>IF(A260="","",H260+M260)</f>
        <v/>
      </c>
      <c r="P260" s="107" t="str">
        <f>IF(A260="","",CHOOSE(計算過程!$B$72,ROUND(F259*計算過程!$B$32/計算過程!$B$6,0),ROUNDDOWN(F259*計算過程!$B$32/計算過程!$B$6,0),ROUNDUP(F259*計算過程!$B$32/計算過程!$B$6,0)))</f>
        <v/>
      </c>
      <c r="Q260" s="107" t="str">
        <f>IF(A260="","",CHOOSE(計算過程!$B$72,ROUND(G259*計算過程!$B$33/計算過程!$B$6,0),ROUNDDOWN(G259*計算過程!$B$33/計算過程!$B$6,0),ROUNDUP(G259*計算過程!$B$33/計算過程!$B$6,0)))</f>
        <v/>
      </c>
    </row>
    <row r="261" spans="1:17">
      <c r="A261" s="106" t="str">
        <f>IF(OR(計算過程!$B$98="",ROWS($A$8:A261)&gt;計算過程!$B$71),"",ROWS($A$8:A261))</f>
        <v/>
      </c>
      <c r="B261" s="108" t="str">
        <f>IF(A261="","",EDATE(計算過程!$B$98,A261-1))</f>
        <v/>
      </c>
      <c r="C261" s="107" t="str">
        <f>IF(A261="","",IF(A261=計算過程!$B$71,D261+F260+G260,計算過程!$B$78))</f>
        <v/>
      </c>
      <c r="D261" s="107" t="str">
        <f>IF(A261="","",P261+Q261)</f>
        <v/>
      </c>
      <c r="E261" s="107" t="str">
        <f>IF(A261="","",C261-D261)</f>
        <v/>
      </c>
      <c r="F261" s="107" t="str">
        <f>IF(A261="","",IF(A261=計算過程!$B$71,0,MAX(0,F260-(計算過程!$B$76-P261))))</f>
        <v/>
      </c>
      <c r="G261" s="107" t="str">
        <f>IF(A261="","",IF(A261=計算過程!$B$71,0,MAX(0,G260-(計算過程!$B$77-Q261))))</f>
        <v/>
      </c>
      <c r="H261" s="107" t="str">
        <f>IF(A261="","",F261+G261)</f>
        <v/>
      </c>
      <c r="I261" s="106" t="str">
        <f>IF(A261="","",IF(AND(OR(MONTH(B261)=6,MONTH(B261)=12),I260&lt;計算過程!$B$69),I260+1,I260))</f>
        <v/>
      </c>
      <c r="J261" s="107" t="str">
        <f>IF(A261="","",IF(I261&gt;I260,IF(I261=計算過程!$B$69,M260+K261,計算過程!$B$81),0))</f>
        <v/>
      </c>
      <c r="K261" s="107" t="str">
        <f>IF(A261="","",IF(I261&gt;I260,CHOOSE(計算過程!$B$72,ROUND(M260*計算過程!$B$79,0),ROUNDDOWN(M260*計算過程!$B$79,0),ROUNDUP(M260*計算過程!$B$79,0)),0))</f>
        <v/>
      </c>
      <c r="L261" s="107" t="str">
        <f>IF(A261="","",J261-K261)</f>
        <v/>
      </c>
      <c r="M261" s="107" t="str">
        <f>IF(A261="","",IF(I261&gt;I260,M260-L261,M260))</f>
        <v/>
      </c>
      <c r="N261" s="107" t="str">
        <f>IF(A261="","",C261+J261)</f>
        <v/>
      </c>
      <c r="O261" s="107" t="str">
        <f>IF(A261="","",H261+M261)</f>
        <v/>
      </c>
      <c r="P261" s="107" t="str">
        <f>IF(A261="","",CHOOSE(計算過程!$B$72,ROUND(F260*計算過程!$B$32/計算過程!$B$6,0),ROUNDDOWN(F260*計算過程!$B$32/計算過程!$B$6,0),ROUNDUP(F260*計算過程!$B$32/計算過程!$B$6,0)))</f>
        <v/>
      </c>
      <c r="Q261" s="107" t="str">
        <f>IF(A261="","",CHOOSE(計算過程!$B$72,ROUND(G260*計算過程!$B$33/計算過程!$B$6,0),ROUNDDOWN(G260*計算過程!$B$33/計算過程!$B$6,0),ROUNDUP(G260*計算過程!$B$33/計算過程!$B$6,0)))</f>
        <v/>
      </c>
    </row>
    <row r="262" spans="1:17">
      <c r="A262" s="106" t="str">
        <f>IF(OR(計算過程!$B$98="",ROWS($A$8:A262)&gt;計算過程!$B$71),"",ROWS($A$8:A262))</f>
        <v/>
      </c>
      <c r="B262" s="108" t="str">
        <f>IF(A262="","",EDATE(計算過程!$B$98,A262-1))</f>
        <v/>
      </c>
      <c r="C262" s="107" t="str">
        <f>IF(A262="","",IF(A262=計算過程!$B$71,D262+F261+G261,計算過程!$B$78))</f>
        <v/>
      </c>
      <c r="D262" s="107" t="str">
        <f>IF(A262="","",P262+Q262)</f>
        <v/>
      </c>
      <c r="E262" s="107" t="str">
        <f>IF(A262="","",C262-D262)</f>
        <v/>
      </c>
      <c r="F262" s="107" t="str">
        <f>IF(A262="","",IF(A262=計算過程!$B$71,0,MAX(0,F261-(計算過程!$B$76-P262))))</f>
        <v/>
      </c>
      <c r="G262" s="107" t="str">
        <f>IF(A262="","",IF(A262=計算過程!$B$71,0,MAX(0,G261-(計算過程!$B$77-Q262))))</f>
        <v/>
      </c>
      <c r="H262" s="107" t="str">
        <f>IF(A262="","",F262+G262)</f>
        <v/>
      </c>
      <c r="I262" s="106" t="str">
        <f>IF(A262="","",IF(AND(OR(MONTH(B262)=6,MONTH(B262)=12),I261&lt;計算過程!$B$69),I261+1,I261))</f>
        <v/>
      </c>
      <c r="J262" s="107" t="str">
        <f>IF(A262="","",IF(I262&gt;I261,IF(I262=計算過程!$B$69,M261+K262,計算過程!$B$81),0))</f>
        <v/>
      </c>
      <c r="K262" s="107" t="str">
        <f>IF(A262="","",IF(I262&gt;I261,CHOOSE(計算過程!$B$72,ROUND(M261*計算過程!$B$79,0),ROUNDDOWN(M261*計算過程!$B$79,0),ROUNDUP(M261*計算過程!$B$79,0)),0))</f>
        <v/>
      </c>
      <c r="L262" s="107" t="str">
        <f>IF(A262="","",J262-K262)</f>
        <v/>
      </c>
      <c r="M262" s="107" t="str">
        <f>IF(A262="","",IF(I262&gt;I261,M261-L262,M261))</f>
        <v/>
      </c>
      <c r="N262" s="107" t="str">
        <f>IF(A262="","",C262+J262)</f>
        <v/>
      </c>
      <c r="O262" s="107" t="str">
        <f>IF(A262="","",H262+M262)</f>
        <v/>
      </c>
      <c r="P262" s="107" t="str">
        <f>IF(A262="","",CHOOSE(計算過程!$B$72,ROUND(F261*計算過程!$B$32/計算過程!$B$6,0),ROUNDDOWN(F261*計算過程!$B$32/計算過程!$B$6,0),ROUNDUP(F261*計算過程!$B$32/計算過程!$B$6,0)))</f>
        <v/>
      </c>
      <c r="Q262" s="107" t="str">
        <f>IF(A262="","",CHOOSE(計算過程!$B$72,ROUND(G261*計算過程!$B$33/計算過程!$B$6,0),ROUNDDOWN(G261*計算過程!$B$33/計算過程!$B$6,0),ROUNDUP(G261*計算過程!$B$33/計算過程!$B$6,0)))</f>
        <v/>
      </c>
    </row>
    <row r="263" spans="1:17">
      <c r="A263" s="106" t="str">
        <f>IF(OR(計算過程!$B$98="",ROWS($A$8:A263)&gt;計算過程!$B$71),"",ROWS($A$8:A263))</f>
        <v/>
      </c>
      <c r="B263" s="108" t="str">
        <f>IF(A263="","",EDATE(計算過程!$B$98,A263-1))</f>
        <v/>
      </c>
      <c r="C263" s="107" t="str">
        <f>IF(A263="","",IF(A263=計算過程!$B$71,D263+F262+G262,計算過程!$B$78))</f>
        <v/>
      </c>
      <c r="D263" s="107" t="str">
        <f>IF(A263="","",P263+Q263)</f>
        <v/>
      </c>
      <c r="E263" s="107" t="str">
        <f>IF(A263="","",C263-D263)</f>
        <v/>
      </c>
      <c r="F263" s="107" t="str">
        <f>IF(A263="","",IF(A263=計算過程!$B$71,0,MAX(0,F262-(計算過程!$B$76-P263))))</f>
        <v/>
      </c>
      <c r="G263" s="107" t="str">
        <f>IF(A263="","",IF(A263=計算過程!$B$71,0,MAX(0,G262-(計算過程!$B$77-Q263))))</f>
        <v/>
      </c>
      <c r="H263" s="107" t="str">
        <f>IF(A263="","",F263+G263)</f>
        <v/>
      </c>
      <c r="I263" s="106" t="str">
        <f>IF(A263="","",IF(AND(OR(MONTH(B263)=6,MONTH(B263)=12),I262&lt;計算過程!$B$69),I262+1,I262))</f>
        <v/>
      </c>
      <c r="J263" s="107" t="str">
        <f>IF(A263="","",IF(I263&gt;I262,IF(I263=計算過程!$B$69,M262+K263,計算過程!$B$81),0))</f>
        <v/>
      </c>
      <c r="K263" s="107" t="str">
        <f>IF(A263="","",IF(I263&gt;I262,CHOOSE(計算過程!$B$72,ROUND(M262*計算過程!$B$79,0),ROUNDDOWN(M262*計算過程!$B$79,0),ROUNDUP(M262*計算過程!$B$79,0)),0))</f>
        <v/>
      </c>
      <c r="L263" s="107" t="str">
        <f>IF(A263="","",J263-K263)</f>
        <v/>
      </c>
      <c r="M263" s="107" t="str">
        <f>IF(A263="","",IF(I263&gt;I262,M262-L263,M262))</f>
        <v/>
      </c>
      <c r="N263" s="107" t="str">
        <f>IF(A263="","",C263+J263)</f>
        <v/>
      </c>
      <c r="O263" s="107" t="str">
        <f>IF(A263="","",H263+M263)</f>
        <v/>
      </c>
      <c r="P263" s="107" t="str">
        <f>IF(A263="","",CHOOSE(計算過程!$B$72,ROUND(F262*計算過程!$B$32/計算過程!$B$6,0),ROUNDDOWN(F262*計算過程!$B$32/計算過程!$B$6,0),ROUNDUP(F262*計算過程!$B$32/計算過程!$B$6,0)))</f>
        <v/>
      </c>
      <c r="Q263" s="107" t="str">
        <f>IF(A263="","",CHOOSE(計算過程!$B$72,ROUND(G262*計算過程!$B$33/計算過程!$B$6,0),ROUNDDOWN(G262*計算過程!$B$33/計算過程!$B$6,0),ROUNDUP(G262*計算過程!$B$33/計算過程!$B$6,0)))</f>
        <v/>
      </c>
    </row>
    <row r="264" spans="1:17">
      <c r="A264" s="106" t="str">
        <f>IF(OR(計算過程!$B$98="",ROWS($A$8:A264)&gt;計算過程!$B$71),"",ROWS($A$8:A264))</f>
        <v/>
      </c>
      <c r="B264" s="108" t="str">
        <f>IF(A264="","",EDATE(計算過程!$B$98,A264-1))</f>
        <v/>
      </c>
      <c r="C264" s="107" t="str">
        <f>IF(A264="","",IF(A264=計算過程!$B$71,D264+F263+G263,計算過程!$B$78))</f>
        <v/>
      </c>
      <c r="D264" s="107" t="str">
        <f>IF(A264="","",P264+Q264)</f>
        <v/>
      </c>
      <c r="E264" s="107" t="str">
        <f>IF(A264="","",C264-D264)</f>
        <v/>
      </c>
      <c r="F264" s="107" t="str">
        <f>IF(A264="","",IF(A264=計算過程!$B$71,0,MAX(0,F263-(計算過程!$B$76-P264))))</f>
        <v/>
      </c>
      <c r="G264" s="107" t="str">
        <f>IF(A264="","",IF(A264=計算過程!$B$71,0,MAX(0,G263-(計算過程!$B$77-Q264))))</f>
        <v/>
      </c>
      <c r="H264" s="107" t="str">
        <f>IF(A264="","",F264+G264)</f>
        <v/>
      </c>
      <c r="I264" s="106" t="str">
        <f>IF(A264="","",IF(AND(OR(MONTH(B264)=6,MONTH(B264)=12),I263&lt;計算過程!$B$69),I263+1,I263))</f>
        <v/>
      </c>
      <c r="J264" s="107" t="str">
        <f>IF(A264="","",IF(I264&gt;I263,IF(I264=計算過程!$B$69,M263+K264,計算過程!$B$81),0))</f>
        <v/>
      </c>
      <c r="K264" s="107" t="str">
        <f>IF(A264="","",IF(I264&gt;I263,CHOOSE(計算過程!$B$72,ROUND(M263*計算過程!$B$79,0),ROUNDDOWN(M263*計算過程!$B$79,0),ROUNDUP(M263*計算過程!$B$79,0)),0))</f>
        <v/>
      </c>
      <c r="L264" s="107" t="str">
        <f>IF(A264="","",J264-K264)</f>
        <v/>
      </c>
      <c r="M264" s="107" t="str">
        <f>IF(A264="","",IF(I264&gt;I263,M263-L264,M263))</f>
        <v/>
      </c>
      <c r="N264" s="107" t="str">
        <f>IF(A264="","",C264+J264)</f>
        <v/>
      </c>
      <c r="O264" s="107" t="str">
        <f>IF(A264="","",H264+M264)</f>
        <v/>
      </c>
      <c r="P264" s="107" t="str">
        <f>IF(A264="","",CHOOSE(計算過程!$B$72,ROUND(F263*計算過程!$B$32/計算過程!$B$6,0),ROUNDDOWN(F263*計算過程!$B$32/計算過程!$B$6,0),ROUNDUP(F263*計算過程!$B$32/計算過程!$B$6,0)))</f>
        <v/>
      </c>
      <c r="Q264" s="107" t="str">
        <f>IF(A264="","",CHOOSE(計算過程!$B$72,ROUND(G263*計算過程!$B$33/計算過程!$B$6,0),ROUNDDOWN(G263*計算過程!$B$33/計算過程!$B$6,0),ROUNDUP(G263*計算過程!$B$33/計算過程!$B$6,0)))</f>
        <v/>
      </c>
    </row>
    <row r="265" spans="1:17">
      <c r="A265" s="106" t="str">
        <f>IF(OR(計算過程!$B$98="",ROWS($A$8:A265)&gt;計算過程!$B$71),"",ROWS($A$8:A265))</f>
        <v/>
      </c>
      <c r="B265" s="108" t="str">
        <f>IF(A265="","",EDATE(計算過程!$B$98,A265-1))</f>
        <v/>
      </c>
      <c r="C265" s="107" t="str">
        <f>IF(A265="","",IF(A265=計算過程!$B$71,D265+F264+G264,計算過程!$B$78))</f>
        <v/>
      </c>
      <c r="D265" s="107" t="str">
        <f>IF(A265="","",P265+Q265)</f>
        <v/>
      </c>
      <c r="E265" s="107" t="str">
        <f>IF(A265="","",C265-D265)</f>
        <v/>
      </c>
      <c r="F265" s="107" t="str">
        <f>IF(A265="","",IF(A265=計算過程!$B$71,0,MAX(0,F264-(計算過程!$B$76-P265))))</f>
        <v/>
      </c>
      <c r="G265" s="107" t="str">
        <f>IF(A265="","",IF(A265=計算過程!$B$71,0,MAX(0,G264-(計算過程!$B$77-Q265))))</f>
        <v/>
      </c>
      <c r="H265" s="107" t="str">
        <f>IF(A265="","",F265+G265)</f>
        <v/>
      </c>
      <c r="I265" s="106" t="str">
        <f>IF(A265="","",IF(AND(OR(MONTH(B265)=6,MONTH(B265)=12),I264&lt;計算過程!$B$69),I264+1,I264))</f>
        <v/>
      </c>
      <c r="J265" s="107" t="str">
        <f>IF(A265="","",IF(I265&gt;I264,IF(I265=計算過程!$B$69,M264+K265,計算過程!$B$81),0))</f>
        <v/>
      </c>
      <c r="K265" s="107" t="str">
        <f>IF(A265="","",IF(I265&gt;I264,CHOOSE(計算過程!$B$72,ROUND(M264*計算過程!$B$79,0),ROUNDDOWN(M264*計算過程!$B$79,0),ROUNDUP(M264*計算過程!$B$79,0)),0))</f>
        <v/>
      </c>
      <c r="L265" s="107" t="str">
        <f>IF(A265="","",J265-K265)</f>
        <v/>
      </c>
      <c r="M265" s="107" t="str">
        <f>IF(A265="","",IF(I265&gt;I264,M264-L265,M264))</f>
        <v/>
      </c>
      <c r="N265" s="107" t="str">
        <f>IF(A265="","",C265+J265)</f>
        <v/>
      </c>
      <c r="O265" s="107" t="str">
        <f>IF(A265="","",H265+M265)</f>
        <v/>
      </c>
      <c r="P265" s="107" t="str">
        <f>IF(A265="","",CHOOSE(計算過程!$B$72,ROUND(F264*計算過程!$B$32/計算過程!$B$6,0),ROUNDDOWN(F264*計算過程!$B$32/計算過程!$B$6,0),ROUNDUP(F264*計算過程!$B$32/計算過程!$B$6,0)))</f>
        <v/>
      </c>
      <c r="Q265" s="107" t="str">
        <f>IF(A265="","",CHOOSE(計算過程!$B$72,ROUND(G264*計算過程!$B$33/計算過程!$B$6,0),ROUNDDOWN(G264*計算過程!$B$33/計算過程!$B$6,0),ROUNDUP(G264*計算過程!$B$33/計算過程!$B$6,0)))</f>
        <v/>
      </c>
    </row>
    <row r="266" spans="1:17">
      <c r="A266" s="106" t="str">
        <f>IF(OR(計算過程!$B$98="",ROWS($A$8:A266)&gt;計算過程!$B$71),"",ROWS($A$8:A266))</f>
        <v/>
      </c>
      <c r="B266" s="108" t="str">
        <f>IF(A266="","",EDATE(計算過程!$B$98,A266-1))</f>
        <v/>
      </c>
      <c r="C266" s="107" t="str">
        <f>IF(A266="","",IF(A266=計算過程!$B$71,D266+F265+G265,計算過程!$B$78))</f>
        <v/>
      </c>
      <c r="D266" s="107" t="str">
        <f>IF(A266="","",P266+Q266)</f>
        <v/>
      </c>
      <c r="E266" s="107" t="str">
        <f>IF(A266="","",C266-D266)</f>
        <v/>
      </c>
      <c r="F266" s="107" t="str">
        <f>IF(A266="","",IF(A266=計算過程!$B$71,0,MAX(0,F265-(計算過程!$B$76-P266))))</f>
        <v/>
      </c>
      <c r="G266" s="107" t="str">
        <f>IF(A266="","",IF(A266=計算過程!$B$71,0,MAX(0,G265-(計算過程!$B$77-Q266))))</f>
        <v/>
      </c>
      <c r="H266" s="107" t="str">
        <f>IF(A266="","",F266+G266)</f>
        <v/>
      </c>
      <c r="I266" s="106" t="str">
        <f>IF(A266="","",IF(AND(OR(MONTH(B266)=6,MONTH(B266)=12),I265&lt;計算過程!$B$69),I265+1,I265))</f>
        <v/>
      </c>
      <c r="J266" s="107" t="str">
        <f>IF(A266="","",IF(I266&gt;I265,IF(I266=計算過程!$B$69,M265+K266,計算過程!$B$81),0))</f>
        <v/>
      </c>
      <c r="K266" s="107" t="str">
        <f>IF(A266="","",IF(I266&gt;I265,CHOOSE(計算過程!$B$72,ROUND(M265*計算過程!$B$79,0),ROUNDDOWN(M265*計算過程!$B$79,0),ROUNDUP(M265*計算過程!$B$79,0)),0))</f>
        <v/>
      </c>
      <c r="L266" s="107" t="str">
        <f>IF(A266="","",J266-K266)</f>
        <v/>
      </c>
      <c r="M266" s="107" t="str">
        <f>IF(A266="","",IF(I266&gt;I265,M265-L266,M265))</f>
        <v/>
      </c>
      <c r="N266" s="107" t="str">
        <f>IF(A266="","",C266+J266)</f>
        <v/>
      </c>
      <c r="O266" s="107" t="str">
        <f>IF(A266="","",H266+M266)</f>
        <v/>
      </c>
      <c r="P266" s="107" t="str">
        <f>IF(A266="","",CHOOSE(計算過程!$B$72,ROUND(F265*計算過程!$B$32/計算過程!$B$6,0),ROUNDDOWN(F265*計算過程!$B$32/計算過程!$B$6,0),ROUNDUP(F265*計算過程!$B$32/計算過程!$B$6,0)))</f>
        <v/>
      </c>
      <c r="Q266" s="107" t="str">
        <f>IF(A266="","",CHOOSE(計算過程!$B$72,ROUND(G265*計算過程!$B$33/計算過程!$B$6,0),ROUNDDOWN(G265*計算過程!$B$33/計算過程!$B$6,0),ROUNDUP(G265*計算過程!$B$33/計算過程!$B$6,0)))</f>
        <v/>
      </c>
    </row>
    <row r="267" spans="1:17">
      <c r="A267" s="106" t="str">
        <f>IF(OR(計算過程!$B$98="",ROWS($A$8:A267)&gt;計算過程!$B$71),"",ROWS($A$8:A267))</f>
        <v/>
      </c>
      <c r="B267" s="108" t="str">
        <f>IF(A267="","",EDATE(計算過程!$B$98,A267-1))</f>
        <v/>
      </c>
      <c r="C267" s="107" t="str">
        <f>IF(A267="","",IF(A267=計算過程!$B$71,D267+F266+G266,計算過程!$B$78))</f>
        <v/>
      </c>
      <c r="D267" s="107" t="str">
        <f>IF(A267="","",P267+Q267)</f>
        <v/>
      </c>
      <c r="E267" s="107" t="str">
        <f>IF(A267="","",C267-D267)</f>
        <v/>
      </c>
      <c r="F267" s="107" t="str">
        <f>IF(A267="","",IF(A267=計算過程!$B$71,0,MAX(0,F266-(計算過程!$B$76-P267))))</f>
        <v/>
      </c>
      <c r="G267" s="107" t="str">
        <f>IF(A267="","",IF(A267=計算過程!$B$71,0,MAX(0,G266-(計算過程!$B$77-Q267))))</f>
        <v/>
      </c>
      <c r="H267" s="107" t="str">
        <f>IF(A267="","",F267+G267)</f>
        <v/>
      </c>
      <c r="I267" s="106" t="str">
        <f>IF(A267="","",IF(AND(OR(MONTH(B267)=6,MONTH(B267)=12),I266&lt;計算過程!$B$69),I266+1,I266))</f>
        <v/>
      </c>
      <c r="J267" s="107" t="str">
        <f>IF(A267="","",IF(I267&gt;I266,IF(I267=計算過程!$B$69,M266+K267,計算過程!$B$81),0))</f>
        <v/>
      </c>
      <c r="K267" s="107" t="str">
        <f>IF(A267="","",IF(I267&gt;I266,CHOOSE(計算過程!$B$72,ROUND(M266*計算過程!$B$79,0),ROUNDDOWN(M266*計算過程!$B$79,0),ROUNDUP(M266*計算過程!$B$79,0)),0))</f>
        <v/>
      </c>
      <c r="L267" s="107" t="str">
        <f>IF(A267="","",J267-K267)</f>
        <v/>
      </c>
      <c r="M267" s="107" t="str">
        <f>IF(A267="","",IF(I267&gt;I266,M266-L267,M266))</f>
        <v/>
      </c>
      <c r="N267" s="107" t="str">
        <f>IF(A267="","",C267+J267)</f>
        <v/>
      </c>
      <c r="O267" s="107" t="str">
        <f>IF(A267="","",H267+M267)</f>
        <v/>
      </c>
      <c r="P267" s="107" t="str">
        <f>IF(A267="","",CHOOSE(計算過程!$B$72,ROUND(F266*計算過程!$B$32/計算過程!$B$6,0),ROUNDDOWN(F266*計算過程!$B$32/計算過程!$B$6,0),ROUNDUP(F266*計算過程!$B$32/計算過程!$B$6,0)))</f>
        <v/>
      </c>
      <c r="Q267" s="107" t="str">
        <f>IF(A267="","",CHOOSE(計算過程!$B$72,ROUND(G266*計算過程!$B$33/計算過程!$B$6,0),ROUNDDOWN(G266*計算過程!$B$33/計算過程!$B$6,0),ROUNDUP(G266*計算過程!$B$33/計算過程!$B$6,0)))</f>
        <v/>
      </c>
    </row>
    <row r="268" spans="1:17">
      <c r="A268" s="106" t="str">
        <f>IF(OR(計算過程!$B$98="",ROWS($A$8:A268)&gt;計算過程!$B$71),"",ROWS($A$8:A268))</f>
        <v/>
      </c>
      <c r="B268" s="108" t="str">
        <f>IF(A268="","",EDATE(計算過程!$B$98,A268-1))</f>
        <v/>
      </c>
      <c r="C268" s="107" t="str">
        <f>IF(A268="","",IF(A268=計算過程!$B$71,D268+F267+G267,計算過程!$B$78))</f>
        <v/>
      </c>
      <c r="D268" s="107" t="str">
        <f>IF(A268="","",P268+Q268)</f>
        <v/>
      </c>
      <c r="E268" s="107" t="str">
        <f>IF(A268="","",C268-D268)</f>
        <v/>
      </c>
      <c r="F268" s="107" t="str">
        <f>IF(A268="","",IF(A268=計算過程!$B$71,0,MAX(0,F267-(計算過程!$B$76-P268))))</f>
        <v/>
      </c>
      <c r="G268" s="107" t="str">
        <f>IF(A268="","",IF(A268=計算過程!$B$71,0,MAX(0,G267-(計算過程!$B$77-Q268))))</f>
        <v/>
      </c>
      <c r="H268" s="107" t="str">
        <f>IF(A268="","",F268+G268)</f>
        <v/>
      </c>
      <c r="I268" s="106" t="str">
        <f>IF(A268="","",IF(AND(OR(MONTH(B268)=6,MONTH(B268)=12),I267&lt;計算過程!$B$69),I267+1,I267))</f>
        <v/>
      </c>
      <c r="J268" s="107" t="str">
        <f>IF(A268="","",IF(I268&gt;I267,IF(I268=計算過程!$B$69,M267+K268,計算過程!$B$81),0))</f>
        <v/>
      </c>
      <c r="K268" s="107" t="str">
        <f>IF(A268="","",IF(I268&gt;I267,CHOOSE(計算過程!$B$72,ROUND(M267*計算過程!$B$79,0),ROUNDDOWN(M267*計算過程!$B$79,0),ROUNDUP(M267*計算過程!$B$79,0)),0))</f>
        <v/>
      </c>
      <c r="L268" s="107" t="str">
        <f>IF(A268="","",J268-K268)</f>
        <v/>
      </c>
      <c r="M268" s="107" t="str">
        <f>IF(A268="","",IF(I268&gt;I267,M267-L268,M267))</f>
        <v/>
      </c>
      <c r="N268" s="107" t="str">
        <f>IF(A268="","",C268+J268)</f>
        <v/>
      </c>
      <c r="O268" s="107" t="str">
        <f>IF(A268="","",H268+M268)</f>
        <v/>
      </c>
      <c r="P268" s="107" t="str">
        <f>IF(A268="","",CHOOSE(計算過程!$B$72,ROUND(F267*計算過程!$B$32/計算過程!$B$6,0),ROUNDDOWN(F267*計算過程!$B$32/計算過程!$B$6,0),ROUNDUP(F267*計算過程!$B$32/計算過程!$B$6,0)))</f>
        <v/>
      </c>
      <c r="Q268" s="107" t="str">
        <f>IF(A268="","",CHOOSE(計算過程!$B$72,ROUND(G267*計算過程!$B$33/計算過程!$B$6,0),ROUNDDOWN(G267*計算過程!$B$33/計算過程!$B$6,0),ROUNDUP(G267*計算過程!$B$33/計算過程!$B$6,0)))</f>
        <v/>
      </c>
    </row>
    <row r="269" spans="1:17">
      <c r="A269" s="106" t="str">
        <f>IF(OR(計算過程!$B$98="",ROWS($A$8:A269)&gt;計算過程!$B$71),"",ROWS($A$8:A269))</f>
        <v/>
      </c>
      <c r="B269" s="108" t="str">
        <f>IF(A269="","",EDATE(計算過程!$B$98,A269-1))</f>
        <v/>
      </c>
      <c r="C269" s="107" t="str">
        <f>IF(A269="","",IF(A269=計算過程!$B$71,D269+F268+G268,計算過程!$B$78))</f>
        <v/>
      </c>
      <c r="D269" s="107" t="str">
        <f>IF(A269="","",P269+Q269)</f>
        <v/>
      </c>
      <c r="E269" s="107" t="str">
        <f>IF(A269="","",C269-D269)</f>
        <v/>
      </c>
      <c r="F269" s="107" t="str">
        <f>IF(A269="","",IF(A269=計算過程!$B$71,0,MAX(0,F268-(計算過程!$B$76-P269))))</f>
        <v/>
      </c>
      <c r="G269" s="107" t="str">
        <f>IF(A269="","",IF(A269=計算過程!$B$71,0,MAX(0,G268-(計算過程!$B$77-Q269))))</f>
        <v/>
      </c>
      <c r="H269" s="107" t="str">
        <f>IF(A269="","",F269+G269)</f>
        <v/>
      </c>
      <c r="I269" s="106" t="str">
        <f>IF(A269="","",IF(AND(OR(MONTH(B269)=6,MONTH(B269)=12),I268&lt;計算過程!$B$69),I268+1,I268))</f>
        <v/>
      </c>
      <c r="J269" s="107" t="str">
        <f>IF(A269="","",IF(I269&gt;I268,IF(I269=計算過程!$B$69,M268+K269,計算過程!$B$81),0))</f>
        <v/>
      </c>
      <c r="K269" s="107" t="str">
        <f>IF(A269="","",IF(I269&gt;I268,CHOOSE(計算過程!$B$72,ROUND(M268*計算過程!$B$79,0),ROUNDDOWN(M268*計算過程!$B$79,0),ROUNDUP(M268*計算過程!$B$79,0)),0))</f>
        <v/>
      </c>
      <c r="L269" s="107" t="str">
        <f>IF(A269="","",J269-K269)</f>
        <v/>
      </c>
      <c r="M269" s="107" t="str">
        <f>IF(A269="","",IF(I269&gt;I268,M268-L269,M268))</f>
        <v/>
      </c>
      <c r="N269" s="107" t="str">
        <f>IF(A269="","",C269+J269)</f>
        <v/>
      </c>
      <c r="O269" s="107" t="str">
        <f>IF(A269="","",H269+M269)</f>
        <v/>
      </c>
      <c r="P269" s="107" t="str">
        <f>IF(A269="","",CHOOSE(計算過程!$B$72,ROUND(F268*計算過程!$B$32/計算過程!$B$6,0),ROUNDDOWN(F268*計算過程!$B$32/計算過程!$B$6,0),ROUNDUP(F268*計算過程!$B$32/計算過程!$B$6,0)))</f>
        <v/>
      </c>
      <c r="Q269" s="107" t="str">
        <f>IF(A269="","",CHOOSE(計算過程!$B$72,ROUND(G268*計算過程!$B$33/計算過程!$B$6,0),ROUNDDOWN(G268*計算過程!$B$33/計算過程!$B$6,0),ROUNDUP(G268*計算過程!$B$33/計算過程!$B$6,0)))</f>
        <v/>
      </c>
    </row>
    <row r="270" spans="1:17">
      <c r="A270" s="106" t="str">
        <f>IF(OR(計算過程!$B$98="",ROWS($A$8:A270)&gt;計算過程!$B$71),"",ROWS($A$8:A270))</f>
        <v/>
      </c>
      <c r="B270" s="108" t="str">
        <f>IF(A270="","",EDATE(計算過程!$B$98,A270-1))</f>
        <v/>
      </c>
      <c r="C270" s="107" t="str">
        <f>IF(A270="","",IF(A270=計算過程!$B$71,D270+F269+G269,計算過程!$B$78))</f>
        <v/>
      </c>
      <c r="D270" s="107" t="str">
        <f>IF(A270="","",P270+Q270)</f>
        <v/>
      </c>
      <c r="E270" s="107" t="str">
        <f>IF(A270="","",C270-D270)</f>
        <v/>
      </c>
      <c r="F270" s="107" t="str">
        <f>IF(A270="","",IF(A270=計算過程!$B$71,0,MAX(0,F269-(計算過程!$B$76-P270))))</f>
        <v/>
      </c>
      <c r="G270" s="107" t="str">
        <f>IF(A270="","",IF(A270=計算過程!$B$71,0,MAX(0,G269-(計算過程!$B$77-Q270))))</f>
        <v/>
      </c>
      <c r="H270" s="107" t="str">
        <f>IF(A270="","",F270+G270)</f>
        <v/>
      </c>
      <c r="I270" s="106" t="str">
        <f>IF(A270="","",IF(AND(OR(MONTH(B270)=6,MONTH(B270)=12),I269&lt;計算過程!$B$69),I269+1,I269))</f>
        <v/>
      </c>
      <c r="J270" s="107" t="str">
        <f>IF(A270="","",IF(I270&gt;I269,IF(I270=計算過程!$B$69,M269+K270,計算過程!$B$81),0))</f>
        <v/>
      </c>
      <c r="K270" s="107" t="str">
        <f>IF(A270="","",IF(I270&gt;I269,CHOOSE(計算過程!$B$72,ROUND(M269*計算過程!$B$79,0),ROUNDDOWN(M269*計算過程!$B$79,0),ROUNDUP(M269*計算過程!$B$79,0)),0))</f>
        <v/>
      </c>
      <c r="L270" s="107" t="str">
        <f>IF(A270="","",J270-K270)</f>
        <v/>
      </c>
      <c r="M270" s="107" t="str">
        <f>IF(A270="","",IF(I270&gt;I269,M269-L270,M269))</f>
        <v/>
      </c>
      <c r="N270" s="107" t="str">
        <f>IF(A270="","",C270+J270)</f>
        <v/>
      </c>
      <c r="O270" s="107" t="str">
        <f>IF(A270="","",H270+M270)</f>
        <v/>
      </c>
      <c r="P270" s="107" t="str">
        <f>IF(A270="","",CHOOSE(計算過程!$B$72,ROUND(F269*計算過程!$B$32/計算過程!$B$6,0),ROUNDDOWN(F269*計算過程!$B$32/計算過程!$B$6,0),ROUNDUP(F269*計算過程!$B$32/計算過程!$B$6,0)))</f>
        <v/>
      </c>
      <c r="Q270" s="107" t="str">
        <f>IF(A270="","",CHOOSE(計算過程!$B$72,ROUND(G269*計算過程!$B$33/計算過程!$B$6,0),ROUNDDOWN(G269*計算過程!$B$33/計算過程!$B$6,0),ROUNDUP(G269*計算過程!$B$33/計算過程!$B$6,0)))</f>
        <v/>
      </c>
    </row>
    <row r="271" spans="1:17">
      <c r="A271" s="106" t="str">
        <f>IF(OR(計算過程!$B$98="",ROWS($A$8:A271)&gt;計算過程!$B$71),"",ROWS($A$8:A271))</f>
        <v/>
      </c>
      <c r="B271" s="108" t="str">
        <f>IF(A271="","",EDATE(計算過程!$B$98,A271-1))</f>
        <v/>
      </c>
      <c r="C271" s="107" t="str">
        <f>IF(A271="","",IF(A271=計算過程!$B$71,D271+F270+G270,計算過程!$B$78))</f>
        <v/>
      </c>
      <c r="D271" s="107" t="str">
        <f>IF(A271="","",P271+Q271)</f>
        <v/>
      </c>
      <c r="E271" s="107" t="str">
        <f>IF(A271="","",C271-D271)</f>
        <v/>
      </c>
      <c r="F271" s="107" t="str">
        <f>IF(A271="","",IF(A271=計算過程!$B$71,0,MAX(0,F270-(計算過程!$B$76-P271))))</f>
        <v/>
      </c>
      <c r="G271" s="107" t="str">
        <f>IF(A271="","",IF(A271=計算過程!$B$71,0,MAX(0,G270-(計算過程!$B$77-Q271))))</f>
        <v/>
      </c>
      <c r="H271" s="107" t="str">
        <f>IF(A271="","",F271+G271)</f>
        <v/>
      </c>
      <c r="I271" s="106" t="str">
        <f>IF(A271="","",IF(AND(OR(MONTH(B271)=6,MONTH(B271)=12),I270&lt;計算過程!$B$69),I270+1,I270))</f>
        <v/>
      </c>
      <c r="J271" s="107" t="str">
        <f>IF(A271="","",IF(I271&gt;I270,IF(I271=計算過程!$B$69,M270+K271,計算過程!$B$81),0))</f>
        <v/>
      </c>
      <c r="K271" s="107" t="str">
        <f>IF(A271="","",IF(I271&gt;I270,CHOOSE(計算過程!$B$72,ROUND(M270*計算過程!$B$79,0),ROUNDDOWN(M270*計算過程!$B$79,0),ROUNDUP(M270*計算過程!$B$79,0)),0))</f>
        <v/>
      </c>
      <c r="L271" s="107" t="str">
        <f>IF(A271="","",J271-K271)</f>
        <v/>
      </c>
      <c r="M271" s="107" t="str">
        <f>IF(A271="","",IF(I271&gt;I270,M270-L271,M270))</f>
        <v/>
      </c>
      <c r="N271" s="107" t="str">
        <f>IF(A271="","",C271+J271)</f>
        <v/>
      </c>
      <c r="O271" s="107" t="str">
        <f>IF(A271="","",H271+M271)</f>
        <v/>
      </c>
      <c r="P271" s="107" t="str">
        <f>IF(A271="","",CHOOSE(計算過程!$B$72,ROUND(F270*計算過程!$B$32/計算過程!$B$6,0),ROUNDDOWN(F270*計算過程!$B$32/計算過程!$B$6,0),ROUNDUP(F270*計算過程!$B$32/計算過程!$B$6,0)))</f>
        <v/>
      </c>
      <c r="Q271" s="107" t="str">
        <f>IF(A271="","",CHOOSE(計算過程!$B$72,ROUND(G270*計算過程!$B$33/計算過程!$B$6,0),ROUNDDOWN(G270*計算過程!$B$33/計算過程!$B$6,0),ROUNDUP(G270*計算過程!$B$33/計算過程!$B$6,0)))</f>
        <v/>
      </c>
    </row>
    <row r="272" spans="1:17">
      <c r="A272" s="106" t="str">
        <f>IF(OR(計算過程!$B$98="",ROWS($A$8:A272)&gt;計算過程!$B$71),"",ROWS($A$8:A272))</f>
        <v/>
      </c>
      <c r="B272" s="108" t="str">
        <f>IF(A272="","",EDATE(計算過程!$B$98,A272-1))</f>
        <v/>
      </c>
      <c r="C272" s="107" t="str">
        <f>IF(A272="","",IF(A272=計算過程!$B$71,D272+F271+G271,計算過程!$B$78))</f>
        <v/>
      </c>
      <c r="D272" s="107" t="str">
        <f>IF(A272="","",P272+Q272)</f>
        <v/>
      </c>
      <c r="E272" s="107" t="str">
        <f>IF(A272="","",C272-D272)</f>
        <v/>
      </c>
      <c r="F272" s="107" t="str">
        <f>IF(A272="","",IF(A272=計算過程!$B$71,0,MAX(0,F271-(計算過程!$B$76-P272))))</f>
        <v/>
      </c>
      <c r="G272" s="107" t="str">
        <f>IF(A272="","",IF(A272=計算過程!$B$71,0,MAX(0,G271-(計算過程!$B$77-Q272))))</f>
        <v/>
      </c>
      <c r="H272" s="107" t="str">
        <f>IF(A272="","",F272+G272)</f>
        <v/>
      </c>
      <c r="I272" s="106" t="str">
        <f>IF(A272="","",IF(AND(OR(MONTH(B272)=6,MONTH(B272)=12),I271&lt;計算過程!$B$69),I271+1,I271))</f>
        <v/>
      </c>
      <c r="J272" s="107" t="str">
        <f>IF(A272="","",IF(I272&gt;I271,IF(I272=計算過程!$B$69,M271+K272,計算過程!$B$81),0))</f>
        <v/>
      </c>
      <c r="K272" s="107" t="str">
        <f>IF(A272="","",IF(I272&gt;I271,CHOOSE(計算過程!$B$72,ROUND(M271*計算過程!$B$79,0),ROUNDDOWN(M271*計算過程!$B$79,0),ROUNDUP(M271*計算過程!$B$79,0)),0))</f>
        <v/>
      </c>
      <c r="L272" s="107" t="str">
        <f>IF(A272="","",J272-K272)</f>
        <v/>
      </c>
      <c r="M272" s="107" t="str">
        <f>IF(A272="","",IF(I272&gt;I271,M271-L272,M271))</f>
        <v/>
      </c>
      <c r="N272" s="107" t="str">
        <f>IF(A272="","",C272+J272)</f>
        <v/>
      </c>
      <c r="O272" s="107" t="str">
        <f>IF(A272="","",H272+M272)</f>
        <v/>
      </c>
      <c r="P272" s="107" t="str">
        <f>IF(A272="","",CHOOSE(計算過程!$B$72,ROUND(F271*計算過程!$B$32/計算過程!$B$6,0),ROUNDDOWN(F271*計算過程!$B$32/計算過程!$B$6,0),ROUNDUP(F271*計算過程!$B$32/計算過程!$B$6,0)))</f>
        <v/>
      </c>
      <c r="Q272" s="107" t="str">
        <f>IF(A272="","",CHOOSE(計算過程!$B$72,ROUND(G271*計算過程!$B$33/計算過程!$B$6,0),ROUNDDOWN(G271*計算過程!$B$33/計算過程!$B$6,0),ROUNDUP(G271*計算過程!$B$33/計算過程!$B$6,0)))</f>
        <v/>
      </c>
    </row>
    <row r="273" spans="1:17">
      <c r="A273" s="106" t="str">
        <f>IF(OR(計算過程!$B$98="",ROWS($A$8:A273)&gt;計算過程!$B$71),"",ROWS($A$8:A273))</f>
        <v/>
      </c>
      <c r="B273" s="108" t="str">
        <f>IF(A273="","",EDATE(計算過程!$B$98,A273-1))</f>
        <v/>
      </c>
      <c r="C273" s="107" t="str">
        <f>IF(A273="","",IF(A273=計算過程!$B$71,D273+F272+G272,計算過程!$B$78))</f>
        <v/>
      </c>
      <c r="D273" s="107" t="str">
        <f>IF(A273="","",P273+Q273)</f>
        <v/>
      </c>
      <c r="E273" s="107" t="str">
        <f>IF(A273="","",C273-D273)</f>
        <v/>
      </c>
      <c r="F273" s="107" t="str">
        <f>IF(A273="","",IF(A273=計算過程!$B$71,0,MAX(0,F272-(計算過程!$B$76-P273))))</f>
        <v/>
      </c>
      <c r="G273" s="107" t="str">
        <f>IF(A273="","",IF(A273=計算過程!$B$71,0,MAX(0,G272-(計算過程!$B$77-Q273))))</f>
        <v/>
      </c>
      <c r="H273" s="107" t="str">
        <f>IF(A273="","",F273+G273)</f>
        <v/>
      </c>
      <c r="I273" s="106" t="str">
        <f>IF(A273="","",IF(AND(OR(MONTH(B273)=6,MONTH(B273)=12),I272&lt;計算過程!$B$69),I272+1,I272))</f>
        <v/>
      </c>
      <c r="J273" s="107" t="str">
        <f>IF(A273="","",IF(I273&gt;I272,IF(I273=計算過程!$B$69,M272+K273,計算過程!$B$81),0))</f>
        <v/>
      </c>
      <c r="K273" s="107" t="str">
        <f>IF(A273="","",IF(I273&gt;I272,CHOOSE(計算過程!$B$72,ROUND(M272*計算過程!$B$79,0),ROUNDDOWN(M272*計算過程!$B$79,0),ROUNDUP(M272*計算過程!$B$79,0)),0))</f>
        <v/>
      </c>
      <c r="L273" s="107" t="str">
        <f>IF(A273="","",J273-K273)</f>
        <v/>
      </c>
      <c r="M273" s="107" t="str">
        <f>IF(A273="","",IF(I273&gt;I272,M272-L273,M272))</f>
        <v/>
      </c>
      <c r="N273" s="107" t="str">
        <f>IF(A273="","",C273+J273)</f>
        <v/>
      </c>
      <c r="O273" s="107" t="str">
        <f>IF(A273="","",H273+M273)</f>
        <v/>
      </c>
      <c r="P273" s="107" t="str">
        <f>IF(A273="","",CHOOSE(計算過程!$B$72,ROUND(F272*計算過程!$B$32/計算過程!$B$6,0),ROUNDDOWN(F272*計算過程!$B$32/計算過程!$B$6,0),ROUNDUP(F272*計算過程!$B$32/計算過程!$B$6,0)))</f>
        <v/>
      </c>
      <c r="Q273" s="107" t="str">
        <f>IF(A273="","",CHOOSE(計算過程!$B$72,ROUND(G272*計算過程!$B$33/計算過程!$B$6,0),ROUNDDOWN(G272*計算過程!$B$33/計算過程!$B$6,0),ROUNDUP(G272*計算過程!$B$33/計算過程!$B$6,0)))</f>
        <v/>
      </c>
    </row>
    <row r="274" spans="1:17">
      <c r="A274" s="106" t="str">
        <f>IF(OR(計算過程!$B$98="",ROWS($A$8:A274)&gt;計算過程!$B$71),"",ROWS($A$8:A274))</f>
        <v/>
      </c>
      <c r="B274" s="108" t="str">
        <f>IF(A274="","",EDATE(計算過程!$B$98,A274-1))</f>
        <v/>
      </c>
      <c r="C274" s="107" t="str">
        <f>IF(A274="","",IF(A274=計算過程!$B$71,D274+F273+G273,計算過程!$B$78))</f>
        <v/>
      </c>
      <c r="D274" s="107" t="str">
        <f>IF(A274="","",P274+Q274)</f>
        <v/>
      </c>
      <c r="E274" s="107" t="str">
        <f>IF(A274="","",C274-D274)</f>
        <v/>
      </c>
      <c r="F274" s="107" t="str">
        <f>IF(A274="","",IF(A274=計算過程!$B$71,0,MAX(0,F273-(計算過程!$B$76-P274))))</f>
        <v/>
      </c>
      <c r="G274" s="107" t="str">
        <f>IF(A274="","",IF(A274=計算過程!$B$71,0,MAX(0,G273-(計算過程!$B$77-Q274))))</f>
        <v/>
      </c>
      <c r="H274" s="107" t="str">
        <f>IF(A274="","",F274+G274)</f>
        <v/>
      </c>
      <c r="I274" s="106" t="str">
        <f>IF(A274="","",IF(AND(OR(MONTH(B274)=6,MONTH(B274)=12),I273&lt;計算過程!$B$69),I273+1,I273))</f>
        <v/>
      </c>
      <c r="J274" s="107" t="str">
        <f>IF(A274="","",IF(I274&gt;I273,IF(I274=計算過程!$B$69,M273+K274,計算過程!$B$81),0))</f>
        <v/>
      </c>
      <c r="K274" s="107" t="str">
        <f>IF(A274="","",IF(I274&gt;I273,CHOOSE(計算過程!$B$72,ROUND(M273*計算過程!$B$79,0),ROUNDDOWN(M273*計算過程!$B$79,0),ROUNDUP(M273*計算過程!$B$79,0)),0))</f>
        <v/>
      </c>
      <c r="L274" s="107" t="str">
        <f>IF(A274="","",J274-K274)</f>
        <v/>
      </c>
      <c r="M274" s="107" t="str">
        <f>IF(A274="","",IF(I274&gt;I273,M273-L274,M273))</f>
        <v/>
      </c>
      <c r="N274" s="107" t="str">
        <f>IF(A274="","",C274+J274)</f>
        <v/>
      </c>
      <c r="O274" s="107" t="str">
        <f>IF(A274="","",H274+M274)</f>
        <v/>
      </c>
      <c r="P274" s="107" t="str">
        <f>IF(A274="","",CHOOSE(計算過程!$B$72,ROUND(F273*計算過程!$B$32/計算過程!$B$6,0),ROUNDDOWN(F273*計算過程!$B$32/計算過程!$B$6,0),ROUNDUP(F273*計算過程!$B$32/計算過程!$B$6,0)))</f>
        <v/>
      </c>
      <c r="Q274" s="107" t="str">
        <f>IF(A274="","",CHOOSE(計算過程!$B$72,ROUND(G273*計算過程!$B$33/計算過程!$B$6,0),ROUNDDOWN(G273*計算過程!$B$33/計算過程!$B$6,0),ROUNDUP(G273*計算過程!$B$33/計算過程!$B$6,0)))</f>
        <v/>
      </c>
    </row>
    <row r="275" spans="1:17">
      <c r="A275" s="106" t="str">
        <f>IF(OR(計算過程!$B$98="",ROWS($A$8:A275)&gt;計算過程!$B$71),"",ROWS($A$8:A275))</f>
        <v/>
      </c>
      <c r="B275" s="108" t="str">
        <f>IF(A275="","",EDATE(計算過程!$B$98,A275-1))</f>
        <v/>
      </c>
      <c r="C275" s="107" t="str">
        <f>IF(A275="","",IF(A275=計算過程!$B$71,D275+F274+G274,計算過程!$B$78))</f>
        <v/>
      </c>
      <c r="D275" s="107" t="str">
        <f>IF(A275="","",P275+Q275)</f>
        <v/>
      </c>
      <c r="E275" s="107" t="str">
        <f>IF(A275="","",C275-D275)</f>
        <v/>
      </c>
      <c r="F275" s="107" t="str">
        <f>IF(A275="","",IF(A275=計算過程!$B$71,0,MAX(0,F274-(計算過程!$B$76-P275))))</f>
        <v/>
      </c>
      <c r="G275" s="107" t="str">
        <f>IF(A275="","",IF(A275=計算過程!$B$71,0,MAX(0,G274-(計算過程!$B$77-Q275))))</f>
        <v/>
      </c>
      <c r="H275" s="107" t="str">
        <f>IF(A275="","",F275+G275)</f>
        <v/>
      </c>
      <c r="I275" s="106" t="str">
        <f>IF(A275="","",IF(AND(OR(MONTH(B275)=6,MONTH(B275)=12),I274&lt;計算過程!$B$69),I274+1,I274))</f>
        <v/>
      </c>
      <c r="J275" s="107" t="str">
        <f>IF(A275="","",IF(I275&gt;I274,IF(I275=計算過程!$B$69,M274+K275,計算過程!$B$81),0))</f>
        <v/>
      </c>
      <c r="K275" s="107" t="str">
        <f>IF(A275="","",IF(I275&gt;I274,CHOOSE(計算過程!$B$72,ROUND(M274*計算過程!$B$79,0),ROUNDDOWN(M274*計算過程!$B$79,0),ROUNDUP(M274*計算過程!$B$79,0)),0))</f>
        <v/>
      </c>
      <c r="L275" s="107" t="str">
        <f>IF(A275="","",J275-K275)</f>
        <v/>
      </c>
      <c r="M275" s="107" t="str">
        <f>IF(A275="","",IF(I275&gt;I274,M274-L275,M274))</f>
        <v/>
      </c>
      <c r="N275" s="107" t="str">
        <f>IF(A275="","",C275+J275)</f>
        <v/>
      </c>
      <c r="O275" s="107" t="str">
        <f>IF(A275="","",H275+M275)</f>
        <v/>
      </c>
      <c r="P275" s="107" t="str">
        <f>IF(A275="","",CHOOSE(計算過程!$B$72,ROUND(F274*計算過程!$B$32/計算過程!$B$6,0),ROUNDDOWN(F274*計算過程!$B$32/計算過程!$B$6,0),ROUNDUP(F274*計算過程!$B$32/計算過程!$B$6,0)))</f>
        <v/>
      </c>
      <c r="Q275" s="107" t="str">
        <f>IF(A275="","",CHOOSE(計算過程!$B$72,ROUND(G274*計算過程!$B$33/計算過程!$B$6,0),ROUNDDOWN(G274*計算過程!$B$33/計算過程!$B$6,0),ROUNDUP(G274*計算過程!$B$33/計算過程!$B$6,0)))</f>
        <v/>
      </c>
    </row>
    <row r="276" spans="1:17">
      <c r="A276" s="106" t="str">
        <f>IF(OR(計算過程!$B$98="",ROWS($A$8:A276)&gt;計算過程!$B$71),"",ROWS($A$8:A276))</f>
        <v/>
      </c>
      <c r="B276" s="108" t="str">
        <f>IF(A276="","",EDATE(計算過程!$B$98,A276-1))</f>
        <v/>
      </c>
      <c r="C276" s="107" t="str">
        <f>IF(A276="","",IF(A276=計算過程!$B$71,D276+F275+G275,計算過程!$B$78))</f>
        <v/>
      </c>
      <c r="D276" s="107" t="str">
        <f>IF(A276="","",P276+Q276)</f>
        <v/>
      </c>
      <c r="E276" s="107" t="str">
        <f>IF(A276="","",C276-D276)</f>
        <v/>
      </c>
      <c r="F276" s="107" t="str">
        <f>IF(A276="","",IF(A276=計算過程!$B$71,0,MAX(0,F275-(計算過程!$B$76-P276))))</f>
        <v/>
      </c>
      <c r="G276" s="107" t="str">
        <f>IF(A276="","",IF(A276=計算過程!$B$71,0,MAX(0,G275-(計算過程!$B$77-Q276))))</f>
        <v/>
      </c>
      <c r="H276" s="107" t="str">
        <f>IF(A276="","",F276+G276)</f>
        <v/>
      </c>
      <c r="I276" s="106" t="str">
        <f>IF(A276="","",IF(AND(OR(MONTH(B276)=6,MONTH(B276)=12),I275&lt;計算過程!$B$69),I275+1,I275))</f>
        <v/>
      </c>
      <c r="J276" s="107" t="str">
        <f>IF(A276="","",IF(I276&gt;I275,IF(I276=計算過程!$B$69,M275+K276,計算過程!$B$81),0))</f>
        <v/>
      </c>
      <c r="K276" s="107" t="str">
        <f>IF(A276="","",IF(I276&gt;I275,CHOOSE(計算過程!$B$72,ROUND(M275*計算過程!$B$79,0),ROUNDDOWN(M275*計算過程!$B$79,0),ROUNDUP(M275*計算過程!$B$79,0)),0))</f>
        <v/>
      </c>
      <c r="L276" s="107" t="str">
        <f>IF(A276="","",J276-K276)</f>
        <v/>
      </c>
      <c r="M276" s="107" t="str">
        <f>IF(A276="","",IF(I276&gt;I275,M275-L276,M275))</f>
        <v/>
      </c>
      <c r="N276" s="107" t="str">
        <f>IF(A276="","",C276+J276)</f>
        <v/>
      </c>
      <c r="O276" s="107" t="str">
        <f>IF(A276="","",H276+M276)</f>
        <v/>
      </c>
      <c r="P276" s="107" t="str">
        <f>IF(A276="","",CHOOSE(計算過程!$B$72,ROUND(F275*計算過程!$B$32/計算過程!$B$6,0),ROUNDDOWN(F275*計算過程!$B$32/計算過程!$B$6,0),ROUNDUP(F275*計算過程!$B$32/計算過程!$B$6,0)))</f>
        <v/>
      </c>
      <c r="Q276" s="107" t="str">
        <f>IF(A276="","",CHOOSE(計算過程!$B$72,ROUND(G275*計算過程!$B$33/計算過程!$B$6,0),ROUNDDOWN(G275*計算過程!$B$33/計算過程!$B$6,0),ROUNDUP(G275*計算過程!$B$33/計算過程!$B$6,0)))</f>
        <v/>
      </c>
    </row>
    <row r="277" spans="1:17">
      <c r="A277" s="106" t="str">
        <f>IF(OR(計算過程!$B$98="",ROWS($A$8:A277)&gt;計算過程!$B$71),"",ROWS($A$8:A277))</f>
        <v/>
      </c>
      <c r="B277" s="108" t="str">
        <f>IF(A277="","",EDATE(計算過程!$B$98,A277-1))</f>
        <v/>
      </c>
      <c r="C277" s="107" t="str">
        <f>IF(A277="","",IF(A277=計算過程!$B$71,D277+F276+G276,計算過程!$B$78))</f>
        <v/>
      </c>
      <c r="D277" s="107" t="str">
        <f>IF(A277="","",P277+Q277)</f>
        <v/>
      </c>
      <c r="E277" s="107" t="str">
        <f>IF(A277="","",C277-D277)</f>
        <v/>
      </c>
      <c r="F277" s="107" t="str">
        <f>IF(A277="","",IF(A277=計算過程!$B$71,0,MAX(0,F276-(計算過程!$B$76-P277))))</f>
        <v/>
      </c>
      <c r="G277" s="107" t="str">
        <f>IF(A277="","",IF(A277=計算過程!$B$71,0,MAX(0,G276-(計算過程!$B$77-Q277))))</f>
        <v/>
      </c>
      <c r="H277" s="107" t="str">
        <f>IF(A277="","",F277+G277)</f>
        <v/>
      </c>
      <c r="I277" s="106" t="str">
        <f>IF(A277="","",IF(AND(OR(MONTH(B277)=6,MONTH(B277)=12),I276&lt;計算過程!$B$69),I276+1,I276))</f>
        <v/>
      </c>
      <c r="J277" s="107" t="str">
        <f>IF(A277="","",IF(I277&gt;I276,IF(I277=計算過程!$B$69,M276+K277,計算過程!$B$81),0))</f>
        <v/>
      </c>
      <c r="K277" s="107" t="str">
        <f>IF(A277="","",IF(I277&gt;I276,CHOOSE(計算過程!$B$72,ROUND(M276*計算過程!$B$79,0),ROUNDDOWN(M276*計算過程!$B$79,0),ROUNDUP(M276*計算過程!$B$79,0)),0))</f>
        <v/>
      </c>
      <c r="L277" s="107" t="str">
        <f>IF(A277="","",J277-K277)</f>
        <v/>
      </c>
      <c r="M277" s="107" t="str">
        <f>IF(A277="","",IF(I277&gt;I276,M276-L277,M276))</f>
        <v/>
      </c>
      <c r="N277" s="107" t="str">
        <f>IF(A277="","",C277+J277)</f>
        <v/>
      </c>
      <c r="O277" s="107" t="str">
        <f>IF(A277="","",H277+M277)</f>
        <v/>
      </c>
      <c r="P277" s="107" t="str">
        <f>IF(A277="","",CHOOSE(計算過程!$B$72,ROUND(F276*計算過程!$B$32/計算過程!$B$6,0),ROUNDDOWN(F276*計算過程!$B$32/計算過程!$B$6,0),ROUNDUP(F276*計算過程!$B$32/計算過程!$B$6,0)))</f>
        <v/>
      </c>
      <c r="Q277" s="107" t="str">
        <f>IF(A277="","",CHOOSE(計算過程!$B$72,ROUND(G276*計算過程!$B$33/計算過程!$B$6,0),ROUNDDOWN(G276*計算過程!$B$33/計算過程!$B$6,0),ROUNDUP(G276*計算過程!$B$33/計算過程!$B$6,0)))</f>
        <v/>
      </c>
    </row>
    <row r="278" spans="1:17">
      <c r="A278" s="106" t="str">
        <f>IF(OR(計算過程!$B$98="",ROWS($A$8:A278)&gt;計算過程!$B$71),"",ROWS($A$8:A278))</f>
        <v/>
      </c>
      <c r="B278" s="108" t="str">
        <f>IF(A278="","",EDATE(計算過程!$B$98,A278-1))</f>
        <v/>
      </c>
      <c r="C278" s="107" t="str">
        <f>IF(A278="","",IF(A278=計算過程!$B$71,D278+F277+G277,計算過程!$B$78))</f>
        <v/>
      </c>
      <c r="D278" s="107" t="str">
        <f>IF(A278="","",P278+Q278)</f>
        <v/>
      </c>
      <c r="E278" s="107" t="str">
        <f>IF(A278="","",C278-D278)</f>
        <v/>
      </c>
      <c r="F278" s="107" t="str">
        <f>IF(A278="","",IF(A278=計算過程!$B$71,0,MAX(0,F277-(計算過程!$B$76-P278))))</f>
        <v/>
      </c>
      <c r="G278" s="107" t="str">
        <f>IF(A278="","",IF(A278=計算過程!$B$71,0,MAX(0,G277-(計算過程!$B$77-Q278))))</f>
        <v/>
      </c>
      <c r="H278" s="107" t="str">
        <f>IF(A278="","",F278+G278)</f>
        <v/>
      </c>
      <c r="I278" s="106" t="str">
        <f>IF(A278="","",IF(AND(OR(MONTH(B278)=6,MONTH(B278)=12),I277&lt;計算過程!$B$69),I277+1,I277))</f>
        <v/>
      </c>
      <c r="J278" s="107" t="str">
        <f>IF(A278="","",IF(I278&gt;I277,IF(I278=計算過程!$B$69,M277+K278,計算過程!$B$81),0))</f>
        <v/>
      </c>
      <c r="K278" s="107" t="str">
        <f>IF(A278="","",IF(I278&gt;I277,CHOOSE(計算過程!$B$72,ROUND(M277*計算過程!$B$79,0),ROUNDDOWN(M277*計算過程!$B$79,0),ROUNDUP(M277*計算過程!$B$79,0)),0))</f>
        <v/>
      </c>
      <c r="L278" s="107" t="str">
        <f>IF(A278="","",J278-K278)</f>
        <v/>
      </c>
      <c r="M278" s="107" t="str">
        <f>IF(A278="","",IF(I278&gt;I277,M277-L278,M277))</f>
        <v/>
      </c>
      <c r="N278" s="107" t="str">
        <f>IF(A278="","",C278+J278)</f>
        <v/>
      </c>
      <c r="O278" s="107" t="str">
        <f>IF(A278="","",H278+M278)</f>
        <v/>
      </c>
      <c r="P278" s="107" t="str">
        <f>IF(A278="","",CHOOSE(計算過程!$B$72,ROUND(F277*計算過程!$B$32/計算過程!$B$6,0),ROUNDDOWN(F277*計算過程!$B$32/計算過程!$B$6,0),ROUNDUP(F277*計算過程!$B$32/計算過程!$B$6,0)))</f>
        <v/>
      </c>
      <c r="Q278" s="107" t="str">
        <f>IF(A278="","",CHOOSE(計算過程!$B$72,ROUND(G277*計算過程!$B$33/計算過程!$B$6,0),ROUNDDOWN(G277*計算過程!$B$33/計算過程!$B$6,0),ROUNDUP(G277*計算過程!$B$33/計算過程!$B$6,0)))</f>
        <v/>
      </c>
    </row>
    <row r="279" spans="1:17">
      <c r="A279" s="106" t="str">
        <f>IF(OR(計算過程!$B$98="",ROWS($A$8:A279)&gt;計算過程!$B$71),"",ROWS($A$8:A279))</f>
        <v/>
      </c>
      <c r="B279" s="108" t="str">
        <f>IF(A279="","",EDATE(計算過程!$B$98,A279-1))</f>
        <v/>
      </c>
      <c r="C279" s="107" t="str">
        <f>IF(A279="","",IF(A279=計算過程!$B$71,D279+F278+G278,計算過程!$B$78))</f>
        <v/>
      </c>
      <c r="D279" s="107" t="str">
        <f>IF(A279="","",P279+Q279)</f>
        <v/>
      </c>
      <c r="E279" s="107" t="str">
        <f>IF(A279="","",C279-D279)</f>
        <v/>
      </c>
      <c r="F279" s="107" t="str">
        <f>IF(A279="","",IF(A279=計算過程!$B$71,0,MAX(0,F278-(計算過程!$B$76-P279))))</f>
        <v/>
      </c>
      <c r="G279" s="107" t="str">
        <f>IF(A279="","",IF(A279=計算過程!$B$71,0,MAX(0,G278-(計算過程!$B$77-Q279))))</f>
        <v/>
      </c>
      <c r="H279" s="107" t="str">
        <f>IF(A279="","",F279+G279)</f>
        <v/>
      </c>
      <c r="I279" s="106" t="str">
        <f>IF(A279="","",IF(AND(OR(MONTH(B279)=6,MONTH(B279)=12),I278&lt;計算過程!$B$69),I278+1,I278))</f>
        <v/>
      </c>
      <c r="J279" s="107" t="str">
        <f>IF(A279="","",IF(I279&gt;I278,IF(I279=計算過程!$B$69,M278+K279,計算過程!$B$81),0))</f>
        <v/>
      </c>
      <c r="K279" s="107" t="str">
        <f>IF(A279="","",IF(I279&gt;I278,CHOOSE(計算過程!$B$72,ROUND(M278*計算過程!$B$79,0),ROUNDDOWN(M278*計算過程!$B$79,0),ROUNDUP(M278*計算過程!$B$79,0)),0))</f>
        <v/>
      </c>
      <c r="L279" s="107" t="str">
        <f>IF(A279="","",J279-K279)</f>
        <v/>
      </c>
      <c r="M279" s="107" t="str">
        <f>IF(A279="","",IF(I279&gt;I278,M278-L279,M278))</f>
        <v/>
      </c>
      <c r="N279" s="107" t="str">
        <f>IF(A279="","",C279+J279)</f>
        <v/>
      </c>
      <c r="O279" s="107" t="str">
        <f>IF(A279="","",H279+M279)</f>
        <v/>
      </c>
      <c r="P279" s="107" t="str">
        <f>IF(A279="","",CHOOSE(計算過程!$B$72,ROUND(F278*計算過程!$B$32/計算過程!$B$6,0),ROUNDDOWN(F278*計算過程!$B$32/計算過程!$B$6,0),ROUNDUP(F278*計算過程!$B$32/計算過程!$B$6,0)))</f>
        <v/>
      </c>
      <c r="Q279" s="107" t="str">
        <f>IF(A279="","",CHOOSE(計算過程!$B$72,ROUND(G278*計算過程!$B$33/計算過程!$B$6,0),ROUNDDOWN(G278*計算過程!$B$33/計算過程!$B$6,0),ROUNDUP(G278*計算過程!$B$33/計算過程!$B$6,0)))</f>
        <v/>
      </c>
    </row>
    <row r="280" spans="1:17">
      <c r="A280" s="106" t="str">
        <f>IF(OR(計算過程!$B$98="",ROWS($A$8:A280)&gt;計算過程!$B$71),"",ROWS($A$8:A280))</f>
        <v/>
      </c>
      <c r="B280" s="108" t="str">
        <f>IF(A280="","",EDATE(計算過程!$B$98,A280-1))</f>
        <v/>
      </c>
      <c r="C280" s="107" t="str">
        <f>IF(A280="","",IF(A280=計算過程!$B$71,D280+F279+G279,計算過程!$B$78))</f>
        <v/>
      </c>
      <c r="D280" s="107" t="str">
        <f>IF(A280="","",P280+Q280)</f>
        <v/>
      </c>
      <c r="E280" s="107" t="str">
        <f>IF(A280="","",C280-D280)</f>
        <v/>
      </c>
      <c r="F280" s="107" t="str">
        <f>IF(A280="","",IF(A280=計算過程!$B$71,0,MAX(0,F279-(計算過程!$B$76-P280))))</f>
        <v/>
      </c>
      <c r="G280" s="107" t="str">
        <f>IF(A280="","",IF(A280=計算過程!$B$71,0,MAX(0,G279-(計算過程!$B$77-Q280))))</f>
        <v/>
      </c>
      <c r="H280" s="107" t="str">
        <f>IF(A280="","",F280+G280)</f>
        <v/>
      </c>
      <c r="I280" s="106" t="str">
        <f>IF(A280="","",IF(AND(OR(MONTH(B280)=6,MONTH(B280)=12),I279&lt;計算過程!$B$69),I279+1,I279))</f>
        <v/>
      </c>
      <c r="J280" s="107" t="str">
        <f>IF(A280="","",IF(I280&gt;I279,IF(I280=計算過程!$B$69,M279+K280,計算過程!$B$81),0))</f>
        <v/>
      </c>
      <c r="K280" s="107" t="str">
        <f>IF(A280="","",IF(I280&gt;I279,CHOOSE(計算過程!$B$72,ROUND(M279*計算過程!$B$79,0),ROUNDDOWN(M279*計算過程!$B$79,0),ROUNDUP(M279*計算過程!$B$79,0)),0))</f>
        <v/>
      </c>
      <c r="L280" s="107" t="str">
        <f>IF(A280="","",J280-K280)</f>
        <v/>
      </c>
      <c r="M280" s="107" t="str">
        <f>IF(A280="","",IF(I280&gt;I279,M279-L280,M279))</f>
        <v/>
      </c>
      <c r="N280" s="107" t="str">
        <f>IF(A280="","",C280+J280)</f>
        <v/>
      </c>
      <c r="O280" s="107" t="str">
        <f>IF(A280="","",H280+M280)</f>
        <v/>
      </c>
      <c r="P280" s="107" t="str">
        <f>IF(A280="","",CHOOSE(計算過程!$B$72,ROUND(F279*計算過程!$B$32/計算過程!$B$6,0),ROUNDDOWN(F279*計算過程!$B$32/計算過程!$B$6,0),ROUNDUP(F279*計算過程!$B$32/計算過程!$B$6,0)))</f>
        <v/>
      </c>
      <c r="Q280" s="107" t="str">
        <f>IF(A280="","",CHOOSE(計算過程!$B$72,ROUND(G279*計算過程!$B$33/計算過程!$B$6,0),ROUNDDOWN(G279*計算過程!$B$33/計算過程!$B$6,0),ROUNDUP(G279*計算過程!$B$33/計算過程!$B$6,0)))</f>
        <v/>
      </c>
    </row>
    <row r="281" spans="1:17">
      <c r="A281" s="106" t="str">
        <f>IF(OR(計算過程!$B$98="",ROWS($A$8:A281)&gt;計算過程!$B$71),"",ROWS($A$8:A281))</f>
        <v/>
      </c>
      <c r="B281" s="108" t="str">
        <f>IF(A281="","",EDATE(計算過程!$B$98,A281-1))</f>
        <v/>
      </c>
      <c r="C281" s="107" t="str">
        <f>IF(A281="","",IF(A281=計算過程!$B$71,D281+F280+G280,計算過程!$B$78))</f>
        <v/>
      </c>
      <c r="D281" s="107" t="str">
        <f>IF(A281="","",P281+Q281)</f>
        <v/>
      </c>
      <c r="E281" s="107" t="str">
        <f>IF(A281="","",C281-D281)</f>
        <v/>
      </c>
      <c r="F281" s="107" t="str">
        <f>IF(A281="","",IF(A281=計算過程!$B$71,0,MAX(0,F280-(計算過程!$B$76-P281))))</f>
        <v/>
      </c>
      <c r="G281" s="107" t="str">
        <f>IF(A281="","",IF(A281=計算過程!$B$71,0,MAX(0,G280-(計算過程!$B$77-Q281))))</f>
        <v/>
      </c>
      <c r="H281" s="107" t="str">
        <f>IF(A281="","",F281+G281)</f>
        <v/>
      </c>
      <c r="I281" s="106" t="str">
        <f>IF(A281="","",IF(AND(OR(MONTH(B281)=6,MONTH(B281)=12),I280&lt;計算過程!$B$69),I280+1,I280))</f>
        <v/>
      </c>
      <c r="J281" s="107" t="str">
        <f>IF(A281="","",IF(I281&gt;I280,IF(I281=計算過程!$B$69,M280+K281,計算過程!$B$81),0))</f>
        <v/>
      </c>
      <c r="K281" s="107" t="str">
        <f>IF(A281="","",IF(I281&gt;I280,CHOOSE(計算過程!$B$72,ROUND(M280*計算過程!$B$79,0),ROUNDDOWN(M280*計算過程!$B$79,0),ROUNDUP(M280*計算過程!$B$79,0)),0))</f>
        <v/>
      </c>
      <c r="L281" s="107" t="str">
        <f>IF(A281="","",J281-K281)</f>
        <v/>
      </c>
      <c r="M281" s="107" t="str">
        <f>IF(A281="","",IF(I281&gt;I280,M280-L281,M280))</f>
        <v/>
      </c>
      <c r="N281" s="107" t="str">
        <f>IF(A281="","",C281+J281)</f>
        <v/>
      </c>
      <c r="O281" s="107" t="str">
        <f>IF(A281="","",H281+M281)</f>
        <v/>
      </c>
      <c r="P281" s="107" t="str">
        <f>IF(A281="","",CHOOSE(計算過程!$B$72,ROUND(F280*計算過程!$B$32/計算過程!$B$6,0),ROUNDDOWN(F280*計算過程!$B$32/計算過程!$B$6,0),ROUNDUP(F280*計算過程!$B$32/計算過程!$B$6,0)))</f>
        <v/>
      </c>
      <c r="Q281" s="107" t="str">
        <f>IF(A281="","",CHOOSE(計算過程!$B$72,ROUND(G280*計算過程!$B$33/計算過程!$B$6,0),ROUNDDOWN(G280*計算過程!$B$33/計算過程!$B$6,0),ROUNDUP(G280*計算過程!$B$33/計算過程!$B$6,0)))</f>
        <v/>
      </c>
    </row>
    <row r="282" spans="1:17">
      <c r="A282" s="106" t="str">
        <f>IF(OR(計算過程!$B$98="",ROWS($A$8:A282)&gt;計算過程!$B$71),"",ROWS($A$8:A282))</f>
        <v/>
      </c>
      <c r="B282" s="108" t="str">
        <f>IF(A282="","",EDATE(計算過程!$B$98,A282-1))</f>
        <v/>
      </c>
      <c r="C282" s="107" t="str">
        <f>IF(A282="","",IF(A282=計算過程!$B$71,D282+F281+G281,計算過程!$B$78))</f>
        <v/>
      </c>
      <c r="D282" s="107" t="str">
        <f>IF(A282="","",P282+Q282)</f>
        <v/>
      </c>
      <c r="E282" s="107" t="str">
        <f>IF(A282="","",C282-D282)</f>
        <v/>
      </c>
      <c r="F282" s="107" t="str">
        <f>IF(A282="","",IF(A282=計算過程!$B$71,0,MAX(0,F281-(計算過程!$B$76-P282))))</f>
        <v/>
      </c>
      <c r="G282" s="107" t="str">
        <f>IF(A282="","",IF(A282=計算過程!$B$71,0,MAX(0,G281-(計算過程!$B$77-Q282))))</f>
        <v/>
      </c>
      <c r="H282" s="107" t="str">
        <f>IF(A282="","",F282+G282)</f>
        <v/>
      </c>
      <c r="I282" s="106" t="str">
        <f>IF(A282="","",IF(AND(OR(MONTH(B282)=6,MONTH(B282)=12),I281&lt;計算過程!$B$69),I281+1,I281))</f>
        <v/>
      </c>
      <c r="J282" s="107" t="str">
        <f>IF(A282="","",IF(I282&gt;I281,IF(I282=計算過程!$B$69,M281+K282,計算過程!$B$81),0))</f>
        <v/>
      </c>
      <c r="K282" s="107" t="str">
        <f>IF(A282="","",IF(I282&gt;I281,CHOOSE(計算過程!$B$72,ROUND(M281*計算過程!$B$79,0),ROUNDDOWN(M281*計算過程!$B$79,0),ROUNDUP(M281*計算過程!$B$79,0)),0))</f>
        <v/>
      </c>
      <c r="L282" s="107" t="str">
        <f>IF(A282="","",J282-K282)</f>
        <v/>
      </c>
      <c r="M282" s="107" t="str">
        <f>IF(A282="","",IF(I282&gt;I281,M281-L282,M281))</f>
        <v/>
      </c>
      <c r="N282" s="107" t="str">
        <f>IF(A282="","",C282+J282)</f>
        <v/>
      </c>
      <c r="O282" s="107" t="str">
        <f>IF(A282="","",H282+M282)</f>
        <v/>
      </c>
      <c r="P282" s="107" t="str">
        <f>IF(A282="","",CHOOSE(計算過程!$B$72,ROUND(F281*計算過程!$B$32/計算過程!$B$6,0),ROUNDDOWN(F281*計算過程!$B$32/計算過程!$B$6,0),ROUNDUP(F281*計算過程!$B$32/計算過程!$B$6,0)))</f>
        <v/>
      </c>
      <c r="Q282" s="107" t="str">
        <f>IF(A282="","",CHOOSE(計算過程!$B$72,ROUND(G281*計算過程!$B$33/計算過程!$B$6,0),ROUNDDOWN(G281*計算過程!$B$33/計算過程!$B$6,0),ROUNDUP(G281*計算過程!$B$33/計算過程!$B$6,0)))</f>
        <v/>
      </c>
    </row>
    <row r="283" spans="1:17">
      <c r="A283" s="106" t="str">
        <f>IF(OR(計算過程!$B$98="",ROWS($A$8:A283)&gt;計算過程!$B$71),"",ROWS($A$8:A283))</f>
        <v/>
      </c>
      <c r="B283" s="108" t="str">
        <f>IF(A283="","",EDATE(計算過程!$B$98,A283-1))</f>
        <v/>
      </c>
      <c r="C283" s="107" t="str">
        <f>IF(A283="","",IF(A283=計算過程!$B$71,D283+F282+G282,計算過程!$B$78))</f>
        <v/>
      </c>
      <c r="D283" s="107" t="str">
        <f>IF(A283="","",P283+Q283)</f>
        <v/>
      </c>
      <c r="E283" s="107" t="str">
        <f>IF(A283="","",C283-D283)</f>
        <v/>
      </c>
      <c r="F283" s="107" t="str">
        <f>IF(A283="","",IF(A283=計算過程!$B$71,0,MAX(0,F282-(計算過程!$B$76-P283))))</f>
        <v/>
      </c>
      <c r="G283" s="107" t="str">
        <f>IF(A283="","",IF(A283=計算過程!$B$71,0,MAX(0,G282-(計算過程!$B$77-Q283))))</f>
        <v/>
      </c>
      <c r="H283" s="107" t="str">
        <f>IF(A283="","",F283+G283)</f>
        <v/>
      </c>
      <c r="I283" s="106" t="str">
        <f>IF(A283="","",IF(AND(OR(MONTH(B283)=6,MONTH(B283)=12),I282&lt;計算過程!$B$69),I282+1,I282))</f>
        <v/>
      </c>
      <c r="J283" s="107" t="str">
        <f>IF(A283="","",IF(I283&gt;I282,IF(I283=計算過程!$B$69,M282+K283,計算過程!$B$81),0))</f>
        <v/>
      </c>
      <c r="K283" s="107" t="str">
        <f>IF(A283="","",IF(I283&gt;I282,CHOOSE(計算過程!$B$72,ROUND(M282*計算過程!$B$79,0),ROUNDDOWN(M282*計算過程!$B$79,0),ROUNDUP(M282*計算過程!$B$79,0)),0))</f>
        <v/>
      </c>
      <c r="L283" s="107" t="str">
        <f>IF(A283="","",J283-K283)</f>
        <v/>
      </c>
      <c r="M283" s="107" t="str">
        <f>IF(A283="","",IF(I283&gt;I282,M282-L283,M282))</f>
        <v/>
      </c>
      <c r="N283" s="107" t="str">
        <f>IF(A283="","",C283+J283)</f>
        <v/>
      </c>
      <c r="O283" s="107" t="str">
        <f>IF(A283="","",H283+M283)</f>
        <v/>
      </c>
      <c r="P283" s="107" t="str">
        <f>IF(A283="","",CHOOSE(計算過程!$B$72,ROUND(F282*計算過程!$B$32/計算過程!$B$6,0),ROUNDDOWN(F282*計算過程!$B$32/計算過程!$B$6,0),ROUNDUP(F282*計算過程!$B$32/計算過程!$B$6,0)))</f>
        <v/>
      </c>
      <c r="Q283" s="107" t="str">
        <f>IF(A283="","",CHOOSE(計算過程!$B$72,ROUND(G282*計算過程!$B$33/計算過程!$B$6,0),ROUNDDOWN(G282*計算過程!$B$33/計算過程!$B$6,0),ROUNDUP(G282*計算過程!$B$33/計算過程!$B$6,0)))</f>
        <v/>
      </c>
    </row>
    <row r="284" spans="1:17">
      <c r="A284" s="106" t="str">
        <f>IF(OR(計算過程!$B$98="",ROWS($A$8:A284)&gt;計算過程!$B$71),"",ROWS($A$8:A284))</f>
        <v/>
      </c>
      <c r="B284" s="108" t="str">
        <f>IF(A284="","",EDATE(計算過程!$B$98,A284-1))</f>
        <v/>
      </c>
      <c r="C284" s="107" t="str">
        <f>IF(A284="","",IF(A284=計算過程!$B$71,D284+F283+G283,計算過程!$B$78))</f>
        <v/>
      </c>
      <c r="D284" s="107" t="str">
        <f>IF(A284="","",P284+Q284)</f>
        <v/>
      </c>
      <c r="E284" s="107" t="str">
        <f>IF(A284="","",C284-D284)</f>
        <v/>
      </c>
      <c r="F284" s="107" t="str">
        <f>IF(A284="","",IF(A284=計算過程!$B$71,0,MAX(0,F283-(計算過程!$B$76-P284))))</f>
        <v/>
      </c>
      <c r="G284" s="107" t="str">
        <f>IF(A284="","",IF(A284=計算過程!$B$71,0,MAX(0,G283-(計算過程!$B$77-Q284))))</f>
        <v/>
      </c>
      <c r="H284" s="107" t="str">
        <f>IF(A284="","",F284+G284)</f>
        <v/>
      </c>
      <c r="I284" s="106" t="str">
        <f>IF(A284="","",IF(AND(OR(MONTH(B284)=6,MONTH(B284)=12),I283&lt;計算過程!$B$69),I283+1,I283))</f>
        <v/>
      </c>
      <c r="J284" s="107" t="str">
        <f>IF(A284="","",IF(I284&gt;I283,IF(I284=計算過程!$B$69,M283+K284,計算過程!$B$81),0))</f>
        <v/>
      </c>
      <c r="K284" s="107" t="str">
        <f>IF(A284="","",IF(I284&gt;I283,CHOOSE(計算過程!$B$72,ROUND(M283*計算過程!$B$79,0),ROUNDDOWN(M283*計算過程!$B$79,0),ROUNDUP(M283*計算過程!$B$79,0)),0))</f>
        <v/>
      </c>
      <c r="L284" s="107" t="str">
        <f>IF(A284="","",J284-K284)</f>
        <v/>
      </c>
      <c r="M284" s="107" t="str">
        <f>IF(A284="","",IF(I284&gt;I283,M283-L284,M283))</f>
        <v/>
      </c>
      <c r="N284" s="107" t="str">
        <f>IF(A284="","",C284+J284)</f>
        <v/>
      </c>
      <c r="O284" s="107" t="str">
        <f>IF(A284="","",H284+M284)</f>
        <v/>
      </c>
      <c r="P284" s="107" t="str">
        <f>IF(A284="","",CHOOSE(計算過程!$B$72,ROUND(F283*計算過程!$B$32/計算過程!$B$6,0),ROUNDDOWN(F283*計算過程!$B$32/計算過程!$B$6,0),ROUNDUP(F283*計算過程!$B$32/計算過程!$B$6,0)))</f>
        <v/>
      </c>
      <c r="Q284" s="107" t="str">
        <f>IF(A284="","",CHOOSE(計算過程!$B$72,ROUND(G283*計算過程!$B$33/計算過程!$B$6,0),ROUNDDOWN(G283*計算過程!$B$33/計算過程!$B$6,0),ROUNDUP(G283*計算過程!$B$33/計算過程!$B$6,0)))</f>
        <v/>
      </c>
    </row>
    <row r="285" spans="1:17">
      <c r="A285" s="106" t="str">
        <f>IF(OR(計算過程!$B$98="",ROWS($A$8:A285)&gt;計算過程!$B$71),"",ROWS($A$8:A285))</f>
        <v/>
      </c>
      <c r="B285" s="108" t="str">
        <f>IF(A285="","",EDATE(計算過程!$B$98,A285-1))</f>
        <v/>
      </c>
      <c r="C285" s="107" t="str">
        <f>IF(A285="","",IF(A285=計算過程!$B$71,D285+F284+G284,計算過程!$B$78))</f>
        <v/>
      </c>
      <c r="D285" s="107" t="str">
        <f>IF(A285="","",P285+Q285)</f>
        <v/>
      </c>
      <c r="E285" s="107" t="str">
        <f>IF(A285="","",C285-D285)</f>
        <v/>
      </c>
      <c r="F285" s="107" t="str">
        <f>IF(A285="","",IF(A285=計算過程!$B$71,0,MAX(0,F284-(計算過程!$B$76-P285))))</f>
        <v/>
      </c>
      <c r="G285" s="107" t="str">
        <f>IF(A285="","",IF(A285=計算過程!$B$71,0,MAX(0,G284-(計算過程!$B$77-Q285))))</f>
        <v/>
      </c>
      <c r="H285" s="107" t="str">
        <f>IF(A285="","",F285+G285)</f>
        <v/>
      </c>
      <c r="I285" s="106" t="str">
        <f>IF(A285="","",IF(AND(OR(MONTH(B285)=6,MONTH(B285)=12),I284&lt;計算過程!$B$69),I284+1,I284))</f>
        <v/>
      </c>
      <c r="J285" s="107" t="str">
        <f>IF(A285="","",IF(I285&gt;I284,IF(I285=計算過程!$B$69,M284+K285,計算過程!$B$81),0))</f>
        <v/>
      </c>
      <c r="K285" s="107" t="str">
        <f>IF(A285="","",IF(I285&gt;I284,CHOOSE(計算過程!$B$72,ROUND(M284*計算過程!$B$79,0),ROUNDDOWN(M284*計算過程!$B$79,0),ROUNDUP(M284*計算過程!$B$79,0)),0))</f>
        <v/>
      </c>
      <c r="L285" s="107" t="str">
        <f>IF(A285="","",J285-K285)</f>
        <v/>
      </c>
      <c r="M285" s="107" t="str">
        <f>IF(A285="","",IF(I285&gt;I284,M284-L285,M284))</f>
        <v/>
      </c>
      <c r="N285" s="107" t="str">
        <f>IF(A285="","",C285+J285)</f>
        <v/>
      </c>
      <c r="O285" s="107" t="str">
        <f>IF(A285="","",H285+M285)</f>
        <v/>
      </c>
      <c r="P285" s="107" t="str">
        <f>IF(A285="","",CHOOSE(計算過程!$B$72,ROUND(F284*計算過程!$B$32/計算過程!$B$6,0),ROUNDDOWN(F284*計算過程!$B$32/計算過程!$B$6,0),ROUNDUP(F284*計算過程!$B$32/計算過程!$B$6,0)))</f>
        <v/>
      </c>
      <c r="Q285" s="107" t="str">
        <f>IF(A285="","",CHOOSE(計算過程!$B$72,ROUND(G284*計算過程!$B$33/計算過程!$B$6,0),ROUNDDOWN(G284*計算過程!$B$33/計算過程!$B$6,0),ROUNDUP(G284*計算過程!$B$33/計算過程!$B$6,0)))</f>
        <v/>
      </c>
    </row>
    <row r="286" spans="1:17">
      <c r="A286" s="106" t="str">
        <f>IF(OR(計算過程!$B$98="",ROWS($A$8:A286)&gt;計算過程!$B$71),"",ROWS($A$8:A286))</f>
        <v/>
      </c>
      <c r="B286" s="108" t="str">
        <f>IF(A286="","",EDATE(計算過程!$B$98,A286-1))</f>
        <v/>
      </c>
      <c r="C286" s="107" t="str">
        <f>IF(A286="","",IF(A286=計算過程!$B$71,D286+F285+G285,計算過程!$B$78))</f>
        <v/>
      </c>
      <c r="D286" s="107" t="str">
        <f>IF(A286="","",P286+Q286)</f>
        <v/>
      </c>
      <c r="E286" s="107" t="str">
        <f>IF(A286="","",C286-D286)</f>
        <v/>
      </c>
      <c r="F286" s="107" t="str">
        <f>IF(A286="","",IF(A286=計算過程!$B$71,0,MAX(0,F285-(計算過程!$B$76-P286))))</f>
        <v/>
      </c>
      <c r="G286" s="107" t="str">
        <f>IF(A286="","",IF(A286=計算過程!$B$71,0,MAX(0,G285-(計算過程!$B$77-Q286))))</f>
        <v/>
      </c>
      <c r="H286" s="107" t="str">
        <f>IF(A286="","",F286+G286)</f>
        <v/>
      </c>
      <c r="I286" s="106" t="str">
        <f>IF(A286="","",IF(AND(OR(MONTH(B286)=6,MONTH(B286)=12),I285&lt;計算過程!$B$69),I285+1,I285))</f>
        <v/>
      </c>
      <c r="J286" s="107" t="str">
        <f>IF(A286="","",IF(I286&gt;I285,IF(I286=計算過程!$B$69,M285+K286,計算過程!$B$81),0))</f>
        <v/>
      </c>
      <c r="K286" s="107" t="str">
        <f>IF(A286="","",IF(I286&gt;I285,CHOOSE(計算過程!$B$72,ROUND(M285*計算過程!$B$79,0),ROUNDDOWN(M285*計算過程!$B$79,0),ROUNDUP(M285*計算過程!$B$79,0)),0))</f>
        <v/>
      </c>
      <c r="L286" s="107" t="str">
        <f>IF(A286="","",J286-K286)</f>
        <v/>
      </c>
      <c r="M286" s="107" t="str">
        <f>IF(A286="","",IF(I286&gt;I285,M285-L286,M285))</f>
        <v/>
      </c>
      <c r="N286" s="107" t="str">
        <f>IF(A286="","",C286+J286)</f>
        <v/>
      </c>
      <c r="O286" s="107" t="str">
        <f>IF(A286="","",H286+M286)</f>
        <v/>
      </c>
      <c r="P286" s="107" t="str">
        <f>IF(A286="","",CHOOSE(計算過程!$B$72,ROUND(F285*計算過程!$B$32/計算過程!$B$6,0),ROUNDDOWN(F285*計算過程!$B$32/計算過程!$B$6,0),ROUNDUP(F285*計算過程!$B$32/計算過程!$B$6,0)))</f>
        <v/>
      </c>
      <c r="Q286" s="107" t="str">
        <f>IF(A286="","",CHOOSE(計算過程!$B$72,ROUND(G285*計算過程!$B$33/計算過程!$B$6,0),ROUNDDOWN(G285*計算過程!$B$33/計算過程!$B$6,0),ROUNDUP(G285*計算過程!$B$33/計算過程!$B$6,0)))</f>
        <v/>
      </c>
    </row>
    <row r="287" spans="1:17">
      <c r="A287" s="106" t="str">
        <f>IF(OR(計算過程!$B$98="",ROWS($A$8:A287)&gt;計算過程!$B$71),"",ROWS($A$8:A287))</f>
        <v/>
      </c>
      <c r="B287" s="108" t="str">
        <f>IF(A287="","",EDATE(計算過程!$B$98,A287-1))</f>
        <v/>
      </c>
      <c r="C287" s="107" t="str">
        <f>IF(A287="","",IF(A287=計算過程!$B$71,D287+F286+G286,計算過程!$B$78))</f>
        <v/>
      </c>
      <c r="D287" s="107" t="str">
        <f>IF(A287="","",P287+Q287)</f>
        <v/>
      </c>
      <c r="E287" s="107" t="str">
        <f>IF(A287="","",C287-D287)</f>
        <v/>
      </c>
      <c r="F287" s="107" t="str">
        <f>IF(A287="","",IF(A287=計算過程!$B$71,0,MAX(0,F286-(計算過程!$B$76-P287))))</f>
        <v/>
      </c>
      <c r="G287" s="107" t="str">
        <f>IF(A287="","",IF(A287=計算過程!$B$71,0,MAX(0,G286-(計算過程!$B$77-Q287))))</f>
        <v/>
      </c>
      <c r="H287" s="107" t="str">
        <f>IF(A287="","",F287+G287)</f>
        <v/>
      </c>
      <c r="I287" s="106" t="str">
        <f>IF(A287="","",IF(AND(OR(MONTH(B287)=6,MONTH(B287)=12),I286&lt;計算過程!$B$69),I286+1,I286))</f>
        <v/>
      </c>
      <c r="J287" s="107" t="str">
        <f>IF(A287="","",IF(I287&gt;I286,IF(I287=計算過程!$B$69,M286+K287,計算過程!$B$81),0))</f>
        <v/>
      </c>
      <c r="K287" s="107" t="str">
        <f>IF(A287="","",IF(I287&gt;I286,CHOOSE(計算過程!$B$72,ROUND(M286*計算過程!$B$79,0),ROUNDDOWN(M286*計算過程!$B$79,0),ROUNDUP(M286*計算過程!$B$79,0)),0))</f>
        <v/>
      </c>
      <c r="L287" s="107" t="str">
        <f>IF(A287="","",J287-K287)</f>
        <v/>
      </c>
      <c r="M287" s="107" t="str">
        <f>IF(A287="","",IF(I287&gt;I286,M286-L287,M286))</f>
        <v/>
      </c>
      <c r="N287" s="107" t="str">
        <f>IF(A287="","",C287+J287)</f>
        <v/>
      </c>
      <c r="O287" s="107" t="str">
        <f>IF(A287="","",H287+M287)</f>
        <v/>
      </c>
      <c r="P287" s="107" t="str">
        <f>IF(A287="","",CHOOSE(計算過程!$B$72,ROUND(F286*計算過程!$B$32/計算過程!$B$6,0),ROUNDDOWN(F286*計算過程!$B$32/計算過程!$B$6,0),ROUNDUP(F286*計算過程!$B$32/計算過程!$B$6,0)))</f>
        <v/>
      </c>
      <c r="Q287" s="107" t="str">
        <f>IF(A287="","",CHOOSE(計算過程!$B$72,ROUND(G286*計算過程!$B$33/計算過程!$B$6,0),ROUNDDOWN(G286*計算過程!$B$33/計算過程!$B$6,0),ROUNDUP(G286*計算過程!$B$33/計算過程!$B$6,0)))</f>
        <v/>
      </c>
    </row>
    <row r="288" spans="1:17">
      <c r="A288" s="106" t="str">
        <f>IF(OR(計算過程!$B$98="",ROWS($A$8:A288)&gt;計算過程!$B$71),"",ROWS($A$8:A288))</f>
        <v/>
      </c>
      <c r="B288" s="108" t="str">
        <f>IF(A288="","",EDATE(計算過程!$B$98,A288-1))</f>
        <v/>
      </c>
      <c r="C288" s="107" t="str">
        <f>IF(A288="","",IF(A288=計算過程!$B$71,D288+F287+G287,計算過程!$B$78))</f>
        <v/>
      </c>
      <c r="D288" s="107" t="str">
        <f>IF(A288="","",P288+Q288)</f>
        <v/>
      </c>
      <c r="E288" s="107" t="str">
        <f>IF(A288="","",C288-D288)</f>
        <v/>
      </c>
      <c r="F288" s="107" t="str">
        <f>IF(A288="","",IF(A288=計算過程!$B$71,0,MAX(0,F287-(計算過程!$B$76-P288))))</f>
        <v/>
      </c>
      <c r="G288" s="107" t="str">
        <f>IF(A288="","",IF(A288=計算過程!$B$71,0,MAX(0,G287-(計算過程!$B$77-Q288))))</f>
        <v/>
      </c>
      <c r="H288" s="107" t="str">
        <f>IF(A288="","",F288+G288)</f>
        <v/>
      </c>
      <c r="I288" s="106" t="str">
        <f>IF(A288="","",IF(AND(OR(MONTH(B288)=6,MONTH(B288)=12),I287&lt;計算過程!$B$69),I287+1,I287))</f>
        <v/>
      </c>
      <c r="J288" s="107" t="str">
        <f>IF(A288="","",IF(I288&gt;I287,IF(I288=計算過程!$B$69,M287+K288,計算過程!$B$81),0))</f>
        <v/>
      </c>
      <c r="K288" s="107" t="str">
        <f>IF(A288="","",IF(I288&gt;I287,CHOOSE(計算過程!$B$72,ROUND(M287*計算過程!$B$79,0),ROUNDDOWN(M287*計算過程!$B$79,0),ROUNDUP(M287*計算過程!$B$79,0)),0))</f>
        <v/>
      </c>
      <c r="L288" s="107" t="str">
        <f>IF(A288="","",J288-K288)</f>
        <v/>
      </c>
      <c r="M288" s="107" t="str">
        <f>IF(A288="","",IF(I288&gt;I287,M287-L288,M287))</f>
        <v/>
      </c>
      <c r="N288" s="107" t="str">
        <f>IF(A288="","",C288+J288)</f>
        <v/>
      </c>
      <c r="O288" s="107" t="str">
        <f>IF(A288="","",H288+M288)</f>
        <v/>
      </c>
      <c r="P288" s="107" t="str">
        <f>IF(A288="","",CHOOSE(計算過程!$B$72,ROUND(F287*計算過程!$B$32/計算過程!$B$6,0),ROUNDDOWN(F287*計算過程!$B$32/計算過程!$B$6,0),ROUNDUP(F287*計算過程!$B$32/計算過程!$B$6,0)))</f>
        <v/>
      </c>
      <c r="Q288" s="107" t="str">
        <f>IF(A288="","",CHOOSE(計算過程!$B$72,ROUND(G287*計算過程!$B$33/計算過程!$B$6,0),ROUNDDOWN(G287*計算過程!$B$33/計算過程!$B$6,0),ROUNDUP(G287*計算過程!$B$33/計算過程!$B$6,0)))</f>
        <v/>
      </c>
    </row>
    <row r="289" spans="1:17">
      <c r="A289" s="106" t="str">
        <f>IF(OR(計算過程!$B$98="",ROWS($A$8:A289)&gt;計算過程!$B$71),"",ROWS($A$8:A289))</f>
        <v/>
      </c>
      <c r="B289" s="108" t="str">
        <f>IF(A289="","",EDATE(計算過程!$B$98,A289-1))</f>
        <v/>
      </c>
      <c r="C289" s="107" t="str">
        <f>IF(A289="","",IF(A289=計算過程!$B$71,D289+F288+G288,計算過程!$B$78))</f>
        <v/>
      </c>
      <c r="D289" s="107" t="str">
        <f>IF(A289="","",P289+Q289)</f>
        <v/>
      </c>
      <c r="E289" s="107" t="str">
        <f>IF(A289="","",C289-D289)</f>
        <v/>
      </c>
      <c r="F289" s="107" t="str">
        <f>IF(A289="","",IF(A289=計算過程!$B$71,0,MAX(0,F288-(計算過程!$B$76-P289))))</f>
        <v/>
      </c>
      <c r="G289" s="107" t="str">
        <f>IF(A289="","",IF(A289=計算過程!$B$71,0,MAX(0,G288-(計算過程!$B$77-Q289))))</f>
        <v/>
      </c>
      <c r="H289" s="107" t="str">
        <f>IF(A289="","",F289+G289)</f>
        <v/>
      </c>
      <c r="I289" s="106" t="str">
        <f>IF(A289="","",IF(AND(OR(MONTH(B289)=6,MONTH(B289)=12),I288&lt;計算過程!$B$69),I288+1,I288))</f>
        <v/>
      </c>
      <c r="J289" s="107" t="str">
        <f>IF(A289="","",IF(I289&gt;I288,IF(I289=計算過程!$B$69,M288+K289,計算過程!$B$81),0))</f>
        <v/>
      </c>
      <c r="K289" s="107" t="str">
        <f>IF(A289="","",IF(I289&gt;I288,CHOOSE(計算過程!$B$72,ROUND(M288*計算過程!$B$79,0),ROUNDDOWN(M288*計算過程!$B$79,0),ROUNDUP(M288*計算過程!$B$79,0)),0))</f>
        <v/>
      </c>
      <c r="L289" s="107" t="str">
        <f>IF(A289="","",J289-K289)</f>
        <v/>
      </c>
      <c r="M289" s="107" t="str">
        <f>IF(A289="","",IF(I289&gt;I288,M288-L289,M288))</f>
        <v/>
      </c>
      <c r="N289" s="107" t="str">
        <f>IF(A289="","",C289+J289)</f>
        <v/>
      </c>
      <c r="O289" s="107" t="str">
        <f>IF(A289="","",H289+M289)</f>
        <v/>
      </c>
      <c r="P289" s="107" t="str">
        <f>IF(A289="","",CHOOSE(計算過程!$B$72,ROUND(F288*計算過程!$B$32/計算過程!$B$6,0),ROUNDDOWN(F288*計算過程!$B$32/計算過程!$B$6,0),ROUNDUP(F288*計算過程!$B$32/計算過程!$B$6,0)))</f>
        <v/>
      </c>
      <c r="Q289" s="107" t="str">
        <f>IF(A289="","",CHOOSE(計算過程!$B$72,ROUND(G288*計算過程!$B$33/計算過程!$B$6,0),ROUNDDOWN(G288*計算過程!$B$33/計算過程!$B$6,0),ROUNDUP(G288*計算過程!$B$33/計算過程!$B$6,0)))</f>
        <v/>
      </c>
    </row>
    <row r="290" spans="1:17">
      <c r="A290" s="106" t="str">
        <f>IF(OR(計算過程!$B$98="",ROWS($A$8:A290)&gt;計算過程!$B$71),"",ROWS($A$8:A290))</f>
        <v/>
      </c>
      <c r="B290" s="108" t="str">
        <f>IF(A290="","",EDATE(計算過程!$B$98,A290-1))</f>
        <v/>
      </c>
      <c r="C290" s="107" t="str">
        <f>IF(A290="","",IF(A290=計算過程!$B$71,D290+F289+G289,計算過程!$B$78))</f>
        <v/>
      </c>
      <c r="D290" s="107" t="str">
        <f>IF(A290="","",P290+Q290)</f>
        <v/>
      </c>
      <c r="E290" s="107" t="str">
        <f>IF(A290="","",C290-D290)</f>
        <v/>
      </c>
      <c r="F290" s="107" t="str">
        <f>IF(A290="","",IF(A290=計算過程!$B$71,0,MAX(0,F289-(計算過程!$B$76-P290))))</f>
        <v/>
      </c>
      <c r="G290" s="107" t="str">
        <f>IF(A290="","",IF(A290=計算過程!$B$71,0,MAX(0,G289-(計算過程!$B$77-Q290))))</f>
        <v/>
      </c>
      <c r="H290" s="107" t="str">
        <f>IF(A290="","",F290+G290)</f>
        <v/>
      </c>
      <c r="I290" s="106" t="str">
        <f>IF(A290="","",IF(AND(OR(MONTH(B290)=6,MONTH(B290)=12),I289&lt;計算過程!$B$69),I289+1,I289))</f>
        <v/>
      </c>
      <c r="J290" s="107" t="str">
        <f>IF(A290="","",IF(I290&gt;I289,IF(I290=計算過程!$B$69,M289+K290,計算過程!$B$81),0))</f>
        <v/>
      </c>
      <c r="K290" s="107" t="str">
        <f>IF(A290="","",IF(I290&gt;I289,CHOOSE(計算過程!$B$72,ROUND(M289*計算過程!$B$79,0),ROUNDDOWN(M289*計算過程!$B$79,0),ROUNDUP(M289*計算過程!$B$79,0)),0))</f>
        <v/>
      </c>
      <c r="L290" s="107" t="str">
        <f>IF(A290="","",J290-K290)</f>
        <v/>
      </c>
      <c r="M290" s="107" t="str">
        <f>IF(A290="","",IF(I290&gt;I289,M289-L290,M289))</f>
        <v/>
      </c>
      <c r="N290" s="107" t="str">
        <f>IF(A290="","",C290+J290)</f>
        <v/>
      </c>
      <c r="O290" s="107" t="str">
        <f>IF(A290="","",H290+M290)</f>
        <v/>
      </c>
      <c r="P290" s="107" t="str">
        <f>IF(A290="","",CHOOSE(計算過程!$B$72,ROUND(F289*計算過程!$B$32/計算過程!$B$6,0),ROUNDDOWN(F289*計算過程!$B$32/計算過程!$B$6,0),ROUNDUP(F289*計算過程!$B$32/計算過程!$B$6,0)))</f>
        <v/>
      </c>
      <c r="Q290" s="107" t="str">
        <f>IF(A290="","",CHOOSE(計算過程!$B$72,ROUND(G289*計算過程!$B$33/計算過程!$B$6,0),ROUNDDOWN(G289*計算過程!$B$33/計算過程!$B$6,0),ROUNDUP(G289*計算過程!$B$33/計算過程!$B$6,0)))</f>
        <v/>
      </c>
    </row>
    <row r="291" spans="1:17">
      <c r="A291" s="106" t="str">
        <f>IF(OR(計算過程!$B$98="",ROWS($A$8:A291)&gt;計算過程!$B$71),"",ROWS($A$8:A291))</f>
        <v/>
      </c>
      <c r="B291" s="108" t="str">
        <f>IF(A291="","",EDATE(計算過程!$B$98,A291-1))</f>
        <v/>
      </c>
      <c r="C291" s="107" t="str">
        <f>IF(A291="","",IF(A291=計算過程!$B$71,D291+F290+G290,計算過程!$B$78))</f>
        <v/>
      </c>
      <c r="D291" s="107" t="str">
        <f>IF(A291="","",P291+Q291)</f>
        <v/>
      </c>
      <c r="E291" s="107" t="str">
        <f>IF(A291="","",C291-D291)</f>
        <v/>
      </c>
      <c r="F291" s="107" t="str">
        <f>IF(A291="","",IF(A291=計算過程!$B$71,0,MAX(0,F290-(計算過程!$B$76-P291))))</f>
        <v/>
      </c>
      <c r="G291" s="107" t="str">
        <f>IF(A291="","",IF(A291=計算過程!$B$71,0,MAX(0,G290-(計算過程!$B$77-Q291))))</f>
        <v/>
      </c>
      <c r="H291" s="107" t="str">
        <f>IF(A291="","",F291+G291)</f>
        <v/>
      </c>
      <c r="I291" s="106" t="str">
        <f>IF(A291="","",IF(AND(OR(MONTH(B291)=6,MONTH(B291)=12),I290&lt;計算過程!$B$69),I290+1,I290))</f>
        <v/>
      </c>
      <c r="J291" s="107" t="str">
        <f>IF(A291="","",IF(I291&gt;I290,IF(I291=計算過程!$B$69,M290+K291,計算過程!$B$81),0))</f>
        <v/>
      </c>
      <c r="K291" s="107" t="str">
        <f>IF(A291="","",IF(I291&gt;I290,CHOOSE(計算過程!$B$72,ROUND(M290*計算過程!$B$79,0),ROUNDDOWN(M290*計算過程!$B$79,0),ROUNDUP(M290*計算過程!$B$79,0)),0))</f>
        <v/>
      </c>
      <c r="L291" s="107" t="str">
        <f>IF(A291="","",J291-K291)</f>
        <v/>
      </c>
      <c r="M291" s="107" t="str">
        <f>IF(A291="","",IF(I291&gt;I290,M290-L291,M290))</f>
        <v/>
      </c>
      <c r="N291" s="107" t="str">
        <f>IF(A291="","",C291+J291)</f>
        <v/>
      </c>
      <c r="O291" s="107" t="str">
        <f>IF(A291="","",H291+M291)</f>
        <v/>
      </c>
      <c r="P291" s="107" t="str">
        <f>IF(A291="","",CHOOSE(計算過程!$B$72,ROUND(F290*計算過程!$B$32/計算過程!$B$6,0),ROUNDDOWN(F290*計算過程!$B$32/計算過程!$B$6,0),ROUNDUP(F290*計算過程!$B$32/計算過程!$B$6,0)))</f>
        <v/>
      </c>
      <c r="Q291" s="107" t="str">
        <f>IF(A291="","",CHOOSE(計算過程!$B$72,ROUND(G290*計算過程!$B$33/計算過程!$B$6,0),ROUNDDOWN(G290*計算過程!$B$33/計算過程!$B$6,0),ROUNDUP(G290*計算過程!$B$33/計算過程!$B$6,0)))</f>
        <v/>
      </c>
    </row>
    <row r="292" spans="1:17">
      <c r="A292" s="106" t="str">
        <f>IF(OR(計算過程!$B$98="",ROWS($A$8:A292)&gt;計算過程!$B$71),"",ROWS($A$8:A292))</f>
        <v/>
      </c>
      <c r="B292" s="108" t="str">
        <f>IF(A292="","",EDATE(計算過程!$B$98,A292-1))</f>
        <v/>
      </c>
      <c r="C292" s="107" t="str">
        <f>IF(A292="","",IF(A292=計算過程!$B$71,D292+F291+G291,計算過程!$B$78))</f>
        <v/>
      </c>
      <c r="D292" s="107" t="str">
        <f>IF(A292="","",P292+Q292)</f>
        <v/>
      </c>
      <c r="E292" s="107" t="str">
        <f>IF(A292="","",C292-D292)</f>
        <v/>
      </c>
      <c r="F292" s="107" t="str">
        <f>IF(A292="","",IF(A292=計算過程!$B$71,0,MAX(0,F291-(計算過程!$B$76-P292))))</f>
        <v/>
      </c>
      <c r="G292" s="107" t="str">
        <f>IF(A292="","",IF(A292=計算過程!$B$71,0,MAX(0,G291-(計算過程!$B$77-Q292))))</f>
        <v/>
      </c>
      <c r="H292" s="107" t="str">
        <f>IF(A292="","",F292+G292)</f>
        <v/>
      </c>
      <c r="I292" s="106" t="str">
        <f>IF(A292="","",IF(AND(OR(MONTH(B292)=6,MONTH(B292)=12),I291&lt;計算過程!$B$69),I291+1,I291))</f>
        <v/>
      </c>
      <c r="J292" s="107" t="str">
        <f>IF(A292="","",IF(I292&gt;I291,IF(I292=計算過程!$B$69,M291+K292,計算過程!$B$81),0))</f>
        <v/>
      </c>
      <c r="K292" s="107" t="str">
        <f>IF(A292="","",IF(I292&gt;I291,CHOOSE(計算過程!$B$72,ROUND(M291*計算過程!$B$79,0),ROUNDDOWN(M291*計算過程!$B$79,0),ROUNDUP(M291*計算過程!$B$79,0)),0))</f>
        <v/>
      </c>
      <c r="L292" s="107" t="str">
        <f>IF(A292="","",J292-K292)</f>
        <v/>
      </c>
      <c r="M292" s="107" t="str">
        <f>IF(A292="","",IF(I292&gt;I291,M291-L292,M291))</f>
        <v/>
      </c>
      <c r="N292" s="107" t="str">
        <f>IF(A292="","",C292+J292)</f>
        <v/>
      </c>
      <c r="O292" s="107" t="str">
        <f>IF(A292="","",H292+M292)</f>
        <v/>
      </c>
      <c r="P292" s="107" t="str">
        <f>IF(A292="","",CHOOSE(計算過程!$B$72,ROUND(F291*計算過程!$B$32/計算過程!$B$6,0),ROUNDDOWN(F291*計算過程!$B$32/計算過程!$B$6,0),ROUNDUP(F291*計算過程!$B$32/計算過程!$B$6,0)))</f>
        <v/>
      </c>
      <c r="Q292" s="107" t="str">
        <f>IF(A292="","",CHOOSE(計算過程!$B$72,ROUND(G291*計算過程!$B$33/計算過程!$B$6,0),ROUNDDOWN(G291*計算過程!$B$33/計算過程!$B$6,0),ROUNDUP(G291*計算過程!$B$33/計算過程!$B$6,0)))</f>
        <v/>
      </c>
    </row>
    <row r="293" spans="1:17">
      <c r="A293" s="106" t="str">
        <f>IF(OR(計算過程!$B$98="",ROWS($A$8:A293)&gt;計算過程!$B$71),"",ROWS($A$8:A293))</f>
        <v/>
      </c>
      <c r="B293" s="108" t="str">
        <f>IF(A293="","",EDATE(計算過程!$B$98,A293-1))</f>
        <v/>
      </c>
      <c r="C293" s="107" t="str">
        <f>IF(A293="","",IF(A293=計算過程!$B$71,D293+F292+G292,計算過程!$B$78))</f>
        <v/>
      </c>
      <c r="D293" s="107" t="str">
        <f>IF(A293="","",P293+Q293)</f>
        <v/>
      </c>
      <c r="E293" s="107" t="str">
        <f>IF(A293="","",C293-D293)</f>
        <v/>
      </c>
      <c r="F293" s="107" t="str">
        <f>IF(A293="","",IF(A293=計算過程!$B$71,0,MAX(0,F292-(計算過程!$B$76-P293))))</f>
        <v/>
      </c>
      <c r="G293" s="107" t="str">
        <f>IF(A293="","",IF(A293=計算過程!$B$71,0,MAX(0,G292-(計算過程!$B$77-Q293))))</f>
        <v/>
      </c>
      <c r="H293" s="107" t="str">
        <f>IF(A293="","",F293+G293)</f>
        <v/>
      </c>
      <c r="I293" s="106" t="str">
        <f>IF(A293="","",IF(AND(OR(MONTH(B293)=6,MONTH(B293)=12),I292&lt;計算過程!$B$69),I292+1,I292))</f>
        <v/>
      </c>
      <c r="J293" s="107" t="str">
        <f>IF(A293="","",IF(I293&gt;I292,IF(I293=計算過程!$B$69,M292+K293,計算過程!$B$81),0))</f>
        <v/>
      </c>
      <c r="K293" s="107" t="str">
        <f>IF(A293="","",IF(I293&gt;I292,CHOOSE(計算過程!$B$72,ROUND(M292*計算過程!$B$79,0),ROUNDDOWN(M292*計算過程!$B$79,0),ROUNDUP(M292*計算過程!$B$79,0)),0))</f>
        <v/>
      </c>
      <c r="L293" s="107" t="str">
        <f>IF(A293="","",J293-K293)</f>
        <v/>
      </c>
      <c r="M293" s="107" t="str">
        <f>IF(A293="","",IF(I293&gt;I292,M292-L293,M292))</f>
        <v/>
      </c>
      <c r="N293" s="107" t="str">
        <f>IF(A293="","",C293+J293)</f>
        <v/>
      </c>
      <c r="O293" s="107" t="str">
        <f>IF(A293="","",H293+M293)</f>
        <v/>
      </c>
      <c r="P293" s="107" t="str">
        <f>IF(A293="","",CHOOSE(計算過程!$B$72,ROUND(F292*計算過程!$B$32/計算過程!$B$6,0),ROUNDDOWN(F292*計算過程!$B$32/計算過程!$B$6,0),ROUNDUP(F292*計算過程!$B$32/計算過程!$B$6,0)))</f>
        <v/>
      </c>
      <c r="Q293" s="107" t="str">
        <f>IF(A293="","",CHOOSE(計算過程!$B$72,ROUND(G292*計算過程!$B$33/計算過程!$B$6,0),ROUNDDOWN(G292*計算過程!$B$33/計算過程!$B$6,0),ROUNDUP(G292*計算過程!$B$33/計算過程!$B$6,0)))</f>
        <v/>
      </c>
    </row>
    <row r="294" spans="1:17">
      <c r="A294" s="106" t="str">
        <f>IF(OR(計算過程!$B$98="",ROWS($A$8:A294)&gt;計算過程!$B$71),"",ROWS($A$8:A294))</f>
        <v/>
      </c>
      <c r="B294" s="108" t="str">
        <f>IF(A294="","",EDATE(計算過程!$B$98,A294-1))</f>
        <v/>
      </c>
      <c r="C294" s="107" t="str">
        <f>IF(A294="","",IF(A294=計算過程!$B$71,D294+F293+G293,計算過程!$B$78))</f>
        <v/>
      </c>
      <c r="D294" s="107" t="str">
        <f>IF(A294="","",P294+Q294)</f>
        <v/>
      </c>
      <c r="E294" s="107" t="str">
        <f>IF(A294="","",C294-D294)</f>
        <v/>
      </c>
      <c r="F294" s="107" t="str">
        <f>IF(A294="","",IF(A294=計算過程!$B$71,0,MAX(0,F293-(計算過程!$B$76-P294))))</f>
        <v/>
      </c>
      <c r="G294" s="107" t="str">
        <f>IF(A294="","",IF(A294=計算過程!$B$71,0,MAX(0,G293-(計算過程!$B$77-Q294))))</f>
        <v/>
      </c>
      <c r="H294" s="107" t="str">
        <f>IF(A294="","",F294+G294)</f>
        <v/>
      </c>
      <c r="I294" s="106" t="str">
        <f>IF(A294="","",IF(AND(OR(MONTH(B294)=6,MONTH(B294)=12),I293&lt;計算過程!$B$69),I293+1,I293))</f>
        <v/>
      </c>
      <c r="J294" s="107" t="str">
        <f>IF(A294="","",IF(I294&gt;I293,IF(I294=計算過程!$B$69,M293+K294,計算過程!$B$81),0))</f>
        <v/>
      </c>
      <c r="K294" s="107" t="str">
        <f>IF(A294="","",IF(I294&gt;I293,CHOOSE(計算過程!$B$72,ROUND(M293*計算過程!$B$79,0),ROUNDDOWN(M293*計算過程!$B$79,0),ROUNDUP(M293*計算過程!$B$79,0)),0))</f>
        <v/>
      </c>
      <c r="L294" s="107" t="str">
        <f>IF(A294="","",J294-K294)</f>
        <v/>
      </c>
      <c r="M294" s="107" t="str">
        <f>IF(A294="","",IF(I294&gt;I293,M293-L294,M293))</f>
        <v/>
      </c>
      <c r="N294" s="107" t="str">
        <f>IF(A294="","",C294+J294)</f>
        <v/>
      </c>
      <c r="O294" s="107" t="str">
        <f>IF(A294="","",H294+M294)</f>
        <v/>
      </c>
      <c r="P294" s="107" t="str">
        <f>IF(A294="","",CHOOSE(計算過程!$B$72,ROUND(F293*計算過程!$B$32/計算過程!$B$6,0),ROUNDDOWN(F293*計算過程!$B$32/計算過程!$B$6,0),ROUNDUP(F293*計算過程!$B$32/計算過程!$B$6,0)))</f>
        <v/>
      </c>
      <c r="Q294" s="107" t="str">
        <f>IF(A294="","",CHOOSE(計算過程!$B$72,ROUND(G293*計算過程!$B$33/計算過程!$B$6,0),ROUNDDOWN(G293*計算過程!$B$33/計算過程!$B$6,0),ROUNDUP(G293*計算過程!$B$33/計算過程!$B$6,0)))</f>
        <v/>
      </c>
    </row>
    <row r="295" spans="1:17">
      <c r="A295" s="106" t="str">
        <f>IF(OR(計算過程!$B$98="",ROWS($A$8:A295)&gt;計算過程!$B$71),"",ROWS($A$8:A295))</f>
        <v/>
      </c>
      <c r="B295" s="108" t="str">
        <f>IF(A295="","",EDATE(計算過程!$B$98,A295-1))</f>
        <v/>
      </c>
      <c r="C295" s="107" t="str">
        <f>IF(A295="","",IF(A295=計算過程!$B$71,D295+F294+G294,計算過程!$B$78))</f>
        <v/>
      </c>
      <c r="D295" s="107" t="str">
        <f>IF(A295="","",P295+Q295)</f>
        <v/>
      </c>
      <c r="E295" s="107" t="str">
        <f>IF(A295="","",C295-D295)</f>
        <v/>
      </c>
      <c r="F295" s="107" t="str">
        <f>IF(A295="","",IF(A295=計算過程!$B$71,0,MAX(0,F294-(計算過程!$B$76-P295))))</f>
        <v/>
      </c>
      <c r="G295" s="107" t="str">
        <f>IF(A295="","",IF(A295=計算過程!$B$71,0,MAX(0,G294-(計算過程!$B$77-Q295))))</f>
        <v/>
      </c>
      <c r="H295" s="107" t="str">
        <f>IF(A295="","",F295+G295)</f>
        <v/>
      </c>
      <c r="I295" s="106" t="str">
        <f>IF(A295="","",IF(AND(OR(MONTH(B295)=6,MONTH(B295)=12),I294&lt;計算過程!$B$69),I294+1,I294))</f>
        <v/>
      </c>
      <c r="J295" s="107" t="str">
        <f>IF(A295="","",IF(I295&gt;I294,IF(I295=計算過程!$B$69,M294+K295,計算過程!$B$81),0))</f>
        <v/>
      </c>
      <c r="K295" s="107" t="str">
        <f>IF(A295="","",IF(I295&gt;I294,CHOOSE(計算過程!$B$72,ROUND(M294*計算過程!$B$79,0),ROUNDDOWN(M294*計算過程!$B$79,0),ROUNDUP(M294*計算過程!$B$79,0)),0))</f>
        <v/>
      </c>
      <c r="L295" s="107" t="str">
        <f>IF(A295="","",J295-K295)</f>
        <v/>
      </c>
      <c r="M295" s="107" t="str">
        <f>IF(A295="","",IF(I295&gt;I294,M294-L295,M294))</f>
        <v/>
      </c>
      <c r="N295" s="107" t="str">
        <f>IF(A295="","",C295+J295)</f>
        <v/>
      </c>
      <c r="O295" s="107" t="str">
        <f>IF(A295="","",H295+M295)</f>
        <v/>
      </c>
      <c r="P295" s="107" t="str">
        <f>IF(A295="","",CHOOSE(計算過程!$B$72,ROUND(F294*計算過程!$B$32/計算過程!$B$6,0),ROUNDDOWN(F294*計算過程!$B$32/計算過程!$B$6,0),ROUNDUP(F294*計算過程!$B$32/計算過程!$B$6,0)))</f>
        <v/>
      </c>
      <c r="Q295" s="107" t="str">
        <f>IF(A295="","",CHOOSE(計算過程!$B$72,ROUND(G294*計算過程!$B$33/計算過程!$B$6,0),ROUNDDOWN(G294*計算過程!$B$33/計算過程!$B$6,0),ROUNDUP(G294*計算過程!$B$33/計算過程!$B$6,0)))</f>
        <v/>
      </c>
    </row>
    <row r="296" spans="1:17">
      <c r="A296" s="106" t="str">
        <f>IF(OR(計算過程!$B$98="",ROWS($A$8:A296)&gt;計算過程!$B$71),"",ROWS($A$8:A296))</f>
        <v/>
      </c>
      <c r="B296" s="108" t="str">
        <f>IF(A296="","",EDATE(計算過程!$B$98,A296-1))</f>
        <v/>
      </c>
      <c r="C296" s="107" t="str">
        <f>IF(A296="","",IF(A296=計算過程!$B$71,D296+F295+G295,計算過程!$B$78))</f>
        <v/>
      </c>
      <c r="D296" s="107" t="str">
        <f>IF(A296="","",P296+Q296)</f>
        <v/>
      </c>
      <c r="E296" s="107" t="str">
        <f>IF(A296="","",C296-D296)</f>
        <v/>
      </c>
      <c r="F296" s="107" t="str">
        <f>IF(A296="","",IF(A296=計算過程!$B$71,0,MAX(0,F295-(計算過程!$B$76-P296))))</f>
        <v/>
      </c>
      <c r="G296" s="107" t="str">
        <f>IF(A296="","",IF(A296=計算過程!$B$71,0,MAX(0,G295-(計算過程!$B$77-Q296))))</f>
        <v/>
      </c>
      <c r="H296" s="107" t="str">
        <f>IF(A296="","",F296+G296)</f>
        <v/>
      </c>
      <c r="I296" s="106" t="str">
        <f>IF(A296="","",IF(AND(OR(MONTH(B296)=6,MONTH(B296)=12),I295&lt;計算過程!$B$69),I295+1,I295))</f>
        <v/>
      </c>
      <c r="J296" s="107" t="str">
        <f>IF(A296="","",IF(I296&gt;I295,IF(I296=計算過程!$B$69,M295+K296,計算過程!$B$81),0))</f>
        <v/>
      </c>
      <c r="K296" s="107" t="str">
        <f>IF(A296="","",IF(I296&gt;I295,CHOOSE(計算過程!$B$72,ROUND(M295*計算過程!$B$79,0),ROUNDDOWN(M295*計算過程!$B$79,0),ROUNDUP(M295*計算過程!$B$79,0)),0))</f>
        <v/>
      </c>
      <c r="L296" s="107" t="str">
        <f>IF(A296="","",J296-K296)</f>
        <v/>
      </c>
      <c r="M296" s="107" t="str">
        <f>IF(A296="","",IF(I296&gt;I295,M295-L296,M295))</f>
        <v/>
      </c>
      <c r="N296" s="107" t="str">
        <f>IF(A296="","",C296+J296)</f>
        <v/>
      </c>
      <c r="O296" s="107" t="str">
        <f>IF(A296="","",H296+M296)</f>
        <v/>
      </c>
      <c r="P296" s="107" t="str">
        <f>IF(A296="","",CHOOSE(計算過程!$B$72,ROUND(F295*計算過程!$B$32/計算過程!$B$6,0),ROUNDDOWN(F295*計算過程!$B$32/計算過程!$B$6,0),ROUNDUP(F295*計算過程!$B$32/計算過程!$B$6,0)))</f>
        <v/>
      </c>
      <c r="Q296" s="107" t="str">
        <f>IF(A296="","",CHOOSE(計算過程!$B$72,ROUND(G295*計算過程!$B$33/計算過程!$B$6,0),ROUNDDOWN(G295*計算過程!$B$33/計算過程!$B$6,0),ROUNDUP(G295*計算過程!$B$33/計算過程!$B$6,0)))</f>
        <v/>
      </c>
    </row>
    <row r="297" spans="1:17">
      <c r="A297" s="106" t="str">
        <f>IF(OR(計算過程!$B$98="",ROWS($A$8:A297)&gt;計算過程!$B$71),"",ROWS($A$8:A297))</f>
        <v/>
      </c>
      <c r="B297" s="108" t="str">
        <f>IF(A297="","",EDATE(計算過程!$B$98,A297-1))</f>
        <v/>
      </c>
      <c r="C297" s="107" t="str">
        <f>IF(A297="","",IF(A297=計算過程!$B$71,D297+F296+G296,計算過程!$B$78))</f>
        <v/>
      </c>
      <c r="D297" s="107" t="str">
        <f>IF(A297="","",P297+Q297)</f>
        <v/>
      </c>
      <c r="E297" s="107" t="str">
        <f>IF(A297="","",C297-D297)</f>
        <v/>
      </c>
      <c r="F297" s="107" t="str">
        <f>IF(A297="","",IF(A297=計算過程!$B$71,0,MAX(0,F296-(計算過程!$B$76-P297))))</f>
        <v/>
      </c>
      <c r="G297" s="107" t="str">
        <f>IF(A297="","",IF(A297=計算過程!$B$71,0,MAX(0,G296-(計算過程!$B$77-Q297))))</f>
        <v/>
      </c>
      <c r="H297" s="107" t="str">
        <f>IF(A297="","",F297+G297)</f>
        <v/>
      </c>
      <c r="I297" s="106" t="str">
        <f>IF(A297="","",IF(AND(OR(MONTH(B297)=6,MONTH(B297)=12),I296&lt;計算過程!$B$69),I296+1,I296))</f>
        <v/>
      </c>
      <c r="J297" s="107" t="str">
        <f>IF(A297="","",IF(I297&gt;I296,IF(I297=計算過程!$B$69,M296+K297,計算過程!$B$81),0))</f>
        <v/>
      </c>
      <c r="K297" s="107" t="str">
        <f>IF(A297="","",IF(I297&gt;I296,CHOOSE(計算過程!$B$72,ROUND(M296*計算過程!$B$79,0),ROUNDDOWN(M296*計算過程!$B$79,0),ROUNDUP(M296*計算過程!$B$79,0)),0))</f>
        <v/>
      </c>
      <c r="L297" s="107" t="str">
        <f>IF(A297="","",J297-K297)</f>
        <v/>
      </c>
      <c r="M297" s="107" t="str">
        <f>IF(A297="","",IF(I297&gt;I296,M296-L297,M296))</f>
        <v/>
      </c>
      <c r="N297" s="107" t="str">
        <f>IF(A297="","",C297+J297)</f>
        <v/>
      </c>
      <c r="O297" s="107" t="str">
        <f>IF(A297="","",H297+M297)</f>
        <v/>
      </c>
      <c r="P297" s="107" t="str">
        <f>IF(A297="","",CHOOSE(計算過程!$B$72,ROUND(F296*計算過程!$B$32/計算過程!$B$6,0),ROUNDDOWN(F296*計算過程!$B$32/計算過程!$B$6,0),ROUNDUP(F296*計算過程!$B$32/計算過程!$B$6,0)))</f>
        <v/>
      </c>
      <c r="Q297" s="107" t="str">
        <f>IF(A297="","",CHOOSE(計算過程!$B$72,ROUND(G296*計算過程!$B$33/計算過程!$B$6,0),ROUNDDOWN(G296*計算過程!$B$33/計算過程!$B$6,0),ROUNDUP(G296*計算過程!$B$33/計算過程!$B$6,0)))</f>
        <v/>
      </c>
    </row>
    <row r="298" spans="1:17">
      <c r="A298" s="106" t="str">
        <f>IF(OR(計算過程!$B$98="",ROWS($A$8:A298)&gt;計算過程!$B$71),"",ROWS($A$8:A298))</f>
        <v/>
      </c>
      <c r="B298" s="108" t="str">
        <f>IF(A298="","",EDATE(計算過程!$B$98,A298-1))</f>
        <v/>
      </c>
      <c r="C298" s="107" t="str">
        <f>IF(A298="","",IF(A298=計算過程!$B$71,D298+F297+G297,計算過程!$B$78))</f>
        <v/>
      </c>
      <c r="D298" s="107" t="str">
        <f>IF(A298="","",P298+Q298)</f>
        <v/>
      </c>
      <c r="E298" s="107" t="str">
        <f>IF(A298="","",C298-D298)</f>
        <v/>
      </c>
      <c r="F298" s="107" t="str">
        <f>IF(A298="","",IF(A298=計算過程!$B$71,0,MAX(0,F297-(計算過程!$B$76-P298))))</f>
        <v/>
      </c>
      <c r="G298" s="107" t="str">
        <f>IF(A298="","",IF(A298=計算過程!$B$71,0,MAX(0,G297-(計算過程!$B$77-Q298))))</f>
        <v/>
      </c>
      <c r="H298" s="107" t="str">
        <f>IF(A298="","",F298+G298)</f>
        <v/>
      </c>
      <c r="I298" s="106" t="str">
        <f>IF(A298="","",IF(AND(OR(MONTH(B298)=6,MONTH(B298)=12),I297&lt;計算過程!$B$69),I297+1,I297))</f>
        <v/>
      </c>
      <c r="J298" s="107" t="str">
        <f>IF(A298="","",IF(I298&gt;I297,IF(I298=計算過程!$B$69,M297+K298,計算過程!$B$81),0))</f>
        <v/>
      </c>
      <c r="K298" s="107" t="str">
        <f>IF(A298="","",IF(I298&gt;I297,CHOOSE(計算過程!$B$72,ROUND(M297*計算過程!$B$79,0),ROUNDDOWN(M297*計算過程!$B$79,0),ROUNDUP(M297*計算過程!$B$79,0)),0))</f>
        <v/>
      </c>
      <c r="L298" s="107" t="str">
        <f>IF(A298="","",J298-K298)</f>
        <v/>
      </c>
      <c r="M298" s="107" t="str">
        <f>IF(A298="","",IF(I298&gt;I297,M297-L298,M297))</f>
        <v/>
      </c>
      <c r="N298" s="107" t="str">
        <f>IF(A298="","",C298+J298)</f>
        <v/>
      </c>
      <c r="O298" s="107" t="str">
        <f>IF(A298="","",H298+M298)</f>
        <v/>
      </c>
      <c r="P298" s="107" t="str">
        <f>IF(A298="","",CHOOSE(計算過程!$B$72,ROUND(F297*計算過程!$B$32/計算過程!$B$6,0),ROUNDDOWN(F297*計算過程!$B$32/計算過程!$B$6,0),ROUNDUP(F297*計算過程!$B$32/計算過程!$B$6,0)))</f>
        <v/>
      </c>
      <c r="Q298" s="107" t="str">
        <f>IF(A298="","",CHOOSE(計算過程!$B$72,ROUND(G297*計算過程!$B$33/計算過程!$B$6,0),ROUNDDOWN(G297*計算過程!$B$33/計算過程!$B$6,0),ROUNDUP(G297*計算過程!$B$33/計算過程!$B$6,0)))</f>
        <v/>
      </c>
    </row>
    <row r="299" spans="1:17">
      <c r="A299" s="106" t="str">
        <f>IF(OR(計算過程!$B$98="",ROWS($A$8:A299)&gt;計算過程!$B$71),"",ROWS($A$8:A299))</f>
        <v/>
      </c>
      <c r="B299" s="108" t="str">
        <f>IF(A299="","",EDATE(計算過程!$B$98,A299-1))</f>
        <v/>
      </c>
      <c r="C299" s="107" t="str">
        <f>IF(A299="","",IF(A299=計算過程!$B$71,D299+F298+G298,計算過程!$B$78))</f>
        <v/>
      </c>
      <c r="D299" s="107" t="str">
        <f>IF(A299="","",P299+Q299)</f>
        <v/>
      </c>
      <c r="E299" s="107" t="str">
        <f>IF(A299="","",C299-D299)</f>
        <v/>
      </c>
      <c r="F299" s="107" t="str">
        <f>IF(A299="","",IF(A299=計算過程!$B$71,0,MAX(0,F298-(計算過程!$B$76-P299))))</f>
        <v/>
      </c>
      <c r="G299" s="107" t="str">
        <f>IF(A299="","",IF(A299=計算過程!$B$71,0,MAX(0,G298-(計算過程!$B$77-Q299))))</f>
        <v/>
      </c>
      <c r="H299" s="107" t="str">
        <f>IF(A299="","",F299+G299)</f>
        <v/>
      </c>
      <c r="I299" s="106" t="str">
        <f>IF(A299="","",IF(AND(OR(MONTH(B299)=6,MONTH(B299)=12),I298&lt;計算過程!$B$69),I298+1,I298))</f>
        <v/>
      </c>
      <c r="J299" s="107" t="str">
        <f>IF(A299="","",IF(I299&gt;I298,IF(I299=計算過程!$B$69,M298+K299,計算過程!$B$81),0))</f>
        <v/>
      </c>
      <c r="K299" s="107" t="str">
        <f>IF(A299="","",IF(I299&gt;I298,CHOOSE(計算過程!$B$72,ROUND(M298*計算過程!$B$79,0),ROUNDDOWN(M298*計算過程!$B$79,0),ROUNDUP(M298*計算過程!$B$79,0)),0))</f>
        <v/>
      </c>
      <c r="L299" s="107" t="str">
        <f>IF(A299="","",J299-K299)</f>
        <v/>
      </c>
      <c r="M299" s="107" t="str">
        <f>IF(A299="","",IF(I299&gt;I298,M298-L299,M298))</f>
        <v/>
      </c>
      <c r="N299" s="107" t="str">
        <f>IF(A299="","",C299+J299)</f>
        <v/>
      </c>
      <c r="O299" s="107" t="str">
        <f>IF(A299="","",H299+M299)</f>
        <v/>
      </c>
      <c r="P299" s="107" t="str">
        <f>IF(A299="","",CHOOSE(計算過程!$B$72,ROUND(F298*計算過程!$B$32/計算過程!$B$6,0),ROUNDDOWN(F298*計算過程!$B$32/計算過程!$B$6,0),ROUNDUP(F298*計算過程!$B$32/計算過程!$B$6,0)))</f>
        <v/>
      </c>
      <c r="Q299" s="107" t="str">
        <f>IF(A299="","",CHOOSE(計算過程!$B$72,ROUND(G298*計算過程!$B$33/計算過程!$B$6,0),ROUNDDOWN(G298*計算過程!$B$33/計算過程!$B$6,0),ROUNDUP(G298*計算過程!$B$33/計算過程!$B$6,0)))</f>
        <v/>
      </c>
    </row>
    <row r="300" spans="1:17">
      <c r="A300" s="106" t="str">
        <f>IF(OR(計算過程!$B$98="",ROWS($A$8:A300)&gt;計算過程!$B$71),"",ROWS($A$8:A300))</f>
        <v/>
      </c>
      <c r="B300" s="108" t="str">
        <f>IF(A300="","",EDATE(計算過程!$B$98,A300-1))</f>
        <v/>
      </c>
      <c r="C300" s="107" t="str">
        <f>IF(A300="","",IF(A300=計算過程!$B$71,D300+F299+G299,計算過程!$B$78))</f>
        <v/>
      </c>
      <c r="D300" s="107" t="str">
        <f>IF(A300="","",P300+Q300)</f>
        <v/>
      </c>
      <c r="E300" s="107" t="str">
        <f>IF(A300="","",C300-D300)</f>
        <v/>
      </c>
      <c r="F300" s="107" t="str">
        <f>IF(A300="","",IF(A300=計算過程!$B$71,0,MAX(0,F299-(計算過程!$B$76-P300))))</f>
        <v/>
      </c>
      <c r="G300" s="107" t="str">
        <f>IF(A300="","",IF(A300=計算過程!$B$71,0,MAX(0,G299-(計算過程!$B$77-Q300))))</f>
        <v/>
      </c>
      <c r="H300" s="107" t="str">
        <f>IF(A300="","",F300+G300)</f>
        <v/>
      </c>
      <c r="I300" s="106" t="str">
        <f>IF(A300="","",IF(AND(OR(MONTH(B300)=6,MONTH(B300)=12),I299&lt;計算過程!$B$69),I299+1,I299))</f>
        <v/>
      </c>
      <c r="J300" s="107" t="str">
        <f>IF(A300="","",IF(I300&gt;I299,IF(I300=計算過程!$B$69,M299+K300,計算過程!$B$81),0))</f>
        <v/>
      </c>
      <c r="K300" s="107" t="str">
        <f>IF(A300="","",IF(I300&gt;I299,CHOOSE(計算過程!$B$72,ROUND(M299*計算過程!$B$79,0),ROUNDDOWN(M299*計算過程!$B$79,0),ROUNDUP(M299*計算過程!$B$79,0)),0))</f>
        <v/>
      </c>
      <c r="L300" s="107" t="str">
        <f>IF(A300="","",J300-K300)</f>
        <v/>
      </c>
      <c r="M300" s="107" t="str">
        <f>IF(A300="","",IF(I300&gt;I299,M299-L300,M299))</f>
        <v/>
      </c>
      <c r="N300" s="107" t="str">
        <f>IF(A300="","",C300+J300)</f>
        <v/>
      </c>
      <c r="O300" s="107" t="str">
        <f>IF(A300="","",H300+M300)</f>
        <v/>
      </c>
      <c r="P300" s="107" t="str">
        <f>IF(A300="","",CHOOSE(計算過程!$B$72,ROUND(F299*計算過程!$B$32/計算過程!$B$6,0),ROUNDDOWN(F299*計算過程!$B$32/計算過程!$B$6,0),ROUNDUP(F299*計算過程!$B$32/計算過程!$B$6,0)))</f>
        <v/>
      </c>
      <c r="Q300" s="107" t="str">
        <f>IF(A300="","",CHOOSE(計算過程!$B$72,ROUND(G299*計算過程!$B$33/計算過程!$B$6,0),ROUNDDOWN(G299*計算過程!$B$33/計算過程!$B$6,0),ROUNDUP(G299*計算過程!$B$33/計算過程!$B$6,0)))</f>
        <v/>
      </c>
    </row>
    <row r="301" spans="1:17">
      <c r="A301" s="106" t="str">
        <f>IF(OR(計算過程!$B$98="",ROWS($A$8:A301)&gt;計算過程!$B$71),"",ROWS($A$8:A301))</f>
        <v/>
      </c>
      <c r="B301" s="108" t="str">
        <f>IF(A301="","",EDATE(計算過程!$B$98,A301-1))</f>
        <v/>
      </c>
      <c r="C301" s="107" t="str">
        <f>IF(A301="","",IF(A301=計算過程!$B$71,D301+F300+G300,計算過程!$B$78))</f>
        <v/>
      </c>
      <c r="D301" s="107" t="str">
        <f>IF(A301="","",P301+Q301)</f>
        <v/>
      </c>
      <c r="E301" s="107" t="str">
        <f>IF(A301="","",C301-D301)</f>
        <v/>
      </c>
      <c r="F301" s="107" t="str">
        <f>IF(A301="","",IF(A301=計算過程!$B$71,0,MAX(0,F300-(計算過程!$B$76-P301))))</f>
        <v/>
      </c>
      <c r="G301" s="107" t="str">
        <f>IF(A301="","",IF(A301=計算過程!$B$71,0,MAX(0,G300-(計算過程!$B$77-Q301))))</f>
        <v/>
      </c>
      <c r="H301" s="107" t="str">
        <f>IF(A301="","",F301+G301)</f>
        <v/>
      </c>
      <c r="I301" s="106" t="str">
        <f>IF(A301="","",IF(AND(OR(MONTH(B301)=6,MONTH(B301)=12),I300&lt;計算過程!$B$69),I300+1,I300))</f>
        <v/>
      </c>
      <c r="J301" s="107" t="str">
        <f>IF(A301="","",IF(I301&gt;I300,IF(I301=計算過程!$B$69,M300+K301,計算過程!$B$81),0))</f>
        <v/>
      </c>
      <c r="K301" s="107" t="str">
        <f>IF(A301="","",IF(I301&gt;I300,CHOOSE(計算過程!$B$72,ROUND(M300*計算過程!$B$79,0),ROUNDDOWN(M300*計算過程!$B$79,0),ROUNDUP(M300*計算過程!$B$79,0)),0))</f>
        <v/>
      </c>
      <c r="L301" s="107" t="str">
        <f>IF(A301="","",J301-K301)</f>
        <v/>
      </c>
      <c r="M301" s="107" t="str">
        <f>IF(A301="","",IF(I301&gt;I300,M300-L301,M300))</f>
        <v/>
      </c>
      <c r="N301" s="107" t="str">
        <f>IF(A301="","",C301+J301)</f>
        <v/>
      </c>
      <c r="O301" s="107" t="str">
        <f>IF(A301="","",H301+M301)</f>
        <v/>
      </c>
      <c r="P301" s="107" t="str">
        <f>IF(A301="","",CHOOSE(計算過程!$B$72,ROUND(F300*計算過程!$B$32/計算過程!$B$6,0),ROUNDDOWN(F300*計算過程!$B$32/計算過程!$B$6,0),ROUNDUP(F300*計算過程!$B$32/計算過程!$B$6,0)))</f>
        <v/>
      </c>
      <c r="Q301" s="107" t="str">
        <f>IF(A301="","",CHOOSE(計算過程!$B$72,ROUND(G300*計算過程!$B$33/計算過程!$B$6,0),ROUNDDOWN(G300*計算過程!$B$33/計算過程!$B$6,0),ROUNDUP(G300*計算過程!$B$33/計算過程!$B$6,0)))</f>
        <v/>
      </c>
    </row>
    <row r="302" spans="1:17">
      <c r="A302" s="106" t="str">
        <f>IF(OR(計算過程!$B$98="",ROWS($A$8:A302)&gt;計算過程!$B$71),"",ROWS($A$8:A302))</f>
        <v/>
      </c>
      <c r="B302" s="108" t="str">
        <f>IF(A302="","",EDATE(計算過程!$B$98,A302-1))</f>
        <v/>
      </c>
      <c r="C302" s="107" t="str">
        <f>IF(A302="","",IF(A302=計算過程!$B$71,D302+F301+G301,計算過程!$B$78))</f>
        <v/>
      </c>
      <c r="D302" s="107" t="str">
        <f>IF(A302="","",P302+Q302)</f>
        <v/>
      </c>
      <c r="E302" s="107" t="str">
        <f>IF(A302="","",C302-D302)</f>
        <v/>
      </c>
      <c r="F302" s="107" t="str">
        <f>IF(A302="","",IF(A302=計算過程!$B$71,0,MAX(0,F301-(計算過程!$B$76-P302))))</f>
        <v/>
      </c>
      <c r="G302" s="107" t="str">
        <f>IF(A302="","",IF(A302=計算過程!$B$71,0,MAX(0,G301-(計算過程!$B$77-Q302))))</f>
        <v/>
      </c>
      <c r="H302" s="107" t="str">
        <f>IF(A302="","",F302+G302)</f>
        <v/>
      </c>
      <c r="I302" s="106" t="str">
        <f>IF(A302="","",IF(AND(OR(MONTH(B302)=6,MONTH(B302)=12),I301&lt;計算過程!$B$69),I301+1,I301))</f>
        <v/>
      </c>
      <c r="J302" s="107" t="str">
        <f>IF(A302="","",IF(I302&gt;I301,IF(I302=計算過程!$B$69,M301+K302,計算過程!$B$81),0))</f>
        <v/>
      </c>
      <c r="K302" s="107" t="str">
        <f>IF(A302="","",IF(I302&gt;I301,CHOOSE(計算過程!$B$72,ROUND(M301*計算過程!$B$79,0),ROUNDDOWN(M301*計算過程!$B$79,0),ROUNDUP(M301*計算過程!$B$79,0)),0))</f>
        <v/>
      </c>
      <c r="L302" s="107" t="str">
        <f>IF(A302="","",J302-K302)</f>
        <v/>
      </c>
      <c r="M302" s="107" t="str">
        <f>IF(A302="","",IF(I302&gt;I301,M301-L302,M301))</f>
        <v/>
      </c>
      <c r="N302" s="107" t="str">
        <f>IF(A302="","",C302+J302)</f>
        <v/>
      </c>
      <c r="O302" s="107" t="str">
        <f>IF(A302="","",H302+M302)</f>
        <v/>
      </c>
      <c r="P302" s="107" t="str">
        <f>IF(A302="","",CHOOSE(計算過程!$B$72,ROUND(F301*計算過程!$B$32/計算過程!$B$6,0),ROUNDDOWN(F301*計算過程!$B$32/計算過程!$B$6,0),ROUNDUP(F301*計算過程!$B$32/計算過程!$B$6,0)))</f>
        <v/>
      </c>
      <c r="Q302" s="107" t="str">
        <f>IF(A302="","",CHOOSE(計算過程!$B$72,ROUND(G301*計算過程!$B$33/計算過程!$B$6,0),ROUNDDOWN(G301*計算過程!$B$33/計算過程!$B$6,0),ROUNDUP(G301*計算過程!$B$33/計算過程!$B$6,0)))</f>
        <v/>
      </c>
    </row>
    <row r="303" spans="1:17">
      <c r="A303" s="106" t="str">
        <f>IF(OR(計算過程!$B$98="",ROWS($A$8:A303)&gt;計算過程!$B$71),"",ROWS($A$8:A303))</f>
        <v/>
      </c>
      <c r="B303" s="108" t="str">
        <f>IF(A303="","",EDATE(計算過程!$B$98,A303-1))</f>
        <v/>
      </c>
      <c r="C303" s="107" t="str">
        <f>IF(A303="","",IF(A303=計算過程!$B$71,D303+F302+G302,計算過程!$B$78))</f>
        <v/>
      </c>
      <c r="D303" s="107" t="str">
        <f>IF(A303="","",P303+Q303)</f>
        <v/>
      </c>
      <c r="E303" s="107" t="str">
        <f>IF(A303="","",C303-D303)</f>
        <v/>
      </c>
      <c r="F303" s="107" t="str">
        <f>IF(A303="","",IF(A303=計算過程!$B$71,0,MAX(0,F302-(計算過程!$B$76-P303))))</f>
        <v/>
      </c>
      <c r="G303" s="107" t="str">
        <f>IF(A303="","",IF(A303=計算過程!$B$71,0,MAX(0,G302-(計算過程!$B$77-Q303))))</f>
        <v/>
      </c>
      <c r="H303" s="107" t="str">
        <f>IF(A303="","",F303+G303)</f>
        <v/>
      </c>
      <c r="I303" s="106" t="str">
        <f>IF(A303="","",IF(AND(OR(MONTH(B303)=6,MONTH(B303)=12),I302&lt;計算過程!$B$69),I302+1,I302))</f>
        <v/>
      </c>
      <c r="J303" s="107" t="str">
        <f>IF(A303="","",IF(I303&gt;I302,IF(I303=計算過程!$B$69,M302+K303,計算過程!$B$81),0))</f>
        <v/>
      </c>
      <c r="K303" s="107" t="str">
        <f>IF(A303="","",IF(I303&gt;I302,CHOOSE(計算過程!$B$72,ROUND(M302*計算過程!$B$79,0),ROUNDDOWN(M302*計算過程!$B$79,0),ROUNDUP(M302*計算過程!$B$79,0)),0))</f>
        <v/>
      </c>
      <c r="L303" s="107" t="str">
        <f>IF(A303="","",J303-K303)</f>
        <v/>
      </c>
      <c r="M303" s="107" t="str">
        <f>IF(A303="","",IF(I303&gt;I302,M302-L303,M302))</f>
        <v/>
      </c>
      <c r="N303" s="107" t="str">
        <f>IF(A303="","",C303+J303)</f>
        <v/>
      </c>
      <c r="O303" s="107" t="str">
        <f>IF(A303="","",H303+M303)</f>
        <v/>
      </c>
      <c r="P303" s="107" t="str">
        <f>IF(A303="","",CHOOSE(計算過程!$B$72,ROUND(F302*計算過程!$B$32/計算過程!$B$6,0),ROUNDDOWN(F302*計算過程!$B$32/計算過程!$B$6,0),ROUNDUP(F302*計算過程!$B$32/計算過程!$B$6,0)))</f>
        <v/>
      </c>
      <c r="Q303" s="107" t="str">
        <f>IF(A303="","",CHOOSE(計算過程!$B$72,ROUND(G302*計算過程!$B$33/計算過程!$B$6,0),ROUNDDOWN(G302*計算過程!$B$33/計算過程!$B$6,0),ROUNDUP(G302*計算過程!$B$33/計算過程!$B$6,0)))</f>
        <v/>
      </c>
    </row>
    <row r="304" spans="1:17">
      <c r="A304" s="106" t="str">
        <f>IF(OR(計算過程!$B$98="",ROWS($A$8:A304)&gt;計算過程!$B$71),"",ROWS($A$8:A304))</f>
        <v/>
      </c>
      <c r="B304" s="108" t="str">
        <f>IF(A304="","",EDATE(計算過程!$B$98,A304-1))</f>
        <v/>
      </c>
      <c r="C304" s="107" t="str">
        <f>IF(A304="","",IF(A304=計算過程!$B$71,D304+F303+G303,計算過程!$B$78))</f>
        <v/>
      </c>
      <c r="D304" s="107" t="str">
        <f>IF(A304="","",P304+Q304)</f>
        <v/>
      </c>
      <c r="E304" s="107" t="str">
        <f>IF(A304="","",C304-D304)</f>
        <v/>
      </c>
      <c r="F304" s="107" t="str">
        <f>IF(A304="","",IF(A304=計算過程!$B$71,0,MAX(0,F303-(計算過程!$B$76-P304))))</f>
        <v/>
      </c>
      <c r="G304" s="107" t="str">
        <f>IF(A304="","",IF(A304=計算過程!$B$71,0,MAX(0,G303-(計算過程!$B$77-Q304))))</f>
        <v/>
      </c>
      <c r="H304" s="107" t="str">
        <f>IF(A304="","",F304+G304)</f>
        <v/>
      </c>
      <c r="I304" s="106" t="str">
        <f>IF(A304="","",IF(AND(OR(MONTH(B304)=6,MONTH(B304)=12),I303&lt;計算過程!$B$69),I303+1,I303))</f>
        <v/>
      </c>
      <c r="J304" s="107" t="str">
        <f>IF(A304="","",IF(I304&gt;I303,IF(I304=計算過程!$B$69,M303+K304,計算過程!$B$81),0))</f>
        <v/>
      </c>
      <c r="K304" s="107" t="str">
        <f>IF(A304="","",IF(I304&gt;I303,CHOOSE(計算過程!$B$72,ROUND(M303*計算過程!$B$79,0),ROUNDDOWN(M303*計算過程!$B$79,0),ROUNDUP(M303*計算過程!$B$79,0)),0))</f>
        <v/>
      </c>
      <c r="L304" s="107" t="str">
        <f>IF(A304="","",J304-K304)</f>
        <v/>
      </c>
      <c r="M304" s="107" t="str">
        <f>IF(A304="","",IF(I304&gt;I303,M303-L304,M303))</f>
        <v/>
      </c>
      <c r="N304" s="107" t="str">
        <f>IF(A304="","",C304+J304)</f>
        <v/>
      </c>
      <c r="O304" s="107" t="str">
        <f>IF(A304="","",H304+M304)</f>
        <v/>
      </c>
      <c r="P304" s="107" t="str">
        <f>IF(A304="","",CHOOSE(計算過程!$B$72,ROUND(F303*計算過程!$B$32/計算過程!$B$6,0),ROUNDDOWN(F303*計算過程!$B$32/計算過程!$B$6,0),ROUNDUP(F303*計算過程!$B$32/計算過程!$B$6,0)))</f>
        <v/>
      </c>
      <c r="Q304" s="107" t="str">
        <f>IF(A304="","",CHOOSE(計算過程!$B$72,ROUND(G303*計算過程!$B$33/計算過程!$B$6,0),ROUNDDOWN(G303*計算過程!$B$33/計算過程!$B$6,0),ROUNDUP(G303*計算過程!$B$33/計算過程!$B$6,0)))</f>
        <v/>
      </c>
    </row>
    <row r="305" spans="1:17">
      <c r="A305" s="106" t="str">
        <f>IF(OR(計算過程!$B$98="",ROWS($A$8:A305)&gt;計算過程!$B$71),"",ROWS($A$8:A305))</f>
        <v/>
      </c>
      <c r="B305" s="108" t="str">
        <f>IF(A305="","",EDATE(計算過程!$B$98,A305-1))</f>
        <v/>
      </c>
      <c r="C305" s="107" t="str">
        <f>IF(A305="","",IF(A305=計算過程!$B$71,D305+F304+G304,計算過程!$B$78))</f>
        <v/>
      </c>
      <c r="D305" s="107" t="str">
        <f>IF(A305="","",P305+Q305)</f>
        <v/>
      </c>
      <c r="E305" s="107" t="str">
        <f>IF(A305="","",C305-D305)</f>
        <v/>
      </c>
      <c r="F305" s="107" t="str">
        <f>IF(A305="","",IF(A305=計算過程!$B$71,0,MAX(0,F304-(計算過程!$B$76-P305))))</f>
        <v/>
      </c>
      <c r="G305" s="107" t="str">
        <f>IF(A305="","",IF(A305=計算過程!$B$71,0,MAX(0,G304-(計算過程!$B$77-Q305))))</f>
        <v/>
      </c>
      <c r="H305" s="107" t="str">
        <f>IF(A305="","",F305+G305)</f>
        <v/>
      </c>
      <c r="I305" s="106" t="str">
        <f>IF(A305="","",IF(AND(OR(MONTH(B305)=6,MONTH(B305)=12),I304&lt;計算過程!$B$69),I304+1,I304))</f>
        <v/>
      </c>
      <c r="J305" s="107" t="str">
        <f>IF(A305="","",IF(I305&gt;I304,IF(I305=計算過程!$B$69,M304+K305,計算過程!$B$81),0))</f>
        <v/>
      </c>
      <c r="K305" s="107" t="str">
        <f>IF(A305="","",IF(I305&gt;I304,CHOOSE(計算過程!$B$72,ROUND(M304*計算過程!$B$79,0),ROUNDDOWN(M304*計算過程!$B$79,0),ROUNDUP(M304*計算過程!$B$79,0)),0))</f>
        <v/>
      </c>
      <c r="L305" s="107" t="str">
        <f>IF(A305="","",J305-K305)</f>
        <v/>
      </c>
      <c r="M305" s="107" t="str">
        <f>IF(A305="","",IF(I305&gt;I304,M304-L305,M304))</f>
        <v/>
      </c>
      <c r="N305" s="107" t="str">
        <f>IF(A305="","",C305+J305)</f>
        <v/>
      </c>
      <c r="O305" s="107" t="str">
        <f>IF(A305="","",H305+M305)</f>
        <v/>
      </c>
      <c r="P305" s="107" t="str">
        <f>IF(A305="","",CHOOSE(計算過程!$B$72,ROUND(F304*計算過程!$B$32/計算過程!$B$6,0),ROUNDDOWN(F304*計算過程!$B$32/計算過程!$B$6,0),ROUNDUP(F304*計算過程!$B$32/計算過程!$B$6,0)))</f>
        <v/>
      </c>
      <c r="Q305" s="107" t="str">
        <f>IF(A305="","",CHOOSE(計算過程!$B$72,ROUND(G304*計算過程!$B$33/計算過程!$B$6,0),ROUNDDOWN(G304*計算過程!$B$33/計算過程!$B$6,0),ROUNDUP(G304*計算過程!$B$33/計算過程!$B$6,0)))</f>
        <v/>
      </c>
    </row>
    <row r="306" spans="1:17">
      <c r="A306" s="106" t="str">
        <f>IF(OR(計算過程!$B$98="",ROWS($A$8:A306)&gt;計算過程!$B$71),"",ROWS($A$8:A306))</f>
        <v/>
      </c>
      <c r="B306" s="108" t="str">
        <f>IF(A306="","",EDATE(計算過程!$B$98,A306-1))</f>
        <v/>
      </c>
      <c r="C306" s="107" t="str">
        <f>IF(A306="","",IF(A306=計算過程!$B$71,D306+F305+G305,計算過程!$B$78))</f>
        <v/>
      </c>
      <c r="D306" s="107" t="str">
        <f>IF(A306="","",P306+Q306)</f>
        <v/>
      </c>
      <c r="E306" s="107" t="str">
        <f>IF(A306="","",C306-D306)</f>
        <v/>
      </c>
      <c r="F306" s="107" t="str">
        <f>IF(A306="","",IF(A306=計算過程!$B$71,0,MAX(0,F305-(計算過程!$B$76-P306))))</f>
        <v/>
      </c>
      <c r="G306" s="107" t="str">
        <f>IF(A306="","",IF(A306=計算過程!$B$71,0,MAX(0,G305-(計算過程!$B$77-Q306))))</f>
        <v/>
      </c>
      <c r="H306" s="107" t="str">
        <f>IF(A306="","",F306+G306)</f>
        <v/>
      </c>
      <c r="I306" s="106" t="str">
        <f>IF(A306="","",IF(AND(OR(MONTH(B306)=6,MONTH(B306)=12),I305&lt;計算過程!$B$69),I305+1,I305))</f>
        <v/>
      </c>
      <c r="J306" s="107" t="str">
        <f>IF(A306="","",IF(I306&gt;I305,IF(I306=計算過程!$B$69,M305+K306,計算過程!$B$81),0))</f>
        <v/>
      </c>
      <c r="K306" s="107" t="str">
        <f>IF(A306="","",IF(I306&gt;I305,CHOOSE(計算過程!$B$72,ROUND(M305*計算過程!$B$79,0),ROUNDDOWN(M305*計算過程!$B$79,0),ROUNDUP(M305*計算過程!$B$79,0)),0))</f>
        <v/>
      </c>
      <c r="L306" s="107" t="str">
        <f>IF(A306="","",J306-K306)</f>
        <v/>
      </c>
      <c r="M306" s="107" t="str">
        <f>IF(A306="","",IF(I306&gt;I305,M305-L306,M305))</f>
        <v/>
      </c>
      <c r="N306" s="107" t="str">
        <f>IF(A306="","",C306+J306)</f>
        <v/>
      </c>
      <c r="O306" s="107" t="str">
        <f>IF(A306="","",H306+M306)</f>
        <v/>
      </c>
      <c r="P306" s="107" t="str">
        <f>IF(A306="","",CHOOSE(計算過程!$B$72,ROUND(F305*計算過程!$B$32/計算過程!$B$6,0),ROUNDDOWN(F305*計算過程!$B$32/計算過程!$B$6,0),ROUNDUP(F305*計算過程!$B$32/計算過程!$B$6,0)))</f>
        <v/>
      </c>
      <c r="Q306" s="107" t="str">
        <f>IF(A306="","",CHOOSE(計算過程!$B$72,ROUND(G305*計算過程!$B$33/計算過程!$B$6,0),ROUNDDOWN(G305*計算過程!$B$33/計算過程!$B$6,0),ROUNDUP(G305*計算過程!$B$33/計算過程!$B$6,0)))</f>
        <v/>
      </c>
    </row>
    <row r="307" spans="1:17">
      <c r="A307" s="106" t="str">
        <f>IF(OR(計算過程!$B$98="",ROWS($A$8:A307)&gt;計算過程!$B$71),"",ROWS($A$8:A307))</f>
        <v/>
      </c>
      <c r="B307" s="108" t="str">
        <f>IF(A307="","",EDATE(計算過程!$B$98,A307-1))</f>
        <v/>
      </c>
      <c r="C307" s="107" t="str">
        <f>IF(A307="","",IF(A307=計算過程!$B$71,D307+F306+G306,計算過程!$B$78))</f>
        <v/>
      </c>
      <c r="D307" s="107" t="str">
        <f>IF(A307="","",P307+Q307)</f>
        <v/>
      </c>
      <c r="E307" s="107" t="str">
        <f>IF(A307="","",C307-D307)</f>
        <v/>
      </c>
      <c r="F307" s="107" t="str">
        <f>IF(A307="","",IF(A307=計算過程!$B$71,0,MAX(0,F306-(計算過程!$B$76-P307))))</f>
        <v/>
      </c>
      <c r="G307" s="107" t="str">
        <f>IF(A307="","",IF(A307=計算過程!$B$71,0,MAX(0,G306-(計算過程!$B$77-Q307))))</f>
        <v/>
      </c>
      <c r="H307" s="107" t="str">
        <f>IF(A307="","",F307+G307)</f>
        <v/>
      </c>
      <c r="I307" s="106" t="str">
        <f>IF(A307="","",IF(AND(OR(MONTH(B307)=6,MONTH(B307)=12),I306&lt;計算過程!$B$69),I306+1,I306))</f>
        <v/>
      </c>
      <c r="J307" s="107" t="str">
        <f>IF(A307="","",IF(I307&gt;I306,IF(I307=計算過程!$B$69,M306+K307,計算過程!$B$81),0))</f>
        <v/>
      </c>
      <c r="K307" s="107" t="str">
        <f>IF(A307="","",IF(I307&gt;I306,CHOOSE(計算過程!$B$72,ROUND(M306*計算過程!$B$79,0),ROUNDDOWN(M306*計算過程!$B$79,0),ROUNDUP(M306*計算過程!$B$79,0)),0))</f>
        <v/>
      </c>
      <c r="L307" s="107" t="str">
        <f>IF(A307="","",J307-K307)</f>
        <v/>
      </c>
      <c r="M307" s="107" t="str">
        <f>IF(A307="","",IF(I307&gt;I306,M306-L307,M306))</f>
        <v/>
      </c>
      <c r="N307" s="107" t="str">
        <f>IF(A307="","",C307+J307)</f>
        <v/>
      </c>
      <c r="O307" s="107" t="str">
        <f>IF(A307="","",H307+M307)</f>
        <v/>
      </c>
      <c r="P307" s="107" t="str">
        <f>IF(A307="","",CHOOSE(計算過程!$B$72,ROUND(F306*計算過程!$B$32/計算過程!$B$6,0),ROUNDDOWN(F306*計算過程!$B$32/計算過程!$B$6,0),ROUNDUP(F306*計算過程!$B$32/計算過程!$B$6,0)))</f>
        <v/>
      </c>
      <c r="Q307" s="107" t="str">
        <f>IF(A307="","",CHOOSE(計算過程!$B$72,ROUND(G306*計算過程!$B$33/計算過程!$B$6,0),ROUNDDOWN(G306*計算過程!$B$33/計算過程!$B$6,0),ROUNDUP(G306*計算過程!$B$33/計算過程!$B$6,0)))</f>
        <v/>
      </c>
    </row>
    <row r="308" spans="1:17">
      <c r="A308" s="106" t="str">
        <f>IF(OR(計算過程!$B$98="",ROWS($A$8:A308)&gt;計算過程!$B$71),"",ROWS($A$8:A308))</f>
        <v/>
      </c>
      <c r="B308" s="108" t="str">
        <f>IF(A308="","",EDATE(計算過程!$B$98,A308-1))</f>
        <v/>
      </c>
      <c r="C308" s="107" t="str">
        <f>IF(A308="","",IF(A308=計算過程!$B$71,D308+F307+G307,計算過程!$B$78))</f>
        <v/>
      </c>
      <c r="D308" s="107" t="str">
        <f>IF(A308="","",P308+Q308)</f>
        <v/>
      </c>
      <c r="E308" s="107" t="str">
        <f>IF(A308="","",C308-D308)</f>
        <v/>
      </c>
      <c r="F308" s="107" t="str">
        <f>IF(A308="","",IF(A308=計算過程!$B$71,0,MAX(0,F307-(計算過程!$B$76-P308))))</f>
        <v/>
      </c>
      <c r="G308" s="107" t="str">
        <f>IF(A308="","",IF(A308=計算過程!$B$71,0,MAX(0,G307-(計算過程!$B$77-Q308))))</f>
        <v/>
      </c>
      <c r="H308" s="107" t="str">
        <f>IF(A308="","",F308+G308)</f>
        <v/>
      </c>
      <c r="I308" s="106" t="str">
        <f>IF(A308="","",IF(AND(OR(MONTH(B308)=6,MONTH(B308)=12),I307&lt;計算過程!$B$69),I307+1,I307))</f>
        <v/>
      </c>
      <c r="J308" s="107" t="str">
        <f>IF(A308="","",IF(I308&gt;I307,IF(I308=計算過程!$B$69,M307+K308,計算過程!$B$81),0))</f>
        <v/>
      </c>
      <c r="K308" s="107" t="str">
        <f>IF(A308="","",IF(I308&gt;I307,CHOOSE(計算過程!$B$72,ROUND(M307*計算過程!$B$79,0),ROUNDDOWN(M307*計算過程!$B$79,0),ROUNDUP(M307*計算過程!$B$79,0)),0))</f>
        <v/>
      </c>
      <c r="L308" s="107" t="str">
        <f>IF(A308="","",J308-K308)</f>
        <v/>
      </c>
      <c r="M308" s="107" t="str">
        <f>IF(A308="","",IF(I308&gt;I307,M307-L308,M307))</f>
        <v/>
      </c>
      <c r="N308" s="107" t="str">
        <f>IF(A308="","",C308+J308)</f>
        <v/>
      </c>
      <c r="O308" s="107" t="str">
        <f>IF(A308="","",H308+M308)</f>
        <v/>
      </c>
      <c r="P308" s="107" t="str">
        <f>IF(A308="","",CHOOSE(計算過程!$B$72,ROUND(F307*計算過程!$B$32/計算過程!$B$6,0),ROUNDDOWN(F307*計算過程!$B$32/計算過程!$B$6,0),ROUNDUP(F307*計算過程!$B$32/計算過程!$B$6,0)))</f>
        <v/>
      </c>
      <c r="Q308" s="107" t="str">
        <f>IF(A308="","",CHOOSE(計算過程!$B$72,ROUND(G307*計算過程!$B$33/計算過程!$B$6,0),ROUNDDOWN(G307*計算過程!$B$33/計算過程!$B$6,0),ROUNDUP(G307*計算過程!$B$33/計算過程!$B$6,0)))</f>
        <v/>
      </c>
    </row>
    <row r="309" spans="1:17">
      <c r="A309" s="106" t="str">
        <f>IF(OR(計算過程!$B$98="",ROWS($A$8:A309)&gt;計算過程!$B$71),"",ROWS($A$8:A309))</f>
        <v/>
      </c>
      <c r="B309" s="108" t="str">
        <f>IF(A309="","",EDATE(計算過程!$B$98,A309-1))</f>
        <v/>
      </c>
      <c r="C309" s="107" t="str">
        <f>IF(A309="","",IF(A309=計算過程!$B$71,D309+F308+G308,計算過程!$B$78))</f>
        <v/>
      </c>
      <c r="D309" s="107" t="str">
        <f>IF(A309="","",P309+Q309)</f>
        <v/>
      </c>
      <c r="E309" s="107" t="str">
        <f>IF(A309="","",C309-D309)</f>
        <v/>
      </c>
      <c r="F309" s="107" t="str">
        <f>IF(A309="","",IF(A309=計算過程!$B$71,0,MAX(0,F308-(計算過程!$B$76-P309))))</f>
        <v/>
      </c>
      <c r="G309" s="107" t="str">
        <f>IF(A309="","",IF(A309=計算過程!$B$71,0,MAX(0,G308-(計算過程!$B$77-Q309))))</f>
        <v/>
      </c>
      <c r="H309" s="107" t="str">
        <f>IF(A309="","",F309+G309)</f>
        <v/>
      </c>
      <c r="I309" s="106" t="str">
        <f>IF(A309="","",IF(AND(OR(MONTH(B309)=6,MONTH(B309)=12),I308&lt;計算過程!$B$69),I308+1,I308))</f>
        <v/>
      </c>
      <c r="J309" s="107" t="str">
        <f>IF(A309="","",IF(I309&gt;I308,IF(I309=計算過程!$B$69,M308+K309,計算過程!$B$81),0))</f>
        <v/>
      </c>
      <c r="K309" s="107" t="str">
        <f>IF(A309="","",IF(I309&gt;I308,CHOOSE(計算過程!$B$72,ROUND(M308*計算過程!$B$79,0),ROUNDDOWN(M308*計算過程!$B$79,0),ROUNDUP(M308*計算過程!$B$79,0)),0))</f>
        <v/>
      </c>
      <c r="L309" s="107" t="str">
        <f>IF(A309="","",J309-K309)</f>
        <v/>
      </c>
      <c r="M309" s="107" t="str">
        <f>IF(A309="","",IF(I309&gt;I308,M308-L309,M308))</f>
        <v/>
      </c>
      <c r="N309" s="107" t="str">
        <f>IF(A309="","",C309+J309)</f>
        <v/>
      </c>
      <c r="O309" s="107" t="str">
        <f>IF(A309="","",H309+M309)</f>
        <v/>
      </c>
      <c r="P309" s="107" t="str">
        <f>IF(A309="","",CHOOSE(計算過程!$B$72,ROUND(F308*計算過程!$B$32/計算過程!$B$6,0),ROUNDDOWN(F308*計算過程!$B$32/計算過程!$B$6,0),ROUNDUP(F308*計算過程!$B$32/計算過程!$B$6,0)))</f>
        <v/>
      </c>
      <c r="Q309" s="107" t="str">
        <f>IF(A309="","",CHOOSE(計算過程!$B$72,ROUND(G308*計算過程!$B$33/計算過程!$B$6,0),ROUNDDOWN(G308*計算過程!$B$33/計算過程!$B$6,0),ROUNDUP(G308*計算過程!$B$33/計算過程!$B$6,0)))</f>
        <v/>
      </c>
    </row>
    <row r="310" spans="1:17">
      <c r="A310" s="106" t="str">
        <f>IF(OR(計算過程!$B$98="",ROWS($A$8:A310)&gt;計算過程!$B$71),"",ROWS($A$8:A310))</f>
        <v/>
      </c>
      <c r="B310" s="108" t="str">
        <f>IF(A310="","",EDATE(計算過程!$B$98,A310-1))</f>
        <v/>
      </c>
      <c r="C310" s="107" t="str">
        <f>IF(A310="","",IF(A310=計算過程!$B$71,D310+F309+G309,計算過程!$B$78))</f>
        <v/>
      </c>
      <c r="D310" s="107" t="str">
        <f>IF(A310="","",P310+Q310)</f>
        <v/>
      </c>
      <c r="E310" s="107" t="str">
        <f>IF(A310="","",C310-D310)</f>
        <v/>
      </c>
      <c r="F310" s="107" t="str">
        <f>IF(A310="","",IF(A310=計算過程!$B$71,0,MAX(0,F309-(計算過程!$B$76-P310))))</f>
        <v/>
      </c>
      <c r="G310" s="107" t="str">
        <f>IF(A310="","",IF(A310=計算過程!$B$71,0,MAX(0,G309-(計算過程!$B$77-Q310))))</f>
        <v/>
      </c>
      <c r="H310" s="107" t="str">
        <f>IF(A310="","",F310+G310)</f>
        <v/>
      </c>
      <c r="I310" s="106" t="str">
        <f>IF(A310="","",IF(AND(OR(MONTH(B310)=6,MONTH(B310)=12),I309&lt;計算過程!$B$69),I309+1,I309))</f>
        <v/>
      </c>
      <c r="J310" s="107" t="str">
        <f>IF(A310="","",IF(I310&gt;I309,IF(I310=計算過程!$B$69,M309+K310,計算過程!$B$81),0))</f>
        <v/>
      </c>
      <c r="K310" s="107" t="str">
        <f>IF(A310="","",IF(I310&gt;I309,CHOOSE(計算過程!$B$72,ROUND(M309*計算過程!$B$79,0),ROUNDDOWN(M309*計算過程!$B$79,0),ROUNDUP(M309*計算過程!$B$79,0)),0))</f>
        <v/>
      </c>
      <c r="L310" s="107" t="str">
        <f>IF(A310="","",J310-K310)</f>
        <v/>
      </c>
      <c r="M310" s="107" t="str">
        <f>IF(A310="","",IF(I310&gt;I309,M309-L310,M309))</f>
        <v/>
      </c>
      <c r="N310" s="107" t="str">
        <f>IF(A310="","",C310+J310)</f>
        <v/>
      </c>
      <c r="O310" s="107" t="str">
        <f>IF(A310="","",H310+M310)</f>
        <v/>
      </c>
      <c r="P310" s="107" t="str">
        <f>IF(A310="","",CHOOSE(計算過程!$B$72,ROUND(F309*計算過程!$B$32/計算過程!$B$6,0),ROUNDDOWN(F309*計算過程!$B$32/計算過程!$B$6,0),ROUNDUP(F309*計算過程!$B$32/計算過程!$B$6,0)))</f>
        <v/>
      </c>
      <c r="Q310" s="107" t="str">
        <f>IF(A310="","",CHOOSE(計算過程!$B$72,ROUND(G309*計算過程!$B$33/計算過程!$B$6,0),ROUNDDOWN(G309*計算過程!$B$33/計算過程!$B$6,0),ROUNDUP(G309*計算過程!$B$33/計算過程!$B$6,0)))</f>
        <v/>
      </c>
    </row>
    <row r="311" spans="1:17">
      <c r="A311" s="106" t="str">
        <f>IF(OR(計算過程!$B$98="",ROWS($A$8:A311)&gt;計算過程!$B$71),"",ROWS($A$8:A311))</f>
        <v/>
      </c>
      <c r="B311" s="108" t="str">
        <f>IF(A311="","",EDATE(計算過程!$B$98,A311-1))</f>
        <v/>
      </c>
      <c r="C311" s="107" t="str">
        <f>IF(A311="","",IF(A311=計算過程!$B$71,D311+F310+G310,計算過程!$B$78))</f>
        <v/>
      </c>
      <c r="D311" s="107" t="str">
        <f>IF(A311="","",P311+Q311)</f>
        <v/>
      </c>
      <c r="E311" s="107" t="str">
        <f>IF(A311="","",C311-D311)</f>
        <v/>
      </c>
      <c r="F311" s="107" t="str">
        <f>IF(A311="","",IF(A311=計算過程!$B$71,0,MAX(0,F310-(計算過程!$B$76-P311))))</f>
        <v/>
      </c>
      <c r="G311" s="107" t="str">
        <f>IF(A311="","",IF(A311=計算過程!$B$71,0,MAX(0,G310-(計算過程!$B$77-Q311))))</f>
        <v/>
      </c>
      <c r="H311" s="107" t="str">
        <f>IF(A311="","",F311+G311)</f>
        <v/>
      </c>
      <c r="I311" s="106" t="str">
        <f>IF(A311="","",IF(AND(OR(MONTH(B311)=6,MONTH(B311)=12),I310&lt;計算過程!$B$69),I310+1,I310))</f>
        <v/>
      </c>
      <c r="J311" s="107" t="str">
        <f>IF(A311="","",IF(I311&gt;I310,IF(I311=計算過程!$B$69,M310+K311,計算過程!$B$81),0))</f>
        <v/>
      </c>
      <c r="K311" s="107" t="str">
        <f>IF(A311="","",IF(I311&gt;I310,CHOOSE(計算過程!$B$72,ROUND(M310*計算過程!$B$79,0),ROUNDDOWN(M310*計算過程!$B$79,0),ROUNDUP(M310*計算過程!$B$79,0)),0))</f>
        <v/>
      </c>
      <c r="L311" s="107" t="str">
        <f>IF(A311="","",J311-K311)</f>
        <v/>
      </c>
      <c r="M311" s="107" t="str">
        <f>IF(A311="","",IF(I311&gt;I310,M310-L311,M310))</f>
        <v/>
      </c>
      <c r="N311" s="107" t="str">
        <f>IF(A311="","",C311+J311)</f>
        <v/>
      </c>
      <c r="O311" s="107" t="str">
        <f>IF(A311="","",H311+M311)</f>
        <v/>
      </c>
      <c r="P311" s="107" t="str">
        <f>IF(A311="","",CHOOSE(計算過程!$B$72,ROUND(F310*計算過程!$B$32/計算過程!$B$6,0),ROUNDDOWN(F310*計算過程!$B$32/計算過程!$B$6,0),ROUNDUP(F310*計算過程!$B$32/計算過程!$B$6,0)))</f>
        <v/>
      </c>
      <c r="Q311" s="107" t="str">
        <f>IF(A311="","",CHOOSE(計算過程!$B$72,ROUND(G310*計算過程!$B$33/計算過程!$B$6,0),ROUNDDOWN(G310*計算過程!$B$33/計算過程!$B$6,0),ROUNDUP(G310*計算過程!$B$33/計算過程!$B$6,0)))</f>
        <v/>
      </c>
    </row>
    <row r="312" spans="1:17">
      <c r="A312" s="106" t="str">
        <f>IF(OR(計算過程!$B$98="",ROWS($A$8:A312)&gt;計算過程!$B$71),"",ROWS($A$8:A312))</f>
        <v/>
      </c>
      <c r="B312" s="108" t="str">
        <f>IF(A312="","",EDATE(計算過程!$B$98,A312-1))</f>
        <v/>
      </c>
      <c r="C312" s="107" t="str">
        <f>IF(A312="","",IF(A312=計算過程!$B$71,D312+F311+G311,計算過程!$B$78))</f>
        <v/>
      </c>
      <c r="D312" s="107" t="str">
        <f>IF(A312="","",P312+Q312)</f>
        <v/>
      </c>
      <c r="E312" s="107" t="str">
        <f>IF(A312="","",C312-D312)</f>
        <v/>
      </c>
      <c r="F312" s="107" t="str">
        <f>IF(A312="","",IF(A312=計算過程!$B$71,0,MAX(0,F311-(計算過程!$B$76-P312))))</f>
        <v/>
      </c>
      <c r="G312" s="107" t="str">
        <f>IF(A312="","",IF(A312=計算過程!$B$71,0,MAX(0,G311-(計算過程!$B$77-Q312))))</f>
        <v/>
      </c>
      <c r="H312" s="107" t="str">
        <f>IF(A312="","",F312+G312)</f>
        <v/>
      </c>
      <c r="I312" s="106" t="str">
        <f>IF(A312="","",IF(AND(OR(MONTH(B312)=6,MONTH(B312)=12),I311&lt;計算過程!$B$69),I311+1,I311))</f>
        <v/>
      </c>
      <c r="J312" s="107" t="str">
        <f>IF(A312="","",IF(I312&gt;I311,IF(I312=計算過程!$B$69,M311+K312,計算過程!$B$81),0))</f>
        <v/>
      </c>
      <c r="K312" s="107" t="str">
        <f>IF(A312="","",IF(I312&gt;I311,CHOOSE(計算過程!$B$72,ROUND(M311*計算過程!$B$79,0),ROUNDDOWN(M311*計算過程!$B$79,0),ROUNDUP(M311*計算過程!$B$79,0)),0))</f>
        <v/>
      </c>
      <c r="L312" s="107" t="str">
        <f>IF(A312="","",J312-K312)</f>
        <v/>
      </c>
      <c r="M312" s="107" t="str">
        <f>IF(A312="","",IF(I312&gt;I311,M311-L312,M311))</f>
        <v/>
      </c>
      <c r="N312" s="107" t="str">
        <f>IF(A312="","",C312+J312)</f>
        <v/>
      </c>
      <c r="O312" s="107" t="str">
        <f>IF(A312="","",H312+M312)</f>
        <v/>
      </c>
      <c r="P312" s="107" t="str">
        <f>IF(A312="","",CHOOSE(計算過程!$B$72,ROUND(F311*計算過程!$B$32/計算過程!$B$6,0),ROUNDDOWN(F311*計算過程!$B$32/計算過程!$B$6,0),ROUNDUP(F311*計算過程!$B$32/計算過程!$B$6,0)))</f>
        <v/>
      </c>
      <c r="Q312" s="107" t="str">
        <f>IF(A312="","",CHOOSE(計算過程!$B$72,ROUND(G311*計算過程!$B$33/計算過程!$B$6,0),ROUNDDOWN(G311*計算過程!$B$33/計算過程!$B$6,0),ROUNDUP(G311*計算過程!$B$33/計算過程!$B$6,0)))</f>
        <v/>
      </c>
    </row>
    <row r="313" spans="1:17">
      <c r="A313" s="106" t="str">
        <f>IF(OR(計算過程!$B$98="",ROWS($A$8:A313)&gt;計算過程!$B$71),"",ROWS($A$8:A313))</f>
        <v/>
      </c>
      <c r="B313" s="108" t="str">
        <f>IF(A313="","",EDATE(計算過程!$B$98,A313-1))</f>
        <v/>
      </c>
      <c r="C313" s="107" t="str">
        <f>IF(A313="","",IF(A313=計算過程!$B$71,D313+F312+G312,計算過程!$B$78))</f>
        <v/>
      </c>
      <c r="D313" s="107" t="str">
        <f>IF(A313="","",P313+Q313)</f>
        <v/>
      </c>
      <c r="E313" s="107" t="str">
        <f>IF(A313="","",C313-D313)</f>
        <v/>
      </c>
      <c r="F313" s="107" t="str">
        <f>IF(A313="","",IF(A313=計算過程!$B$71,0,MAX(0,F312-(計算過程!$B$76-P313))))</f>
        <v/>
      </c>
      <c r="G313" s="107" t="str">
        <f>IF(A313="","",IF(A313=計算過程!$B$71,0,MAX(0,G312-(計算過程!$B$77-Q313))))</f>
        <v/>
      </c>
      <c r="H313" s="107" t="str">
        <f>IF(A313="","",F313+G313)</f>
        <v/>
      </c>
      <c r="I313" s="106" t="str">
        <f>IF(A313="","",IF(AND(OR(MONTH(B313)=6,MONTH(B313)=12),I312&lt;計算過程!$B$69),I312+1,I312))</f>
        <v/>
      </c>
      <c r="J313" s="107" t="str">
        <f>IF(A313="","",IF(I313&gt;I312,IF(I313=計算過程!$B$69,M312+K313,計算過程!$B$81),0))</f>
        <v/>
      </c>
      <c r="K313" s="107" t="str">
        <f>IF(A313="","",IF(I313&gt;I312,CHOOSE(計算過程!$B$72,ROUND(M312*計算過程!$B$79,0),ROUNDDOWN(M312*計算過程!$B$79,0),ROUNDUP(M312*計算過程!$B$79,0)),0))</f>
        <v/>
      </c>
      <c r="L313" s="107" t="str">
        <f>IF(A313="","",J313-K313)</f>
        <v/>
      </c>
      <c r="M313" s="107" t="str">
        <f>IF(A313="","",IF(I313&gt;I312,M312-L313,M312))</f>
        <v/>
      </c>
      <c r="N313" s="107" t="str">
        <f>IF(A313="","",C313+J313)</f>
        <v/>
      </c>
      <c r="O313" s="107" t="str">
        <f>IF(A313="","",H313+M313)</f>
        <v/>
      </c>
      <c r="P313" s="107" t="str">
        <f>IF(A313="","",CHOOSE(計算過程!$B$72,ROUND(F312*計算過程!$B$32/計算過程!$B$6,0),ROUNDDOWN(F312*計算過程!$B$32/計算過程!$B$6,0),ROUNDUP(F312*計算過程!$B$32/計算過程!$B$6,0)))</f>
        <v/>
      </c>
      <c r="Q313" s="107" t="str">
        <f>IF(A313="","",CHOOSE(計算過程!$B$72,ROUND(G312*計算過程!$B$33/計算過程!$B$6,0),ROUNDDOWN(G312*計算過程!$B$33/計算過程!$B$6,0),ROUNDUP(G312*計算過程!$B$33/計算過程!$B$6,0)))</f>
        <v/>
      </c>
    </row>
    <row r="314" spans="1:17">
      <c r="A314" s="106" t="str">
        <f>IF(OR(計算過程!$B$98="",ROWS($A$8:A314)&gt;計算過程!$B$71),"",ROWS($A$8:A314))</f>
        <v/>
      </c>
      <c r="B314" s="108" t="str">
        <f>IF(A314="","",EDATE(計算過程!$B$98,A314-1))</f>
        <v/>
      </c>
      <c r="C314" s="107" t="str">
        <f>IF(A314="","",IF(A314=計算過程!$B$71,D314+F313+G313,計算過程!$B$78))</f>
        <v/>
      </c>
      <c r="D314" s="107" t="str">
        <f>IF(A314="","",P314+Q314)</f>
        <v/>
      </c>
      <c r="E314" s="107" t="str">
        <f>IF(A314="","",C314-D314)</f>
        <v/>
      </c>
      <c r="F314" s="107" t="str">
        <f>IF(A314="","",IF(A314=計算過程!$B$71,0,MAX(0,F313-(計算過程!$B$76-P314))))</f>
        <v/>
      </c>
      <c r="G314" s="107" t="str">
        <f>IF(A314="","",IF(A314=計算過程!$B$71,0,MAX(0,G313-(計算過程!$B$77-Q314))))</f>
        <v/>
      </c>
      <c r="H314" s="107" t="str">
        <f>IF(A314="","",F314+G314)</f>
        <v/>
      </c>
      <c r="I314" s="106" t="str">
        <f>IF(A314="","",IF(AND(OR(MONTH(B314)=6,MONTH(B314)=12),I313&lt;計算過程!$B$69),I313+1,I313))</f>
        <v/>
      </c>
      <c r="J314" s="107" t="str">
        <f>IF(A314="","",IF(I314&gt;I313,IF(I314=計算過程!$B$69,M313+K314,計算過程!$B$81),0))</f>
        <v/>
      </c>
      <c r="K314" s="107" t="str">
        <f>IF(A314="","",IF(I314&gt;I313,CHOOSE(計算過程!$B$72,ROUND(M313*計算過程!$B$79,0),ROUNDDOWN(M313*計算過程!$B$79,0),ROUNDUP(M313*計算過程!$B$79,0)),0))</f>
        <v/>
      </c>
      <c r="L314" s="107" t="str">
        <f>IF(A314="","",J314-K314)</f>
        <v/>
      </c>
      <c r="M314" s="107" t="str">
        <f>IF(A314="","",IF(I314&gt;I313,M313-L314,M313))</f>
        <v/>
      </c>
      <c r="N314" s="107" t="str">
        <f>IF(A314="","",C314+J314)</f>
        <v/>
      </c>
      <c r="O314" s="107" t="str">
        <f>IF(A314="","",H314+M314)</f>
        <v/>
      </c>
      <c r="P314" s="107" t="str">
        <f>IF(A314="","",CHOOSE(計算過程!$B$72,ROUND(F313*計算過程!$B$32/計算過程!$B$6,0),ROUNDDOWN(F313*計算過程!$B$32/計算過程!$B$6,0),ROUNDUP(F313*計算過程!$B$32/計算過程!$B$6,0)))</f>
        <v/>
      </c>
      <c r="Q314" s="107" t="str">
        <f>IF(A314="","",CHOOSE(計算過程!$B$72,ROUND(G313*計算過程!$B$33/計算過程!$B$6,0),ROUNDDOWN(G313*計算過程!$B$33/計算過程!$B$6,0),ROUNDUP(G313*計算過程!$B$33/計算過程!$B$6,0)))</f>
        <v/>
      </c>
    </row>
    <row r="315" spans="1:17">
      <c r="A315" s="106" t="str">
        <f>IF(OR(計算過程!$B$98="",ROWS($A$8:A315)&gt;計算過程!$B$71),"",ROWS($A$8:A315))</f>
        <v/>
      </c>
      <c r="B315" s="108" t="str">
        <f>IF(A315="","",EDATE(計算過程!$B$98,A315-1))</f>
        <v/>
      </c>
      <c r="C315" s="107" t="str">
        <f>IF(A315="","",IF(A315=計算過程!$B$71,D315+F314+G314,計算過程!$B$78))</f>
        <v/>
      </c>
      <c r="D315" s="107" t="str">
        <f>IF(A315="","",P315+Q315)</f>
        <v/>
      </c>
      <c r="E315" s="107" t="str">
        <f>IF(A315="","",C315-D315)</f>
        <v/>
      </c>
      <c r="F315" s="107" t="str">
        <f>IF(A315="","",IF(A315=計算過程!$B$71,0,MAX(0,F314-(計算過程!$B$76-P315))))</f>
        <v/>
      </c>
      <c r="G315" s="107" t="str">
        <f>IF(A315="","",IF(A315=計算過程!$B$71,0,MAX(0,G314-(計算過程!$B$77-Q315))))</f>
        <v/>
      </c>
      <c r="H315" s="107" t="str">
        <f>IF(A315="","",F315+G315)</f>
        <v/>
      </c>
      <c r="I315" s="106" t="str">
        <f>IF(A315="","",IF(AND(OR(MONTH(B315)=6,MONTH(B315)=12),I314&lt;計算過程!$B$69),I314+1,I314))</f>
        <v/>
      </c>
      <c r="J315" s="107" t="str">
        <f>IF(A315="","",IF(I315&gt;I314,IF(I315=計算過程!$B$69,M314+K315,計算過程!$B$81),0))</f>
        <v/>
      </c>
      <c r="K315" s="107" t="str">
        <f>IF(A315="","",IF(I315&gt;I314,CHOOSE(計算過程!$B$72,ROUND(M314*計算過程!$B$79,0),ROUNDDOWN(M314*計算過程!$B$79,0),ROUNDUP(M314*計算過程!$B$79,0)),0))</f>
        <v/>
      </c>
      <c r="L315" s="107" t="str">
        <f>IF(A315="","",J315-K315)</f>
        <v/>
      </c>
      <c r="M315" s="107" t="str">
        <f>IF(A315="","",IF(I315&gt;I314,M314-L315,M314))</f>
        <v/>
      </c>
      <c r="N315" s="107" t="str">
        <f>IF(A315="","",C315+J315)</f>
        <v/>
      </c>
      <c r="O315" s="107" t="str">
        <f>IF(A315="","",H315+M315)</f>
        <v/>
      </c>
      <c r="P315" s="107" t="str">
        <f>IF(A315="","",CHOOSE(計算過程!$B$72,ROUND(F314*計算過程!$B$32/計算過程!$B$6,0),ROUNDDOWN(F314*計算過程!$B$32/計算過程!$B$6,0),ROUNDUP(F314*計算過程!$B$32/計算過程!$B$6,0)))</f>
        <v/>
      </c>
      <c r="Q315" s="107" t="str">
        <f>IF(A315="","",CHOOSE(計算過程!$B$72,ROUND(G314*計算過程!$B$33/計算過程!$B$6,0),ROUNDDOWN(G314*計算過程!$B$33/計算過程!$B$6,0),ROUNDUP(G314*計算過程!$B$33/計算過程!$B$6,0)))</f>
        <v/>
      </c>
    </row>
    <row r="316" spans="1:17">
      <c r="A316" s="106" t="str">
        <f>IF(OR(計算過程!$B$98="",ROWS($A$8:A316)&gt;計算過程!$B$71),"",ROWS($A$8:A316))</f>
        <v/>
      </c>
      <c r="B316" s="108" t="str">
        <f>IF(A316="","",EDATE(計算過程!$B$98,A316-1))</f>
        <v/>
      </c>
      <c r="C316" s="107" t="str">
        <f>IF(A316="","",IF(A316=計算過程!$B$71,D316+F315+G315,計算過程!$B$78))</f>
        <v/>
      </c>
      <c r="D316" s="107" t="str">
        <f>IF(A316="","",P316+Q316)</f>
        <v/>
      </c>
      <c r="E316" s="107" t="str">
        <f>IF(A316="","",C316-D316)</f>
        <v/>
      </c>
      <c r="F316" s="107" t="str">
        <f>IF(A316="","",IF(A316=計算過程!$B$71,0,MAX(0,F315-(計算過程!$B$76-P316))))</f>
        <v/>
      </c>
      <c r="G316" s="107" t="str">
        <f>IF(A316="","",IF(A316=計算過程!$B$71,0,MAX(0,G315-(計算過程!$B$77-Q316))))</f>
        <v/>
      </c>
      <c r="H316" s="107" t="str">
        <f>IF(A316="","",F316+G316)</f>
        <v/>
      </c>
      <c r="I316" s="106" t="str">
        <f>IF(A316="","",IF(AND(OR(MONTH(B316)=6,MONTH(B316)=12),I315&lt;計算過程!$B$69),I315+1,I315))</f>
        <v/>
      </c>
      <c r="J316" s="107" t="str">
        <f>IF(A316="","",IF(I316&gt;I315,IF(I316=計算過程!$B$69,M315+K316,計算過程!$B$81),0))</f>
        <v/>
      </c>
      <c r="K316" s="107" t="str">
        <f>IF(A316="","",IF(I316&gt;I315,CHOOSE(計算過程!$B$72,ROUND(M315*計算過程!$B$79,0),ROUNDDOWN(M315*計算過程!$B$79,0),ROUNDUP(M315*計算過程!$B$79,0)),0))</f>
        <v/>
      </c>
      <c r="L316" s="107" t="str">
        <f>IF(A316="","",J316-K316)</f>
        <v/>
      </c>
      <c r="M316" s="107" t="str">
        <f>IF(A316="","",IF(I316&gt;I315,M315-L316,M315))</f>
        <v/>
      </c>
      <c r="N316" s="107" t="str">
        <f>IF(A316="","",C316+J316)</f>
        <v/>
      </c>
      <c r="O316" s="107" t="str">
        <f>IF(A316="","",H316+M316)</f>
        <v/>
      </c>
      <c r="P316" s="107" t="str">
        <f>IF(A316="","",CHOOSE(計算過程!$B$72,ROUND(F315*計算過程!$B$32/計算過程!$B$6,0),ROUNDDOWN(F315*計算過程!$B$32/計算過程!$B$6,0),ROUNDUP(F315*計算過程!$B$32/計算過程!$B$6,0)))</f>
        <v/>
      </c>
      <c r="Q316" s="107" t="str">
        <f>IF(A316="","",CHOOSE(計算過程!$B$72,ROUND(G315*計算過程!$B$33/計算過程!$B$6,0),ROUNDDOWN(G315*計算過程!$B$33/計算過程!$B$6,0),ROUNDUP(G315*計算過程!$B$33/計算過程!$B$6,0)))</f>
        <v/>
      </c>
    </row>
    <row r="317" spans="1:17">
      <c r="A317" s="106" t="str">
        <f>IF(OR(計算過程!$B$98="",ROWS($A$8:A317)&gt;計算過程!$B$71),"",ROWS($A$8:A317))</f>
        <v/>
      </c>
      <c r="B317" s="108" t="str">
        <f>IF(A317="","",EDATE(計算過程!$B$98,A317-1))</f>
        <v/>
      </c>
      <c r="C317" s="107" t="str">
        <f>IF(A317="","",IF(A317=計算過程!$B$71,D317+F316+G316,計算過程!$B$78))</f>
        <v/>
      </c>
      <c r="D317" s="107" t="str">
        <f>IF(A317="","",P317+Q317)</f>
        <v/>
      </c>
      <c r="E317" s="107" t="str">
        <f>IF(A317="","",C317-D317)</f>
        <v/>
      </c>
      <c r="F317" s="107" t="str">
        <f>IF(A317="","",IF(A317=計算過程!$B$71,0,MAX(0,F316-(計算過程!$B$76-P317))))</f>
        <v/>
      </c>
      <c r="G317" s="107" t="str">
        <f>IF(A317="","",IF(A317=計算過程!$B$71,0,MAX(0,G316-(計算過程!$B$77-Q317))))</f>
        <v/>
      </c>
      <c r="H317" s="107" t="str">
        <f>IF(A317="","",F317+G317)</f>
        <v/>
      </c>
      <c r="I317" s="106" t="str">
        <f>IF(A317="","",IF(AND(OR(MONTH(B317)=6,MONTH(B317)=12),I316&lt;計算過程!$B$69),I316+1,I316))</f>
        <v/>
      </c>
      <c r="J317" s="107" t="str">
        <f>IF(A317="","",IF(I317&gt;I316,IF(I317=計算過程!$B$69,M316+K317,計算過程!$B$81),0))</f>
        <v/>
      </c>
      <c r="K317" s="107" t="str">
        <f>IF(A317="","",IF(I317&gt;I316,CHOOSE(計算過程!$B$72,ROUND(M316*計算過程!$B$79,0),ROUNDDOWN(M316*計算過程!$B$79,0),ROUNDUP(M316*計算過程!$B$79,0)),0))</f>
        <v/>
      </c>
      <c r="L317" s="107" t="str">
        <f>IF(A317="","",J317-K317)</f>
        <v/>
      </c>
      <c r="M317" s="107" t="str">
        <f>IF(A317="","",IF(I317&gt;I316,M316-L317,M316))</f>
        <v/>
      </c>
      <c r="N317" s="107" t="str">
        <f>IF(A317="","",C317+J317)</f>
        <v/>
      </c>
      <c r="O317" s="107" t="str">
        <f>IF(A317="","",H317+M317)</f>
        <v/>
      </c>
      <c r="P317" s="107" t="str">
        <f>IF(A317="","",CHOOSE(計算過程!$B$72,ROUND(F316*計算過程!$B$32/計算過程!$B$6,0),ROUNDDOWN(F316*計算過程!$B$32/計算過程!$B$6,0),ROUNDUP(F316*計算過程!$B$32/計算過程!$B$6,0)))</f>
        <v/>
      </c>
      <c r="Q317" s="107" t="str">
        <f>IF(A317="","",CHOOSE(計算過程!$B$72,ROUND(G316*計算過程!$B$33/計算過程!$B$6,0),ROUNDDOWN(G316*計算過程!$B$33/計算過程!$B$6,0),ROUNDUP(G316*計算過程!$B$33/計算過程!$B$6,0)))</f>
        <v/>
      </c>
    </row>
    <row r="318" spans="1:17">
      <c r="A318" s="106" t="str">
        <f>IF(OR(計算過程!$B$98="",ROWS($A$8:A318)&gt;計算過程!$B$71),"",ROWS($A$8:A318))</f>
        <v/>
      </c>
      <c r="B318" s="108" t="str">
        <f>IF(A318="","",EDATE(計算過程!$B$98,A318-1))</f>
        <v/>
      </c>
      <c r="C318" s="107" t="str">
        <f>IF(A318="","",IF(A318=計算過程!$B$71,D318+F317+G317,計算過程!$B$78))</f>
        <v/>
      </c>
      <c r="D318" s="107" t="str">
        <f>IF(A318="","",P318+Q318)</f>
        <v/>
      </c>
      <c r="E318" s="107" t="str">
        <f>IF(A318="","",C318-D318)</f>
        <v/>
      </c>
      <c r="F318" s="107" t="str">
        <f>IF(A318="","",IF(A318=計算過程!$B$71,0,MAX(0,F317-(計算過程!$B$76-P318))))</f>
        <v/>
      </c>
      <c r="G318" s="107" t="str">
        <f>IF(A318="","",IF(A318=計算過程!$B$71,0,MAX(0,G317-(計算過程!$B$77-Q318))))</f>
        <v/>
      </c>
      <c r="H318" s="107" t="str">
        <f>IF(A318="","",F318+G318)</f>
        <v/>
      </c>
      <c r="I318" s="106" t="str">
        <f>IF(A318="","",IF(AND(OR(MONTH(B318)=6,MONTH(B318)=12),I317&lt;計算過程!$B$69),I317+1,I317))</f>
        <v/>
      </c>
      <c r="J318" s="107" t="str">
        <f>IF(A318="","",IF(I318&gt;I317,IF(I318=計算過程!$B$69,M317+K318,計算過程!$B$81),0))</f>
        <v/>
      </c>
      <c r="K318" s="107" t="str">
        <f>IF(A318="","",IF(I318&gt;I317,CHOOSE(計算過程!$B$72,ROUND(M317*計算過程!$B$79,0),ROUNDDOWN(M317*計算過程!$B$79,0),ROUNDUP(M317*計算過程!$B$79,0)),0))</f>
        <v/>
      </c>
      <c r="L318" s="107" t="str">
        <f>IF(A318="","",J318-K318)</f>
        <v/>
      </c>
      <c r="M318" s="107" t="str">
        <f>IF(A318="","",IF(I318&gt;I317,M317-L318,M317))</f>
        <v/>
      </c>
      <c r="N318" s="107" t="str">
        <f>IF(A318="","",C318+J318)</f>
        <v/>
      </c>
      <c r="O318" s="107" t="str">
        <f>IF(A318="","",H318+M318)</f>
        <v/>
      </c>
      <c r="P318" s="107" t="str">
        <f>IF(A318="","",CHOOSE(計算過程!$B$72,ROUND(F317*計算過程!$B$32/計算過程!$B$6,0),ROUNDDOWN(F317*計算過程!$B$32/計算過程!$B$6,0),ROUNDUP(F317*計算過程!$B$32/計算過程!$B$6,0)))</f>
        <v/>
      </c>
      <c r="Q318" s="107" t="str">
        <f>IF(A318="","",CHOOSE(計算過程!$B$72,ROUND(G317*計算過程!$B$33/計算過程!$B$6,0),ROUNDDOWN(G317*計算過程!$B$33/計算過程!$B$6,0),ROUNDUP(G317*計算過程!$B$33/計算過程!$B$6,0)))</f>
        <v/>
      </c>
    </row>
    <row r="319" spans="1:17">
      <c r="A319" s="106" t="str">
        <f>IF(OR(計算過程!$B$98="",ROWS($A$8:A319)&gt;計算過程!$B$71),"",ROWS($A$8:A319))</f>
        <v/>
      </c>
      <c r="B319" s="108" t="str">
        <f>IF(A319="","",EDATE(計算過程!$B$98,A319-1))</f>
        <v/>
      </c>
      <c r="C319" s="107" t="str">
        <f>IF(A319="","",IF(A319=計算過程!$B$71,D319+F318+G318,計算過程!$B$78))</f>
        <v/>
      </c>
      <c r="D319" s="107" t="str">
        <f>IF(A319="","",P319+Q319)</f>
        <v/>
      </c>
      <c r="E319" s="107" t="str">
        <f>IF(A319="","",C319-D319)</f>
        <v/>
      </c>
      <c r="F319" s="107" t="str">
        <f>IF(A319="","",IF(A319=計算過程!$B$71,0,MAX(0,F318-(計算過程!$B$76-P319))))</f>
        <v/>
      </c>
      <c r="G319" s="107" t="str">
        <f>IF(A319="","",IF(A319=計算過程!$B$71,0,MAX(0,G318-(計算過程!$B$77-Q319))))</f>
        <v/>
      </c>
      <c r="H319" s="107" t="str">
        <f>IF(A319="","",F319+G319)</f>
        <v/>
      </c>
      <c r="I319" s="106" t="str">
        <f>IF(A319="","",IF(AND(OR(MONTH(B319)=6,MONTH(B319)=12),I318&lt;計算過程!$B$69),I318+1,I318))</f>
        <v/>
      </c>
      <c r="J319" s="107" t="str">
        <f>IF(A319="","",IF(I319&gt;I318,IF(I319=計算過程!$B$69,M318+K319,計算過程!$B$81),0))</f>
        <v/>
      </c>
      <c r="K319" s="107" t="str">
        <f>IF(A319="","",IF(I319&gt;I318,CHOOSE(計算過程!$B$72,ROUND(M318*計算過程!$B$79,0),ROUNDDOWN(M318*計算過程!$B$79,0),ROUNDUP(M318*計算過程!$B$79,0)),0))</f>
        <v/>
      </c>
      <c r="L319" s="107" t="str">
        <f>IF(A319="","",J319-K319)</f>
        <v/>
      </c>
      <c r="M319" s="107" t="str">
        <f>IF(A319="","",IF(I319&gt;I318,M318-L319,M318))</f>
        <v/>
      </c>
      <c r="N319" s="107" t="str">
        <f>IF(A319="","",C319+J319)</f>
        <v/>
      </c>
      <c r="O319" s="107" t="str">
        <f>IF(A319="","",H319+M319)</f>
        <v/>
      </c>
      <c r="P319" s="107" t="str">
        <f>IF(A319="","",CHOOSE(計算過程!$B$72,ROUND(F318*計算過程!$B$32/計算過程!$B$6,0),ROUNDDOWN(F318*計算過程!$B$32/計算過程!$B$6,0),ROUNDUP(F318*計算過程!$B$32/計算過程!$B$6,0)))</f>
        <v/>
      </c>
      <c r="Q319" s="107" t="str">
        <f>IF(A319="","",CHOOSE(計算過程!$B$72,ROUND(G318*計算過程!$B$33/計算過程!$B$6,0),ROUNDDOWN(G318*計算過程!$B$33/計算過程!$B$6,0),ROUNDUP(G318*計算過程!$B$33/計算過程!$B$6,0)))</f>
        <v/>
      </c>
    </row>
    <row r="320" spans="1:17">
      <c r="A320" s="106" t="str">
        <f>IF(OR(計算過程!$B$98="",ROWS($A$8:A320)&gt;計算過程!$B$71),"",ROWS($A$8:A320))</f>
        <v/>
      </c>
      <c r="B320" s="108" t="str">
        <f>IF(A320="","",EDATE(計算過程!$B$98,A320-1))</f>
        <v/>
      </c>
      <c r="C320" s="107" t="str">
        <f>IF(A320="","",IF(A320=計算過程!$B$71,D320+F319+G319,計算過程!$B$78))</f>
        <v/>
      </c>
      <c r="D320" s="107" t="str">
        <f>IF(A320="","",P320+Q320)</f>
        <v/>
      </c>
      <c r="E320" s="107" t="str">
        <f>IF(A320="","",C320-D320)</f>
        <v/>
      </c>
      <c r="F320" s="107" t="str">
        <f>IF(A320="","",IF(A320=計算過程!$B$71,0,MAX(0,F319-(計算過程!$B$76-P320))))</f>
        <v/>
      </c>
      <c r="G320" s="107" t="str">
        <f>IF(A320="","",IF(A320=計算過程!$B$71,0,MAX(0,G319-(計算過程!$B$77-Q320))))</f>
        <v/>
      </c>
      <c r="H320" s="107" t="str">
        <f>IF(A320="","",F320+G320)</f>
        <v/>
      </c>
      <c r="I320" s="106" t="str">
        <f>IF(A320="","",IF(AND(OR(MONTH(B320)=6,MONTH(B320)=12),I319&lt;計算過程!$B$69),I319+1,I319))</f>
        <v/>
      </c>
      <c r="J320" s="107" t="str">
        <f>IF(A320="","",IF(I320&gt;I319,IF(I320=計算過程!$B$69,M319+K320,計算過程!$B$81),0))</f>
        <v/>
      </c>
      <c r="K320" s="107" t="str">
        <f>IF(A320="","",IF(I320&gt;I319,CHOOSE(計算過程!$B$72,ROUND(M319*計算過程!$B$79,0),ROUNDDOWN(M319*計算過程!$B$79,0),ROUNDUP(M319*計算過程!$B$79,0)),0))</f>
        <v/>
      </c>
      <c r="L320" s="107" t="str">
        <f>IF(A320="","",J320-K320)</f>
        <v/>
      </c>
      <c r="M320" s="107" t="str">
        <f>IF(A320="","",IF(I320&gt;I319,M319-L320,M319))</f>
        <v/>
      </c>
      <c r="N320" s="107" t="str">
        <f>IF(A320="","",C320+J320)</f>
        <v/>
      </c>
      <c r="O320" s="107" t="str">
        <f>IF(A320="","",H320+M320)</f>
        <v/>
      </c>
      <c r="P320" s="107" t="str">
        <f>IF(A320="","",CHOOSE(計算過程!$B$72,ROUND(F319*計算過程!$B$32/計算過程!$B$6,0),ROUNDDOWN(F319*計算過程!$B$32/計算過程!$B$6,0),ROUNDUP(F319*計算過程!$B$32/計算過程!$B$6,0)))</f>
        <v/>
      </c>
      <c r="Q320" s="107" t="str">
        <f>IF(A320="","",CHOOSE(計算過程!$B$72,ROUND(G319*計算過程!$B$33/計算過程!$B$6,0),ROUNDDOWN(G319*計算過程!$B$33/計算過程!$B$6,0),ROUNDUP(G319*計算過程!$B$33/計算過程!$B$6,0)))</f>
        <v/>
      </c>
    </row>
    <row r="321" spans="1:17">
      <c r="A321" s="106" t="str">
        <f>IF(OR(計算過程!$B$98="",ROWS($A$8:A321)&gt;計算過程!$B$71),"",ROWS($A$8:A321))</f>
        <v/>
      </c>
      <c r="B321" s="108" t="str">
        <f>IF(A321="","",EDATE(計算過程!$B$98,A321-1))</f>
        <v/>
      </c>
      <c r="C321" s="107" t="str">
        <f>IF(A321="","",IF(A321=計算過程!$B$71,D321+F320+G320,計算過程!$B$78))</f>
        <v/>
      </c>
      <c r="D321" s="107" t="str">
        <f>IF(A321="","",P321+Q321)</f>
        <v/>
      </c>
      <c r="E321" s="107" t="str">
        <f>IF(A321="","",C321-D321)</f>
        <v/>
      </c>
      <c r="F321" s="107" t="str">
        <f>IF(A321="","",IF(A321=計算過程!$B$71,0,MAX(0,F320-(計算過程!$B$76-P321))))</f>
        <v/>
      </c>
      <c r="G321" s="107" t="str">
        <f>IF(A321="","",IF(A321=計算過程!$B$71,0,MAX(0,G320-(計算過程!$B$77-Q321))))</f>
        <v/>
      </c>
      <c r="H321" s="107" t="str">
        <f>IF(A321="","",F321+G321)</f>
        <v/>
      </c>
      <c r="I321" s="106" t="str">
        <f>IF(A321="","",IF(AND(OR(MONTH(B321)=6,MONTH(B321)=12),I320&lt;計算過程!$B$69),I320+1,I320))</f>
        <v/>
      </c>
      <c r="J321" s="107" t="str">
        <f>IF(A321="","",IF(I321&gt;I320,IF(I321=計算過程!$B$69,M320+K321,計算過程!$B$81),0))</f>
        <v/>
      </c>
      <c r="K321" s="107" t="str">
        <f>IF(A321="","",IF(I321&gt;I320,CHOOSE(計算過程!$B$72,ROUND(M320*計算過程!$B$79,0),ROUNDDOWN(M320*計算過程!$B$79,0),ROUNDUP(M320*計算過程!$B$79,0)),0))</f>
        <v/>
      </c>
      <c r="L321" s="107" t="str">
        <f>IF(A321="","",J321-K321)</f>
        <v/>
      </c>
      <c r="M321" s="107" t="str">
        <f>IF(A321="","",IF(I321&gt;I320,M320-L321,M320))</f>
        <v/>
      </c>
      <c r="N321" s="107" t="str">
        <f>IF(A321="","",C321+J321)</f>
        <v/>
      </c>
      <c r="O321" s="107" t="str">
        <f>IF(A321="","",H321+M321)</f>
        <v/>
      </c>
      <c r="P321" s="107" t="str">
        <f>IF(A321="","",CHOOSE(計算過程!$B$72,ROUND(F320*計算過程!$B$32/計算過程!$B$6,0),ROUNDDOWN(F320*計算過程!$B$32/計算過程!$B$6,0),ROUNDUP(F320*計算過程!$B$32/計算過程!$B$6,0)))</f>
        <v/>
      </c>
      <c r="Q321" s="107" t="str">
        <f>IF(A321="","",CHOOSE(計算過程!$B$72,ROUND(G320*計算過程!$B$33/計算過程!$B$6,0),ROUNDDOWN(G320*計算過程!$B$33/計算過程!$B$6,0),ROUNDUP(G320*計算過程!$B$33/計算過程!$B$6,0)))</f>
        <v/>
      </c>
    </row>
    <row r="322" spans="1:17">
      <c r="A322" s="106" t="str">
        <f>IF(OR(計算過程!$B$98="",ROWS($A$8:A322)&gt;計算過程!$B$71),"",ROWS($A$8:A322))</f>
        <v/>
      </c>
      <c r="B322" s="108" t="str">
        <f>IF(A322="","",EDATE(計算過程!$B$98,A322-1))</f>
        <v/>
      </c>
      <c r="C322" s="107" t="str">
        <f>IF(A322="","",IF(A322=計算過程!$B$71,D322+F321+G321,計算過程!$B$78))</f>
        <v/>
      </c>
      <c r="D322" s="107" t="str">
        <f>IF(A322="","",P322+Q322)</f>
        <v/>
      </c>
      <c r="E322" s="107" t="str">
        <f>IF(A322="","",C322-D322)</f>
        <v/>
      </c>
      <c r="F322" s="107" t="str">
        <f>IF(A322="","",IF(A322=計算過程!$B$71,0,MAX(0,F321-(計算過程!$B$76-P322))))</f>
        <v/>
      </c>
      <c r="G322" s="107" t="str">
        <f>IF(A322="","",IF(A322=計算過程!$B$71,0,MAX(0,G321-(計算過程!$B$77-Q322))))</f>
        <v/>
      </c>
      <c r="H322" s="107" t="str">
        <f>IF(A322="","",F322+G322)</f>
        <v/>
      </c>
      <c r="I322" s="106" t="str">
        <f>IF(A322="","",IF(AND(OR(MONTH(B322)=6,MONTH(B322)=12),I321&lt;計算過程!$B$69),I321+1,I321))</f>
        <v/>
      </c>
      <c r="J322" s="107" t="str">
        <f>IF(A322="","",IF(I322&gt;I321,IF(I322=計算過程!$B$69,M321+K322,計算過程!$B$81),0))</f>
        <v/>
      </c>
      <c r="K322" s="107" t="str">
        <f>IF(A322="","",IF(I322&gt;I321,CHOOSE(計算過程!$B$72,ROUND(M321*計算過程!$B$79,0),ROUNDDOWN(M321*計算過程!$B$79,0),ROUNDUP(M321*計算過程!$B$79,0)),0))</f>
        <v/>
      </c>
      <c r="L322" s="107" t="str">
        <f>IF(A322="","",J322-K322)</f>
        <v/>
      </c>
      <c r="M322" s="107" t="str">
        <f>IF(A322="","",IF(I322&gt;I321,M321-L322,M321))</f>
        <v/>
      </c>
      <c r="N322" s="107" t="str">
        <f>IF(A322="","",C322+J322)</f>
        <v/>
      </c>
      <c r="O322" s="107" t="str">
        <f>IF(A322="","",H322+M322)</f>
        <v/>
      </c>
      <c r="P322" s="107" t="str">
        <f>IF(A322="","",CHOOSE(計算過程!$B$72,ROUND(F321*計算過程!$B$32/計算過程!$B$6,0),ROUNDDOWN(F321*計算過程!$B$32/計算過程!$B$6,0),ROUNDUP(F321*計算過程!$B$32/計算過程!$B$6,0)))</f>
        <v/>
      </c>
      <c r="Q322" s="107" t="str">
        <f>IF(A322="","",CHOOSE(計算過程!$B$72,ROUND(G321*計算過程!$B$33/計算過程!$B$6,0),ROUNDDOWN(G321*計算過程!$B$33/計算過程!$B$6,0),ROUNDUP(G321*計算過程!$B$33/計算過程!$B$6,0)))</f>
        <v/>
      </c>
    </row>
    <row r="323" spans="1:17">
      <c r="A323" s="106" t="str">
        <f>IF(OR(計算過程!$B$98="",ROWS($A$8:A323)&gt;計算過程!$B$71),"",ROWS($A$8:A323))</f>
        <v/>
      </c>
      <c r="B323" s="108" t="str">
        <f>IF(A323="","",EDATE(計算過程!$B$98,A323-1))</f>
        <v/>
      </c>
      <c r="C323" s="107" t="str">
        <f>IF(A323="","",IF(A323=計算過程!$B$71,D323+F322+G322,計算過程!$B$78))</f>
        <v/>
      </c>
      <c r="D323" s="107" t="str">
        <f>IF(A323="","",P323+Q323)</f>
        <v/>
      </c>
      <c r="E323" s="107" t="str">
        <f>IF(A323="","",C323-D323)</f>
        <v/>
      </c>
      <c r="F323" s="107" t="str">
        <f>IF(A323="","",IF(A323=計算過程!$B$71,0,MAX(0,F322-(計算過程!$B$76-P323))))</f>
        <v/>
      </c>
      <c r="G323" s="107" t="str">
        <f>IF(A323="","",IF(A323=計算過程!$B$71,0,MAX(0,G322-(計算過程!$B$77-Q323))))</f>
        <v/>
      </c>
      <c r="H323" s="107" t="str">
        <f>IF(A323="","",F323+G323)</f>
        <v/>
      </c>
      <c r="I323" s="106" t="str">
        <f>IF(A323="","",IF(AND(OR(MONTH(B323)=6,MONTH(B323)=12),I322&lt;計算過程!$B$69),I322+1,I322))</f>
        <v/>
      </c>
      <c r="J323" s="107" t="str">
        <f>IF(A323="","",IF(I323&gt;I322,IF(I323=計算過程!$B$69,M322+K323,計算過程!$B$81),0))</f>
        <v/>
      </c>
      <c r="K323" s="107" t="str">
        <f>IF(A323="","",IF(I323&gt;I322,CHOOSE(計算過程!$B$72,ROUND(M322*計算過程!$B$79,0),ROUNDDOWN(M322*計算過程!$B$79,0),ROUNDUP(M322*計算過程!$B$79,0)),0))</f>
        <v/>
      </c>
      <c r="L323" s="107" t="str">
        <f>IF(A323="","",J323-K323)</f>
        <v/>
      </c>
      <c r="M323" s="107" t="str">
        <f>IF(A323="","",IF(I323&gt;I322,M322-L323,M322))</f>
        <v/>
      </c>
      <c r="N323" s="107" t="str">
        <f>IF(A323="","",C323+J323)</f>
        <v/>
      </c>
      <c r="O323" s="107" t="str">
        <f>IF(A323="","",H323+M323)</f>
        <v/>
      </c>
      <c r="P323" s="107" t="str">
        <f>IF(A323="","",CHOOSE(計算過程!$B$72,ROUND(F322*計算過程!$B$32/計算過程!$B$6,0),ROUNDDOWN(F322*計算過程!$B$32/計算過程!$B$6,0),ROUNDUP(F322*計算過程!$B$32/計算過程!$B$6,0)))</f>
        <v/>
      </c>
      <c r="Q323" s="107" t="str">
        <f>IF(A323="","",CHOOSE(計算過程!$B$72,ROUND(G322*計算過程!$B$33/計算過程!$B$6,0),ROUNDDOWN(G322*計算過程!$B$33/計算過程!$B$6,0),ROUNDUP(G322*計算過程!$B$33/計算過程!$B$6,0)))</f>
        <v/>
      </c>
    </row>
    <row r="324" spans="1:17">
      <c r="A324" s="106" t="str">
        <f>IF(OR(計算過程!$B$98="",ROWS($A$8:A324)&gt;計算過程!$B$71),"",ROWS($A$8:A324))</f>
        <v/>
      </c>
      <c r="B324" s="108" t="str">
        <f>IF(A324="","",EDATE(計算過程!$B$98,A324-1))</f>
        <v/>
      </c>
      <c r="C324" s="107" t="str">
        <f>IF(A324="","",IF(A324=計算過程!$B$71,D324+F323+G323,計算過程!$B$78))</f>
        <v/>
      </c>
      <c r="D324" s="107" t="str">
        <f>IF(A324="","",P324+Q324)</f>
        <v/>
      </c>
      <c r="E324" s="107" t="str">
        <f>IF(A324="","",C324-D324)</f>
        <v/>
      </c>
      <c r="F324" s="107" t="str">
        <f>IF(A324="","",IF(A324=計算過程!$B$71,0,MAX(0,F323-(計算過程!$B$76-P324))))</f>
        <v/>
      </c>
      <c r="G324" s="107" t="str">
        <f>IF(A324="","",IF(A324=計算過程!$B$71,0,MAX(0,G323-(計算過程!$B$77-Q324))))</f>
        <v/>
      </c>
      <c r="H324" s="107" t="str">
        <f>IF(A324="","",F324+G324)</f>
        <v/>
      </c>
      <c r="I324" s="106" t="str">
        <f>IF(A324="","",IF(AND(OR(MONTH(B324)=6,MONTH(B324)=12),I323&lt;計算過程!$B$69),I323+1,I323))</f>
        <v/>
      </c>
      <c r="J324" s="107" t="str">
        <f>IF(A324="","",IF(I324&gt;I323,IF(I324=計算過程!$B$69,M323+K324,計算過程!$B$81),0))</f>
        <v/>
      </c>
      <c r="K324" s="107" t="str">
        <f>IF(A324="","",IF(I324&gt;I323,CHOOSE(計算過程!$B$72,ROUND(M323*計算過程!$B$79,0),ROUNDDOWN(M323*計算過程!$B$79,0),ROUNDUP(M323*計算過程!$B$79,0)),0))</f>
        <v/>
      </c>
      <c r="L324" s="107" t="str">
        <f>IF(A324="","",J324-K324)</f>
        <v/>
      </c>
      <c r="M324" s="107" t="str">
        <f>IF(A324="","",IF(I324&gt;I323,M323-L324,M323))</f>
        <v/>
      </c>
      <c r="N324" s="107" t="str">
        <f>IF(A324="","",C324+J324)</f>
        <v/>
      </c>
      <c r="O324" s="107" t="str">
        <f>IF(A324="","",H324+M324)</f>
        <v/>
      </c>
      <c r="P324" s="107" t="str">
        <f>IF(A324="","",CHOOSE(計算過程!$B$72,ROUND(F323*計算過程!$B$32/計算過程!$B$6,0),ROUNDDOWN(F323*計算過程!$B$32/計算過程!$B$6,0),ROUNDUP(F323*計算過程!$B$32/計算過程!$B$6,0)))</f>
        <v/>
      </c>
      <c r="Q324" s="107" t="str">
        <f>IF(A324="","",CHOOSE(計算過程!$B$72,ROUND(G323*計算過程!$B$33/計算過程!$B$6,0),ROUNDDOWN(G323*計算過程!$B$33/計算過程!$B$6,0),ROUNDUP(G323*計算過程!$B$33/計算過程!$B$6,0)))</f>
        <v/>
      </c>
    </row>
    <row r="325" spans="1:17">
      <c r="A325" s="106" t="str">
        <f>IF(OR(計算過程!$B$98="",ROWS($A$8:A325)&gt;計算過程!$B$71),"",ROWS($A$8:A325))</f>
        <v/>
      </c>
      <c r="B325" s="108" t="str">
        <f>IF(A325="","",EDATE(計算過程!$B$98,A325-1))</f>
        <v/>
      </c>
      <c r="C325" s="107" t="str">
        <f>IF(A325="","",IF(A325=計算過程!$B$71,D325+F324+G324,計算過程!$B$78))</f>
        <v/>
      </c>
      <c r="D325" s="107" t="str">
        <f>IF(A325="","",P325+Q325)</f>
        <v/>
      </c>
      <c r="E325" s="107" t="str">
        <f>IF(A325="","",C325-D325)</f>
        <v/>
      </c>
      <c r="F325" s="107" t="str">
        <f>IF(A325="","",IF(A325=計算過程!$B$71,0,MAX(0,F324-(計算過程!$B$76-P325))))</f>
        <v/>
      </c>
      <c r="G325" s="107" t="str">
        <f>IF(A325="","",IF(A325=計算過程!$B$71,0,MAX(0,G324-(計算過程!$B$77-Q325))))</f>
        <v/>
      </c>
      <c r="H325" s="107" t="str">
        <f>IF(A325="","",F325+G325)</f>
        <v/>
      </c>
      <c r="I325" s="106" t="str">
        <f>IF(A325="","",IF(AND(OR(MONTH(B325)=6,MONTH(B325)=12),I324&lt;計算過程!$B$69),I324+1,I324))</f>
        <v/>
      </c>
      <c r="J325" s="107" t="str">
        <f>IF(A325="","",IF(I325&gt;I324,IF(I325=計算過程!$B$69,M324+K325,計算過程!$B$81),0))</f>
        <v/>
      </c>
      <c r="K325" s="107" t="str">
        <f>IF(A325="","",IF(I325&gt;I324,CHOOSE(計算過程!$B$72,ROUND(M324*計算過程!$B$79,0),ROUNDDOWN(M324*計算過程!$B$79,0),ROUNDUP(M324*計算過程!$B$79,0)),0))</f>
        <v/>
      </c>
      <c r="L325" s="107" t="str">
        <f>IF(A325="","",J325-K325)</f>
        <v/>
      </c>
      <c r="M325" s="107" t="str">
        <f>IF(A325="","",IF(I325&gt;I324,M324-L325,M324))</f>
        <v/>
      </c>
      <c r="N325" s="107" t="str">
        <f>IF(A325="","",C325+J325)</f>
        <v/>
      </c>
      <c r="O325" s="107" t="str">
        <f>IF(A325="","",H325+M325)</f>
        <v/>
      </c>
      <c r="P325" s="107" t="str">
        <f>IF(A325="","",CHOOSE(計算過程!$B$72,ROUND(F324*計算過程!$B$32/計算過程!$B$6,0),ROUNDDOWN(F324*計算過程!$B$32/計算過程!$B$6,0),ROUNDUP(F324*計算過程!$B$32/計算過程!$B$6,0)))</f>
        <v/>
      </c>
      <c r="Q325" s="107" t="str">
        <f>IF(A325="","",CHOOSE(計算過程!$B$72,ROUND(G324*計算過程!$B$33/計算過程!$B$6,0),ROUNDDOWN(G324*計算過程!$B$33/計算過程!$B$6,0),ROUNDUP(G324*計算過程!$B$33/計算過程!$B$6,0)))</f>
        <v/>
      </c>
    </row>
    <row r="326" spans="1:17">
      <c r="A326" s="106" t="str">
        <f>IF(OR(計算過程!$B$98="",ROWS($A$8:A326)&gt;計算過程!$B$71),"",ROWS($A$8:A326))</f>
        <v/>
      </c>
      <c r="B326" s="108" t="str">
        <f>IF(A326="","",EDATE(計算過程!$B$98,A326-1))</f>
        <v/>
      </c>
      <c r="C326" s="107" t="str">
        <f>IF(A326="","",IF(A326=計算過程!$B$71,D326+F325+G325,計算過程!$B$78))</f>
        <v/>
      </c>
      <c r="D326" s="107" t="str">
        <f>IF(A326="","",P326+Q326)</f>
        <v/>
      </c>
      <c r="E326" s="107" t="str">
        <f>IF(A326="","",C326-D326)</f>
        <v/>
      </c>
      <c r="F326" s="107" t="str">
        <f>IF(A326="","",IF(A326=計算過程!$B$71,0,MAX(0,F325-(計算過程!$B$76-P326))))</f>
        <v/>
      </c>
      <c r="G326" s="107" t="str">
        <f>IF(A326="","",IF(A326=計算過程!$B$71,0,MAX(0,G325-(計算過程!$B$77-Q326))))</f>
        <v/>
      </c>
      <c r="H326" s="107" t="str">
        <f>IF(A326="","",F326+G326)</f>
        <v/>
      </c>
      <c r="I326" s="106" t="str">
        <f>IF(A326="","",IF(AND(OR(MONTH(B326)=6,MONTH(B326)=12),I325&lt;計算過程!$B$69),I325+1,I325))</f>
        <v/>
      </c>
      <c r="J326" s="107" t="str">
        <f>IF(A326="","",IF(I326&gt;I325,IF(I326=計算過程!$B$69,M325+K326,計算過程!$B$81),0))</f>
        <v/>
      </c>
      <c r="K326" s="107" t="str">
        <f>IF(A326="","",IF(I326&gt;I325,CHOOSE(計算過程!$B$72,ROUND(M325*計算過程!$B$79,0),ROUNDDOWN(M325*計算過程!$B$79,0),ROUNDUP(M325*計算過程!$B$79,0)),0))</f>
        <v/>
      </c>
      <c r="L326" s="107" t="str">
        <f>IF(A326="","",J326-K326)</f>
        <v/>
      </c>
      <c r="M326" s="107" t="str">
        <f>IF(A326="","",IF(I326&gt;I325,M325-L326,M325))</f>
        <v/>
      </c>
      <c r="N326" s="107" t="str">
        <f>IF(A326="","",C326+J326)</f>
        <v/>
      </c>
      <c r="O326" s="107" t="str">
        <f>IF(A326="","",H326+M326)</f>
        <v/>
      </c>
      <c r="P326" s="107" t="str">
        <f>IF(A326="","",CHOOSE(計算過程!$B$72,ROUND(F325*計算過程!$B$32/計算過程!$B$6,0),ROUNDDOWN(F325*計算過程!$B$32/計算過程!$B$6,0),ROUNDUP(F325*計算過程!$B$32/計算過程!$B$6,0)))</f>
        <v/>
      </c>
      <c r="Q326" s="107" t="str">
        <f>IF(A326="","",CHOOSE(計算過程!$B$72,ROUND(G325*計算過程!$B$33/計算過程!$B$6,0),ROUNDDOWN(G325*計算過程!$B$33/計算過程!$B$6,0),ROUNDUP(G325*計算過程!$B$33/計算過程!$B$6,0)))</f>
        <v/>
      </c>
    </row>
    <row r="327" spans="1:17">
      <c r="A327" s="106" t="str">
        <f>IF(OR(計算過程!$B$98="",ROWS($A$8:A327)&gt;計算過程!$B$71),"",ROWS($A$8:A327))</f>
        <v/>
      </c>
      <c r="B327" s="108" t="str">
        <f>IF(A327="","",EDATE(計算過程!$B$98,A327-1))</f>
        <v/>
      </c>
      <c r="C327" s="107" t="str">
        <f>IF(A327="","",IF(A327=計算過程!$B$71,D327+F326+G326,計算過程!$B$78))</f>
        <v/>
      </c>
      <c r="D327" s="107" t="str">
        <f>IF(A327="","",P327+Q327)</f>
        <v/>
      </c>
      <c r="E327" s="107" t="str">
        <f>IF(A327="","",C327-D327)</f>
        <v/>
      </c>
      <c r="F327" s="107" t="str">
        <f>IF(A327="","",IF(A327=計算過程!$B$71,0,MAX(0,F326-(計算過程!$B$76-P327))))</f>
        <v/>
      </c>
      <c r="G327" s="107" t="str">
        <f>IF(A327="","",IF(A327=計算過程!$B$71,0,MAX(0,G326-(計算過程!$B$77-Q327))))</f>
        <v/>
      </c>
      <c r="H327" s="107" t="str">
        <f>IF(A327="","",F327+G327)</f>
        <v/>
      </c>
      <c r="I327" s="106" t="str">
        <f>IF(A327="","",IF(AND(OR(MONTH(B327)=6,MONTH(B327)=12),I326&lt;計算過程!$B$69),I326+1,I326))</f>
        <v/>
      </c>
      <c r="J327" s="107" t="str">
        <f>IF(A327="","",IF(I327&gt;I326,IF(I327=計算過程!$B$69,M326+K327,計算過程!$B$81),0))</f>
        <v/>
      </c>
      <c r="K327" s="107" t="str">
        <f>IF(A327="","",IF(I327&gt;I326,CHOOSE(計算過程!$B$72,ROUND(M326*計算過程!$B$79,0),ROUNDDOWN(M326*計算過程!$B$79,0),ROUNDUP(M326*計算過程!$B$79,0)),0))</f>
        <v/>
      </c>
      <c r="L327" s="107" t="str">
        <f>IF(A327="","",J327-K327)</f>
        <v/>
      </c>
      <c r="M327" s="107" t="str">
        <f>IF(A327="","",IF(I327&gt;I326,M326-L327,M326))</f>
        <v/>
      </c>
      <c r="N327" s="107" t="str">
        <f>IF(A327="","",C327+J327)</f>
        <v/>
      </c>
      <c r="O327" s="107" t="str">
        <f>IF(A327="","",H327+M327)</f>
        <v/>
      </c>
      <c r="P327" s="107" t="str">
        <f>IF(A327="","",CHOOSE(計算過程!$B$72,ROUND(F326*計算過程!$B$32/計算過程!$B$6,0),ROUNDDOWN(F326*計算過程!$B$32/計算過程!$B$6,0),ROUNDUP(F326*計算過程!$B$32/計算過程!$B$6,0)))</f>
        <v/>
      </c>
      <c r="Q327" s="107" t="str">
        <f>IF(A327="","",CHOOSE(計算過程!$B$72,ROUND(G326*計算過程!$B$33/計算過程!$B$6,0),ROUNDDOWN(G326*計算過程!$B$33/計算過程!$B$6,0),ROUNDUP(G326*計算過程!$B$33/計算過程!$B$6,0)))</f>
        <v/>
      </c>
    </row>
    <row r="328" spans="1:17">
      <c r="A328" s="106" t="str">
        <f>IF(OR(計算過程!$B$98="",ROWS($A$8:A328)&gt;計算過程!$B$71),"",ROWS($A$8:A328))</f>
        <v/>
      </c>
      <c r="B328" s="108" t="str">
        <f>IF(A328="","",EDATE(計算過程!$B$98,A328-1))</f>
        <v/>
      </c>
      <c r="C328" s="107" t="str">
        <f>IF(A328="","",IF(A328=計算過程!$B$71,D328+F327+G327,計算過程!$B$78))</f>
        <v/>
      </c>
      <c r="D328" s="107" t="str">
        <f>IF(A328="","",P328+Q328)</f>
        <v/>
      </c>
      <c r="E328" s="107" t="str">
        <f>IF(A328="","",C328-D328)</f>
        <v/>
      </c>
      <c r="F328" s="107" t="str">
        <f>IF(A328="","",IF(A328=計算過程!$B$71,0,MAX(0,F327-(計算過程!$B$76-P328))))</f>
        <v/>
      </c>
      <c r="G328" s="107" t="str">
        <f>IF(A328="","",IF(A328=計算過程!$B$71,0,MAX(0,G327-(計算過程!$B$77-Q328))))</f>
        <v/>
      </c>
      <c r="H328" s="107" t="str">
        <f>IF(A328="","",F328+G328)</f>
        <v/>
      </c>
      <c r="I328" s="106" t="str">
        <f>IF(A328="","",IF(AND(OR(MONTH(B328)=6,MONTH(B328)=12),I327&lt;計算過程!$B$69),I327+1,I327))</f>
        <v/>
      </c>
      <c r="J328" s="107" t="str">
        <f>IF(A328="","",IF(I328&gt;I327,IF(I328=計算過程!$B$69,M327+K328,計算過程!$B$81),0))</f>
        <v/>
      </c>
      <c r="K328" s="107" t="str">
        <f>IF(A328="","",IF(I328&gt;I327,CHOOSE(計算過程!$B$72,ROUND(M327*計算過程!$B$79,0),ROUNDDOWN(M327*計算過程!$B$79,0),ROUNDUP(M327*計算過程!$B$79,0)),0))</f>
        <v/>
      </c>
      <c r="L328" s="107" t="str">
        <f>IF(A328="","",J328-K328)</f>
        <v/>
      </c>
      <c r="M328" s="107" t="str">
        <f>IF(A328="","",IF(I328&gt;I327,M327-L328,M327))</f>
        <v/>
      </c>
      <c r="N328" s="107" t="str">
        <f>IF(A328="","",C328+J328)</f>
        <v/>
      </c>
      <c r="O328" s="107" t="str">
        <f>IF(A328="","",H328+M328)</f>
        <v/>
      </c>
      <c r="P328" s="107" t="str">
        <f>IF(A328="","",CHOOSE(計算過程!$B$72,ROUND(F327*計算過程!$B$32/計算過程!$B$6,0),ROUNDDOWN(F327*計算過程!$B$32/計算過程!$B$6,0),ROUNDUP(F327*計算過程!$B$32/計算過程!$B$6,0)))</f>
        <v/>
      </c>
      <c r="Q328" s="107" t="str">
        <f>IF(A328="","",CHOOSE(計算過程!$B$72,ROUND(G327*計算過程!$B$33/計算過程!$B$6,0),ROUNDDOWN(G327*計算過程!$B$33/計算過程!$B$6,0),ROUNDUP(G327*計算過程!$B$33/計算過程!$B$6,0)))</f>
        <v/>
      </c>
    </row>
    <row r="329" spans="1:17">
      <c r="A329" s="106" t="str">
        <f>IF(OR(計算過程!$B$98="",ROWS($A$8:A329)&gt;計算過程!$B$71),"",ROWS($A$8:A329))</f>
        <v/>
      </c>
      <c r="B329" s="108" t="str">
        <f>IF(A329="","",EDATE(計算過程!$B$98,A329-1))</f>
        <v/>
      </c>
      <c r="C329" s="107" t="str">
        <f>IF(A329="","",IF(A329=計算過程!$B$71,D329+F328+G328,計算過程!$B$78))</f>
        <v/>
      </c>
      <c r="D329" s="107" t="str">
        <f>IF(A329="","",P329+Q329)</f>
        <v/>
      </c>
      <c r="E329" s="107" t="str">
        <f>IF(A329="","",C329-D329)</f>
        <v/>
      </c>
      <c r="F329" s="107" t="str">
        <f>IF(A329="","",IF(A329=計算過程!$B$71,0,MAX(0,F328-(計算過程!$B$76-P329))))</f>
        <v/>
      </c>
      <c r="G329" s="107" t="str">
        <f>IF(A329="","",IF(A329=計算過程!$B$71,0,MAX(0,G328-(計算過程!$B$77-Q329))))</f>
        <v/>
      </c>
      <c r="H329" s="107" t="str">
        <f>IF(A329="","",F329+G329)</f>
        <v/>
      </c>
      <c r="I329" s="106" t="str">
        <f>IF(A329="","",IF(AND(OR(MONTH(B329)=6,MONTH(B329)=12),I328&lt;計算過程!$B$69),I328+1,I328))</f>
        <v/>
      </c>
      <c r="J329" s="107" t="str">
        <f>IF(A329="","",IF(I329&gt;I328,IF(I329=計算過程!$B$69,M328+K329,計算過程!$B$81),0))</f>
        <v/>
      </c>
      <c r="K329" s="107" t="str">
        <f>IF(A329="","",IF(I329&gt;I328,CHOOSE(計算過程!$B$72,ROUND(M328*計算過程!$B$79,0),ROUNDDOWN(M328*計算過程!$B$79,0),ROUNDUP(M328*計算過程!$B$79,0)),0))</f>
        <v/>
      </c>
      <c r="L329" s="107" t="str">
        <f>IF(A329="","",J329-K329)</f>
        <v/>
      </c>
      <c r="M329" s="107" t="str">
        <f>IF(A329="","",IF(I329&gt;I328,M328-L329,M328))</f>
        <v/>
      </c>
      <c r="N329" s="107" t="str">
        <f>IF(A329="","",C329+J329)</f>
        <v/>
      </c>
      <c r="O329" s="107" t="str">
        <f>IF(A329="","",H329+M329)</f>
        <v/>
      </c>
      <c r="P329" s="107" t="str">
        <f>IF(A329="","",CHOOSE(計算過程!$B$72,ROUND(F328*計算過程!$B$32/計算過程!$B$6,0),ROUNDDOWN(F328*計算過程!$B$32/計算過程!$B$6,0),ROUNDUP(F328*計算過程!$B$32/計算過程!$B$6,0)))</f>
        <v/>
      </c>
      <c r="Q329" s="107" t="str">
        <f>IF(A329="","",CHOOSE(計算過程!$B$72,ROUND(G328*計算過程!$B$33/計算過程!$B$6,0),ROUNDDOWN(G328*計算過程!$B$33/計算過程!$B$6,0),ROUNDUP(G328*計算過程!$B$33/計算過程!$B$6,0)))</f>
        <v/>
      </c>
    </row>
    <row r="330" spans="1:17">
      <c r="A330" s="106" t="str">
        <f>IF(OR(計算過程!$B$98="",ROWS($A$8:A330)&gt;計算過程!$B$71),"",ROWS($A$8:A330))</f>
        <v/>
      </c>
      <c r="B330" s="108" t="str">
        <f>IF(A330="","",EDATE(計算過程!$B$98,A330-1))</f>
        <v/>
      </c>
      <c r="C330" s="107" t="str">
        <f>IF(A330="","",IF(A330=計算過程!$B$71,D330+F329+G329,計算過程!$B$78))</f>
        <v/>
      </c>
      <c r="D330" s="107" t="str">
        <f>IF(A330="","",P330+Q330)</f>
        <v/>
      </c>
      <c r="E330" s="107" t="str">
        <f>IF(A330="","",C330-D330)</f>
        <v/>
      </c>
      <c r="F330" s="107" t="str">
        <f>IF(A330="","",IF(A330=計算過程!$B$71,0,MAX(0,F329-(計算過程!$B$76-P330))))</f>
        <v/>
      </c>
      <c r="G330" s="107" t="str">
        <f>IF(A330="","",IF(A330=計算過程!$B$71,0,MAX(0,G329-(計算過程!$B$77-Q330))))</f>
        <v/>
      </c>
      <c r="H330" s="107" t="str">
        <f>IF(A330="","",F330+G330)</f>
        <v/>
      </c>
      <c r="I330" s="106" t="str">
        <f>IF(A330="","",IF(AND(OR(MONTH(B330)=6,MONTH(B330)=12),I329&lt;計算過程!$B$69),I329+1,I329))</f>
        <v/>
      </c>
      <c r="J330" s="107" t="str">
        <f>IF(A330="","",IF(I330&gt;I329,IF(I330=計算過程!$B$69,M329+K330,計算過程!$B$81),0))</f>
        <v/>
      </c>
      <c r="K330" s="107" t="str">
        <f>IF(A330="","",IF(I330&gt;I329,CHOOSE(計算過程!$B$72,ROUND(M329*計算過程!$B$79,0),ROUNDDOWN(M329*計算過程!$B$79,0),ROUNDUP(M329*計算過程!$B$79,0)),0))</f>
        <v/>
      </c>
      <c r="L330" s="107" t="str">
        <f>IF(A330="","",J330-K330)</f>
        <v/>
      </c>
      <c r="M330" s="107" t="str">
        <f>IF(A330="","",IF(I330&gt;I329,M329-L330,M329))</f>
        <v/>
      </c>
      <c r="N330" s="107" t="str">
        <f>IF(A330="","",C330+J330)</f>
        <v/>
      </c>
      <c r="O330" s="107" t="str">
        <f>IF(A330="","",H330+M330)</f>
        <v/>
      </c>
      <c r="P330" s="107" t="str">
        <f>IF(A330="","",CHOOSE(計算過程!$B$72,ROUND(F329*計算過程!$B$32/計算過程!$B$6,0),ROUNDDOWN(F329*計算過程!$B$32/計算過程!$B$6,0),ROUNDUP(F329*計算過程!$B$32/計算過程!$B$6,0)))</f>
        <v/>
      </c>
      <c r="Q330" s="107" t="str">
        <f>IF(A330="","",CHOOSE(計算過程!$B$72,ROUND(G329*計算過程!$B$33/計算過程!$B$6,0),ROUNDDOWN(G329*計算過程!$B$33/計算過程!$B$6,0),ROUNDUP(G329*計算過程!$B$33/計算過程!$B$6,0)))</f>
        <v/>
      </c>
    </row>
    <row r="331" spans="1:17">
      <c r="A331" s="106" t="str">
        <f>IF(OR(計算過程!$B$98="",ROWS($A$8:A331)&gt;計算過程!$B$71),"",ROWS($A$8:A331))</f>
        <v/>
      </c>
      <c r="B331" s="108" t="str">
        <f>IF(A331="","",EDATE(計算過程!$B$98,A331-1))</f>
        <v/>
      </c>
      <c r="C331" s="107" t="str">
        <f>IF(A331="","",IF(A331=計算過程!$B$71,D331+F330+G330,計算過程!$B$78))</f>
        <v/>
      </c>
      <c r="D331" s="107" t="str">
        <f>IF(A331="","",P331+Q331)</f>
        <v/>
      </c>
      <c r="E331" s="107" t="str">
        <f>IF(A331="","",C331-D331)</f>
        <v/>
      </c>
      <c r="F331" s="107" t="str">
        <f>IF(A331="","",IF(A331=計算過程!$B$71,0,MAX(0,F330-(計算過程!$B$76-P331))))</f>
        <v/>
      </c>
      <c r="G331" s="107" t="str">
        <f>IF(A331="","",IF(A331=計算過程!$B$71,0,MAX(0,G330-(計算過程!$B$77-Q331))))</f>
        <v/>
      </c>
      <c r="H331" s="107" t="str">
        <f>IF(A331="","",F331+G331)</f>
        <v/>
      </c>
      <c r="I331" s="106" t="str">
        <f>IF(A331="","",IF(AND(OR(MONTH(B331)=6,MONTH(B331)=12),I330&lt;計算過程!$B$69),I330+1,I330))</f>
        <v/>
      </c>
      <c r="J331" s="107" t="str">
        <f>IF(A331="","",IF(I331&gt;I330,IF(I331=計算過程!$B$69,M330+K331,計算過程!$B$81),0))</f>
        <v/>
      </c>
      <c r="K331" s="107" t="str">
        <f>IF(A331="","",IF(I331&gt;I330,CHOOSE(計算過程!$B$72,ROUND(M330*計算過程!$B$79,0),ROUNDDOWN(M330*計算過程!$B$79,0),ROUNDUP(M330*計算過程!$B$79,0)),0))</f>
        <v/>
      </c>
      <c r="L331" s="107" t="str">
        <f>IF(A331="","",J331-K331)</f>
        <v/>
      </c>
      <c r="M331" s="107" t="str">
        <f>IF(A331="","",IF(I331&gt;I330,M330-L331,M330))</f>
        <v/>
      </c>
      <c r="N331" s="107" t="str">
        <f>IF(A331="","",C331+J331)</f>
        <v/>
      </c>
      <c r="O331" s="107" t="str">
        <f>IF(A331="","",H331+M331)</f>
        <v/>
      </c>
      <c r="P331" s="107" t="str">
        <f>IF(A331="","",CHOOSE(計算過程!$B$72,ROUND(F330*計算過程!$B$32/計算過程!$B$6,0),ROUNDDOWN(F330*計算過程!$B$32/計算過程!$B$6,0),ROUNDUP(F330*計算過程!$B$32/計算過程!$B$6,0)))</f>
        <v/>
      </c>
      <c r="Q331" s="107" t="str">
        <f>IF(A331="","",CHOOSE(計算過程!$B$72,ROUND(G330*計算過程!$B$33/計算過程!$B$6,0),ROUNDDOWN(G330*計算過程!$B$33/計算過程!$B$6,0),ROUNDUP(G330*計算過程!$B$33/計算過程!$B$6,0)))</f>
        <v/>
      </c>
    </row>
    <row r="332" spans="1:17">
      <c r="A332" s="106" t="str">
        <f>IF(OR(計算過程!$B$98="",ROWS($A$8:A332)&gt;計算過程!$B$71),"",ROWS($A$8:A332))</f>
        <v/>
      </c>
      <c r="B332" s="108" t="str">
        <f>IF(A332="","",EDATE(計算過程!$B$98,A332-1))</f>
        <v/>
      </c>
      <c r="C332" s="107" t="str">
        <f>IF(A332="","",IF(A332=計算過程!$B$71,D332+F331+G331,計算過程!$B$78))</f>
        <v/>
      </c>
      <c r="D332" s="107" t="str">
        <f>IF(A332="","",P332+Q332)</f>
        <v/>
      </c>
      <c r="E332" s="107" t="str">
        <f>IF(A332="","",C332-D332)</f>
        <v/>
      </c>
      <c r="F332" s="107" t="str">
        <f>IF(A332="","",IF(A332=計算過程!$B$71,0,MAX(0,F331-(計算過程!$B$76-P332))))</f>
        <v/>
      </c>
      <c r="G332" s="107" t="str">
        <f>IF(A332="","",IF(A332=計算過程!$B$71,0,MAX(0,G331-(計算過程!$B$77-Q332))))</f>
        <v/>
      </c>
      <c r="H332" s="107" t="str">
        <f>IF(A332="","",F332+G332)</f>
        <v/>
      </c>
      <c r="I332" s="106" t="str">
        <f>IF(A332="","",IF(AND(OR(MONTH(B332)=6,MONTH(B332)=12),I331&lt;計算過程!$B$69),I331+1,I331))</f>
        <v/>
      </c>
      <c r="J332" s="107" t="str">
        <f>IF(A332="","",IF(I332&gt;I331,IF(I332=計算過程!$B$69,M331+K332,計算過程!$B$81),0))</f>
        <v/>
      </c>
      <c r="K332" s="107" t="str">
        <f>IF(A332="","",IF(I332&gt;I331,CHOOSE(計算過程!$B$72,ROUND(M331*計算過程!$B$79,0),ROUNDDOWN(M331*計算過程!$B$79,0),ROUNDUP(M331*計算過程!$B$79,0)),0))</f>
        <v/>
      </c>
      <c r="L332" s="107" t="str">
        <f>IF(A332="","",J332-K332)</f>
        <v/>
      </c>
      <c r="M332" s="107" t="str">
        <f>IF(A332="","",IF(I332&gt;I331,M331-L332,M331))</f>
        <v/>
      </c>
      <c r="N332" s="107" t="str">
        <f>IF(A332="","",C332+J332)</f>
        <v/>
      </c>
      <c r="O332" s="107" t="str">
        <f>IF(A332="","",H332+M332)</f>
        <v/>
      </c>
      <c r="P332" s="107" t="str">
        <f>IF(A332="","",CHOOSE(計算過程!$B$72,ROUND(F331*計算過程!$B$32/計算過程!$B$6,0),ROUNDDOWN(F331*計算過程!$B$32/計算過程!$B$6,0),ROUNDUP(F331*計算過程!$B$32/計算過程!$B$6,0)))</f>
        <v/>
      </c>
      <c r="Q332" s="107" t="str">
        <f>IF(A332="","",CHOOSE(計算過程!$B$72,ROUND(G331*計算過程!$B$33/計算過程!$B$6,0),ROUNDDOWN(G331*計算過程!$B$33/計算過程!$B$6,0),ROUNDUP(G331*計算過程!$B$33/計算過程!$B$6,0)))</f>
        <v/>
      </c>
    </row>
    <row r="333" spans="1:17">
      <c r="A333" s="106" t="str">
        <f>IF(OR(計算過程!$B$98="",ROWS($A$8:A333)&gt;計算過程!$B$71),"",ROWS($A$8:A333))</f>
        <v/>
      </c>
      <c r="B333" s="108" t="str">
        <f>IF(A333="","",EDATE(計算過程!$B$98,A333-1))</f>
        <v/>
      </c>
      <c r="C333" s="107" t="str">
        <f>IF(A333="","",IF(A333=計算過程!$B$71,D333+F332+G332,計算過程!$B$78))</f>
        <v/>
      </c>
      <c r="D333" s="107" t="str">
        <f>IF(A333="","",P333+Q333)</f>
        <v/>
      </c>
      <c r="E333" s="107" t="str">
        <f>IF(A333="","",C333-D333)</f>
        <v/>
      </c>
      <c r="F333" s="107" t="str">
        <f>IF(A333="","",IF(A333=計算過程!$B$71,0,MAX(0,F332-(計算過程!$B$76-P333))))</f>
        <v/>
      </c>
      <c r="G333" s="107" t="str">
        <f>IF(A333="","",IF(A333=計算過程!$B$71,0,MAX(0,G332-(計算過程!$B$77-Q333))))</f>
        <v/>
      </c>
      <c r="H333" s="107" t="str">
        <f>IF(A333="","",F333+G333)</f>
        <v/>
      </c>
      <c r="I333" s="106" t="str">
        <f>IF(A333="","",IF(AND(OR(MONTH(B333)=6,MONTH(B333)=12),I332&lt;計算過程!$B$69),I332+1,I332))</f>
        <v/>
      </c>
      <c r="J333" s="107" t="str">
        <f>IF(A333="","",IF(I333&gt;I332,IF(I333=計算過程!$B$69,M332+K333,計算過程!$B$81),0))</f>
        <v/>
      </c>
      <c r="K333" s="107" t="str">
        <f>IF(A333="","",IF(I333&gt;I332,CHOOSE(計算過程!$B$72,ROUND(M332*計算過程!$B$79,0),ROUNDDOWN(M332*計算過程!$B$79,0),ROUNDUP(M332*計算過程!$B$79,0)),0))</f>
        <v/>
      </c>
      <c r="L333" s="107" t="str">
        <f>IF(A333="","",J333-K333)</f>
        <v/>
      </c>
      <c r="M333" s="107" t="str">
        <f>IF(A333="","",IF(I333&gt;I332,M332-L333,M332))</f>
        <v/>
      </c>
      <c r="N333" s="107" t="str">
        <f>IF(A333="","",C333+J333)</f>
        <v/>
      </c>
      <c r="O333" s="107" t="str">
        <f>IF(A333="","",H333+M333)</f>
        <v/>
      </c>
      <c r="P333" s="107" t="str">
        <f>IF(A333="","",CHOOSE(計算過程!$B$72,ROUND(F332*計算過程!$B$32/計算過程!$B$6,0),ROUNDDOWN(F332*計算過程!$B$32/計算過程!$B$6,0),ROUNDUP(F332*計算過程!$B$32/計算過程!$B$6,0)))</f>
        <v/>
      </c>
      <c r="Q333" s="107" t="str">
        <f>IF(A333="","",CHOOSE(計算過程!$B$72,ROUND(G332*計算過程!$B$33/計算過程!$B$6,0),ROUNDDOWN(G332*計算過程!$B$33/計算過程!$B$6,0),ROUNDUP(G332*計算過程!$B$33/計算過程!$B$6,0)))</f>
        <v/>
      </c>
    </row>
    <row r="334" spans="1:17">
      <c r="A334" s="106" t="str">
        <f>IF(OR(計算過程!$B$98="",ROWS($A$8:A334)&gt;計算過程!$B$71),"",ROWS($A$8:A334))</f>
        <v/>
      </c>
      <c r="B334" s="108" t="str">
        <f>IF(A334="","",EDATE(計算過程!$B$98,A334-1))</f>
        <v/>
      </c>
      <c r="C334" s="107" t="str">
        <f>IF(A334="","",IF(A334=計算過程!$B$71,D334+F333+G333,計算過程!$B$78))</f>
        <v/>
      </c>
      <c r="D334" s="107" t="str">
        <f>IF(A334="","",P334+Q334)</f>
        <v/>
      </c>
      <c r="E334" s="107" t="str">
        <f>IF(A334="","",C334-D334)</f>
        <v/>
      </c>
      <c r="F334" s="107" t="str">
        <f>IF(A334="","",IF(A334=計算過程!$B$71,0,MAX(0,F333-(計算過程!$B$76-P334))))</f>
        <v/>
      </c>
      <c r="G334" s="107" t="str">
        <f>IF(A334="","",IF(A334=計算過程!$B$71,0,MAX(0,G333-(計算過程!$B$77-Q334))))</f>
        <v/>
      </c>
      <c r="H334" s="107" t="str">
        <f>IF(A334="","",F334+G334)</f>
        <v/>
      </c>
      <c r="I334" s="106" t="str">
        <f>IF(A334="","",IF(AND(OR(MONTH(B334)=6,MONTH(B334)=12),I333&lt;計算過程!$B$69),I333+1,I333))</f>
        <v/>
      </c>
      <c r="J334" s="107" t="str">
        <f>IF(A334="","",IF(I334&gt;I333,IF(I334=計算過程!$B$69,M333+K334,計算過程!$B$81),0))</f>
        <v/>
      </c>
      <c r="K334" s="107" t="str">
        <f>IF(A334="","",IF(I334&gt;I333,CHOOSE(計算過程!$B$72,ROUND(M333*計算過程!$B$79,0),ROUNDDOWN(M333*計算過程!$B$79,0),ROUNDUP(M333*計算過程!$B$79,0)),0))</f>
        <v/>
      </c>
      <c r="L334" s="107" t="str">
        <f>IF(A334="","",J334-K334)</f>
        <v/>
      </c>
      <c r="M334" s="107" t="str">
        <f>IF(A334="","",IF(I334&gt;I333,M333-L334,M333))</f>
        <v/>
      </c>
      <c r="N334" s="107" t="str">
        <f>IF(A334="","",C334+J334)</f>
        <v/>
      </c>
      <c r="O334" s="107" t="str">
        <f>IF(A334="","",H334+M334)</f>
        <v/>
      </c>
      <c r="P334" s="107" t="str">
        <f>IF(A334="","",CHOOSE(計算過程!$B$72,ROUND(F333*計算過程!$B$32/計算過程!$B$6,0),ROUNDDOWN(F333*計算過程!$B$32/計算過程!$B$6,0),ROUNDUP(F333*計算過程!$B$32/計算過程!$B$6,0)))</f>
        <v/>
      </c>
      <c r="Q334" s="107" t="str">
        <f>IF(A334="","",CHOOSE(計算過程!$B$72,ROUND(G333*計算過程!$B$33/計算過程!$B$6,0),ROUNDDOWN(G333*計算過程!$B$33/計算過程!$B$6,0),ROUNDUP(G333*計算過程!$B$33/計算過程!$B$6,0)))</f>
        <v/>
      </c>
    </row>
    <row r="335" spans="1:17">
      <c r="A335" s="106" t="str">
        <f>IF(OR(計算過程!$B$98="",ROWS($A$8:A335)&gt;計算過程!$B$71),"",ROWS($A$8:A335))</f>
        <v/>
      </c>
      <c r="B335" s="108" t="str">
        <f>IF(A335="","",EDATE(計算過程!$B$98,A335-1))</f>
        <v/>
      </c>
      <c r="C335" s="107" t="str">
        <f>IF(A335="","",IF(A335=計算過程!$B$71,D335+F334+G334,計算過程!$B$78))</f>
        <v/>
      </c>
      <c r="D335" s="107" t="str">
        <f>IF(A335="","",P335+Q335)</f>
        <v/>
      </c>
      <c r="E335" s="107" t="str">
        <f>IF(A335="","",C335-D335)</f>
        <v/>
      </c>
      <c r="F335" s="107" t="str">
        <f>IF(A335="","",IF(A335=計算過程!$B$71,0,MAX(0,F334-(計算過程!$B$76-P335))))</f>
        <v/>
      </c>
      <c r="G335" s="107" t="str">
        <f>IF(A335="","",IF(A335=計算過程!$B$71,0,MAX(0,G334-(計算過程!$B$77-Q335))))</f>
        <v/>
      </c>
      <c r="H335" s="107" t="str">
        <f>IF(A335="","",F335+G335)</f>
        <v/>
      </c>
      <c r="I335" s="106" t="str">
        <f>IF(A335="","",IF(AND(OR(MONTH(B335)=6,MONTH(B335)=12),I334&lt;計算過程!$B$69),I334+1,I334))</f>
        <v/>
      </c>
      <c r="J335" s="107" t="str">
        <f>IF(A335="","",IF(I335&gt;I334,IF(I335=計算過程!$B$69,M334+K335,計算過程!$B$81),0))</f>
        <v/>
      </c>
      <c r="K335" s="107" t="str">
        <f>IF(A335="","",IF(I335&gt;I334,CHOOSE(計算過程!$B$72,ROUND(M334*計算過程!$B$79,0),ROUNDDOWN(M334*計算過程!$B$79,0),ROUNDUP(M334*計算過程!$B$79,0)),0))</f>
        <v/>
      </c>
      <c r="L335" s="107" t="str">
        <f>IF(A335="","",J335-K335)</f>
        <v/>
      </c>
      <c r="M335" s="107" t="str">
        <f>IF(A335="","",IF(I335&gt;I334,M334-L335,M334))</f>
        <v/>
      </c>
      <c r="N335" s="107" t="str">
        <f>IF(A335="","",C335+J335)</f>
        <v/>
      </c>
      <c r="O335" s="107" t="str">
        <f>IF(A335="","",H335+M335)</f>
        <v/>
      </c>
      <c r="P335" s="107" t="str">
        <f>IF(A335="","",CHOOSE(計算過程!$B$72,ROUND(F334*計算過程!$B$32/計算過程!$B$6,0),ROUNDDOWN(F334*計算過程!$B$32/計算過程!$B$6,0),ROUNDUP(F334*計算過程!$B$32/計算過程!$B$6,0)))</f>
        <v/>
      </c>
      <c r="Q335" s="107" t="str">
        <f>IF(A335="","",CHOOSE(計算過程!$B$72,ROUND(G334*計算過程!$B$33/計算過程!$B$6,0),ROUNDDOWN(G334*計算過程!$B$33/計算過程!$B$6,0),ROUNDUP(G334*計算過程!$B$33/計算過程!$B$6,0)))</f>
        <v/>
      </c>
    </row>
    <row r="336" spans="1:17">
      <c r="A336" s="106" t="str">
        <f>IF(OR(計算過程!$B$98="",ROWS($A$8:A336)&gt;計算過程!$B$71),"",ROWS($A$8:A336))</f>
        <v/>
      </c>
      <c r="B336" s="108" t="str">
        <f>IF(A336="","",EDATE(計算過程!$B$98,A336-1))</f>
        <v/>
      </c>
      <c r="C336" s="107" t="str">
        <f>IF(A336="","",IF(A336=計算過程!$B$71,D336+F335+G335,計算過程!$B$78))</f>
        <v/>
      </c>
      <c r="D336" s="107" t="str">
        <f>IF(A336="","",P336+Q336)</f>
        <v/>
      </c>
      <c r="E336" s="107" t="str">
        <f>IF(A336="","",C336-D336)</f>
        <v/>
      </c>
      <c r="F336" s="107" t="str">
        <f>IF(A336="","",IF(A336=計算過程!$B$71,0,MAX(0,F335-(計算過程!$B$76-P336))))</f>
        <v/>
      </c>
      <c r="G336" s="107" t="str">
        <f>IF(A336="","",IF(A336=計算過程!$B$71,0,MAX(0,G335-(計算過程!$B$77-Q336))))</f>
        <v/>
      </c>
      <c r="H336" s="107" t="str">
        <f>IF(A336="","",F336+G336)</f>
        <v/>
      </c>
      <c r="I336" s="106" t="str">
        <f>IF(A336="","",IF(AND(OR(MONTH(B336)=6,MONTH(B336)=12),I335&lt;計算過程!$B$69),I335+1,I335))</f>
        <v/>
      </c>
      <c r="J336" s="107" t="str">
        <f>IF(A336="","",IF(I336&gt;I335,IF(I336=計算過程!$B$69,M335+K336,計算過程!$B$81),0))</f>
        <v/>
      </c>
      <c r="K336" s="107" t="str">
        <f>IF(A336="","",IF(I336&gt;I335,CHOOSE(計算過程!$B$72,ROUND(M335*計算過程!$B$79,0),ROUNDDOWN(M335*計算過程!$B$79,0),ROUNDUP(M335*計算過程!$B$79,0)),0))</f>
        <v/>
      </c>
      <c r="L336" s="107" t="str">
        <f>IF(A336="","",J336-K336)</f>
        <v/>
      </c>
      <c r="M336" s="107" t="str">
        <f>IF(A336="","",IF(I336&gt;I335,M335-L336,M335))</f>
        <v/>
      </c>
      <c r="N336" s="107" t="str">
        <f>IF(A336="","",C336+J336)</f>
        <v/>
      </c>
      <c r="O336" s="107" t="str">
        <f>IF(A336="","",H336+M336)</f>
        <v/>
      </c>
      <c r="P336" s="107" t="str">
        <f>IF(A336="","",CHOOSE(計算過程!$B$72,ROUND(F335*計算過程!$B$32/計算過程!$B$6,0),ROUNDDOWN(F335*計算過程!$B$32/計算過程!$B$6,0),ROUNDUP(F335*計算過程!$B$32/計算過程!$B$6,0)))</f>
        <v/>
      </c>
      <c r="Q336" s="107" t="str">
        <f>IF(A336="","",CHOOSE(計算過程!$B$72,ROUND(G335*計算過程!$B$33/計算過程!$B$6,0),ROUNDDOWN(G335*計算過程!$B$33/計算過程!$B$6,0),ROUNDUP(G335*計算過程!$B$33/計算過程!$B$6,0)))</f>
        <v/>
      </c>
    </row>
    <row r="337" spans="1:17">
      <c r="A337" s="106" t="str">
        <f>IF(OR(計算過程!$B$98="",ROWS($A$8:A337)&gt;計算過程!$B$71),"",ROWS($A$8:A337))</f>
        <v/>
      </c>
      <c r="B337" s="108" t="str">
        <f>IF(A337="","",EDATE(計算過程!$B$98,A337-1))</f>
        <v/>
      </c>
      <c r="C337" s="107" t="str">
        <f>IF(A337="","",IF(A337=計算過程!$B$71,D337+F336+G336,計算過程!$B$78))</f>
        <v/>
      </c>
      <c r="D337" s="107" t="str">
        <f>IF(A337="","",P337+Q337)</f>
        <v/>
      </c>
      <c r="E337" s="107" t="str">
        <f>IF(A337="","",C337-D337)</f>
        <v/>
      </c>
      <c r="F337" s="107" t="str">
        <f>IF(A337="","",IF(A337=計算過程!$B$71,0,MAX(0,F336-(計算過程!$B$76-P337))))</f>
        <v/>
      </c>
      <c r="G337" s="107" t="str">
        <f>IF(A337="","",IF(A337=計算過程!$B$71,0,MAX(0,G336-(計算過程!$B$77-Q337))))</f>
        <v/>
      </c>
      <c r="H337" s="107" t="str">
        <f>IF(A337="","",F337+G337)</f>
        <v/>
      </c>
      <c r="I337" s="106" t="str">
        <f>IF(A337="","",IF(AND(OR(MONTH(B337)=6,MONTH(B337)=12),I336&lt;計算過程!$B$69),I336+1,I336))</f>
        <v/>
      </c>
      <c r="J337" s="107" t="str">
        <f>IF(A337="","",IF(I337&gt;I336,IF(I337=計算過程!$B$69,M336+K337,計算過程!$B$81),0))</f>
        <v/>
      </c>
      <c r="K337" s="107" t="str">
        <f>IF(A337="","",IF(I337&gt;I336,CHOOSE(計算過程!$B$72,ROUND(M336*計算過程!$B$79,0),ROUNDDOWN(M336*計算過程!$B$79,0),ROUNDUP(M336*計算過程!$B$79,0)),0))</f>
        <v/>
      </c>
      <c r="L337" s="107" t="str">
        <f>IF(A337="","",J337-K337)</f>
        <v/>
      </c>
      <c r="M337" s="107" t="str">
        <f>IF(A337="","",IF(I337&gt;I336,M336-L337,M336))</f>
        <v/>
      </c>
      <c r="N337" s="107" t="str">
        <f>IF(A337="","",C337+J337)</f>
        <v/>
      </c>
      <c r="O337" s="107" t="str">
        <f>IF(A337="","",H337+M337)</f>
        <v/>
      </c>
      <c r="P337" s="107" t="str">
        <f>IF(A337="","",CHOOSE(計算過程!$B$72,ROUND(F336*計算過程!$B$32/計算過程!$B$6,0),ROUNDDOWN(F336*計算過程!$B$32/計算過程!$B$6,0),ROUNDUP(F336*計算過程!$B$32/計算過程!$B$6,0)))</f>
        <v/>
      </c>
      <c r="Q337" s="107" t="str">
        <f>IF(A337="","",CHOOSE(計算過程!$B$72,ROUND(G336*計算過程!$B$33/計算過程!$B$6,0),ROUNDDOWN(G336*計算過程!$B$33/計算過程!$B$6,0),ROUNDUP(G336*計算過程!$B$33/計算過程!$B$6,0)))</f>
        <v/>
      </c>
    </row>
    <row r="338" spans="1:17">
      <c r="A338" s="106" t="str">
        <f>IF(OR(計算過程!$B$98="",ROWS($A$8:A338)&gt;計算過程!$B$71),"",ROWS($A$8:A338))</f>
        <v/>
      </c>
      <c r="B338" s="108" t="str">
        <f>IF(A338="","",EDATE(計算過程!$B$98,A338-1))</f>
        <v/>
      </c>
      <c r="C338" s="107" t="str">
        <f>IF(A338="","",IF(A338=計算過程!$B$71,D338+F337+G337,計算過程!$B$78))</f>
        <v/>
      </c>
      <c r="D338" s="107" t="str">
        <f>IF(A338="","",P338+Q338)</f>
        <v/>
      </c>
      <c r="E338" s="107" t="str">
        <f>IF(A338="","",C338-D338)</f>
        <v/>
      </c>
      <c r="F338" s="107" t="str">
        <f>IF(A338="","",IF(A338=計算過程!$B$71,0,MAX(0,F337-(計算過程!$B$76-P338))))</f>
        <v/>
      </c>
      <c r="G338" s="107" t="str">
        <f>IF(A338="","",IF(A338=計算過程!$B$71,0,MAX(0,G337-(計算過程!$B$77-Q338))))</f>
        <v/>
      </c>
      <c r="H338" s="107" t="str">
        <f>IF(A338="","",F338+G338)</f>
        <v/>
      </c>
      <c r="I338" s="106" t="str">
        <f>IF(A338="","",IF(AND(OR(MONTH(B338)=6,MONTH(B338)=12),I337&lt;計算過程!$B$69),I337+1,I337))</f>
        <v/>
      </c>
      <c r="J338" s="107" t="str">
        <f>IF(A338="","",IF(I338&gt;I337,IF(I338=計算過程!$B$69,M337+K338,計算過程!$B$81),0))</f>
        <v/>
      </c>
      <c r="K338" s="107" t="str">
        <f>IF(A338="","",IF(I338&gt;I337,CHOOSE(計算過程!$B$72,ROUND(M337*計算過程!$B$79,0),ROUNDDOWN(M337*計算過程!$B$79,0),ROUNDUP(M337*計算過程!$B$79,0)),0))</f>
        <v/>
      </c>
      <c r="L338" s="107" t="str">
        <f>IF(A338="","",J338-K338)</f>
        <v/>
      </c>
      <c r="M338" s="107" t="str">
        <f>IF(A338="","",IF(I338&gt;I337,M337-L338,M337))</f>
        <v/>
      </c>
      <c r="N338" s="107" t="str">
        <f>IF(A338="","",C338+J338)</f>
        <v/>
      </c>
      <c r="O338" s="107" t="str">
        <f>IF(A338="","",H338+M338)</f>
        <v/>
      </c>
      <c r="P338" s="107" t="str">
        <f>IF(A338="","",CHOOSE(計算過程!$B$72,ROUND(F337*計算過程!$B$32/計算過程!$B$6,0),ROUNDDOWN(F337*計算過程!$B$32/計算過程!$B$6,0),ROUNDUP(F337*計算過程!$B$32/計算過程!$B$6,0)))</f>
        <v/>
      </c>
      <c r="Q338" s="107" t="str">
        <f>IF(A338="","",CHOOSE(計算過程!$B$72,ROUND(G337*計算過程!$B$33/計算過程!$B$6,0),ROUNDDOWN(G337*計算過程!$B$33/計算過程!$B$6,0),ROUNDUP(G337*計算過程!$B$33/計算過程!$B$6,0)))</f>
        <v/>
      </c>
    </row>
    <row r="339" spans="1:17">
      <c r="A339" s="106" t="str">
        <f>IF(OR(計算過程!$B$98="",ROWS($A$8:A339)&gt;計算過程!$B$71),"",ROWS($A$8:A339))</f>
        <v/>
      </c>
      <c r="B339" s="108" t="str">
        <f>IF(A339="","",EDATE(計算過程!$B$98,A339-1))</f>
        <v/>
      </c>
      <c r="C339" s="107" t="str">
        <f>IF(A339="","",IF(A339=計算過程!$B$71,D339+F338+G338,計算過程!$B$78))</f>
        <v/>
      </c>
      <c r="D339" s="107" t="str">
        <f>IF(A339="","",P339+Q339)</f>
        <v/>
      </c>
      <c r="E339" s="107" t="str">
        <f>IF(A339="","",C339-D339)</f>
        <v/>
      </c>
      <c r="F339" s="107" t="str">
        <f>IF(A339="","",IF(A339=計算過程!$B$71,0,MAX(0,F338-(計算過程!$B$76-P339))))</f>
        <v/>
      </c>
      <c r="G339" s="107" t="str">
        <f>IF(A339="","",IF(A339=計算過程!$B$71,0,MAX(0,G338-(計算過程!$B$77-Q339))))</f>
        <v/>
      </c>
      <c r="H339" s="107" t="str">
        <f>IF(A339="","",F339+G339)</f>
        <v/>
      </c>
      <c r="I339" s="106" t="str">
        <f>IF(A339="","",IF(AND(OR(MONTH(B339)=6,MONTH(B339)=12),I338&lt;計算過程!$B$69),I338+1,I338))</f>
        <v/>
      </c>
      <c r="J339" s="107" t="str">
        <f>IF(A339="","",IF(I339&gt;I338,IF(I339=計算過程!$B$69,M338+K339,計算過程!$B$81),0))</f>
        <v/>
      </c>
      <c r="K339" s="107" t="str">
        <f>IF(A339="","",IF(I339&gt;I338,CHOOSE(計算過程!$B$72,ROUND(M338*計算過程!$B$79,0),ROUNDDOWN(M338*計算過程!$B$79,0),ROUNDUP(M338*計算過程!$B$79,0)),0))</f>
        <v/>
      </c>
      <c r="L339" s="107" t="str">
        <f>IF(A339="","",J339-K339)</f>
        <v/>
      </c>
      <c r="M339" s="107" t="str">
        <f>IF(A339="","",IF(I339&gt;I338,M338-L339,M338))</f>
        <v/>
      </c>
      <c r="N339" s="107" t="str">
        <f>IF(A339="","",C339+J339)</f>
        <v/>
      </c>
      <c r="O339" s="107" t="str">
        <f>IF(A339="","",H339+M339)</f>
        <v/>
      </c>
      <c r="P339" s="107" t="str">
        <f>IF(A339="","",CHOOSE(計算過程!$B$72,ROUND(F338*計算過程!$B$32/計算過程!$B$6,0),ROUNDDOWN(F338*計算過程!$B$32/計算過程!$B$6,0),ROUNDUP(F338*計算過程!$B$32/計算過程!$B$6,0)))</f>
        <v/>
      </c>
      <c r="Q339" s="107" t="str">
        <f>IF(A339="","",CHOOSE(計算過程!$B$72,ROUND(G338*計算過程!$B$33/計算過程!$B$6,0),ROUNDDOWN(G338*計算過程!$B$33/計算過程!$B$6,0),ROUNDUP(G338*計算過程!$B$33/計算過程!$B$6,0)))</f>
        <v/>
      </c>
    </row>
    <row r="340" spans="1:17">
      <c r="A340" s="106" t="str">
        <f>IF(OR(計算過程!$B$98="",ROWS($A$8:A340)&gt;計算過程!$B$71),"",ROWS($A$8:A340))</f>
        <v/>
      </c>
      <c r="B340" s="108" t="str">
        <f>IF(A340="","",EDATE(計算過程!$B$98,A340-1))</f>
        <v/>
      </c>
      <c r="C340" s="107" t="str">
        <f>IF(A340="","",IF(A340=計算過程!$B$71,D340+F339+G339,計算過程!$B$78))</f>
        <v/>
      </c>
      <c r="D340" s="107" t="str">
        <f>IF(A340="","",P340+Q340)</f>
        <v/>
      </c>
      <c r="E340" s="107" t="str">
        <f>IF(A340="","",C340-D340)</f>
        <v/>
      </c>
      <c r="F340" s="107" t="str">
        <f>IF(A340="","",IF(A340=計算過程!$B$71,0,MAX(0,F339-(計算過程!$B$76-P340))))</f>
        <v/>
      </c>
      <c r="G340" s="107" t="str">
        <f>IF(A340="","",IF(A340=計算過程!$B$71,0,MAX(0,G339-(計算過程!$B$77-Q340))))</f>
        <v/>
      </c>
      <c r="H340" s="107" t="str">
        <f>IF(A340="","",F340+G340)</f>
        <v/>
      </c>
      <c r="I340" s="106" t="str">
        <f>IF(A340="","",IF(AND(OR(MONTH(B340)=6,MONTH(B340)=12),I339&lt;計算過程!$B$69),I339+1,I339))</f>
        <v/>
      </c>
      <c r="J340" s="107" t="str">
        <f>IF(A340="","",IF(I340&gt;I339,IF(I340=計算過程!$B$69,M339+K340,計算過程!$B$81),0))</f>
        <v/>
      </c>
      <c r="K340" s="107" t="str">
        <f>IF(A340="","",IF(I340&gt;I339,CHOOSE(計算過程!$B$72,ROUND(M339*計算過程!$B$79,0),ROUNDDOWN(M339*計算過程!$B$79,0),ROUNDUP(M339*計算過程!$B$79,0)),0))</f>
        <v/>
      </c>
      <c r="L340" s="107" t="str">
        <f>IF(A340="","",J340-K340)</f>
        <v/>
      </c>
      <c r="M340" s="107" t="str">
        <f>IF(A340="","",IF(I340&gt;I339,M339-L340,M339))</f>
        <v/>
      </c>
      <c r="N340" s="107" t="str">
        <f>IF(A340="","",C340+J340)</f>
        <v/>
      </c>
      <c r="O340" s="107" t="str">
        <f>IF(A340="","",H340+M340)</f>
        <v/>
      </c>
      <c r="P340" s="107" t="str">
        <f>IF(A340="","",CHOOSE(計算過程!$B$72,ROUND(F339*計算過程!$B$32/計算過程!$B$6,0),ROUNDDOWN(F339*計算過程!$B$32/計算過程!$B$6,0),ROUNDUP(F339*計算過程!$B$32/計算過程!$B$6,0)))</f>
        <v/>
      </c>
      <c r="Q340" s="107" t="str">
        <f>IF(A340="","",CHOOSE(計算過程!$B$72,ROUND(G339*計算過程!$B$33/計算過程!$B$6,0),ROUNDDOWN(G339*計算過程!$B$33/計算過程!$B$6,0),ROUNDUP(G339*計算過程!$B$33/計算過程!$B$6,0)))</f>
        <v/>
      </c>
    </row>
    <row r="341" spans="1:17">
      <c r="A341" s="106" t="str">
        <f>IF(OR(計算過程!$B$98="",ROWS($A$8:A341)&gt;計算過程!$B$71),"",ROWS($A$8:A341))</f>
        <v/>
      </c>
      <c r="B341" s="108" t="str">
        <f>IF(A341="","",EDATE(計算過程!$B$98,A341-1))</f>
        <v/>
      </c>
      <c r="C341" s="107" t="str">
        <f>IF(A341="","",IF(A341=計算過程!$B$71,D341+F340+G340,計算過程!$B$78))</f>
        <v/>
      </c>
      <c r="D341" s="107" t="str">
        <f>IF(A341="","",P341+Q341)</f>
        <v/>
      </c>
      <c r="E341" s="107" t="str">
        <f>IF(A341="","",C341-D341)</f>
        <v/>
      </c>
      <c r="F341" s="107" t="str">
        <f>IF(A341="","",IF(A341=計算過程!$B$71,0,MAX(0,F340-(計算過程!$B$76-P341))))</f>
        <v/>
      </c>
      <c r="G341" s="107" t="str">
        <f>IF(A341="","",IF(A341=計算過程!$B$71,0,MAX(0,G340-(計算過程!$B$77-Q341))))</f>
        <v/>
      </c>
      <c r="H341" s="107" t="str">
        <f>IF(A341="","",F341+G341)</f>
        <v/>
      </c>
      <c r="I341" s="106" t="str">
        <f>IF(A341="","",IF(AND(OR(MONTH(B341)=6,MONTH(B341)=12),I340&lt;計算過程!$B$69),I340+1,I340))</f>
        <v/>
      </c>
      <c r="J341" s="107" t="str">
        <f>IF(A341="","",IF(I341&gt;I340,IF(I341=計算過程!$B$69,M340+K341,計算過程!$B$81),0))</f>
        <v/>
      </c>
      <c r="K341" s="107" t="str">
        <f>IF(A341="","",IF(I341&gt;I340,CHOOSE(計算過程!$B$72,ROUND(M340*計算過程!$B$79,0),ROUNDDOWN(M340*計算過程!$B$79,0),ROUNDUP(M340*計算過程!$B$79,0)),0))</f>
        <v/>
      </c>
      <c r="L341" s="107" t="str">
        <f>IF(A341="","",J341-K341)</f>
        <v/>
      </c>
      <c r="M341" s="107" t="str">
        <f>IF(A341="","",IF(I341&gt;I340,M340-L341,M340))</f>
        <v/>
      </c>
      <c r="N341" s="107" t="str">
        <f>IF(A341="","",C341+J341)</f>
        <v/>
      </c>
      <c r="O341" s="107" t="str">
        <f>IF(A341="","",H341+M341)</f>
        <v/>
      </c>
      <c r="P341" s="107" t="str">
        <f>IF(A341="","",CHOOSE(計算過程!$B$72,ROUND(F340*計算過程!$B$32/計算過程!$B$6,0),ROUNDDOWN(F340*計算過程!$B$32/計算過程!$B$6,0),ROUNDUP(F340*計算過程!$B$32/計算過程!$B$6,0)))</f>
        <v/>
      </c>
      <c r="Q341" s="107" t="str">
        <f>IF(A341="","",CHOOSE(計算過程!$B$72,ROUND(G340*計算過程!$B$33/計算過程!$B$6,0),ROUNDDOWN(G340*計算過程!$B$33/計算過程!$B$6,0),ROUNDUP(G340*計算過程!$B$33/計算過程!$B$6,0)))</f>
        <v/>
      </c>
    </row>
    <row r="342" spans="1:17">
      <c r="A342" s="106" t="str">
        <f>IF(OR(計算過程!$B$98="",ROWS($A$8:A342)&gt;計算過程!$B$71),"",ROWS($A$8:A342))</f>
        <v/>
      </c>
      <c r="B342" s="108" t="str">
        <f>IF(A342="","",EDATE(計算過程!$B$98,A342-1))</f>
        <v/>
      </c>
      <c r="C342" s="107" t="str">
        <f>IF(A342="","",IF(A342=計算過程!$B$71,D342+F341+G341,計算過程!$B$78))</f>
        <v/>
      </c>
      <c r="D342" s="107" t="str">
        <f>IF(A342="","",P342+Q342)</f>
        <v/>
      </c>
      <c r="E342" s="107" t="str">
        <f>IF(A342="","",C342-D342)</f>
        <v/>
      </c>
      <c r="F342" s="107" t="str">
        <f>IF(A342="","",IF(A342=計算過程!$B$71,0,MAX(0,F341-(計算過程!$B$76-P342))))</f>
        <v/>
      </c>
      <c r="G342" s="107" t="str">
        <f>IF(A342="","",IF(A342=計算過程!$B$71,0,MAX(0,G341-(計算過程!$B$77-Q342))))</f>
        <v/>
      </c>
      <c r="H342" s="107" t="str">
        <f>IF(A342="","",F342+G342)</f>
        <v/>
      </c>
      <c r="I342" s="106" t="str">
        <f>IF(A342="","",IF(AND(OR(MONTH(B342)=6,MONTH(B342)=12),I341&lt;計算過程!$B$69),I341+1,I341))</f>
        <v/>
      </c>
      <c r="J342" s="107" t="str">
        <f>IF(A342="","",IF(I342&gt;I341,IF(I342=計算過程!$B$69,M341+K342,計算過程!$B$81),0))</f>
        <v/>
      </c>
      <c r="K342" s="107" t="str">
        <f>IF(A342="","",IF(I342&gt;I341,CHOOSE(計算過程!$B$72,ROUND(M341*計算過程!$B$79,0),ROUNDDOWN(M341*計算過程!$B$79,0),ROUNDUP(M341*計算過程!$B$79,0)),0))</f>
        <v/>
      </c>
      <c r="L342" s="107" t="str">
        <f>IF(A342="","",J342-K342)</f>
        <v/>
      </c>
      <c r="M342" s="107" t="str">
        <f>IF(A342="","",IF(I342&gt;I341,M341-L342,M341))</f>
        <v/>
      </c>
      <c r="N342" s="107" t="str">
        <f>IF(A342="","",C342+J342)</f>
        <v/>
      </c>
      <c r="O342" s="107" t="str">
        <f>IF(A342="","",H342+M342)</f>
        <v/>
      </c>
      <c r="P342" s="107" t="str">
        <f>IF(A342="","",CHOOSE(計算過程!$B$72,ROUND(F341*計算過程!$B$32/計算過程!$B$6,0),ROUNDDOWN(F341*計算過程!$B$32/計算過程!$B$6,0),ROUNDUP(F341*計算過程!$B$32/計算過程!$B$6,0)))</f>
        <v/>
      </c>
      <c r="Q342" s="107" t="str">
        <f>IF(A342="","",CHOOSE(計算過程!$B$72,ROUND(G341*計算過程!$B$33/計算過程!$B$6,0),ROUNDDOWN(G341*計算過程!$B$33/計算過程!$B$6,0),ROUNDUP(G341*計算過程!$B$33/計算過程!$B$6,0)))</f>
        <v/>
      </c>
    </row>
    <row r="343" spans="1:17">
      <c r="A343" s="106" t="str">
        <f>IF(OR(計算過程!$B$98="",ROWS($A$8:A343)&gt;計算過程!$B$71),"",ROWS($A$8:A343))</f>
        <v/>
      </c>
      <c r="B343" s="108" t="str">
        <f>IF(A343="","",EDATE(計算過程!$B$98,A343-1))</f>
        <v/>
      </c>
      <c r="C343" s="107" t="str">
        <f>IF(A343="","",IF(A343=計算過程!$B$71,D343+F342+G342,計算過程!$B$78))</f>
        <v/>
      </c>
      <c r="D343" s="107" t="str">
        <f>IF(A343="","",P343+Q343)</f>
        <v/>
      </c>
      <c r="E343" s="107" t="str">
        <f>IF(A343="","",C343-D343)</f>
        <v/>
      </c>
      <c r="F343" s="107" t="str">
        <f>IF(A343="","",IF(A343=計算過程!$B$71,0,MAX(0,F342-(計算過程!$B$76-P343))))</f>
        <v/>
      </c>
      <c r="G343" s="107" t="str">
        <f>IF(A343="","",IF(A343=計算過程!$B$71,0,MAX(0,G342-(計算過程!$B$77-Q343))))</f>
        <v/>
      </c>
      <c r="H343" s="107" t="str">
        <f>IF(A343="","",F343+G343)</f>
        <v/>
      </c>
      <c r="I343" s="106" t="str">
        <f>IF(A343="","",IF(AND(OR(MONTH(B343)=6,MONTH(B343)=12),I342&lt;計算過程!$B$69),I342+1,I342))</f>
        <v/>
      </c>
      <c r="J343" s="107" t="str">
        <f>IF(A343="","",IF(I343&gt;I342,IF(I343=計算過程!$B$69,M342+K343,計算過程!$B$81),0))</f>
        <v/>
      </c>
      <c r="K343" s="107" t="str">
        <f>IF(A343="","",IF(I343&gt;I342,CHOOSE(計算過程!$B$72,ROUND(M342*計算過程!$B$79,0),ROUNDDOWN(M342*計算過程!$B$79,0),ROUNDUP(M342*計算過程!$B$79,0)),0))</f>
        <v/>
      </c>
      <c r="L343" s="107" t="str">
        <f>IF(A343="","",J343-K343)</f>
        <v/>
      </c>
      <c r="M343" s="107" t="str">
        <f>IF(A343="","",IF(I343&gt;I342,M342-L343,M342))</f>
        <v/>
      </c>
      <c r="N343" s="107" t="str">
        <f>IF(A343="","",C343+J343)</f>
        <v/>
      </c>
      <c r="O343" s="107" t="str">
        <f>IF(A343="","",H343+M343)</f>
        <v/>
      </c>
      <c r="P343" s="107" t="str">
        <f>IF(A343="","",CHOOSE(計算過程!$B$72,ROUND(F342*計算過程!$B$32/計算過程!$B$6,0),ROUNDDOWN(F342*計算過程!$B$32/計算過程!$B$6,0),ROUNDUP(F342*計算過程!$B$32/計算過程!$B$6,0)))</f>
        <v/>
      </c>
      <c r="Q343" s="107" t="str">
        <f>IF(A343="","",CHOOSE(計算過程!$B$72,ROUND(G342*計算過程!$B$33/計算過程!$B$6,0),ROUNDDOWN(G342*計算過程!$B$33/計算過程!$B$6,0),ROUNDUP(G342*計算過程!$B$33/計算過程!$B$6,0)))</f>
        <v/>
      </c>
    </row>
    <row r="344" spans="1:17">
      <c r="A344" s="106" t="str">
        <f>IF(OR(計算過程!$B$98="",ROWS($A$8:A344)&gt;計算過程!$B$71),"",ROWS($A$8:A344))</f>
        <v/>
      </c>
      <c r="B344" s="108" t="str">
        <f>IF(A344="","",EDATE(計算過程!$B$98,A344-1))</f>
        <v/>
      </c>
      <c r="C344" s="107" t="str">
        <f>IF(A344="","",IF(A344=計算過程!$B$71,D344+F343+G343,計算過程!$B$78))</f>
        <v/>
      </c>
      <c r="D344" s="107" t="str">
        <f>IF(A344="","",P344+Q344)</f>
        <v/>
      </c>
      <c r="E344" s="107" t="str">
        <f>IF(A344="","",C344-D344)</f>
        <v/>
      </c>
      <c r="F344" s="107" t="str">
        <f>IF(A344="","",IF(A344=計算過程!$B$71,0,MAX(0,F343-(計算過程!$B$76-P344))))</f>
        <v/>
      </c>
      <c r="G344" s="107" t="str">
        <f>IF(A344="","",IF(A344=計算過程!$B$71,0,MAX(0,G343-(計算過程!$B$77-Q344))))</f>
        <v/>
      </c>
      <c r="H344" s="107" t="str">
        <f>IF(A344="","",F344+G344)</f>
        <v/>
      </c>
      <c r="I344" s="106" t="str">
        <f>IF(A344="","",IF(AND(OR(MONTH(B344)=6,MONTH(B344)=12),I343&lt;計算過程!$B$69),I343+1,I343))</f>
        <v/>
      </c>
      <c r="J344" s="107" t="str">
        <f>IF(A344="","",IF(I344&gt;I343,IF(I344=計算過程!$B$69,M343+K344,計算過程!$B$81),0))</f>
        <v/>
      </c>
      <c r="K344" s="107" t="str">
        <f>IF(A344="","",IF(I344&gt;I343,CHOOSE(計算過程!$B$72,ROUND(M343*計算過程!$B$79,0),ROUNDDOWN(M343*計算過程!$B$79,0),ROUNDUP(M343*計算過程!$B$79,0)),0))</f>
        <v/>
      </c>
      <c r="L344" s="107" t="str">
        <f>IF(A344="","",J344-K344)</f>
        <v/>
      </c>
      <c r="M344" s="107" t="str">
        <f>IF(A344="","",IF(I344&gt;I343,M343-L344,M343))</f>
        <v/>
      </c>
      <c r="N344" s="107" t="str">
        <f>IF(A344="","",C344+J344)</f>
        <v/>
      </c>
      <c r="O344" s="107" t="str">
        <f>IF(A344="","",H344+M344)</f>
        <v/>
      </c>
      <c r="P344" s="107" t="str">
        <f>IF(A344="","",CHOOSE(計算過程!$B$72,ROUND(F343*計算過程!$B$32/計算過程!$B$6,0),ROUNDDOWN(F343*計算過程!$B$32/計算過程!$B$6,0),ROUNDUP(F343*計算過程!$B$32/計算過程!$B$6,0)))</f>
        <v/>
      </c>
      <c r="Q344" s="107" t="str">
        <f>IF(A344="","",CHOOSE(計算過程!$B$72,ROUND(G343*計算過程!$B$33/計算過程!$B$6,0),ROUNDDOWN(G343*計算過程!$B$33/計算過程!$B$6,0),ROUNDUP(G343*計算過程!$B$33/計算過程!$B$6,0)))</f>
        <v/>
      </c>
    </row>
    <row r="345" spans="1:17">
      <c r="A345" s="106" t="str">
        <f>IF(OR(計算過程!$B$98="",ROWS($A$8:A345)&gt;計算過程!$B$71),"",ROWS($A$8:A345))</f>
        <v/>
      </c>
      <c r="B345" s="108" t="str">
        <f>IF(A345="","",EDATE(計算過程!$B$98,A345-1))</f>
        <v/>
      </c>
      <c r="C345" s="107" t="str">
        <f>IF(A345="","",IF(A345=計算過程!$B$71,D345+F344+G344,計算過程!$B$78))</f>
        <v/>
      </c>
      <c r="D345" s="107" t="str">
        <f>IF(A345="","",P345+Q345)</f>
        <v/>
      </c>
      <c r="E345" s="107" t="str">
        <f>IF(A345="","",C345-D345)</f>
        <v/>
      </c>
      <c r="F345" s="107" t="str">
        <f>IF(A345="","",IF(A345=計算過程!$B$71,0,MAX(0,F344-(計算過程!$B$76-P345))))</f>
        <v/>
      </c>
      <c r="G345" s="107" t="str">
        <f>IF(A345="","",IF(A345=計算過程!$B$71,0,MAX(0,G344-(計算過程!$B$77-Q345))))</f>
        <v/>
      </c>
      <c r="H345" s="107" t="str">
        <f>IF(A345="","",F345+G345)</f>
        <v/>
      </c>
      <c r="I345" s="106" t="str">
        <f>IF(A345="","",IF(AND(OR(MONTH(B345)=6,MONTH(B345)=12),I344&lt;計算過程!$B$69),I344+1,I344))</f>
        <v/>
      </c>
      <c r="J345" s="107" t="str">
        <f>IF(A345="","",IF(I345&gt;I344,IF(I345=計算過程!$B$69,M344+K345,計算過程!$B$81),0))</f>
        <v/>
      </c>
      <c r="K345" s="107" t="str">
        <f>IF(A345="","",IF(I345&gt;I344,CHOOSE(計算過程!$B$72,ROUND(M344*計算過程!$B$79,0),ROUNDDOWN(M344*計算過程!$B$79,0),ROUNDUP(M344*計算過程!$B$79,0)),0))</f>
        <v/>
      </c>
      <c r="L345" s="107" t="str">
        <f>IF(A345="","",J345-K345)</f>
        <v/>
      </c>
      <c r="M345" s="107" t="str">
        <f>IF(A345="","",IF(I345&gt;I344,M344-L345,M344))</f>
        <v/>
      </c>
      <c r="N345" s="107" t="str">
        <f>IF(A345="","",C345+J345)</f>
        <v/>
      </c>
      <c r="O345" s="107" t="str">
        <f>IF(A345="","",H345+M345)</f>
        <v/>
      </c>
      <c r="P345" s="107" t="str">
        <f>IF(A345="","",CHOOSE(計算過程!$B$72,ROUND(F344*計算過程!$B$32/計算過程!$B$6,0),ROUNDDOWN(F344*計算過程!$B$32/計算過程!$B$6,0),ROUNDUP(F344*計算過程!$B$32/計算過程!$B$6,0)))</f>
        <v/>
      </c>
      <c r="Q345" s="107" t="str">
        <f>IF(A345="","",CHOOSE(計算過程!$B$72,ROUND(G344*計算過程!$B$33/計算過程!$B$6,0),ROUNDDOWN(G344*計算過程!$B$33/計算過程!$B$6,0),ROUNDUP(G344*計算過程!$B$33/計算過程!$B$6,0)))</f>
        <v/>
      </c>
    </row>
    <row r="346" spans="1:17">
      <c r="A346" s="106" t="str">
        <f>IF(OR(計算過程!$B$98="",ROWS($A$8:A346)&gt;計算過程!$B$71),"",ROWS($A$8:A346))</f>
        <v/>
      </c>
      <c r="B346" s="108" t="str">
        <f>IF(A346="","",EDATE(計算過程!$B$98,A346-1))</f>
        <v/>
      </c>
      <c r="C346" s="107" t="str">
        <f>IF(A346="","",IF(A346=計算過程!$B$71,D346+F345+G345,計算過程!$B$78))</f>
        <v/>
      </c>
      <c r="D346" s="107" t="str">
        <f>IF(A346="","",P346+Q346)</f>
        <v/>
      </c>
      <c r="E346" s="107" t="str">
        <f>IF(A346="","",C346-D346)</f>
        <v/>
      </c>
      <c r="F346" s="107" t="str">
        <f>IF(A346="","",IF(A346=計算過程!$B$71,0,MAX(0,F345-(計算過程!$B$76-P346))))</f>
        <v/>
      </c>
      <c r="G346" s="107" t="str">
        <f>IF(A346="","",IF(A346=計算過程!$B$71,0,MAX(0,G345-(計算過程!$B$77-Q346))))</f>
        <v/>
      </c>
      <c r="H346" s="107" t="str">
        <f>IF(A346="","",F346+G346)</f>
        <v/>
      </c>
      <c r="I346" s="106" t="str">
        <f>IF(A346="","",IF(AND(OR(MONTH(B346)=6,MONTH(B346)=12),I345&lt;計算過程!$B$69),I345+1,I345))</f>
        <v/>
      </c>
      <c r="J346" s="107" t="str">
        <f>IF(A346="","",IF(I346&gt;I345,IF(I346=計算過程!$B$69,M345+K346,計算過程!$B$81),0))</f>
        <v/>
      </c>
      <c r="K346" s="107" t="str">
        <f>IF(A346="","",IF(I346&gt;I345,CHOOSE(計算過程!$B$72,ROUND(M345*計算過程!$B$79,0),ROUNDDOWN(M345*計算過程!$B$79,0),ROUNDUP(M345*計算過程!$B$79,0)),0))</f>
        <v/>
      </c>
      <c r="L346" s="107" t="str">
        <f>IF(A346="","",J346-K346)</f>
        <v/>
      </c>
      <c r="M346" s="107" t="str">
        <f>IF(A346="","",IF(I346&gt;I345,M345-L346,M345))</f>
        <v/>
      </c>
      <c r="N346" s="107" t="str">
        <f>IF(A346="","",C346+J346)</f>
        <v/>
      </c>
      <c r="O346" s="107" t="str">
        <f>IF(A346="","",H346+M346)</f>
        <v/>
      </c>
      <c r="P346" s="107" t="str">
        <f>IF(A346="","",CHOOSE(計算過程!$B$72,ROUND(F345*計算過程!$B$32/計算過程!$B$6,0),ROUNDDOWN(F345*計算過程!$B$32/計算過程!$B$6,0),ROUNDUP(F345*計算過程!$B$32/計算過程!$B$6,0)))</f>
        <v/>
      </c>
      <c r="Q346" s="107" t="str">
        <f>IF(A346="","",CHOOSE(計算過程!$B$72,ROUND(G345*計算過程!$B$33/計算過程!$B$6,0),ROUNDDOWN(G345*計算過程!$B$33/計算過程!$B$6,0),ROUNDUP(G345*計算過程!$B$33/計算過程!$B$6,0)))</f>
        <v/>
      </c>
    </row>
    <row r="347" spans="1:17">
      <c r="A347" s="106" t="str">
        <f>IF(OR(計算過程!$B$98="",ROWS($A$8:A347)&gt;計算過程!$B$71),"",ROWS($A$8:A347))</f>
        <v/>
      </c>
      <c r="B347" s="108" t="str">
        <f>IF(A347="","",EDATE(計算過程!$B$98,A347-1))</f>
        <v/>
      </c>
      <c r="C347" s="107" t="str">
        <f>IF(A347="","",IF(A347=計算過程!$B$71,D347+F346+G346,計算過程!$B$78))</f>
        <v/>
      </c>
      <c r="D347" s="107" t="str">
        <f>IF(A347="","",P347+Q347)</f>
        <v/>
      </c>
      <c r="E347" s="107" t="str">
        <f>IF(A347="","",C347-D347)</f>
        <v/>
      </c>
      <c r="F347" s="107" t="str">
        <f>IF(A347="","",IF(A347=計算過程!$B$71,0,MAX(0,F346-(計算過程!$B$76-P347))))</f>
        <v/>
      </c>
      <c r="G347" s="107" t="str">
        <f>IF(A347="","",IF(A347=計算過程!$B$71,0,MAX(0,G346-(計算過程!$B$77-Q347))))</f>
        <v/>
      </c>
      <c r="H347" s="107" t="str">
        <f>IF(A347="","",F347+G347)</f>
        <v/>
      </c>
      <c r="I347" s="106" t="str">
        <f>IF(A347="","",IF(AND(OR(MONTH(B347)=6,MONTH(B347)=12),I346&lt;計算過程!$B$69),I346+1,I346))</f>
        <v/>
      </c>
      <c r="J347" s="107" t="str">
        <f>IF(A347="","",IF(I347&gt;I346,IF(I347=計算過程!$B$69,M346+K347,計算過程!$B$81),0))</f>
        <v/>
      </c>
      <c r="K347" s="107" t="str">
        <f>IF(A347="","",IF(I347&gt;I346,CHOOSE(計算過程!$B$72,ROUND(M346*計算過程!$B$79,0),ROUNDDOWN(M346*計算過程!$B$79,0),ROUNDUP(M346*計算過程!$B$79,0)),0))</f>
        <v/>
      </c>
      <c r="L347" s="107" t="str">
        <f>IF(A347="","",J347-K347)</f>
        <v/>
      </c>
      <c r="M347" s="107" t="str">
        <f>IF(A347="","",IF(I347&gt;I346,M346-L347,M346))</f>
        <v/>
      </c>
      <c r="N347" s="107" t="str">
        <f>IF(A347="","",C347+J347)</f>
        <v/>
      </c>
      <c r="O347" s="107" t="str">
        <f>IF(A347="","",H347+M347)</f>
        <v/>
      </c>
      <c r="P347" s="107" t="str">
        <f>IF(A347="","",CHOOSE(計算過程!$B$72,ROUND(F346*計算過程!$B$32/計算過程!$B$6,0),ROUNDDOWN(F346*計算過程!$B$32/計算過程!$B$6,0),ROUNDUP(F346*計算過程!$B$32/計算過程!$B$6,0)))</f>
        <v/>
      </c>
      <c r="Q347" s="107" t="str">
        <f>IF(A347="","",CHOOSE(計算過程!$B$72,ROUND(G346*計算過程!$B$33/計算過程!$B$6,0),ROUNDDOWN(G346*計算過程!$B$33/計算過程!$B$6,0),ROUNDUP(G346*計算過程!$B$33/計算過程!$B$6,0)))</f>
        <v/>
      </c>
    </row>
    <row r="348" spans="1:17">
      <c r="A348" s="106" t="str">
        <f>IF(OR(計算過程!$B$98="",ROWS($A$8:A348)&gt;計算過程!$B$71),"",ROWS($A$8:A348))</f>
        <v/>
      </c>
      <c r="B348" s="108" t="str">
        <f>IF(A348="","",EDATE(計算過程!$B$98,A348-1))</f>
        <v/>
      </c>
      <c r="C348" s="107" t="str">
        <f>IF(A348="","",IF(A348=計算過程!$B$71,D348+F347+G347,計算過程!$B$78))</f>
        <v/>
      </c>
      <c r="D348" s="107" t="str">
        <f>IF(A348="","",P348+Q348)</f>
        <v/>
      </c>
      <c r="E348" s="107" t="str">
        <f>IF(A348="","",C348-D348)</f>
        <v/>
      </c>
      <c r="F348" s="107" t="str">
        <f>IF(A348="","",IF(A348=計算過程!$B$71,0,MAX(0,F347-(計算過程!$B$76-P348))))</f>
        <v/>
      </c>
      <c r="G348" s="107" t="str">
        <f>IF(A348="","",IF(A348=計算過程!$B$71,0,MAX(0,G347-(計算過程!$B$77-Q348))))</f>
        <v/>
      </c>
      <c r="H348" s="107" t="str">
        <f>IF(A348="","",F348+G348)</f>
        <v/>
      </c>
      <c r="I348" s="106" t="str">
        <f>IF(A348="","",IF(AND(OR(MONTH(B348)=6,MONTH(B348)=12),I347&lt;計算過程!$B$69),I347+1,I347))</f>
        <v/>
      </c>
      <c r="J348" s="107" t="str">
        <f>IF(A348="","",IF(I348&gt;I347,IF(I348=計算過程!$B$69,M347+K348,計算過程!$B$81),0))</f>
        <v/>
      </c>
      <c r="K348" s="107" t="str">
        <f>IF(A348="","",IF(I348&gt;I347,CHOOSE(計算過程!$B$72,ROUND(M347*計算過程!$B$79,0),ROUNDDOWN(M347*計算過程!$B$79,0),ROUNDUP(M347*計算過程!$B$79,0)),0))</f>
        <v/>
      </c>
      <c r="L348" s="107" t="str">
        <f>IF(A348="","",J348-K348)</f>
        <v/>
      </c>
      <c r="M348" s="107" t="str">
        <f>IF(A348="","",IF(I348&gt;I347,M347-L348,M347))</f>
        <v/>
      </c>
      <c r="N348" s="107" t="str">
        <f>IF(A348="","",C348+J348)</f>
        <v/>
      </c>
      <c r="O348" s="107" t="str">
        <f>IF(A348="","",H348+M348)</f>
        <v/>
      </c>
      <c r="P348" s="107" t="str">
        <f>IF(A348="","",CHOOSE(計算過程!$B$72,ROUND(F347*計算過程!$B$32/計算過程!$B$6,0),ROUNDDOWN(F347*計算過程!$B$32/計算過程!$B$6,0),ROUNDUP(F347*計算過程!$B$32/計算過程!$B$6,0)))</f>
        <v/>
      </c>
      <c r="Q348" s="107" t="str">
        <f>IF(A348="","",CHOOSE(計算過程!$B$72,ROUND(G347*計算過程!$B$33/計算過程!$B$6,0),ROUNDDOWN(G347*計算過程!$B$33/計算過程!$B$6,0),ROUNDUP(G347*計算過程!$B$33/計算過程!$B$6,0)))</f>
        <v/>
      </c>
    </row>
    <row r="349" spans="1:17">
      <c r="A349" s="106" t="str">
        <f>IF(OR(計算過程!$B$98="",ROWS($A$8:A349)&gt;計算過程!$B$71),"",ROWS($A$8:A349))</f>
        <v/>
      </c>
      <c r="B349" s="108" t="str">
        <f>IF(A349="","",EDATE(計算過程!$B$98,A349-1))</f>
        <v/>
      </c>
      <c r="C349" s="107" t="str">
        <f>IF(A349="","",IF(A349=計算過程!$B$71,D349+F348+G348,計算過程!$B$78))</f>
        <v/>
      </c>
      <c r="D349" s="107" t="str">
        <f>IF(A349="","",P349+Q349)</f>
        <v/>
      </c>
      <c r="E349" s="107" t="str">
        <f>IF(A349="","",C349-D349)</f>
        <v/>
      </c>
      <c r="F349" s="107" t="str">
        <f>IF(A349="","",IF(A349=計算過程!$B$71,0,MAX(0,F348-(計算過程!$B$76-P349))))</f>
        <v/>
      </c>
      <c r="G349" s="107" t="str">
        <f>IF(A349="","",IF(A349=計算過程!$B$71,0,MAX(0,G348-(計算過程!$B$77-Q349))))</f>
        <v/>
      </c>
      <c r="H349" s="107" t="str">
        <f>IF(A349="","",F349+G349)</f>
        <v/>
      </c>
      <c r="I349" s="106" t="str">
        <f>IF(A349="","",IF(AND(OR(MONTH(B349)=6,MONTH(B349)=12),I348&lt;計算過程!$B$69),I348+1,I348))</f>
        <v/>
      </c>
      <c r="J349" s="107" t="str">
        <f>IF(A349="","",IF(I349&gt;I348,IF(I349=計算過程!$B$69,M348+K349,計算過程!$B$81),0))</f>
        <v/>
      </c>
      <c r="K349" s="107" t="str">
        <f>IF(A349="","",IF(I349&gt;I348,CHOOSE(計算過程!$B$72,ROUND(M348*計算過程!$B$79,0),ROUNDDOWN(M348*計算過程!$B$79,0),ROUNDUP(M348*計算過程!$B$79,0)),0))</f>
        <v/>
      </c>
      <c r="L349" s="107" t="str">
        <f>IF(A349="","",J349-K349)</f>
        <v/>
      </c>
      <c r="M349" s="107" t="str">
        <f>IF(A349="","",IF(I349&gt;I348,M348-L349,M348))</f>
        <v/>
      </c>
      <c r="N349" s="107" t="str">
        <f>IF(A349="","",C349+J349)</f>
        <v/>
      </c>
      <c r="O349" s="107" t="str">
        <f>IF(A349="","",H349+M349)</f>
        <v/>
      </c>
      <c r="P349" s="107" t="str">
        <f>IF(A349="","",CHOOSE(計算過程!$B$72,ROUND(F348*計算過程!$B$32/計算過程!$B$6,0),ROUNDDOWN(F348*計算過程!$B$32/計算過程!$B$6,0),ROUNDUP(F348*計算過程!$B$32/計算過程!$B$6,0)))</f>
        <v/>
      </c>
      <c r="Q349" s="107" t="str">
        <f>IF(A349="","",CHOOSE(計算過程!$B$72,ROUND(G348*計算過程!$B$33/計算過程!$B$6,0),ROUNDDOWN(G348*計算過程!$B$33/計算過程!$B$6,0),ROUNDUP(G348*計算過程!$B$33/計算過程!$B$6,0)))</f>
        <v/>
      </c>
    </row>
    <row r="350" spans="1:17">
      <c r="A350" s="106" t="str">
        <f>IF(OR(計算過程!$B$98="",ROWS($A$8:A350)&gt;計算過程!$B$71),"",ROWS($A$8:A350))</f>
        <v/>
      </c>
      <c r="B350" s="108" t="str">
        <f>IF(A350="","",EDATE(計算過程!$B$98,A350-1))</f>
        <v/>
      </c>
      <c r="C350" s="107" t="str">
        <f>IF(A350="","",IF(A350=計算過程!$B$71,D350+F349+G349,計算過程!$B$78))</f>
        <v/>
      </c>
      <c r="D350" s="107" t="str">
        <f>IF(A350="","",P350+Q350)</f>
        <v/>
      </c>
      <c r="E350" s="107" t="str">
        <f>IF(A350="","",C350-D350)</f>
        <v/>
      </c>
      <c r="F350" s="107" t="str">
        <f>IF(A350="","",IF(A350=計算過程!$B$71,0,MAX(0,F349-(計算過程!$B$76-P350))))</f>
        <v/>
      </c>
      <c r="G350" s="107" t="str">
        <f>IF(A350="","",IF(A350=計算過程!$B$71,0,MAX(0,G349-(計算過程!$B$77-Q350))))</f>
        <v/>
      </c>
      <c r="H350" s="107" t="str">
        <f>IF(A350="","",F350+G350)</f>
        <v/>
      </c>
      <c r="I350" s="106" t="str">
        <f>IF(A350="","",IF(AND(OR(MONTH(B350)=6,MONTH(B350)=12),I349&lt;計算過程!$B$69),I349+1,I349))</f>
        <v/>
      </c>
      <c r="J350" s="107" t="str">
        <f>IF(A350="","",IF(I350&gt;I349,IF(I350=計算過程!$B$69,M349+K350,計算過程!$B$81),0))</f>
        <v/>
      </c>
      <c r="K350" s="107" t="str">
        <f>IF(A350="","",IF(I350&gt;I349,CHOOSE(計算過程!$B$72,ROUND(M349*計算過程!$B$79,0),ROUNDDOWN(M349*計算過程!$B$79,0),ROUNDUP(M349*計算過程!$B$79,0)),0))</f>
        <v/>
      </c>
      <c r="L350" s="107" t="str">
        <f>IF(A350="","",J350-K350)</f>
        <v/>
      </c>
      <c r="M350" s="107" t="str">
        <f>IF(A350="","",IF(I350&gt;I349,M349-L350,M349))</f>
        <v/>
      </c>
      <c r="N350" s="107" t="str">
        <f>IF(A350="","",C350+J350)</f>
        <v/>
      </c>
      <c r="O350" s="107" t="str">
        <f>IF(A350="","",H350+M350)</f>
        <v/>
      </c>
      <c r="P350" s="107" t="str">
        <f>IF(A350="","",CHOOSE(計算過程!$B$72,ROUND(F349*計算過程!$B$32/計算過程!$B$6,0),ROUNDDOWN(F349*計算過程!$B$32/計算過程!$B$6,0),ROUNDUP(F349*計算過程!$B$32/計算過程!$B$6,0)))</f>
        <v/>
      </c>
      <c r="Q350" s="107" t="str">
        <f>IF(A350="","",CHOOSE(計算過程!$B$72,ROUND(G349*計算過程!$B$33/計算過程!$B$6,0),ROUNDDOWN(G349*計算過程!$B$33/計算過程!$B$6,0),ROUNDUP(G349*計算過程!$B$33/計算過程!$B$6,0)))</f>
        <v/>
      </c>
    </row>
    <row r="351" spans="1:17">
      <c r="A351" s="106" t="str">
        <f>IF(OR(計算過程!$B$98="",ROWS($A$8:A351)&gt;計算過程!$B$71),"",ROWS($A$8:A351))</f>
        <v/>
      </c>
      <c r="B351" s="108" t="str">
        <f>IF(A351="","",EDATE(計算過程!$B$98,A351-1))</f>
        <v/>
      </c>
      <c r="C351" s="107" t="str">
        <f>IF(A351="","",IF(A351=計算過程!$B$71,D351+F350+G350,計算過程!$B$78))</f>
        <v/>
      </c>
      <c r="D351" s="107" t="str">
        <f>IF(A351="","",P351+Q351)</f>
        <v/>
      </c>
      <c r="E351" s="107" t="str">
        <f>IF(A351="","",C351-D351)</f>
        <v/>
      </c>
      <c r="F351" s="107" t="str">
        <f>IF(A351="","",IF(A351=計算過程!$B$71,0,MAX(0,F350-(計算過程!$B$76-P351))))</f>
        <v/>
      </c>
      <c r="G351" s="107" t="str">
        <f>IF(A351="","",IF(A351=計算過程!$B$71,0,MAX(0,G350-(計算過程!$B$77-Q351))))</f>
        <v/>
      </c>
      <c r="H351" s="107" t="str">
        <f>IF(A351="","",F351+G351)</f>
        <v/>
      </c>
      <c r="I351" s="106" t="str">
        <f>IF(A351="","",IF(AND(OR(MONTH(B351)=6,MONTH(B351)=12),I350&lt;計算過程!$B$69),I350+1,I350))</f>
        <v/>
      </c>
      <c r="J351" s="107" t="str">
        <f>IF(A351="","",IF(I351&gt;I350,IF(I351=計算過程!$B$69,M350+K351,計算過程!$B$81),0))</f>
        <v/>
      </c>
      <c r="K351" s="107" t="str">
        <f>IF(A351="","",IF(I351&gt;I350,CHOOSE(計算過程!$B$72,ROUND(M350*計算過程!$B$79,0),ROUNDDOWN(M350*計算過程!$B$79,0),ROUNDUP(M350*計算過程!$B$79,0)),0))</f>
        <v/>
      </c>
      <c r="L351" s="107" t="str">
        <f>IF(A351="","",J351-K351)</f>
        <v/>
      </c>
      <c r="M351" s="107" t="str">
        <f>IF(A351="","",IF(I351&gt;I350,M350-L351,M350))</f>
        <v/>
      </c>
      <c r="N351" s="107" t="str">
        <f>IF(A351="","",C351+J351)</f>
        <v/>
      </c>
      <c r="O351" s="107" t="str">
        <f>IF(A351="","",H351+M351)</f>
        <v/>
      </c>
      <c r="P351" s="107" t="str">
        <f>IF(A351="","",CHOOSE(計算過程!$B$72,ROUND(F350*計算過程!$B$32/計算過程!$B$6,0),ROUNDDOWN(F350*計算過程!$B$32/計算過程!$B$6,0),ROUNDUP(F350*計算過程!$B$32/計算過程!$B$6,0)))</f>
        <v/>
      </c>
      <c r="Q351" s="107" t="str">
        <f>IF(A351="","",CHOOSE(計算過程!$B$72,ROUND(G350*計算過程!$B$33/計算過程!$B$6,0),ROUNDDOWN(G350*計算過程!$B$33/計算過程!$B$6,0),ROUNDUP(G350*計算過程!$B$33/計算過程!$B$6,0)))</f>
        <v/>
      </c>
    </row>
    <row r="352" spans="1:17">
      <c r="A352" s="106" t="str">
        <f>IF(OR(計算過程!$B$98="",ROWS($A$8:A352)&gt;計算過程!$B$71),"",ROWS($A$8:A352))</f>
        <v/>
      </c>
      <c r="B352" s="108" t="str">
        <f>IF(A352="","",EDATE(計算過程!$B$98,A352-1))</f>
        <v/>
      </c>
      <c r="C352" s="107" t="str">
        <f>IF(A352="","",IF(A352=計算過程!$B$71,D352+F351+G351,計算過程!$B$78))</f>
        <v/>
      </c>
      <c r="D352" s="107" t="str">
        <f>IF(A352="","",P352+Q352)</f>
        <v/>
      </c>
      <c r="E352" s="107" t="str">
        <f>IF(A352="","",C352-D352)</f>
        <v/>
      </c>
      <c r="F352" s="107" t="str">
        <f>IF(A352="","",IF(A352=計算過程!$B$71,0,MAX(0,F351-(計算過程!$B$76-P352))))</f>
        <v/>
      </c>
      <c r="G352" s="107" t="str">
        <f>IF(A352="","",IF(A352=計算過程!$B$71,0,MAX(0,G351-(計算過程!$B$77-Q352))))</f>
        <v/>
      </c>
      <c r="H352" s="107" t="str">
        <f>IF(A352="","",F352+G352)</f>
        <v/>
      </c>
      <c r="I352" s="106" t="str">
        <f>IF(A352="","",IF(AND(OR(MONTH(B352)=6,MONTH(B352)=12),I351&lt;計算過程!$B$69),I351+1,I351))</f>
        <v/>
      </c>
      <c r="J352" s="107" t="str">
        <f>IF(A352="","",IF(I352&gt;I351,IF(I352=計算過程!$B$69,M351+K352,計算過程!$B$81),0))</f>
        <v/>
      </c>
      <c r="K352" s="107" t="str">
        <f>IF(A352="","",IF(I352&gt;I351,CHOOSE(計算過程!$B$72,ROUND(M351*計算過程!$B$79,0),ROUNDDOWN(M351*計算過程!$B$79,0),ROUNDUP(M351*計算過程!$B$79,0)),0))</f>
        <v/>
      </c>
      <c r="L352" s="107" t="str">
        <f>IF(A352="","",J352-K352)</f>
        <v/>
      </c>
      <c r="M352" s="107" t="str">
        <f>IF(A352="","",IF(I352&gt;I351,M351-L352,M351))</f>
        <v/>
      </c>
      <c r="N352" s="107" t="str">
        <f>IF(A352="","",C352+J352)</f>
        <v/>
      </c>
      <c r="O352" s="107" t="str">
        <f>IF(A352="","",H352+M352)</f>
        <v/>
      </c>
      <c r="P352" s="107" t="str">
        <f>IF(A352="","",CHOOSE(計算過程!$B$72,ROUND(F351*計算過程!$B$32/計算過程!$B$6,0),ROUNDDOWN(F351*計算過程!$B$32/計算過程!$B$6,0),ROUNDUP(F351*計算過程!$B$32/計算過程!$B$6,0)))</f>
        <v/>
      </c>
      <c r="Q352" s="107" t="str">
        <f>IF(A352="","",CHOOSE(計算過程!$B$72,ROUND(G351*計算過程!$B$33/計算過程!$B$6,0),ROUNDDOWN(G351*計算過程!$B$33/計算過程!$B$6,0),ROUNDUP(G351*計算過程!$B$33/計算過程!$B$6,0)))</f>
        <v/>
      </c>
    </row>
    <row r="353" spans="1:17">
      <c r="A353" s="106" t="str">
        <f>IF(OR(計算過程!$B$98="",ROWS($A$8:A353)&gt;計算過程!$B$71),"",ROWS($A$8:A353))</f>
        <v/>
      </c>
      <c r="B353" s="108" t="str">
        <f>IF(A353="","",EDATE(計算過程!$B$98,A353-1))</f>
        <v/>
      </c>
      <c r="C353" s="107" t="str">
        <f>IF(A353="","",IF(A353=計算過程!$B$71,D353+F352+G352,計算過程!$B$78))</f>
        <v/>
      </c>
      <c r="D353" s="107" t="str">
        <f>IF(A353="","",P353+Q353)</f>
        <v/>
      </c>
      <c r="E353" s="107" t="str">
        <f>IF(A353="","",C353-D353)</f>
        <v/>
      </c>
      <c r="F353" s="107" t="str">
        <f>IF(A353="","",IF(A353=計算過程!$B$71,0,MAX(0,F352-(計算過程!$B$76-P353))))</f>
        <v/>
      </c>
      <c r="G353" s="107" t="str">
        <f>IF(A353="","",IF(A353=計算過程!$B$71,0,MAX(0,G352-(計算過程!$B$77-Q353))))</f>
        <v/>
      </c>
      <c r="H353" s="107" t="str">
        <f>IF(A353="","",F353+G353)</f>
        <v/>
      </c>
      <c r="I353" s="106" t="str">
        <f>IF(A353="","",IF(AND(OR(MONTH(B353)=6,MONTH(B353)=12),I352&lt;計算過程!$B$69),I352+1,I352))</f>
        <v/>
      </c>
      <c r="J353" s="107" t="str">
        <f>IF(A353="","",IF(I353&gt;I352,IF(I353=計算過程!$B$69,M352+K353,計算過程!$B$81),0))</f>
        <v/>
      </c>
      <c r="K353" s="107" t="str">
        <f>IF(A353="","",IF(I353&gt;I352,CHOOSE(計算過程!$B$72,ROUND(M352*計算過程!$B$79,0),ROUNDDOWN(M352*計算過程!$B$79,0),ROUNDUP(M352*計算過程!$B$79,0)),0))</f>
        <v/>
      </c>
      <c r="L353" s="107" t="str">
        <f>IF(A353="","",J353-K353)</f>
        <v/>
      </c>
      <c r="M353" s="107" t="str">
        <f>IF(A353="","",IF(I353&gt;I352,M352-L353,M352))</f>
        <v/>
      </c>
      <c r="N353" s="107" t="str">
        <f>IF(A353="","",C353+J353)</f>
        <v/>
      </c>
      <c r="O353" s="107" t="str">
        <f>IF(A353="","",H353+M353)</f>
        <v/>
      </c>
      <c r="P353" s="107" t="str">
        <f>IF(A353="","",CHOOSE(計算過程!$B$72,ROUND(F352*計算過程!$B$32/計算過程!$B$6,0),ROUNDDOWN(F352*計算過程!$B$32/計算過程!$B$6,0),ROUNDUP(F352*計算過程!$B$32/計算過程!$B$6,0)))</f>
        <v/>
      </c>
      <c r="Q353" s="107" t="str">
        <f>IF(A353="","",CHOOSE(計算過程!$B$72,ROUND(G352*計算過程!$B$33/計算過程!$B$6,0),ROUNDDOWN(G352*計算過程!$B$33/計算過程!$B$6,0),ROUNDUP(G352*計算過程!$B$33/計算過程!$B$6,0)))</f>
        <v/>
      </c>
    </row>
    <row r="354" spans="1:17">
      <c r="A354" s="106" t="str">
        <f>IF(OR(計算過程!$B$98="",ROWS($A$8:A354)&gt;計算過程!$B$71),"",ROWS($A$8:A354))</f>
        <v/>
      </c>
      <c r="B354" s="108" t="str">
        <f>IF(A354="","",EDATE(計算過程!$B$98,A354-1))</f>
        <v/>
      </c>
      <c r="C354" s="107" t="str">
        <f>IF(A354="","",IF(A354=計算過程!$B$71,D354+F353+G353,計算過程!$B$78))</f>
        <v/>
      </c>
      <c r="D354" s="107" t="str">
        <f>IF(A354="","",P354+Q354)</f>
        <v/>
      </c>
      <c r="E354" s="107" t="str">
        <f>IF(A354="","",C354-D354)</f>
        <v/>
      </c>
      <c r="F354" s="107" t="str">
        <f>IF(A354="","",IF(A354=計算過程!$B$71,0,MAX(0,F353-(計算過程!$B$76-P354))))</f>
        <v/>
      </c>
      <c r="G354" s="107" t="str">
        <f>IF(A354="","",IF(A354=計算過程!$B$71,0,MAX(0,G353-(計算過程!$B$77-Q354))))</f>
        <v/>
      </c>
      <c r="H354" s="107" t="str">
        <f>IF(A354="","",F354+G354)</f>
        <v/>
      </c>
      <c r="I354" s="106" t="str">
        <f>IF(A354="","",IF(AND(OR(MONTH(B354)=6,MONTH(B354)=12),I353&lt;計算過程!$B$69),I353+1,I353))</f>
        <v/>
      </c>
      <c r="J354" s="107" t="str">
        <f>IF(A354="","",IF(I354&gt;I353,IF(I354=計算過程!$B$69,M353+K354,計算過程!$B$81),0))</f>
        <v/>
      </c>
      <c r="K354" s="107" t="str">
        <f>IF(A354="","",IF(I354&gt;I353,CHOOSE(計算過程!$B$72,ROUND(M353*計算過程!$B$79,0),ROUNDDOWN(M353*計算過程!$B$79,0),ROUNDUP(M353*計算過程!$B$79,0)),0))</f>
        <v/>
      </c>
      <c r="L354" s="107" t="str">
        <f>IF(A354="","",J354-K354)</f>
        <v/>
      </c>
      <c r="M354" s="107" t="str">
        <f>IF(A354="","",IF(I354&gt;I353,M353-L354,M353))</f>
        <v/>
      </c>
      <c r="N354" s="107" t="str">
        <f>IF(A354="","",C354+J354)</f>
        <v/>
      </c>
      <c r="O354" s="107" t="str">
        <f>IF(A354="","",H354+M354)</f>
        <v/>
      </c>
      <c r="P354" s="107" t="str">
        <f>IF(A354="","",CHOOSE(計算過程!$B$72,ROUND(F353*計算過程!$B$32/計算過程!$B$6,0),ROUNDDOWN(F353*計算過程!$B$32/計算過程!$B$6,0),ROUNDUP(F353*計算過程!$B$32/計算過程!$B$6,0)))</f>
        <v/>
      </c>
      <c r="Q354" s="107" t="str">
        <f>IF(A354="","",CHOOSE(計算過程!$B$72,ROUND(G353*計算過程!$B$33/計算過程!$B$6,0),ROUNDDOWN(G353*計算過程!$B$33/計算過程!$B$6,0),ROUNDUP(G353*計算過程!$B$33/計算過程!$B$6,0)))</f>
        <v/>
      </c>
    </row>
    <row r="355" spans="1:17">
      <c r="A355" s="106" t="str">
        <f>IF(OR(計算過程!$B$98="",ROWS($A$8:A355)&gt;計算過程!$B$71),"",ROWS($A$8:A355))</f>
        <v/>
      </c>
      <c r="B355" s="108" t="str">
        <f>IF(A355="","",EDATE(計算過程!$B$98,A355-1))</f>
        <v/>
      </c>
      <c r="C355" s="107" t="str">
        <f>IF(A355="","",IF(A355=計算過程!$B$71,D355+F354+G354,計算過程!$B$78))</f>
        <v/>
      </c>
      <c r="D355" s="107" t="str">
        <f>IF(A355="","",P355+Q355)</f>
        <v/>
      </c>
      <c r="E355" s="107" t="str">
        <f>IF(A355="","",C355-D355)</f>
        <v/>
      </c>
      <c r="F355" s="107" t="str">
        <f>IF(A355="","",IF(A355=計算過程!$B$71,0,MAX(0,F354-(計算過程!$B$76-P355))))</f>
        <v/>
      </c>
      <c r="G355" s="107" t="str">
        <f>IF(A355="","",IF(A355=計算過程!$B$71,0,MAX(0,G354-(計算過程!$B$77-Q355))))</f>
        <v/>
      </c>
      <c r="H355" s="107" t="str">
        <f>IF(A355="","",F355+G355)</f>
        <v/>
      </c>
      <c r="I355" s="106" t="str">
        <f>IF(A355="","",IF(AND(OR(MONTH(B355)=6,MONTH(B355)=12),I354&lt;計算過程!$B$69),I354+1,I354))</f>
        <v/>
      </c>
      <c r="J355" s="107" t="str">
        <f>IF(A355="","",IF(I355&gt;I354,IF(I355=計算過程!$B$69,M354+K355,計算過程!$B$81),0))</f>
        <v/>
      </c>
      <c r="K355" s="107" t="str">
        <f>IF(A355="","",IF(I355&gt;I354,CHOOSE(計算過程!$B$72,ROUND(M354*計算過程!$B$79,0),ROUNDDOWN(M354*計算過程!$B$79,0),ROUNDUP(M354*計算過程!$B$79,0)),0))</f>
        <v/>
      </c>
      <c r="L355" s="107" t="str">
        <f>IF(A355="","",J355-K355)</f>
        <v/>
      </c>
      <c r="M355" s="107" t="str">
        <f>IF(A355="","",IF(I355&gt;I354,M354-L355,M354))</f>
        <v/>
      </c>
      <c r="N355" s="107" t="str">
        <f>IF(A355="","",C355+J355)</f>
        <v/>
      </c>
      <c r="O355" s="107" t="str">
        <f>IF(A355="","",H355+M355)</f>
        <v/>
      </c>
      <c r="P355" s="107" t="str">
        <f>IF(A355="","",CHOOSE(計算過程!$B$72,ROUND(F354*計算過程!$B$32/計算過程!$B$6,0),ROUNDDOWN(F354*計算過程!$B$32/計算過程!$B$6,0),ROUNDUP(F354*計算過程!$B$32/計算過程!$B$6,0)))</f>
        <v/>
      </c>
      <c r="Q355" s="107" t="str">
        <f>IF(A355="","",CHOOSE(計算過程!$B$72,ROUND(G354*計算過程!$B$33/計算過程!$B$6,0),ROUNDDOWN(G354*計算過程!$B$33/計算過程!$B$6,0),ROUNDUP(G354*計算過程!$B$33/計算過程!$B$6,0)))</f>
        <v/>
      </c>
    </row>
    <row r="356" spans="1:17">
      <c r="A356" s="106" t="str">
        <f>IF(OR(計算過程!$B$98="",ROWS($A$8:A356)&gt;計算過程!$B$71),"",ROWS($A$8:A356))</f>
        <v/>
      </c>
      <c r="B356" s="108" t="str">
        <f>IF(A356="","",EDATE(計算過程!$B$98,A356-1))</f>
        <v/>
      </c>
      <c r="C356" s="107" t="str">
        <f>IF(A356="","",IF(A356=計算過程!$B$71,D356+F355+G355,計算過程!$B$78))</f>
        <v/>
      </c>
      <c r="D356" s="107" t="str">
        <f>IF(A356="","",P356+Q356)</f>
        <v/>
      </c>
      <c r="E356" s="107" t="str">
        <f>IF(A356="","",C356-D356)</f>
        <v/>
      </c>
      <c r="F356" s="107" t="str">
        <f>IF(A356="","",IF(A356=計算過程!$B$71,0,MAX(0,F355-(計算過程!$B$76-P356))))</f>
        <v/>
      </c>
      <c r="G356" s="107" t="str">
        <f>IF(A356="","",IF(A356=計算過程!$B$71,0,MAX(0,G355-(計算過程!$B$77-Q356))))</f>
        <v/>
      </c>
      <c r="H356" s="107" t="str">
        <f>IF(A356="","",F356+G356)</f>
        <v/>
      </c>
      <c r="I356" s="106" t="str">
        <f>IF(A356="","",IF(AND(OR(MONTH(B356)=6,MONTH(B356)=12),I355&lt;計算過程!$B$69),I355+1,I355))</f>
        <v/>
      </c>
      <c r="J356" s="107" t="str">
        <f>IF(A356="","",IF(I356&gt;I355,IF(I356=計算過程!$B$69,M355+K356,計算過程!$B$81),0))</f>
        <v/>
      </c>
      <c r="K356" s="107" t="str">
        <f>IF(A356="","",IF(I356&gt;I355,CHOOSE(計算過程!$B$72,ROUND(M355*計算過程!$B$79,0),ROUNDDOWN(M355*計算過程!$B$79,0),ROUNDUP(M355*計算過程!$B$79,0)),0))</f>
        <v/>
      </c>
      <c r="L356" s="107" t="str">
        <f>IF(A356="","",J356-K356)</f>
        <v/>
      </c>
      <c r="M356" s="107" t="str">
        <f>IF(A356="","",IF(I356&gt;I355,M355-L356,M355))</f>
        <v/>
      </c>
      <c r="N356" s="107" t="str">
        <f>IF(A356="","",C356+J356)</f>
        <v/>
      </c>
      <c r="O356" s="107" t="str">
        <f>IF(A356="","",H356+M356)</f>
        <v/>
      </c>
      <c r="P356" s="107" t="str">
        <f>IF(A356="","",CHOOSE(計算過程!$B$72,ROUND(F355*計算過程!$B$32/計算過程!$B$6,0),ROUNDDOWN(F355*計算過程!$B$32/計算過程!$B$6,0),ROUNDUP(F355*計算過程!$B$32/計算過程!$B$6,0)))</f>
        <v/>
      </c>
      <c r="Q356" s="107" t="str">
        <f>IF(A356="","",CHOOSE(計算過程!$B$72,ROUND(G355*計算過程!$B$33/計算過程!$B$6,0),ROUNDDOWN(G355*計算過程!$B$33/計算過程!$B$6,0),ROUNDUP(G355*計算過程!$B$33/計算過程!$B$6,0)))</f>
        <v/>
      </c>
    </row>
    <row r="357" spans="1:17">
      <c r="A357" s="106" t="str">
        <f>IF(OR(計算過程!$B$98="",ROWS($A$8:A357)&gt;計算過程!$B$71),"",ROWS($A$8:A357))</f>
        <v/>
      </c>
      <c r="B357" s="108" t="str">
        <f>IF(A357="","",EDATE(計算過程!$B$98,A357-1))</f>
        <v/>
      </c>
      <c r="C357" s="107" t="str">
        <f>IF(A357="","",IF(A357=計算過程!$B$71,D357+F356+G356,計算過程!$B$78))</f>
        <v/>
      </c>
      <c r="D357" s="107" t="str">
        <f>IF(A357="","",P357+Q357)</f>
        <v/>
      </c>
      <c r="E357" s="107" t="str">
        <f>IF(A357="","",C357-D357)</f>
        <v/>
      </c>
      <c r="F357" s="107" t="str">
        <f>IF(A357="","",IF(A357=計算過程!$B$71,0,MAX(0,F356-(計算過程!$B$76-P357))))</f>
        <v/>
      </c>
      <c r="G357" s="107" t="str">
        <f>IF(A357="","",IF(A357=計算過程!$B$71,0,MAX(0,G356-(計算過程!$B$77-Q357))))</f>
        <v/>
      </c>
      <c r="H357" s="107" t="str">
        <f>IF(A357="","",F357+G357)</f>
        <v/>
      </c>
      <c r="I357" s="106" t="str">
        <f>IF(A357="","",IF(AND(OR(MONTH(B357)=6,MONTH(B357)=12),I356&lt;計算過程!$B$69),I356+1,I356))</f>
        <v/>
      </c>
      <c r="J357" s="107" t="str">
        <f>IF(A357="","",IF(I357&gt;I356,IF(I357=計算過程!$B$69,M356+K357,計算過程!$B$81),0))</f>
        <v/>
      </c>
      <c r="K357" s="107" t="str">
        <f>IF(A357="","",IF(I357&gt;I356,CHOOSE(計算過程!$B$72,ROUND(M356*計算過程!$B$79,0),ROUNDDOWN(M356*計算過程!$B$79,0),ROUNDUP(M356*計算過程!$B$79,0)),0))</f>
        <v/>
      </c>
      <c r="L357" s="107" t="str">
        <f>IF(A357="","",J357-K357)</f>
        <v/>
      </c>
      <c r="M357" s="107" t="str">
        <f>IF(A357="","",IF(I357&gt;I356,M356-L357,M356))</f>
        <v/>
      </c>
      <c r="N357" s="107" t="str">
        <f>IF(A357="","",C357+J357)</f>
        <v/>
      </c>
      <c r="O357" s="107" t="str">
        <f>IF(A357="","",H357+M357)</f>
        <v/>
      </c>
      <c r="P357" s="107" t="str">
        <f>IF(A357="","",CHOOSE(計算過程!$B$72,ROUND(F356*計算過程!$B$32/計算過程!$B$6,0),ROUNDDOWN(F356*計算過程!$B$32/計算過程!$B$6,0),ROUNDUP(F356*計算過程!$B$32/計算過程!$B$6,0)))</f>
        <v/>
      </c>
      <c r="Q357" s="107" t="str">
        <f>IF(A357="","",CHOOSE(計算過程!$B$72,ROUND(G356*計算過程!$B$33/計算過程!$B$6,0),ROUNDDOWN(G356*計算過程!$B$33/計算過程!$B$6,0),ROUNDUP(G356*計算過程!$B$33/計算過程!$B$6,0)))</f>
        <v/>
      </c>
    </row>
    <row r="358" spans="1:17">
      <c r="A358" s="106" t="str">
        <f>IF(OR(計算過程!$B$98="",ROWS($A$8:A358)&gt;計算過程!$B$71),"",ROWS($A$8:A358))</f>
        <v/>
      </c>
      <c r="B358" s="108" t="str">
        <f>IF(A358="","",EDATE(計算過程!$B$98,A358-1))</f>
        <v/>
      </c>
      <c r="C358" s="107" t="str">
        <f>IF(A358="","",IF(A358=計算過程!$B$71,D358+F357+G357,計算過程!$B$78))</f>
        <v/>
      </c>
      <c r="D358" s="107" t="str">
        <f>IF(A358="","",P358+Q358)</f>
        <v/>
      </c>
      <c r="E358" s="107" t="str">
        <f>IF(A358="","",C358-D358)</f>
        <v/>
      </c>
      <c r="F358" s="107" t="str">
        <f>IF(A358="","",IF(A358=計算過程!$B$71,0,MAX(0,F357-(計算過程!$B$76-P358))))</f>
        <v/>
      </c>
      <c r="G358" s="107" t="str">
        <f>IF(A358="","",IF(A358=計算過程!$B$71,0,MAX(0,G357-(計算過程!$B$77-Q358))))</f>
        <v/>
      </c>
      <c r="H358" s="107" t="str">
        <f>IF(A358="","",F358+G358)</f>
        <v/>
      </c>
      <c r="I358" s="106" t="str">
        <f>IF(A358="","",IF(AND(OR(MONTH(B358)=6,MONTH(B358)=12),I357&lt;計算過程!$B$69),I357+1,I357))</f>
        <v/>
      </c>
      <c r="J358" s="107" t="str">
        <f>IF(A358="","",IF(I358&gt;I357,IF(I358=計算過程!$B$69,M357+K358,計算過程!$B$81),0))</f>
        <v/>
      </c>
      <c r="K358" s="107" t="str">
        <f>IF(A358="","",IF(I358&gt;I357,CHOOSE(計算過程!$B$72,ROUND(M357*計算過程!$B$79,0),ROUNDDOWN(M357*計算過程!$B$79,0),ROUNDUP(M357*計算過程!$B$79,0)),0))</f>
        <v/>
      </c>
      <c r="L358" s="107" t="str">
        <f>IF(A358="","",J358-K358)</f>
        <v/>
      </c>
      <c r="M358" s="107" t="str">
        <f>IF(A358="","",IF(I358&gt;I357,M357-L358,M357))</f>
        <v/>
      </c>
      <c r="N358" s="107" t="str">
        <f>IF(A358="","",C358+J358)</f>
        <v/>
      </c>
      <c r="O358" s="107" t="str">
        <f>IF(A358="","",H358+M358)</f>
        <v/>
      </c>
      <c r="P358" s="107" t="str">
        <f>IF(A358="","",CHOOSE(計算過程!$B$72,ROUND(F357*計算過程!$B$32/計算過程!$B$6,0),ROUNDDOWN(F357*計算過程!$B$32/計算過程!$B$6,0),ROUNDUP(F357*計算過程!$B$32/計算過程!$B$6,0)))</f>
        <v/>
      </c>
      <c r="Q358" s="107" t="str">
        <f>IF(A358="","",CHOOSE(計算過程!$B$72,ROUND(G357*計算過程!$B$33/計算過程!$B$6,0),ROUNDDOWN(G357*計算過程!$B$33/計算過程!$B$6,0),ROUNDUP(G357*計算過程!$B$33/計算過程!$B$6,0)))</f>
        <v/>
      </c>
    </row>
    <row r="359" spans="1:17">
      <c r="A359" s="106" t="str">
        <f>IF(OR(計算過程!$B$98="",ROWS($A$8:A359)&gt;計算過程!$B$71),"",ROWS($A$8:A359))</f>
        <v/>
      </c>
      <c r="B359" s="108" t="str">
        <f>IF(A359="","",EDATE(計算過程!$B$98,A359-1))</f>
        <v/>
      </c>
      <c r="C359" s="107" t="str">
        <f>IF(A359="","",IF(A359=計算過程!$B$71,D359+F358+G358,計算過程!$B$78))</f>
        <v/>
      </c>
      <c r="D359" s="107" t="str">
        <f>IF(A359="","",P359+Q359)</f>
        <v/>
      </c>
      <c r="E359" s="107" t="str">
        <f>IF(A359="","",C359-D359)</f>
        <v/>
      </c>
      <c r="F359" s="107" t="str">
        <f>IF(A359="","",IF(A359=計算過程!$B$71,0,MAX(0,F358-(計算過程!$B$76-P359))))</f>
        <v/>
      </c>
      <c r="G359" s="107" t="str">
        <f>IF(A359="","",IF(A359=計算過程!$B$71,0,MAX(0,G358-(計算過程!$B$77-Q359))))</f>
        <v/>
      </c>
      <c r="H359" s="107" t="str">
        <f>IF(A359="","",F359+G359)</f>
        <v/>
      </c>
      <c r="I359" s="106" t="str">
        <f>IF(A359="","",IF(AND(OR(MONTH(B359)=6,MONTH(B359)=12),I358&lt;計算過程!$B$69),I358+1,I358))</f>
        <v/>
      </c>
      <c r="J359" s="107" t="str">
        <f>IF(A359="","",IF(I359&gt;I358,IF(I359=計算過程!$B$69,M358+K359,計算過程!$B$81),0))</f>
        <v/>
      </c>
      <c r="K359" s="107" t="str">
        <f>IF(A359="","",IF(I359&gt;I358,CHOOSE(計算過程!$B$72,ROUND(M358*計算過程!$B$79,0),ROUNDDOWN(M358*計算過程!$B$79,0),ROUNDUP(M358*計算過程!$B$79,0)),0))</f>
        <v/>
      </c>
      <c r="L359" s="107" t="str">
        <f>IF(A359="","",J359-K359)</f>
        <v/>
      </c>
      <c r="M359" s="107" t="str">
        <f>IF(A359="","",IF(I359&gt;I358,M358-L359,M358))</f>
        <v/>
      </c>
      <c r="N359" s="107" t="str">
        <f>IF(A359="","",C359+J359)</f>
        <v/>
      </c>
      <c r="O359" s="107" t="str">
        <f>IF(A359="","",H359+M359)</f>
        <v/>
      </c>
      <c r="P359" s="107" t="str">
        <f>IF(A359="","",CHOOSE(計算過程!$B$72,ROUND(F358*計算過程!$B$32/計算過程!$B$6,0),ROUNDDOWN(F358*計算過程!$B$32/計算過程!$B$6,0),ROUNDUP(F358*計算過程!$B$32/計算過程!$B$6,0)))</f>
        <v/>
      </c>
      <c r="Q359" s="107" t="str">
        <f>IF(A359="","",CHOOSE(計算過程!$B$72,ROUND(G358*計算過程!$B$33/計算過程!$B$6,0),ROUNDDOWN(G358*計算過程!$B$33/計算過程!$B$6,0),ROUNDUP(G358*計算過程!$B$33/計算過程!$B$6,0)))</f>
        <v/>
      </c>
    </row>
    <row r="360" spans="1:17">
      <c r="A360" s="106" t="str">
        <f>IF(OR(計算過程!$B$98="",ROWS($A$8:A360)&gt;計算過程!$B$71),"",ROWS($A$8:A360))</f>
        <v/>
      </c>
      <c r="B360" s="108" t="str">
        <f>IF(A360="","",EDATE(計算過程!$B$98,A360-1))</f>
        <v/>
      </c>
      <c r="C360" s="107" t="str">
        <f>IF(A360="","",IF(A360=計算過程!$B$71,D360+F359+G359,計算過程!$B$78))</f>
        <v/>
      </c>
      <c r="D360" s="107" t="str">
        <f>IF(A360="","",P360+Q360)</f>
        <v/>
      </c>
      <c r="E360" s="107" t="str">
        <f>IF(A360="","",C360-D360)</f>
        <v/>
      </c>
      <c r="F360" s="107" t="str">
        <f>IF(A360="","",IF(A360=計算過程!$B$71,0,MAX(0,F359-(計算過程!$B$76-P360))))</f>
        <v/>
      </c>
      <c r="G360" s="107" t="str">
        <f>IF(A360="","",IF(A360=計算過程!$B$71,0,MAX(0,G359-(計算過程!$B$77-Q360))))</f>
        <v/>
      </c>
      <c r="H360" s="107" t="str">
        <f>IF(A360="","",F360+G360)</f>
        <v/>
      </c>
      <c r="I360" s="106" t="str">
        <f>IF(A360="","",IF(AND(OR(MONTH(B360)=6,MONTH(B360)=12),I359&lt;計算過程!$B$69),I359+1,I359))</f>
        <v/>
      </c>
      <c r="J360" s="107" t="str">
        <f>IF(A360="","",IF(I360&gt;I359,IF(I360=計算過程!$B$69,M359+K360,計算過程!$B$81),0))</f>
        <v/>
      </c>
      <c r="K360" s="107" t="str">
        <f>IF(A360="","",IF(I360&gt;I359,CHOOSE(計算過程!$B$72,ROUND(M359*計算過程!$B$79,0),ROUNDDOWN(M359*計算過程!$B$79,0),ROUNDUP(M359*計算過程!$B$79,0)),0))</f>
        <v/>
      </c>
      <c r="L360" s="107" t="str">
        <f>IF(A360="","",J360-K360)</f>
        <v/>
      </c>
      <c r="M360" s="107" t="str">
        <f>IF(A360="","",IF(I360&gt;I359,M359-L360,M359))</f>
        <v/>
      </c>
      <c r="N360" s="107" t="str">
        <f>IF(A360="","",C360+J360)</f>
        <v/>
      </c>
      <c r="O360" s="107" t="str">
        <f>IF(A360="","",H360+M360)</f>
        <v/>
      </c>
      <c r="P360" s="107" t="str">
        <f>IF(A360="","",CHOOSE(計算過程!$B$72,ROUND(F359*計算過程!$B$32/計算過程!$B$6,0),ROUNDDOWN(F359*計算過程!$B$32/計算過程!$B$6,0),ROUNDUP(F359*計算過程!$B$32/計算過程!$B$6,0)))</f>
        <v/>
      </c>
      <c r="Q360" s="107" t="str">
        <f>IF(A360="","",CHOOSE(計算過程!$B$72,ROUND(G359*計算過程!$B$33/計算過程!$B$6,0),ROUNDDOWN(G359*計算過程!$B$33/計算過程!$B$6,0),ROUNDUP(G359*計算過程!$B$33/計算過程!$B$6,0)))</f>
        <v/>
      </c>
    </row>
    <row r="361" spans="1:17">
      <c r="A361" s="106" t="str">
        <f>IF(OR(計算過程!$B$98="",ROWS($A$8:A361)&gt;計算過程!$B$71),"",ROWS($A$8:A361))</f>
        <v/>
      </c>
      <c r="B361" s="108" t="str">
        <f>IF(A361="","",EDATE(計算過程!$B$98,A361-1))</f>
        <v/>
      </c>
      <c r="C361" s="107" t="str">
        <f>IF(A361="","",IF(A361=計算過程!$B$71,D361+F360+G360,計算過程!$B$78))</f>
        <v/>
      </c>
      <c r="D361" s="107" t="str">
        <f>IF(A361="","",P361+Q361)</f>
        <v/>
      </c>
      <c r="E361" s="107" t="str">
        <f>IF(A361="","",C361-D361)</f>
        <v/>
      </c>
      <c r="F361" s="107" t="str">
        <f>IF(A361="","",IF(A361=計算過程!$B$71,0,MAX(0,F360-(計算過程!$B$76-P361))))</f>
        <v/>
      </c>
      <c r="G361" s="107" t="str">
        <f>IF(A361="","",IF(A361=計算過程!$B$71,0,MAX(0,G360-(計算過程!$B$77-Q361))))</f>
        <v/>
      </c>
      <c r="H361" s="107" t="str">
        <f>IF(A361="","",F361+G361)</f>
        <v/>
      </c>
      <c r="I361" s="106" t="str">
        <f>IF(A361="","",IF(AND(OR(MONTH(B361)=6,MONTH(B361)=12),I360&lt;計算過程!$B$69),I360+1,I360))</f>
        <v/>
      </c>
      <c r="J361" s="107" t="str">
        <f>IF(A361="","",IF(I361&gt;I360,IF(I361=計算過程!$B$69,M360+K361,計算過程!$B$81),0))</f>
        <v/>
      </c>
      <c r="K361" s="107" t="str">
        <f>IF(A361="","",IF(I361&gt;I360,CHOOSE(計算過程!$B$72,ROUND(M360*計算過程!$B$79,0),ROUNDDOWN(M360*計算過程!$B$79,0),ROUNDUP(M360*計算過程!$B$79,0)),0))</f>
        <v/>
      </c>
      <c r="L361" s="107" t="str">
        <f>IF(A361="","",J361-K361)</f>
        <v/>
      </c>
      <c r="M361" s="107" t="str">
        <f>IF(A361="","",IF(I361&gt;I360,M360-L361,M360))</f>
        <v/>
      </c>
      <c r="N361" s="107" t="str">
        <f>IF(A361="","",C361+J361)</f>
        <v/>
      </c>
      <c r="O361" s="107" t="str">
        <f>IF(A361="","",H361+M361)</f>
        <v/>
      </c>
      <c r="P361" s="107" t="str">
        <f>IF(A361="","",CHOOSE(計算過程!$B$72,ROUND(F360*計算過程!$B$32/計算過程!$B$6,0),ROUNDDOWN(F360*計算過程!$B$32/計算過程!$B$6,0),ROUNDUP(F360*計算過程!$B$32/計算過程!$B$6,0)))</f>
        <v/>
      </c>
      <c r="Q361" s="107" t="str">
        <f>IF(A361="","",CHOOSE(計算過程!$B$72,ROUND(G360*計算過程!$B$33/計算過程!$B$6,0),ROUNDDOWN(G360*計算過程!$B$33/計算過程!$B$6,0),ROUNDUP(G360*計算過程!$B$33/計算過程!$B$6,0)))</f>
        <v/>
      </c>
    </row>
    <row r="362" spans="1:17">
      <c r="A362" s="106" t="str">
        <f>IF(OR(計算過程!$B$98="",ROWS($A$8:A362)&gt;計算過程!$B$71),"",ROWS($A$8:A362))</f>
        <v/>
      </c>
      <c r="B362" s="108" t="str">
        <f>IF(A362="","",EDATE(計算過程!$B$98,A362-1))</f>
        <v/>
      </c>
      <c r="C362" s="107" t="str">
        <f>IF(A362="","",IF(A362=計算過程!$B$71,D362+F361+G361,計算過程!$B$78))</f>
        <v/>
      </c>
      <c r="D362" s="107" t="str">
        <f>IF(A362="","",P362+Q362)</f>
        <v/>
      </c>
      <c r="E362" s="107" t="str">
        <f>IF(A362="","",C362-D362)</f>
        <v/>
      </c>
      <c r="F362" s="107" t="str">
        <f>IF(A362="","",IF(A362=計算過程!$B$71,0,MAX(0,F361-(計算過程!$B$76-P362))))</f>
        <v/>
      </c>
      <c r="G362" s="107" t="str">
        <f>IF(A362="","",IF(A362=計算過程!$B$71,0,MAX(0,G361-(計算過程!$B$77-Q362))))</f>
        <v/>
      </c>
      <c r="H362" s="107" t="str">
        <f>IF(A362="","",F362+G362)</f>
        <v/>
      </c>
      <c r="I362" s="106" t="str">
        <f>IF(A362="","",IF(AND(OR(MONTH(B362)=6,MONTH(B362)=12),I361&lt;計算過程!$B$69),I361+1,I361))</f>
        <v/>
      </c>
      <c r="J362" s="107" t="str">
        <f>IF(A362="","",IF(I362&gt;I361,IF(I362=計算過程!$B$69,M361+K362,計算過程!$B$81),0))</f>
        <v/>
      </c>
      <c r="K362" s="107" t="str">
        <f>IF(A362="","",IF(I362&gt;I361,CHOOSE(計算過程!$B$72,ROUND(M361*計算過程!$B$79,0),ROUNDDOWN(M361*計算過程!$B$79,0),ROUNDUP(M361*計算過程!$B$79,0)),0))</f>
        <v/>
      </c>
      <c r="L362" s="107" t="str">
        <f>IF(A362="","",J362-K362)</f>
        <v/>
      </c>
      <c r="M362" s="107" t="str">
        <f>IF(A362="","",IF(I362&gt;I361,M361-L362,M361))</f>
        <v/>
      </c>
      <c r="N362" s="107" t="str">
        <f>IF(A362="","",C362+J362)</f>
        <v/>
      </c>
      <c r="O362" s="107" t="str">
        <f>IF(A362="","",H362+M362)</f>
        <v/>
      </c>
      <c r="P362" s="107" t="str">
        <f>IF(A362="","",CHOOSE(計算過程!$B$72,ROUND(F361*計算過程!$B$32/計算過程!$B$6,0),ROUNDDOWN(F361*計算過程!$B$32/計算過程!$B$6,0),ROUNDUP(F361*計算過程!$B$32/計算過程!$B$6,0)))</f>
        <v/>
      </c>
      <c r="Q362" s="107" t="str">
        <f>IF(A362="","",CHOOSE(計算過程!$B$72,ROUND(G361*計算過程!$B$33/計算過程!$B$6,0),ROUNDDOWN(G361*計算過程!$B$33/計算過程!$B$6,0),ROUNDUP(G361*計算過程!$B$33/計算過程!$B$6,0)))</f>
        <v/>
      </c>
    </row>
    <row r="363" spans="1:17">
      <c r="A363" s="106" t="str">
        <f>IF(OR(計算過程!$B$98="",ROWS($A$8:A363)&gt;計算過程!$B$71),"",ROWS($A$8:A363))</f>
        <v/>
      </c>
      <c r="B363" s="108" t="str">
        <f>IF(A363="","",EDATE(計算過程!$B$98,A363-1))</f>
        <v/>
      </c>
      <c r="C363" s="107" t="str">
        <f>IF(A363="","",IF(A363=計算過程!$B$71,D363+F362+G362,計算過程!$B$78))</f>
        <v/>
      </c>
      <c r="D363" s="107" t="str">
        <f>IF(A363="","",P363+Q363)</f>
        <v/>
      </c>
      <c r="E363" s="107" t="str">
        <f>IF(A363="","",C363-D363)</f>
        <v/>
      </c>
      <c r="F363" s="107" t="str">
        <f>IF(A363="","",IF(A363=計算過程!$B$71,0,MAX(0,F362-(計算過程!$B$76-P363))))</f>
        <v/>
      </c>
      <c r="G363" s="107" t="str">
        <f>IF(A363="","",IF(A363=計算過程!$B$71,0,MAX(0,G362-(計算過程!$B$77-Q363))))</f>
        <v/>
      </c>
      <c r="H363" s="107" t="str">
        <f>IF(A363="","",F363+G363)</f>
        <v/>
      </c>
      <c r="I363" s="106" t="str">
        <f>IF(A363="","",IF(AND(OR(MONTH(B363)=6,MONTH(B363)=12),I362&lt;計算過程!$B$69),I362+1,I362))</f>
        <v/>
      </c>
      <c r="J363" s="107" t="str">
        <f>IF(A363="","",IF(I363&gt;I362,IF(I363=計算過程!$B$69,M362+K363,計算過程!$B$81),0))</f>
        <v/>
      </c>
      <c r="K363" s="107" t="str">
        <f>IF(A363="","",IF(I363&gt;I362,CHOOSE(計算過程!$B$72,ROUND(M362*計算過程!$B$79,0),ROUNDDOWN(M362*計算過程!$B$79,0),ROUNDUP(M362*計算過程!$B$79,0)),0))</f>
        <v/>
      </c>
      <c r="L363" s="107" t="str">
        <f>IF(A363="","",J363-K363)</f>
        <v/>
      </c>
      <c r="M363" s="107" t="str">
        <f>IF(A363="","",IF(I363&gt;I362,M362-L363,M362))</f>
        <v/>
      </c>
      <c r="N363" s="107" t="str">
        <f>IF(A363="","",C363+J363)</f>
        <v/>
      </c>
      <c r="O363" s="107" t="str">
        <f>IF(A363="","",H363+M363)</f>
        <v/>
      </c>
      <c r="P363" s="107" t="str">
        <f>IF(A363="","",CHOOSE(計算過程!$B$72,ROUND(F362*計算過程!$B$32/計算過程!$B$6,0),ROUNDDOWN(F362*計算過程!$B$32/計算過程!$B$6,0),ROUNDUP(F362*計算過程!$B$32/計算過程!$B$6,0)))</f>
        <v/>
      </c>
      <c r="Q363" s="107" t="str">
        <f>IF(A363="","",CHOOSE(計算過程!$B$72,ROUND(G362*計算過程!$B$33/計算過程!$B$6,0),ROUNDDOWN(G362*計算過程!$B$33/計算過程!$B$6,0),ROUNDUP(G362*計算過程!$B$33/計算過程!$B$6,0)))</f>
        <v/>
      </c>
    </row>
    <row r="364" spans="1:17">
      <c r="A364" s="106" t="str">
        <f>IF(OR(計算過程!$B$98="",ROWS($A$8:A364)&gt;計算過程!$B$71),"",ROWS($A$8:A364))</f>
        <v/>
      </c>
      <c r="B364" s="108" t="str">
        <f>IF(A364="","",EDATE(計算過程!$B$98,A364-1))</f>
        <v/>
      </c>
      <c r="C364" s="107" t="str">
        <f>IF(A364="","",IF(A364=計算過程!$B$71,D364+F363+G363,計算過程!$B$78))</f>
        <v/>
      </c>
      <c r="D364" s="107" t="str">
        <f>IF(A364="","",P364+Q364)</f>
        <v/>
      </c>
      <c r="E364" s="107" t="str">
        <f>IF(A364="","",C364-D364)</f>
        <v/>
      </c>
      <c r="F364" s="107" t="str">
        <f>IF(A364="","",IF(A364=計算過程!$B$71,0,MAX(0,F363-(計算過程!$B$76-P364))))</f>
        <v/>
      </c>
      <c r="G364" s="107" t="str">
        <f>IF(A364="","",IF(A364=計算過程!$B$71,0,MAX(0,G363-(計算過程!$B$77-Q364))))</f>
        <v/>
      </c>
      <c r="H364" s="107" t="str">
        <f>IF(A364="","",F364+G364)</f>
        <v/>
      </c>
      <c r="I364" s="106" t="str">
        <f>IF(A364="","",IF(AND(OR(MONTH(B364)=6,MONTH(B364)=12),I363&lt;計算過程!$B$69),I363+1,I363))</f>
        <v/>
      </c>
      <c r="J364" s="107" t="str">
        <f>IF(A364="","",IF(I364&gt;I363,IF(I364=計算過程!$B$69,M363+K364,計算過程!$B$81),0))</f>
        <v/>
      </c>
      <c r="K364" s="107" t="str">
        <f>IF(A364="","",IF(I364&gt;I363,CHOOSE(計算過程!$B$72,ROUND(M363*計算過程!$B$79,0),ROUNDDOWN(M363*計算過程!$B$79,0),ROUNDUP(M363*計算過程!$B$79,0)),0))</f>
        <v/>
      </c>
      <c r="L364" s="107" t="str">
        <f>IF(A364="","",J364-K364)</f>
        <v/>
      </c>
      <c r="M364" s="107" t="str">
        <f>IF(A364="","",IF(I364&gt;I363,M363-L364,M363))</f>
        <v/>
      </c>
      <c r="N364" s="107" t="str">
        <f>IF(A364="","",C364+J364)</f>
        <v/>
      </c>
      <c r="O364" s="107" t="str">
        <f>IF(A364="","",H364+M364)</f>
        <v/>
      </c>
      <c r="P364" s="107" t="str">
        <f>IF(A364="","",CHOOSE(計算過程!$B$72,ROUND(F363*計算過程!$B$32/計算過程!$B$6,0),ROUNDDOWN(F363*計算過程!$B$32/計算過程!$B$6,0),ROUNDUP(F363*計算過程!$B$32/計算過程!$B$6,0)))</f>
        <v/>
      </c>
      <c r="Q364" s="107" t="str">
        <f>IF(A364="","",CHOOSE(計算過程!$B$72,ROUND(G363*計算過程!$B$33/計算過程!$B$6,0),ROUNDDOWN(G363*計算過程!$B$33/計算過程!$B$6,0),ROUNDUP(G363*計算過程!$B$33/計算過程!$B$6,0)))</f>
        <v/>
      </c>
    </row>
    <row r="365" spans="1:17">
      <c r="A365" s="106" t="str">
        <f>IF(OR(計算過程!$B$98="",ROWS($A$8:A365)&gt;計算過程!$B$71),"",ROWS($A$8:A365))</f>
        <v/>
      </c>
      <c r="B365" s="108" t="str">
        <f>IF(A365="","",EDATE(計算過程!$B$98,A365-1))</f>
        <v/>
      </c>
      <c r="C365" s="107" t="str">
        <f>IF(A365="","",IF(A365=計算過程!$B$71,D365+F364+G364,計算過程!$B$78))</f>
        <v/>
      </c>
      <c r="D365" s="107" t="str">
        <f>IF(A365="","",P365+Q365)</f>
        <v/>
      </c>
      <c r="E365" s="107" t="str">
        <f>IF(A365="","",C365-D365)</f>
        <v/>
      </c>
      <c r="F365" s="107" t="str">
        <f>IF(A365="","",IF(A365=計算過程!$B$71,0,MAX(0,F364-(計算過程!$B$76-P365))))</f>
        <v/>
      </c>
      <c r="G365" s="107" t="str">
        <f>IF(A365="","",IF(A365=計算過程!$B$71,0,MAX(0,G364-(計算過程!$B$77-Q365))))</f>
        <v/>
      </c>
      <c r="H365" s="107" t="str">
        <f>IF(A365="","",F365+G365)</f>
        <v/>
      </c>
      <c r="I365" s="106" t="str">
        <f>IF(A365="","",IF(AND(OR(MONTH(B365)=6,MONTH(B365)=12),I364&lt;計算過程!$B$69),I364+1,I364))</f>
        <v/>
      </c>
      <c r="J365" s="107" t="str">
        <f>IF(A365="","",IF(I365&gt;I364,IF(I365=計算過程!$B$69,M364+K365,計算過程!$B$81),0))</f>
        <v/>
      </c>
      <c r="K365" s="107" t="str">
        <f>IF(A365="","",IF(I365&gt;I364,CHOOSE(計算過程!$B$72,ROUND(M364*計算過程!$B$79,0),ROUNDDOWN(M364*計算過程!$B$79,0),ROUNDUP(M364*計算過程!$B$79,0)),0))</f>
        <v/>
      </c>
      <c r="L365" s="107" t="str">
        <f>IF(A365="","",J365-K365)</f>
        <v/>
      </c>
      <c r="M365" s="107" t="str">
        <f>IF(A365="","",IF(I365&gt;I364,M364-L365,M364))</f>
        <v/>
      </c>
      <c r="N365" s="107" t="str">
        <f>IF(A365="","",C365+J365)</f>
        <v/>
      </c>
      <c r="O365" s="107" t="str">
        <f>IF(A365="","",H365+M365)</f>
        <v/>
      </c>
      <c r="P365" s="107" t="str">
        <f>IF(A365="","",CHOOSE(計算過程!$B$72,ROUND(F364*計算過程!$B$32/計算過程!$B$6,0),ROUNDDOWN(F364*計算過程!$B$32/計算過程!$B$6,0),ROUNDUP(F364*計算過程!$B$32/計算過程!$B$6,0)))</f>
        <v/>
      </c>
      <c r="Q365" s="107" t="str">
        <f>IF(A365="","",CHOOSE(計算過程!$B$72,ROUND(G364*計算過程!$B$33/計算過程!$B$6,0),ROUNDDOWN(G364*計算過程!$B$33/計算過程!$B$6,0),ROUNDUP(G364*計算過程!$B$33/計算過程!$B$6,0)))</f>
        <v/>
      </c>
    </row>
    <row r="366" spans="1:17">
      <c r="A366" s="106" t="str">
        <f>IF(OR(計算過程!$B$98="",ROWS($A$8:A366)&gt;計算過程!$B$71),"",ROWS($A$8:A366))</f>
        <v/>
      </c>
      <c r="B366" s="108" t="str">
        <f>IF(A366="","",EDATE(計算過程!$B$98,A366-1))</f>
        <v/>
      </c>
      <c r="C366" s="107" t="str">
        <f>IF(A366="","",IF(A366=計算過程!$B$71,D366+F365+G365,計算過程!$B$78))</f>
        <v/>
      </c>
      <c r="D366" s="107" t="str">
        <f>IF(A366="","",P366+Q366)</f>
        <v/>
      </c>
      <c r="E366" s="107" t="str">
        <f>IF(A366="","",C366-D366)</f>
        <v/>
      </c>
      <c r="F366" s="107" t="str">
        <f>IF(A366="","",IF(A366=計算過程!$B$71,0,MAX(0,F365-(計算過程!$B$76-P366))))</f>
        <v/>
      </c>
      <c r="G366" s="107" t="str">
        <f>IF(A366="","",IF(A366=計算過程!$B$71,0,MAX(0,G365-(計算過程!$B$77-Q366))))</f>
        <v/>
      </c>
      <c r="H366" s="107" t="str">
        <f>IF(A366="","",F366+G366)</f>
        <v/>
      </c>
      <c r="I366" s="106" t="str">
        <f>IF(A366="","",IF(AND(OR(MONTH(B366)=6,MONTH(B366)=12),I365&lt;計算過程!$B$69),I365+1,I365))</f>
        <v/>
      </c>
      <c r="J366" s="107" t="str">
        <f>IF(A366="","",IF(I366&gt;I365,IF(I366=計算過程!$B$69,M365+K366,計算過程!$B$81),0))</f>
        <v/>
      </c>
      <c r="K366" s="107" t="str">
        <f>IF(A366="","",IF(I366&gt;I365,CHOOSE(計算過程!$B$72,ROUND(M365*計算過程!$B$79,0),ROUNDDOWN(M365*計算過程!$B$79,0),ROUNDUP(M365*計算過程!$B$79,0)),0))</f>
        <v/>
      </c>
      <c r="L366" s="107" t="str">
        <f>IF(A366="","",J366-K366)</f>
        <v/>
      </c>
      <c r="M366" s="107" t="str">
        <f>IF(A366="","",IF(I366&gt;I365,M365-L366,M365))</f>
        <v/>
      </c>
      <c r="N366" s="107" t="str">
        <f>IF(A366="","",C366+J366)</f>
        <v/>
      </c>
      <c r="O366" s="107" t="str">
        <f>IF(A366="","",H366+M366)</f>
        <v/>
      </c>
      <c r="P366" s="107" t="str">
        <f>IF(A366="","",CHOOSE(計算過程!$B$72,ROUND(F365*計算過程!$B$32/計算過程!$B$6,0),ROUNDDOWN(F365*計算過程!$B$32/計算過程!$B$6,0),ROUNDUP(F365*計算過程!$B$32/計算過程!$B$6,0)))</f>
        <v/>
      </c>
      <c r="Q366" s="107" t="str">
        <f>IF(A366="","",CHOOSE(計算過程!$B$72,ROUND(G365*計算過程!$B$33/計算過程!$B$6,0),ROUNDDOWN(G365*計算過程!$B$33/計算過程!$B$6,0),ROUNDUP(G365*計算過程!$B$33/計算過程!$B$6,0)))</f>
        <v/>
      </c>
    </row>
    <row r="367" spans="1:17">
      <c r="A367" s="106" t="str">
        <f>IF(OR(計算過程!$B$98="",ROWS($A$8:A367)&gt;計算過程!$B$71),"",ROWS($A$8:A367))</f>
        <v/>
      </c>
      <c r="B367" s="108" t="str">
        <f>IF(A367="","",EDATE(計算過程!$B$98,A367-1))</f>
        <v/>
      </c>
      <c r="C367" s="107" t="str">
        <f>IF(A367="","",IF(A367=計算過程!$B$71,D367+F366+G366,計算過程!$B$78))</f>
        <v/>
      </c>
      <c r="D367" s="107" t="str">
        <f>IF(A367="","",P367+Q367)</f>
        <v/>
      </c>
      <c r="E367" s="107" t="str">
        <f>IF(A367="","",C367-D367)</f>
        <v/>
      </c>
      <c r="F367" s="107" t="str">
        <f>IF(A367="","",IF(A367=計算過程!$B$71,0,MAX(0,F366-(計算過程!$B$76-P367))))</f>
        <v/>
      </c>
      <c r="G367" s="107" t="str">
        <f>IF(A367="","",IF(A367=計算過程!$B$71,0,MAX(0,G366-(計算過程!$B$77-Q367))))</f>
        <v/>
      </c>
      <c r="H367" s="107" t="str">
        <f>IF(A367="","",F367+G367)</f>
        <v/>
      </c>
      <c r="I367" s="106" t="str">
        <f>IF(A367="","",IF(AND(OR(MONTH(B367)=6,MONTH(B367)=12),I366&lt;計算過程!$B$69),I366+1,I366))</f>
        <v/>
      </c>
      <c r="J367" s="107" t="str">
        <f>IF(A367="","",IF(I367&gt;I366,IF(I367=計算過程!$B$69,M366+K367,計算過程!$B$81),0))</f>
        <v/>
      </c>
      <c r="K367" s="107" t="str">
        <f>IF(A367="","",IF(I367&gt;I366,CHOOSE(計算過程!$B$72,ROUND(M366*計算過程!$B$79,0),ROUNDDOWN(M366*計算過程!$B$79,0),ROUNDUP(M366*計算過程!$B$79,0)),0))</f>
        <v/>
      </c>
      <c r="L367" s="107" t="str">
        <f>IF(A367="","",J367-K367)</f>
        <v/>
      </c>
      <c r="M367" s="107" t="str">
        <f>IF(A367="","",IF(I367&gt;I366,M366-L367,M366))</f>
        <v/>
      </c>
      <c r="N367" s="107" t="str">
        <f>IF(A367="","",C367+J367)</f>
        <v/>
      </c>
      <c r="O367" s="107" t="str">
        <f>IF(A367="","",H367+M367)</f>
        <v/>
      </c>
      <c r="P367" s="107" t="str">
        <f>IF(A367="","",CHOOSE(計算過程!$B$72,ROUND(F366*計算過程!$B$32/計算過程!$B$6,0),ROUNDDOWN(F366*計算過程!$B$32/計算過程!$B$6,0),ROUNDUP(F366*計算過程!$B$32/計算過程!$B$6,0)))</f>
        <v/>
      </c>
      <c r="Q367" s="107" t="str">
        <f>IF(A367="","",CHOOSE(計算過程!$B$72,ROUND(G366*計算過程!$B$33/計算過程!$B$6,0),ROUNDDOWN(G366*計算過程!$B$33/計算過程!$B$6,0),ROUNDUP(G366*計算過程!$B$33/計算過程!$B$6,0)))</f>
        <v/>
      </c>
    </row>
  </sheetData>
  <sheetProtection sheet="1" objects="1" scenarios="1"/>
  <phoneticPr fontId="46"/>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DC3E6"/>
  </sheetPr>
  <dimension ref="B1:L70"/>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8.5546875" defaultRowHeight="13.2"/>
  <cols>
    <col min="1" max="1" width="3" customWidth="1"/>
    <col min="2" max="2" width="14" customWidth="1"/>
    <col min="3" max="15" width="11" customWidth="1"/>
  </cols>
  <sheetData>
    <row r="1" spans="2:12" ht="16.8">
      <c r="B1" s="100" t="s">
        <v>264</v>
      </c>
    </row>
    <row r="2" spans="2:12">
      <c r="B2" s="22" t="s">
        <v>265</v>
      </c>
    </row>
    <row r="4" spans="2:12">
      <c r="B4" s="109" t="str">
        <f>"普通貸付・特別貸付(年利 "&amp;TEXT(マスタ!$B$4,"0.00%")&amp;")"</f>
        <v>普通貸付・特別貸付(年利 1.26%)</v>
      </c>
    </row>
    <row r="5" spans="2:12" ht="24">
      <c r="B5" s="105" t="s">
        <v>266</v>
      </c>
      <c r="C5" s="110">
        <v>12</v>
      </c>
      <c r="D5" s="110">
        <v>24</v>
      </c>
      <c r="E5" s="110">
        <v>36</v>
      </c>
      <c r="F5" s="110">
        <v>48</v>
      </c>
      <c r="G5" s="110">
        <v>60</v>
      </c>
      <c r="H5" s="110">
        <v>72</v>
      </c>
      <c r="I5" s="110">
        <v>84</v>
      </c>
      <c r="J5" s="110">
        <v>96</v>
      </c>
      <c r="K5" s="110">
        <v>108</v>
      </c>
      <c r="L5" s="110">
        <v>120</v>
      </c>
    </row>
    <row r="6" spans="2:12">
      <c r="B6" s="111">
        <v>10</v>
      </c>
      <c r="C6" s="107">
        <f>ROUND(PMT(マスタ!$B$4/計算過程!$B$6,C$5,-$B6*計算過程!$B$5),0)</f>
        <v>8390</v>
      </c>
      <c r="D6" s="107">
        <f>ROUND(PMT(マスタ!$B$4/計算過程!$B$6,D$5,-$B6*計算過程!$B$5),0)</f>
        <v>4222</v>
      </c>
      <c r="E6" s="107">
        <f>ROUND(PMT(マスタ!$B$4/計算過程!$B$6,E$5,-$B6*計算過程!$B$5),0)</f>
        <v>2832</v>
      </c>
      <c r="F6" s="107">
        <f>ROUND(PMT(マスタ!$B$4/計算過程!$B$6,F$5,-$B6*計算過程!$B$5),0)</f>
        <v>2137</v>
      </c>
      <c r="G6" s="107">
        <f>ROUND(PMT(マスタ!$B$4/計算過程!$B$6,G$5,-$B6*計算過程!$B$5),0)</f>
        <v>1721</v>
      </c>
      <c r="H6" s="107">
        <f>ROUND(PMT(マスタ!$B$4/計算過程!$B$6,H$5,-$B6*計算過程!$B$5),0)</f>
        <v>1443</v>
      </c>
      <c r="I6" s="107">
        <f>ROUND(PMT(マスタ!$B$4/計算過程!$B$6,I$5,-$B6*計算過程!$B$5),0)</f>
        <v>1244</v>
      </c>
      <c r="J6" s="107">
        <f>ROUND(PMT(マスタ!$B$4/計算過程!$B$6,J$5,-$B6*計算過程!$B$5),0)</f>
        <v>1096</v>
      </c>
      <c r="K6" s="107">
        <f>ROUND(PMT(マスタ!$B$4/計算過程!$B$6,K$5,-$B6*計算過程!$B$5),0)</f>
        <v>980</v>
      </c>
      <c r="L6" s="107">
        <f>ROUND(PMT(マスタ!$B$4/計算過程!$B$6,L$5,-$B6*計算過程!$B$5),0)</f>
        <v>887</v>
      </c>
    </row>
    <row r="7" spans="2:12">
      <c r="B7" s="111">
        <v>20</v>
      </c>
      <c r="C7" s="107">
        <f>ROUND(PMT(マスタ!$B$4/計算過程!$B$6,C$5,-$B7*計算過程!$B$5),0)</f>
        <v>16781</v>
      </c>
      <c r="D7" s="107">
        <f>ROUND(PMT(マスタ!$B$4/計算過程!$B$6,D$5,-$B7*計算過程!$B$5),0)</f>
        <v>8443</v>
      </c>
      <c r="E7" s="107">
        <f>ROUND(PMT(マスタ!$B$4/計算過程!$B$6,E$5,-$B7*計算過程!$B$5),0)</f>
        <v>5664</v>
      </c>
      <c r="F7" s="107">
        <f>ROUND(PMT(マスタ!$B$4/計算過程!$B$6,F$5,-$B7*計算過程!$B$5),0)</f>
        <v>4275</v>
      </c>
      <c r="G7" s="107">
        <f>ROUND(PMT(マスタ!$B$4/計算過程!$B$6,G$5,-$B7*計算過程!$B$5),0)</f>
        <v>3441</v>
      </c>
      <c r="H7" s="107">
        <f>ROUND(PMT(マスタ!$B$4/計算過程!$B$6,H$5,-$B7*計算過程!$B$5),0)</f>
        <v>2886</v>
      </c>
      <c r="I7" s="107">
        <f>ROUND(PMT(マスタ!$B$4/計算過程!$B$6,I$5,-$B7*計算過程!$B$5),0)</f>
        <v>2489</v>
      </c>
      <c r="J7" s="107">
        <f>ROUND(PMT(マスタ!$B$4/計算過程!$B$6,J$5,-$B7*計算過程!$B$5),0)</f>
        <v>2191</v>
      </c>
      <c r="K7" s="107">
        <f>ROUND(PMT(マスタ!$B$4/計算過程!$B$6,K$5,-$B7*計算過程!$B$5),0)</f>
        <v>1960</v>
      </c>
      <c r="L7" s="107">
        <f>ROUND(PMT(マスタ!$B$4/計算過程!$B$6,L$5,-$B7*計算過程!$B$5),0)</f>
        <v>1775</v>
      </c>
    </row>
    <row r="8" spans="2:12">
      <c r="B8" s="111">
        <v>30</v>
      </c>
      <c r="C8" s="107">
        <f>ROUND(PMT(マスタ!$B$4/計算過程!$B$6,C$5,-$B8*計算過程!$B$5),0)</f>
        <v>25171</v>
      </c>
      <c r="D8" s="107">
        <f>ROUND(PMT(マスタ!$B$4/計算過程!$B$6,D$5,-$B8*計算過程!$B$5),0)</f>
        <v>12665</v>
      </c>
      <c r="E8" s="107">
        <f>ROUND(PMT(マスタ!$B$4/計算過程!$B$6,E$5,-$B8*計算過程!$B$5),0)</f>
        <v>8496</v>
      </c>
      <c r="F8" s="107">
        <f>ROUND(PMT(マスタ!$B$4/計算過程!$B$6,F$5,-$B8*計算過程!$B$5),0)</f>
        <v>6412</v>
      </c>
      <c r="G8" s="107">
        <f>ROUND(PMT(マスタ!$B$4/計算過程!$B$6,G$5,-$B8*計算過程!$B$5),0)</f>
        <v>5162</v>
      </c>
      <c r="H8" s="107">
        <f>ROUND(PMT(マスタ!$B$4/計算過程!$B$6,H$5,-$B8*計算過程!$B$5),0)</f>
        <v>4328</v>
      </c>
      <c r="I8" s="107">
        <f>ROUND(PMT(マスタ!$B$4/計算過程!$B$6,I$5,-$B8*計算過程!$B$5),0)</f>
        <v>3733</v>
      </c>
      <c r="J8" s="107">
        <f>ROUND(PMT(マスタ!$B$4/計算過程!$B$6,J$5,-$B8*計算過程!$B$5),0)</f>
        <v>3287</v>
      </c>
      <c r="K8" s="107">
        <f>ROUND(PMT(マスタ!$B$4/計算過程!$B$6,K$5,-$B8*計算過程!$B$5),0)</f>
        <v>2940</v>
      </c>
      <c r="L8" s="107">
        <f>ROUND(PMT(マスタ!$B$4/計算過程!$B$6,L$5,-$B8*計算過程!$B$5),0)</f>
        <v>2662</v>
      </c>
    </row>
    <row r="9" spans="2:12">
      <c r="B9" s="111">
        <v>40</v>
      </c>
      <c r="C9" s="107">
        <f>ROUND(PMT(マスタ!$B$4/計算過程!$B$6,C$5,-$B9*計算過程!$B$5),0)</f>
        <v>33561</v>
      </c>
      <c r="D9" s="107">
        <f>ROUND(PMT(マスタ!$B$4/計算過程!$B$6,D$5,-$B9*計算過程!$B$5),0)</f>
        <v>16886</v>
      </c>
      <c r="E9" s="107">
        <f>ROUND(PMT(マスタ!$B$4/計算過程!$B$6,E$5,-$B9*計算過程!$B$5),0)</f>
        <v>11328</v>
      </c>
      <c r="F9" s="107">
        <f>ROUND(PMT(マスタ!$B$4/計算過程!$B$6,F$5,-$B9*計算過程!$B$5),0)</f>
        <v>8549</v>
      </c>
      <c r="G9" s="107">
        <f>ROUND(PMT(マスタ!$B$4/計算過程!$B$6,G$5,-$B9*計算過程!$B$5),0)</f>
        <v>6882</v>
      </c>
      <c r="H9" s="107">
        <f>ROUND(PMT(マスタ!$B$4/計算過程!$B$6,H$5,-$B9*計算過程!$B$5),0)</f>
        <v>5771</v>
      </c>
      <c r="I9" s="107">
        <f>ROUND(PMT(マスタ!$B$4/計算過程!$B$6,I$5,-$B9*計算過程!$B$5),0)</f>
        <v>4977</v>
      </c>
      <c r="J9" s="107">
        <f>ROUND(PMT(マスタ!$B$4/計算過程!$B$6,J$5,-$B9*計算過程!$B$5),0)</f>
        <v>4382</v>
      </c>
      <c r="K9" s="107">
        <f>ROUND(PMT(マスタ!$B$4/計算過程!$B$6,K$5,-$B9*計算過程!$B$5),0)</f>
        <v>3920</v>
      </c>
      <c r="L9" s="107">
        <f>ROUND(PMT(マスタ!$B$4/計算過程!$B$6,L$5,-$B9*計算過程!$B$5),0)</f>
        <v>3549</v>
      </c>
    </row>
    <row r="10" spans="2:12">
      <c r="B10" s="111">
        <v>50</v>
      </c>
      <c r="C10" s="107">
        <f>ROUND(PMT(マスタ!$B$4/計算過程!$B$6,C$5,-$B10*計算過程!$B$5),0)</f>
        <v>41952</v>
      </c>
      <c r="D10" s="107">
        <f>ROUND(PMT(マスタ!$B$4/計算過程!$B$6,D$5,-$B10*計算過程!$B$5),0)</f>
        <v>21108</v>
      </c>
      <c r="E10" s="107">
        <f>ROUND(PMT(マスタ!$B$4/計算過程!$B$6,E$5,-$B10*計算過程!$B$5),0)</f>
        <v>14160</v>
      </c>
      <c r="F10" s="107">
        <f>ROUND(PMT(マスタ!$B$4/計算過程!$B$6,F$5,-$B10*計算過程!$B$5),0)</f>
        <v>10687</v>
      </c>
      <c r="G10" s="107">
        <f>ROUND(PMT(マスタ!$B$4/計算過程!$B$6,G$5,-$B10*計算過程!$B$5),0)</f>
        <v>8603</v>
      </c>
      <c r="H10" s="107">
        <f>ROUND(PMT(マスタ!$B$4/計算過程!$B$6,H$5,-$B10*計算過程!$B$5),0)</f>
        <v>7214</v>
      </c>
      <c r="I10" s="107">
        <f>ROUND(PMT(マスタ!$B$4/計算過程!$B$6,I$5,-$B10*計算過程!$B$5),0)</f>
        <v>6222</v>
      </c>
      <c r="J10" s="107">
        <f>ROUND(PMT(マスタ!$B$4/計算過程!$B$6,J$5,-$B10*計算過程!$B$5),0)</f>
        <v>5478</v>
      </c>
      <c r="K10" s="107">
        <f>ROUND(PMT(マスタ!$B$4/計算過程!$B$6,K$5,-$B10*計算過程!$B$5),0)</f>
        <v>4900</v>
      </c>
      <c r="L10" s="107">
        <f>ROUND(PMT(マスタ!$B$4/計算過程!$B$6,L$5,-$B10*計算過程!$B$5),0)</f>
        <v>4437</v>
      </c>
    </row>
    <row r="11" spans="2:12">
      <c r="B11" s="111">
        <v>60</v>
      </c>
      <c r="C11" s="107">
        <f>ROUND(PMT(マスタ!$B$4/計算過程!$B$6,C$5,-$B11*計算過程!$B$5),0)</f>
        <v>50342</v>
      </c>
      <c r="D11" s="107">
        <f>ROUND(PMT(マスタ!$B$4/計算過程!$B$6,D$5,-$B11*計算過程!$B$5),0)</f>
        <v>25329</v>
      </c>
      <c r="E11" s="107">
        <f>ROUND(PMT(マスタ!$B$4/計算過程!$B$6,E$5,-$B11*計算過程!$B$5),0)</f>
        <v>16992</v>
      </c>
      <c r="F11" s="107">
        <f>ROUND(PMT(マスタ!$B$4/計算過程!$B$6,F$5,-$B11*計算過程!$B$5),0)</f>
        <v>12824</v>
      </c>
      <c r="G11" s="107">
        <f>ROUND(PMT(マスタ!$B$4/計算過程!$B$6,G$5,-$B11*計算過程!$B$5),0)</f>
        <v>10324</v>
      </c>
      <c r="H11" s="107">
        <f>ROUND(PMT(マスタ!$B$4/計算過程!$B$6,H$5,-$B11*計算過程!$B$5),0)</f>
        <v>8657</v>
      </c>
      <c r="I11" s="107">
        <f>ROUND(PMT(マスタ!$B$4/計算過程!$B$6,I$5,-$B11*計算過程!$B$5),0)</f>
        <v>7466</v>
      </c>
      <c r="J11" s="107">
        <f>ROUND(PMT(マスタ!$B$4/計算過程!$B$6,J$5,-$B11*計算過程!$B$5),0)</f>
        <v>6574</v>
      </c>
      <c r="K11" s="107">
        <f>ROUND(PMT(マスタ!$B$4/計算過程!$B$6,K$5,-$B11*計算過程!$B$5),0)</f>
        <v>5879</v>
      </c>
      <c r="L11" s="107">
        <f>ROUND(PMT(マスタ!$B$4/計算過程!$B$6,L$5,-$B11*計算過程!$B$5),0)</f>
        <v>5324</v>
      </c>
    </row>
    <row r="12" spans="2:12">
      <c r="B12" s="111">
        <v>70</v>
      </c>
      <c r="C12" s="107">
        <f>ROUND(PMT(マスタ!$B$4/計算過程!$B$6,C$5,-$B12*計算過程!$B$5),0)</f>
        <v>58732</v>
      </c>
      <c r="D12" s="107">
        <f>ROUND(PMT(マスタ!$B$4/計算過程!$B$6,D$5,-$B12*計算過程!$B$5),0)</f>
        <v>29551</v>
      </c>
      <c r="E12" s="107">
        <f>ROUND(PMT(マスタ!$B$4/計算過程!$B$6,E$5,-$B12*計算過程!$B$5),0)</f>
        <v>19824</v>
      </c>
      <c r="F12" s="107">
        <f>ROUND(PMT(マスタ!$B$4/計算過程!$B$6,F$5,-$B12*計算過程!$B$5),0)</f>
        <v>14962</v>
      </c>
      <c r="G12" s="107">
        <f>ROUND(PMT(マスタ!$B$4/計算過程!$B$6,G$5,-$B12*計算過程!$B$5),0)</f>
        <v>12044</v>
      </c>
      <c r="H12" s="107">
        <f>ROUND(PMT(マスタ!$B$4/計算過程!$B$6,H$5,-$B12*計算過程!$B$5),0)</f>
        <v>10099</v>
      </c>
      <c r="I12" s="107">
        <f>ROUND(PMT(マスタ!$B$4/計算過程!$B$6,I$5,-$B12*計算過程!$B$5),0)</f>
        <v>8711</v>
      </c>
      <c r="J12" s="107">
        <f>ROUND(PMT(マスタ!$B$4/計算過程!$B$6,J$5,-$B12*計算過程!$B$5),0)</f>
        <v>7669</v>
      </c>
      <c r="K12" s="107">
        <f>ROUND(PMT(マスタ!$B$4/計算過程!$B$6,K$5,-$B12*計算過程!$B$5),0)</f>
        <v>6859</v>
      </c>
      <c r="L12" s="107">
        <f>ROUND(PMT(マスタ!$B$4/計算過程!$B$6,L$5,-$B12*計算過程!$B$5),0)</f>
        <v>6212</v>
      </c>
    </row>
    <row r="13" spans="2:12">
      <c r="B13" s="111">
        <v>80</v>
      </c>
      <c r="C13" s="107">
        <f>ROUND(PMT(マスタ!$B$4/計算過程!$B$6,C$5,-$B13*計算過程!$B$5),0)</f>
        <v>67123</v>
      </c>
      <c r="D13" s="107">
        <f>ROUND(PMT(マスタ!$B$4/計算過程!$B$6,D$5,-$B13*計算過程!$B$5),0)</f>
        <v>33773</v>
      </c>
      <c r="E13" s="107">
        <f>ROUND(PMT(マスタ!$B$4/計算過程!$B$6,E$5,-$B13*計算過程!$B$5),0)</f>
        <v>22657</v>
      </c>
      <c r="F13" s="107">
        <f>ROUND(PMT(マスタ!$B$4/計算過程!$B$6,F$5,-$B13*計算過程!$B$5),0)</f>
        <v>17099</v>
      </c>
      <c r="G13" s="107">
        <f>ROUND(PMT(マスタ!$B$4/計算過程!$B$6,G$5,-$B13*計算過程!$B$5),0)</f>
        <v>13765</v>
      </c>
      <c r="H13" s="107">
        <f>ROUND(PMT(マスタ!$B$4/計算過程!$B$6,H$5,-$B13*計算過程!$B$5),0)</f>
        <v>11542</v>
      </c>
      <c r="I13" s="107">
        <f>ROUND(PMT(マスタ!$B$4/計算過程!$B$6,I$5,-$B13*計算過程!$B$5),0)</f>
        <v>9955</v>
      </c>
      <c r="J13" s="107">
        <f>ROUND(PMT(マスタ!$B$4/計算過程!$B$6,J$5,-$B13*計算過程!$B$5),0)</f>
        <v>8765</v>
      </c>
      <c r="K13" s="107">
        <f>ROUND(PMT(マスタ!$B$4/計算過程!$B$6,K$5,-$B13*計算過程!$B$5),0)</f>
        <v>7839</v>
      </c>
      <c r="L13" s="107">
        <f>ROUND(PMT(マスタ!$B$4/計算過程!$B$6,L$5,-$B13*計算過程!$B$5),0)</f>
        <v>7099</v>
      </c>
    </row>
    <row r="14" spans="2:12">
      <c r="B14" s="111">
        <v>90</v>
      </c>
      <c r="C14" s="107">
        <f>ROUND(PMT(マスタ!$B$4/計算過程!$B$6,C$5,-$B14*計算過程!$B$5),0)</f>
        <v>75513</v>
      </c>
      <c r="D14" s="107">
        <f>ROUND(PMT(マスタ!$B$4/計算過程!$B$6,D$5,-$B14*計算過程!$B$5),0)</f>
        <v>37994</v>
      </c>
      <c r="E14" s="107">
        <f>ROUND(PMT(マスタ!$B$4/計算過程!$B$6,E$5,-$B14*計算過程!$B$5),0)</f>
        <v>25489</v>
      </c>
      <c r="F14" s="107">
        <f>ROUND(PMT(マスタ!$B$4/計算過程!$B$6,F$5,-$B14*計算過程!$B$5),0)</f>
        <v>19236</v>
      </c>
      <c r="G14" s="107">
        <f>ROUND(PMT(マスタ!$B$4/計算過程!$B$6,G$5,-$B14*計算過程!$B$5),0)</f>
        <v>15485</v>
      </c>
      <c r="H14" s="107">
        <f>ROUND(PMT(マスタ!$B$4/計算過程!$B$6,H$5,-$B14*計算過程!$B$5),0)</f>
        <v>12985</v>
      </c>
      <c r="I14" s="107">
        <f>ROUND(PMT(マスタ!$B$4/計算過程!$B$6,I$5,-$B14*計算過程!$B$5),0)</f>
        <v>11199</v>
      </c>
      <c r="J14" s="107">
        <f>ROUND(PMT(マスタ!$B$4/計算過程!$B$6,J$5,-$B14*計算過程!$B$5),0)</f>
        <v>9860</v>
      </c>
      <c r="K14" s="107">
        <f>ROUND(PMT(マスタ!$B$4/計算過程!$B$6,K$5,-$B14*計算過程!$B$5),0)</f>
        <v>8819</v>
      </c>
      <c r="L14" s="107">
        <f>ROUND(PMT(マスタ!$B$4/計算過程!$B$6,L$5,-$B14*計算過程!$B$5),0)</f>
        <v>7986</v>
      </c>
    </row>
    <row r="15" spans="2:12">
      <c r="B15" s="111">
        <v>100</v>
      </c>
      <c r="C15" s="107">
        <f>ROUND(PMT(マスタ!$B$4/計算過程!$B$6,C$5,-$B15*計算過程!$B$5),0)</f>
        <v>83903</v>
      </c>
      <c r="D15" s="107">
        <f>ROUND(PMT(マスタ!$B$4/計算過程!$B$6,D$5,-$B15*計算過程!$B$5),0)</f>
        <v>42216</v>
      </c>
      <c r="E15" s="107">
        <f>ROUND(PMT(マスタ!$B$4/計算過程!$B$6,E$5,-$B15*計算過程!$B$5),0)</f>
        <v>28321</v>
      </c>
      <c r="F15" s="107">
        <f>ROUND(PMT(マスタ!$B$4/計算過程!$B$6,F$5,-$B15*計算過程!$B$5),0)</f>
        <v>21374</v>
      </c>
      <c r="G15" s="107">
        <f>ROUND(PMT(マスタ!$B$4/計算過程!$B$6,G$5,-$B15*計算過程!$B$5),0)</f>
        <v>17206</v>
      </c>
      <c r="H15" s="107">
        <f>ROUND(PMT(マスタ!$B$4/計算過程!$B$6,H$5,-$B15*計算過程!$B$5),0)</f>
        <v>14428</v>
      </c>
      <c r="I15" s="107">
        <f>ROUND(PMT(マスタ!$B$4/計算過程!$B$6,I$5,-$B15*計算過程!$B$5),0)</f>
        <v>12444</v>
      </c>
      <c r="J15" s="107">
        <f>ROUND(PMT(マスタ!$B$4/計算過程!$B$6,J$5,-$B15*計算過程!$B$5),0)</f>
        <v>10956</v>
      </c>
      <c r="K15" s="107">
        <f>ROUND(PMT(マスタ!$B$4/計算過程!$B$6,K$5,-$B15*計算過程!$B$5),0)</f>
        <v>9799</v>
      </c>
      <c r="L15" s="107">
        <f>ROUND(PMT(マスタ!$B$4/計算過程!$B$6,L$5,-$B15*計算過程!$B$5),0)</f>
        <v>8874</v>
      </c>
    </row>
    <row r="16" spans="2:12">
      <c r="B16" s="111">
        <v>110</v>
      </c>
      <c r="C16" s="107">
        <f>ROUND(PMT(マスタ!$B$4/計算過程!$B$6,C$5,-$B16*計算過程!$B$5),0)</f>
        <v>92293</v>
      </c>
      <c r="D16" s="107">
        <f>ROUND(PMT(マスタ!$B$4/計算過程!$B$6,D$5,-$B16*計算過程!$B$5),0)</f>
        <v>46437</v>
      </c>
      <c r="E16" s="107">
        <f>ROUND(PMT(マスタ!$B$4/計算過程!$B$6,E$5,-$B16*計算過程!$B$5),0)</f>
        <v>31153</v>
      </c>
      <c r="F16" s="107">
        <f>ROUND(PMT(マスタ!$B$4/計算過程!$B$6,F$5,-$B16*計算過程!$B$5),0)</f>
        <v>23511</v>
      </c>
      <c r="G16" s="107">
        <f>ROUND(PMT(マスタ!$B$4/計算過程!$B$6,G$5,-$B16*計算過程!$B$5),0)</f>
        <v>18927</v>
      </c>
      <c r="H16" s="107">
        <f>ROUND(PMT(マスタ!$B$4/計算過程!$B$6,H$5,-$B16*計算過程!$B$5),0)</f>
        <v>15871</v>
      </c>
      <c r="I16" s="107">
        <f>ROUND(PMT(マスタ!$B$4/計算過程!$B$6,I$5,-$B16*計算過程!$B$5),0)</f>
        <v>13688</v>
      </c>
      <c r="J16" s="107">
        <f>ROUND(PMT(マスタ!$B$4/計算過程!$B$6,J$5,-$B16*計算過程!$B$5),0)</f>
        <v>12052</v>
      </c>
      <c r="K16" s="107">
        <f>ROUND(PMT(マスタ!$B$4/計算過程!$B$6,K$5,-$B16*計算過程!$B$5),0)</f>
        <v>10779</v>
      </c>
      <c r="L16" s="107">
        <f>ROUND(PMT(マスタ!$B$4/計算過程!$B$6,L$5,-$B16*計算過程!$B$5),0)</f>
        <v>9761</v>
      </c>
    </row>
    <row r="17" spans="2:12">
      <c r="B17" s="111">
        <v>120</v>
      </c>
      <c r="C17" s="107">
        <f>ROUND(PMT(マスタ!$B$4/計算過程!$B$6,C$5,-$B17*計算過程!$B$5),0)</f>
        <v>100684</v>
      </c>
      <c r="D17" s="107">
        <f>ROUND(PMT(マスタ!$B$4/計算過程!$B$6,D$5,-$B17*計算過程!$B$5),0)</f>
        <v>50659</v>
      </c>
      <c r="E17" s="107">
        <f>ROUND(PMT(マスタ!$B$4/計算過程!$B$6,E$5,-$B17*計算過程!$B$5),0)</f>
        <v>33985</v>
      </c>
      <c r="F17" s="107">
        <f>ROUND(PMT(マスタ!$B$4/計算過程!$B$6,F$5,-$B17*計算過程!$B$5),0)</f>
        <v>25648</v>
      </c>
      <c r="G17" s="107">
        <f>ROUND(PMT(マスタ!$B$4/計算過程!$B$6,G$5,-$B17*計算過程!$B$5),0)</f>
        <v>20647</v>
      </c>
      <c r="H17" s="107">
        <f>ROUND(PMT(マスタ!$B$4/計算過程!$B$6,H$5,-$B17*計算過程!$B$5),0)</f>
        <v>17313</v>
      </c>
      <c r="I17" s="107">
        <f>ROUND(PMT(マスタ!$B$4/計算過程!$B$6,I$5,-$B17*計算過程!$B$5),0)</f>
        <v>14932</v>
      </c>
      <c r="J17" s="107">
        <f>ROUND(PMT(マスタ!$B$4/計算過程!$B$6,J$5,-$B17*計算過程!$B$5),0)</f>
        <v>13147</v>
      </c>
      <c r="K17" s="107">
        <f>ROUND(PMT(マスタ!$B$4/計算過程!$B$6,K$5,-$B17*計算過程!$B$5),0)</f>
        <v>11759</v>
      </c>
      <c r="L17" s="107">
        <f>ROUND(PMT(マスタ!$B$4/計算過程!$B$6,L$5,-$B17*計算過程!$B$5),0)</f>
        <v>10648</v>
      </c>
    </row>
    <row r="18" spans="2:12">
      <c r="B18" s="111">
        <v>130</v>
      </c>
      <c r="C18" s="107">
        <f>ROUND(PMT(マスタ!$B$4/計算過程!$B$6,C$5,-$B18*計算過程!$B$5),0)</f>
        <v>109074</v>
      </c>
      <c r="D18" s="107">
        <f>ROUND(PMT(マスタ!$B$4/計算過程!$B$6,D$5,-$B18*計算過程!$B$5),0)</f>
        <v>54880</v>
      </c>
      <c r="E18" s="107">
        <f>ROUND(PMT(マスタ!$B$4/計算過程!$B$6,E$5,-$B18*計算過程!$B$5),0)</f>
        <v>36817</v>
      </c>
      <c r="F18" s="107">
        <f>ROUND(PMT(マスタ!$B$4/計算過程!$B$6,F$5,-$B18*計算過程!$B$5),0)</f>
        <v>27786</v>
      </c>
      <c r="G18" s="107">
        <f>ROUND(PMT(マスタ!$B$4/計算過程!$B$6,G$5,-$B18*計算過程!$B$5),0)</f>
        <v>22368</v>
      </c>
      <c r="H18" s="107">
        <f>ROUND(PMT(マスタ!$B$4/計算過程!$B$6,H$5,-$B18*計算過程!$B$5),0)</f>
        <v>18756</v>
      </c>
      <c r="I18" s="107">
        <f>ROUND(PMT(マスタ!$B$4/計算過程!$B$6,I$5,-$B18*計算過程!$B$5),0)</f>
        <v>16177</v>
      </c>
      <c r="J18" s="107">
        <f>ROUND(PMT(マスタ!$B$4/計算過程!$B$6,J$5,-$B18*計算過程!$B$5),0)</f>
        <v>14243</v>
      </c>
      <c r="K18" s="107">
        <f>ROUND(PMT(マスタ!$B$4/計算過程!$B$6,K$5,-$B18*計算過程!$B$5),0)</f>
        <v>12739</v>
      </c>
      <c r="L18" s="107">
        <f>ROUND(PMT(マスタ!$B$4/計算過程!$B$6,L$5,-$B18*計算過程!$B$5),0)</f>
        <v>11536</v>
      </c>
    </row>
    <row r="19" spans="2:12">
      <c r="B19" s="111">
        <v>140</v>
      </c>
      <c r="C19" s="107">
        <f>ROUND(PMT(マスタ!$B$4/計算過程!$B$6,C$5,-$B19*計算過程!$B$5),0)</f>
        <v>117464</v>
      </c>
      <c r="D19" s="107">
        <f>ROUND(PMT(マスタ!$B$4/計算過程!$B$6,D$5,-$B19*計算過程!$B$5),0)</f>
        <v>59102</v>
      </c>
      <c r="E19" s="107">
        <f>ROUND(PMT(マスタ!$B$4/計算過程!$B$6,E$5,-$B19*計算過程!$B$5),0)</f>
        <v>39649</v>
      </c>
      <c r="F19" s="107">
        <f>ROUND(PMT(マスタ!$B$4/計算過程!$B$6,F$5,-$B19*計算過程!$B$5),0)</f>
        <v>29923</v>
      </c>
      <c r="G19" s="107">
        <f>ROUND(PMT(マスタ!$B$4/計算過程!$B$6,G$5,-$B19*計算過程!$B$5),0)</f>
        <v>24088</v>
      </c>
      <c r="H19" s="107">
        <f>ROUND(PMT(マスタ!$B$4/計算過程!$B$6,H$5,-$B19*計算過程!$B$5),0)</f>
        <v>20199</v>
      </c>
      <c r="I19" s="107">
        <f>ROUND(PMT(マスタ!$B$4/計算過程!$B$6,I$5,-$B19*計算過程!$B$5),0)</f>
        <v>17421</v>
      </c>
      <c r="J19" s="107">
        <f>ROUND(PMT(マスタ!$B$4/計算過程!$B$6,J$5,-$B19*計算過程!$B$5),0)</f>
        <v>15338</v>
      </c>
      <c r="K19" s="107">
        <f>ROUND(PMT(マスタ!$B$4/計算過程!$B$6,K$5,-$B19*計算過程!$B$5),0)</f>
        <v>13719</v>
      </c>
      <c r="L19" s="107">
        <f>ROUND(PMT(マスタ!$B$4/計算過程!$B$6,L$5,-$B19*計算過程!$B$5),0)</f>
        <v>12423</v>
      </c>
    </row>
    <row r="20" spans="2:12">
      <c r="B20" s="111">
        <v>150</v>
      </c>
      <c r="C20" s="107">
        <f>ROUND(PMT(マスタ!$B$4/計算過程!$B$6,C$5,-$B20*計算過程!$B$5),0)</f>
        <v>125855</v>
      </c>
      <c r="D20" s="107">
        <f>ROUND(PMT(マスタ!$B$4/計算過程!$B$6,D$5,-$B20*計算過程!$B$5),0)</f>
        <v>63324</v>
      </c>
      <c r="E20" s="107">
        <f>ROUND(PMT(マスタ!$B$4/計算過程!$B$6,E$5,-$B20*計算過程!$B$5),0)</f>
        <v>42481</v>
      </c>
      <c r="F20" s="107">
        <f>ROUND(PMT(マスタ!$B$4/計算過程!$B$6,F$5,-$B20*計算過程!$B$5),0)</f>
        <v>32061</v>
      </c>
      <c r="G20" s="107">
        <f>ROUND(PMT(マスタ!$B$4/計算過程!$B$6,G$5,-$B20*計算過程!$B$5),0)</f>
        <v>25809</v>
      </c>
      <c r="H20" s="107">
        <f>ROUND(PMT(マスタ!$B$4/計算過程!$B$6,H$5,-$B20*計算過程!$B$5),0)</f>
        <v>21642</v>
      </c>
      <c r="I20" s="107">
        <f>ROUND(PMT(マスタ!$B$4/計算過程!$B$6,I$5,-$B20*計算過程!$B$5),0)</f>
        <v>18666</v>
      </c>
      <c r="J20" s="107">
        <f>ROUND(PMT(マスタ!$B$4/計算過程!$B$6,J$5,-$B20*計算過程!$B$5),0)</f>
        <v>16434</v>
      </c>
      <c r="K20" s="107">
        <f>ROUND(PMT(マスタ!$B$4/計算過程!$B$6,K$5,-$B20*計算過程!$B$5),0)</f>
        <v>14699</v>
      </c>
      <c r="L20" s="107">
        <f>ROUND(PMT(マスタ!$B$4/計算過程!$B$6,L$5,-$B20*計算過程!$B$5),0)</f>
        <v>13311</v>
      </c>
    </row>
    <row r="21" spans="2:12">
      <c r="B21" s="111">
        <v>160</v>
      </c>
      <c r="C21" s="107">
        <f>ROUND(PMT(マスタ!$B$4/計算過程!$B$6,C$5,-$B21*計算過程!$B$5),0)</f>
        <v>134245</v>
      </c>
      <c r="D21" s="107">
        <f>ROUND(PMT(マスタ!$B$4/計算過程!$B$6,D$5,-$B21*計算過程!$B$5),0)</f>
        <v>67545</v>
      </c>
      <c r="E21" s="107">
        <f>ROUND(PMT(マスタ!$B$4/計算過程!$B$6,E$5,-$B21*計算過程!$B$5),0)</f>
        <v>45313</v>
      </c>
      <c r="F21" s="107">
        <f>ROUND(PMT(マスタ!$B$4/計算過程!$B$6,F$5,-$B21*計算過程!$B$5),0)</f>
        <v>34198</v>
      </c>
      <c r="G21" s="107">
        <f>ROUND(PMT(マスタ!$B$4/計算過程!$B$6,G$5,-$B21*計算過程!$B$5),0)</f>
        <v>27529</v>
      </c>
      <c r="H21" s="107">
        <f>ROUND(PMT(マスタ!$B$4/計算過程!$B$6,H$5,-$B21*計算過程!$B$5),0)</f>
        <v>23084</v>
      </c>
      <c r="I21" s="107">
        <f>ROUND(PMT(マスタ!$B$4/計算過程!$B$6,I$5,-$B21*計算過程!$B$5),0)</f>
        <v>19910</v>
      </c>
      <c r="J21" s="107">
        <f>ROUND(PMT(マスタ!$B$4/計算過程!$B$6,J$5,-$B21*計算過程!$B$5),0)</f>
        <v>17530</v>
      </c>
      <c r="K21" s="107">
        <f>ROUND(PMT(マスタ!$B$4/計算過程!$B$6,K$5,-$B21*計算過程!$B$5),0)</f>
        <v>15678</v>
      </c>
      <c r="L21" s="107">
        <f>ROUND(PMT(マスタ!$B$4/計算過程!$B$6,L$5,-$B21*計算過程!$B$5),0)</f>
        <v>14198</v>
      </c>
    </row>
    <row r="22" spans="2:12">
      <c r="B22" s="111">
        <v>170</v>
      </c>
      <c r="C22" s="107">
        <f>ROUND(PMT(マスタ!$B$4/計算過程!$B$6,C$5,-$B22*計算過程!$B$5),0)</f>
        <v>142635</v>
      </c>
      <c r="D22" s="107">
        <f>ROUND(PMT(マスタ!$B$4/計算過程!$B$6,D$5,-$B22*計算過程!$B$5),0)</f>
        <v>71767</v>
      </c>
      <c r="E22" s="107">
        <f>ROUND(PMT(マスタ!$B$4/計算過程!$B$6,E$5,-$B22*計算過程!$B$5),0)</f>
        <v>48145</v>
      </c>
      <c r="F22" s="107">
        <f>ROUND(PMT(マスタ!$B$4/計算過程!$B$6,F$5,-$B22*計算過程!$B$5),0)</f>
        <v>36335</v>
      </c>
      <c r="G22" s="107">
        <f>ROUND(PMT(マスタ!$B$4/計算過程!$B$6,G$5,-$B22*計算過程!$B$5),0)</f>
        <v>29250</v>
      </c>
      <c r="H22" s="107">
        <f>ROUND(PMT(マスタ!$B$4/計算過程!$B$6,H$5,-$B22*計算過程!$B$5),0)</f>
        <v>24527</v>
      </c>
      <c r="I22" s="107">
        <f>ROUND(PMT(マスタ!$B$4/計算過程!$B$6,I$5,-$B22*計算過程!$B$5),0)</f>
        <v>21154</v>
      </c>
      <c r="J22" s="107">
        <f>ROUND(PMT(マスタ!$B$4/計算過程!$B$6,J$5,-$B22*計算過程!$B$5),0)</f>
        <v>18625</v>
      </c>
      <c r="K22" s="107">
        <f>ROUND(PMT(マスタ!$B$4/計算過程!$B$6,K$5,-$B22*計算過程!$B$5),0)</f>
        <v>16658</v>
      </c>
      <c r="L22" s="107">
        <f>ROUND(PMT(マスタ!$B$4/計算過程!$B$6,L$5,-$B22*計算過程!$B$5),0)</f>
        <v>15085</v>
      </c>
    </row>
    <row r="23" spans="2:12">
      <c r="B23" s="111">
        <v>180</v>
      </c>
      <c r="C23" s="107">
        <f>ROUND(PMT(マスタ!$B$4/計算過程!$B$6,C$5,-$B23*計算過程!$B$5),0)</f>
        <v>151026</v>
      </c>
      <c r="D23" s="107">
        <f>ROUND(PMT(マスタ!$B$4/計算過程!$B$6,D$5,-$B23*計算過程!$B$5),0)</f>
        <v>75988</v>
      </c>
      <c r="E23" s="107">
        <f>ROUND(PMT(マスタ!$B$4/計算過程!$B$6,E$5,-$B23*計算過程!$B$5),0)</f>
        <v>50977</v>
      </c>
      <c r="F23" s="107">
        <f>ROUND(PMT(マスタ!$B$4/計算過程!$B$6,F$5,-$B23*計算過程!$B$5),0)</f>
        <v>38473</v>
      </c>
      <c r="G23" s="107">
        <f>ROUND(PMT(マスタ!$B$4/計算過程!$B$6,G$5,-$B23*計算過程!$B$5),0)</f>
        <v>30971</v>
      </c>
      <c r="H23" s="107">
        <f>ROUND(PMT(マスタ!$B$4/計算過程!$B$6,H$5,-$B23*計算過程!$B$5),0)</f>
        <v>25970</v>
      </c>
      <c r="I23" s="107">
        <f>ROUND(PMT(マスタ!$B$4/計算過程!$B$6,I$5,-$B23*計算過程!$B$5),0)</f>
        <v>22399</v>
      </c>
      <c r="J23" s="107">
        <f>ROUND(PMT(マスタ!$B$4/計算過程!$B$6,J$5,-$B23*計算過程!$B$5),0)</f>
        <v>19721</v>
      </c>
      <c r="K23" s="107">
        <f>ROUND(PMT(マスタ!$B$4/計算過程!$B$6,K$5,-$B23*計算過程!$B$5),0)</f>
        <v>17638</v>
      </c>
      <c r="L23" s="107">
        <f>ROUND(PMT(マスタ!$B$4/計算過程!$B$6,L$5,-$B23*計算過程!$B$5),0)</f>
        <v>15973</v>
      </c>
    </row>
    <row r="24" spans="2:12">
      <c r="B24" s="111">
        <v>190</v>
      </c>
      <c r="C24" s="107">
        <f>ROUND(PMT(マスタ!$B$4/計算過程!$B$6,C$5,-$B24*計算過程!$B$5),0)</f>
        <v>159416</v>
      </c>
      <c r="D24" s="107">
        <f>ROUND(PMT(マスタ!$B$4/計算過程!$B$6,D$5,-$B24*計算過程!$B$5),0)</f>
        <v>80210</v>
      </c>
      <c r="E24" s="107">
        <f>ROUND(PMT(マスタ!$B$4/計算過程!$B$6,E$5,-$B24*計算過程!$B$5),0)</f>
        <v>53809</v>
      </c>
      <c r="F24" s="107">
        <f>ROUND(PMT(マスタ!$B$4/計算過程!$B$6,F$5,-$B24*計算過程!$B$5),0)</f>
        <v>40610</v>
      </c>
      <c r="G24" s="107">
        <f>ROUND(PMT(マスタ!$B$4/計算過程!$B$6,G$5,-$B24*計算過程!$B$5),0)</f>
        <v>32691</v>
      </c>
      <c r="H24" s="107">
        <f>ROUND(PMT(マスタ!$B$4/計算過程!$B$6,H$5,-$B24*計算過程!$B$5),0)</f>
        <v>27413</v>
      </c>
      <c r="I24" s="107">
        <f>ROUND(PMT(マスタ!$B$4/計算過程!$B$6,I$5,-$B24*計算過程!$B$5),0)</f>
        <v>23643</v>
      </c>
      <c r="J24" s="107">
        <f>ROUND(PMT(マスタ!$B$4/計算過程!$B$6,J$5,-$B24*計算過程!$B$5),0)</f>
        <v>20816</v>
      </c>
      <c r="K24" s="107">
        <f>ROUND(PMT(マスタ!$B$4/計算過程!$B$6,K$5,-$B24*計算過程!$B$5),0)</f>
        <v>18618</v>
      </c>
      <c r="L24" s="107">
        <f>ROUND(PMT(マスタ!$B$4/計算過程!$B$6,L$5,-$B24*計算過程!$B$5),0)</f>
        <v>16860</v>
      </c>
    </row>
    <row r="25" spans="2:12">
      <c r="B25" s="111">
        <v>200</v>
      </c>
      <c r="C25" s="107">
        <f>ROUND(PMT(マスタ!$B$4/計算過程!$B$6,C$5,-$B25*計算過程!$B$5),0)</f>
        <v>167806</v>
      </c>
      <c r="D25" s="107">
        <f>ROUND(PMT(マスタ!$B$4/計算過程!$B$6,D$5,-$B25*計算過程!$B$5),0)</f>
        <v>84431</v>
      </c>
      <c r="E25" s="107">
        <f>ROUND(PMT(マスタ!$B$4/計算過程!$B$6,E$5,-$B25*計算過程!$B$5),0)</f>
        <v>56641</v>
      </c>
      <c r="F25" s="107">
        <f>ROUND(PMT(マスタ!$B$4/計算過程!$B$6,F$5,-$B25*計算過程!$B$5),0)</f>
        <v>42747</v>
      </c>
      <c r="G25" s="107">
        <f>ROUND(PMT(マスタ!$B$4/計算過程!$B$6,G$5,-$B25*計算過程!$B$5),0)</f>
        <v>34412</v>
      </c>
      <c r="H25" s="107">
        <f>ROUND(PMT(マスタ!$B$4/計算過程!$B$6,H$5,-$B25*計算過程!$B$5),0)</f>
        <v>28856</v>
      </c>
      <c r="I25" s="107">
        <f>ROUND(PMT(マスタ!$B$4/計算過程!$B$6,I$5,-$B25*計算過程!$B$5),0)</f>
        <v>24887</v>
      </c>
      <c r="J25" s="107">
        <f>ROUND(PMT(マスタ!$B$4/計算過程!$B$6,J$5,-$B25*計算過程!$B$5),0)</f>
        <v>21912</v>
      </c>
      <c r="K25" s="107">
        <f>ROUND(PMT(マスタ!$B$4/計算過程!$B$6,K$5,-$B25*計算過程!$B$5),0)</f>
        <v>19598</v>
      </c>
      <c r="L25" s="107">
        <f>ROUND(PMT(マスタ!$B$4/計算過程!$B$6,L$5,-$B25*計算過程!$B$5),0)</f>
        <v>17747</v>
      </c>
    </row>
    <row r="28" spans="2:12">
      <c r="B28" s="109" t="str">
        <f>"住宅貸付(年利 "&amp;TEXT(マスタ!$B$5,"0.00%")&amp;")"</f>
        <v>住宅貸付(年利 1.26%)</v>
      </c>
    </row>
    <row r="29" spans="2:12" ht="24">
      <c r="B29" s="105" t="s">
        <v>266</v>
      </c>
      <c r="C29" s="110">
        <v>60</v>
      </c>
      <c r="D29" s="110">
        <v>120</v>
      </c>
      <c r="E29" s="110">
        <v>180</v>
      </c>
      <c r="F29" s="110">
        <v>240</v>
      </c>
      <c r="G29" s="110">
        <v>300</v>
      </c>
      <c r="H29" s="110">
        <v>360</v>
      </c>
    </row>
    <row r="30" spans="2:12">
      <c r="B30" s="111">
        <v>100</v>
      </c>
      <c r="C30" s="107">
        <f>ROUND(PMT(マスタ!$B$5/計算過程!$B$6,C$29,-$B30*計算過程!$B$5),0)</f>
        <v>17206</v>
      </c>
      <c r="D30" s="107">
        <f>ROUND(PMT(マスタ!$B$5/計算過程!$B$6,D$29,-$B30*計算過程!$B$5),0)</f>
        <v>8874</v>
      </c>
      <c r="E30" s="107">
        <f>ROUND(PMT(マスタ!$B$5/計算過程!$B$6,E$29,-$B30*計算過程!$B$5),0)</f>
        <v>6100</v>
      </c>
      <c r="F30" s="107">
        <f>ROUND(PMT(マスタ!$B$5/計算過程!$B$6,F$29,-$B30*計算過程!$B$5),0)</f>
        <v>4716</v>
      </c>
      <c r="G30" s="107">
        <f>ROUND(PMT(マスタ!$B$5/計算過程!$B$6,G$29,-$B30*計算過程!$B$5),0)</f>
        <v>3888</v>
      </c>
      <c r="H30" s="107">
        <f>ROUND(PMT(マスタ!$B$5/計算過程!$B$6,H$29,-$B30*計算過程!$B$5),0)</f>
        <v>3337</v>
      </c>
    </row>
    <row r="31" spans="2:12">
      <c r="B31" s="111">
        <v>200</v>
      </c>
      <c r="C31" s="107">
        <f>ROUND(PMT(マスタ!$B$5/計算過程!$B$6,C$29,-$B31*計算過程!$B$5),0)</f>
        <v>34412</v>
      </c>
      <c r="D31" s="107">
        <f>ROUND(PMT(マスタ!$B$5/計算過程!$B$6,D$29,-$B31*計算過程!$B$5),0)</f>
        <v>17747</v>
      </c>
      <c r="E31" s="107">
        <f>ROUND(PMT(マスタ!$B$5/計算過程!$B$6,E$29,-$B31*計算過程!$B$5),0)</f>
        <v>12200</v>
      </c>
      <c r="F31" s="107">
        <f>ROUND(PMT(マスタ!$B$5/計算過程!$B$6,F$29,-$B31*計算過程!$B$5),0)</f>
        <v>9432</v>
      </c>
      <c r="G31" s="107">
        <f>ROUND(PMT(マスタ!$B$5/計算過程!$B$6,G$29,-$B31*計算過程!$B$5),0)</f>
        <v>7775</v>
      </c>
      <c r="H31" s="107">
        <f>ROUND(PMT(マスタ!$B$5/計算過程!$B$6,H$29,-$B31*計算過程!$B$5),0)</f>
        <v>6674</v>
      </c>
    </row>
    <row r="32" spans="2:12">
      <c r="B32" s="111">
        <v>300</v>
      </c>
      <c r="C32" s="107">
        <f>ROUND(PMT(マスタ!$B$5/計算過程!$B$6,C$29,-$B32*計算過程!$B$5),0)</f>
        <v>51618</v>
      </c>
      <c r="D32" s="107">
        <f>ROUND(PMT(マスタ!$B$5/計算過程!$B$6,D$29,-$B32*計算過程!$B$5),0)</f>
        <v>26621</v>
      </c>
      <c r="E32" s="107">
        <f>ROUND(PMT(マスタ!$B$5/計算過程!$B$6,E$29,-$B32*計算過程!$B$5),0)</f>
        <v>18300</v>
      </c>
      <c r="F32" s="107">
        <f>ROUND(PMT(マスタ!$B$5/計算過程!$B$6,F$29,-$B32*計算過程!$B$5),0)</f>
        <v>14148</v>
      </c>
      <c r="G32" s="107">
        <f>ROUND(PMT(マスタ!$B$5/計算過程!$B$6,G$29,-$B32*計算過程!$B$5),0)</f>
        <v>11663</v>
      </c>
      <c r="H32" s="107">
        <f>ROUND(PMT(マスタ!$B$5/計算過程!$B$6,H$29,-$B32*計算過程!$B$5),0)</f>
        <v>10012</v>
      </c>
    </row>
    <row r="33" spans="2:8">
      <c r="B33" s="111">
        <v>400</v>
      </c>
      <c r="C33" s="107">
        <f>ROUND(PMT(マスタ!$B$5/計算過程!$B$6,C$29,-$B33*計算過程!$B$5),0)</f>
        <v>68824</v>
      </c>
      <c r="D33" s="107">
        <f>ROUND(PMT(マスタ!$B$5/計算過程!$B$6,D$29,-$B33*計算過程!$B$5),0)</f>
        <v>35495</v>
      </c>
      <c r="E33" s="107">
        <f>ROUND(PMT(マスタ!$B$5/計算過程!$B$6,E$29,-$B33*計算過程!$B$5),0)</f>
        <v>24400</v>
      </c>
      <c r="F33" s="107">
        <f>ROUND(PMT(マスタ!$B$5/計算過程!$B$6,F$29,-$B33*計算過程!$B$5),0)</f>
        <v>18863</v>
      </c>
      <c r="G33" s="107">
        <f>ROUND(PMT(マスタ!$B$5/計算過程!$B$6,G$29,-$B33*計算過程!$B$5),0)</f>
        <v>15550</v>
      </c>
      <c r="H33" s="107">
        <f>ROUND(PMT(マスタ!$B$5/計算過程!$B$6,H$29,-$B33*計算過程!$B$5),0)</f>
        <v>13349</v>
      </c>
    </row>
    <row r="34" spans="2:8">
      <c r="B34" s="111">
        <v>500</v>
      </c>
      <c r="C34" s="107">
        <f>ROUND(PMT(マスタ!$B$5/計算過程!$B$6,C$29,-$B34*計算過程!$B$5),0)</f>
        <v>86030</v>
      </c>
      <c r="D34" s="107">
        <f>ROUND(PMT(マスタ!$B$5/計算過程!$B$6,D$29,-$B34*計算過程!$B$5),0)</f>
        <v>44369</v>
      </c>
      <c r="E34" s="107">
        <f>ROUND(PMT(マスタ!$B$5/計算過程!$B$6,E$29,-$B34*計算過程!$B$5),0)</f>
        <v>30500</v>
      </c>
      <c r="F34" s="107">
        <f>ROUND(PMT(マスタ!$B$5/計算過程!$B$6,F$29,-$B34*計算過程!$B$5),0)</f>
        <v>23579</v>
      </c>
      <c r="G34" s="107">
        <f>ROUND(PMT(マスタ!$B$5/計算過程!$B$6,G$29,-$B34*計算過程!$B$5),0)</f>
        <v>19438</v>
      </c>
      <c r="H34" s="107">
        <f>ROUND(PMT(マスタ!$B$5/計算過程!$B$6,H$29,-$B34*計算過程!$B$5),0)</f>
        <v>16686</v>
      </c>
    </row>
    <row r="35" spans="2:8">
      <c r="B35" s="111">
        <v>600</v>
      </c>
      <c r="C35" s="107">
        <f>ROUND(PMT(マスタ!$B$5/計算過程!$B$6,C$29,-$B35*計算過程!$B$5),0)</f>
        <v>103236</v>
      </c>
      <c r="D35" s="107">
        <f>ROUND(PMT(マスタ!$B$5/計算過程!$B$6,D$29,-$B35*計算過程!$B$5),0)</f>
        <v>53242</v>
      </c>
      <c r="E35" s="107">
        <f>ROUND(PMT(マスタ!$B$5/計算過程!$B$6,E$29,-$B35*計算過程!$B$5),0)</f>
        <v>36600</v>
      </c>
      <c r="F35" s="107">
        <f>ROUND(PMT(マスタ!$B$5/計算過程!$B$6,F$29,-$B35*計算過程!$B$5),0)</f>
        <v>28295</v>
      </c>
      <c r="G35" s="107">
        <f>ROUND(PMT(マスタ!$B$5/計算過程!$B$6,G$29,-$B35*計算過程!$B$5),0)</f>
        <v>23326</v>
      </c>
      <c r="H35" s="107">
        <f>ROUND(PMT(マスタ!$B$5/計算過程!$B$6,H$29,-$B35*計算過程!$B$5),0)</f>
        <v>20023</v>
      </c>
    </row>
    <row r="36" spans="2:8">
      <c r="B36" s="111">
        <v>700</v>
      </c>
      <c r="C36" s="107">
        <f>ROUND(PMT(マスタ!$B$5/計算過程!$B$6,C$29,-$B36*計算過程!$B$5),0)</f>
        <v>120441</v>
      </c>
      <c r="D36" s="107">
        <f>ROUND(PMT(マスタ!$B$5/計算過程!$B$6,D$29,-$B36*計算過程!$B$5),0)</f>
        <v>62116</v>
      </c>
      <c r="E36" s="107">
        <f>ROUND(PMT(マスタ!$B$5/計算過程!$B$6,E$29,-$B36*計算過程!$B$5),0)</f>
        <v>42700</v>
      </c>
      <c r="F36" s="107">
        <f>ROUND(PMT(マスタ!$B$5/計算過程!$B$6,F$29,-$B36*計算過程!$B$5),0)</f>
        <v>33011</v>
      </c>
      <c r="G36" s="107">
        <f>ROUND(PMT(マスタ!$B$5/計算過程!$B$6,G$29,-$B36*計算過程!$B$5),0)</f>
        <v>27213</v>
      </c>
      <c r="H36" s="107">
        <f>ROUND(PMT(マスタ!$B$5/計算過程!$B$6,H$29,-$B36*計算過程!$B$5),0)</f>
        <v>23361</v>
      </c>
    </row>
    <row r="37" spans="2:8">
      <c r="B37" s="111">
        <v>800</v>
      </c>
      <c r="C37" s="107">
        <f>ROUND(PMT(マスタ!$B$5/計算過程!$B$6,C$29,-$B37*計算過程!$B$5),0)</f>
        <v>137647</v>
      </c>
      <c r="D37" s="107">
        <f>ROUND(PMT(マスタ!$B$5/計算過程!$B$6,D$29,-$B37*計算過程!$B$5),0)</f>
        <v>70990</v>
      </c>
      <c r="E37" s="107">
        <f>ROUND(PMT(マスタ!$B$5/計算過程!$B$6,E$29,-$B37*計算過程!$B$5),0)</f>
        <v>48800</v>
      </c>
      <c r="F37" s="107">
        <f>ROUND(PMT(マスタ!$B$5/計算過程!$B$6,F$29,-$B37*計算過程!$B$5),0)</f>
        <v>37727</v>
      </c>
      <c r="G37" s="107">
        <f>ROUND(PMT(マスタ!$B$5/計算過程!$B$6,G$29,-$B37*計算過程!$B$5),0)</f>
        <v>31101</v>
      </c>
      <c r="H37" s="107">
        <f>ROUND(PMT(マスタ!$B$5/計算過程!$B$6,H$29,-$B37*計算過程!$B$5),0)</f>
        <v>26698</v>
      </c>
    </row>
    <row r="38" spans="2:8">
      <c r="B38" s="111">
        <v>900</v>
      </c>
      <c r="C38" s="107">
        <f>ROUND(PMT(マスタ!$B$5/計算過程!$B$6,C$29,-$B38*計算過程!$B$5),0)</f>
        <v>154853</v>
      </c>
      <c r="D38" s="107">
        <f>ROUND(PMT(マスタ!$B$5/計算過程!$B$6,D$29,-$B38*計算過程!$B$5),0)</f>
        <v>79864</v>
      </c>
      <c r="E38" s="107">
        <f>ROUND(PMT(マスタ!$B$5/計算過程!$B$6,E$29,-$B38*計算過程!$B$5),0)</f>
        <v>54900</v>
      </c>
      <c r="F38" s="107">
        <f>ROUND(PMT(マスタ!$B$5/計算過程!$B$6,F$29,-$B38*計算過程!$B$5),0)</f>
        <v>42443</v>
      </c>
      <c r="G38" s="107">
        <f>ROUND(PMT(マスタ!$B$5/計算過程!$B$6,G$29,-$B38*計算過程!$B$5),0)</f>
        <v>34988</v>
      </c>
      <c r="H38" s="107">
        <f>ROUND(PMT(マスタ!$B$5/計算過程!$B$6,H$29,-$B38*計算過程!$B$5),0)</f>
        <v>30035</v>
      </c>
    </row>
    <row r="39" spans="2:8">
      <c r="B39" s="111">
        <v>1000</v>
      </c>
      <c r="C39" s="107">
        <f>ROUND(PMT(マスタ!$B$5/計算過程!$B$6,C$29,-$B39*計算過程!$B$5),0)</f>
        <v>172059</v>
      </c>
      <c r="D39" s="107">
        <f>ROUND(PMT(マスタ!$B$5/計算過程!$B$6,D$29,-$B39*計算過程!$B$5),0)</f>
        <v>88737</v>
      </c>
      <c r="E39" s="107">
        <f>ROUND(PMT(マスタ!$B$5/計算過程!$B$6,E$29,-$B39*計算過程!$B$5),0)</f>
        <v>61000</v>
      </c>
      <c r="F39" s="107">
        <f>ROUND(PMT(マスタ!$B$5/計算過程!$B$6,F$29,-$B39*計算過程!$B$5),0)</f>
        <v>47159</v>
      </c>
      <c r="G39" s="107">
        <f>ROUND(PMT(マスタ!$B$5/計算過程!$B$6,G$29,-$B39*計算過程!$B$5),0)</f>
        <v>38876</v>
      </c>
      <c r="H39" s="107">
        <f>ROUND(PMT(マスタ!$B$5/計算過程!$B$6,H$29,-$B39*計算過程!$B$5),0)</f>
        <v>33372</v>
      </c>
    </row>
    <row r="40" spans="2:8">
      <c r="B40" s="111">
        <v>1100</v>
      </c>
      <c r="C40" s="107">
        <f>ROUND(PMT(マスタ!$B$5/計算過程!$B$6,C$29,-$B40*計算過程!$B$5),0)</f>
        <v>189265</v>
      </c>
      <c r="D40" s="107">
        <f>ROUND(PMT(マスタ!$B$5/計算過程!$B$6,D$29,-$B40*計算過程!$B$5),0)</f>
        <v>97611</v>
      </c>
      <c r="E40" s="107">
        <f>ROUND(PMT(マスタ!$B$5/計算過程!$B$6,E$29,-$B40*計算過程!$B$5),0)</f>
        <v>67100</v>
      </c>
      <c r="F40" s="107">
        <f>ROUND(PMT(マスタ!$B$5/計算過程!$B$6,F$29,-$B40*計算過程!$B$5),0)</f>
        <v>51875</v>
      </c>
      <c r="G40" s="107">
        <f>ROUND(PMT(マスタ!$B$5/計算過程!$B$6,G$29,-$B40*計算過程!$B$5),0)</f>
        <v>42763</v>
      </c>
      <c r="H40" s="107">
        <f>ROUND(PMT(マスタ!$B$5/計算過程!$B$6,H$29,-$B40*計算過程!$B$5),0)</f>
        <v>36709</v>
      </c>
    </row>
    <row r="41" spans="2:8">
      <c r="B41" s="111">
        <v>1200</v>
      </c>
      <c r="C41" s="107">
        <f>ROUND(PMT(マスタ!$B$5/計算過程!$B$6,C$29,-$B41*計算過程!$B$5),0)</f>
        <v>206471</v>
      </c>
      <c r="D41" s="107">
        <f>ROUND(PMT(マスタ!$B$5/計算過程!$B$6,D$29,-$B41*計算過程!$B$5),0)</f>
        <v>106485</v>
      </c>
      <c r="E41" s="107">
        <f>ROUND(PMT(マスタ!$B$5/計算過程!$B$6,E$29,-$B41*計算過程!$B$5),0)</f>
        <v>73200</v>
      </c>
      <c r="F41" s="107">
        <f>ROUND(PMT(マスタ!$B$5/計算過程!$B$6,F$29,-$B41*計算過程!$B$5),0)</f>
        <v>56590</v>
      </c>
      <c r="G41" s="107">
        <f>ROUND(PMT(マスタ!$B$5/計算過程!$B$6,G$29,-$B41*計算過程!$B$5),0)</f>
        <v>46651</v>
      </c>
      <c r="H41" s="107">
        <f>ROUND(PMT(マスタ!$B$5/計算過程!$B$6,H$29,-$B41*計算過程!$B$5),0)</f>
        <v>40047</v>
      </c>
    </row>
    <row r="42" spans="2:8">
      <c r="B42" s="111">
        <v>1300</v>
      </c>
      <c r="C42" s="107">
        <f>ROUND(PMT(マスタ!$B$5/計算過程!$B$6,C$29,-$B42*計算過程!$B$5),0)</f>
        <v>223677</v>
      </c>
      <c r="D42" s="107">
        <f>ROUND(PMT(マスタ!$B$5/計算過程!$B$6,D$29,-$B42*計算過程!$B$5),0)</f>
        <v>115358</v>
      </c>
      <c r="E42" s="107">
        <f>ROUND(PMT(マスタ!$B$5/計算過程!$B$6,E$29,-$B42*計算過程!$B$5),0)</f>
        <v>79300</v>
      </c>
      <c r="F42" s="107">
        <f>ROUND(PMT(マスタ!$B$5/計算過程!$B$6,F$29,-$B42*計算過程!$B$5),0)</f>
        <v>61306</v>
      </c>
      <c r="G42" s="107">
        <f>ROUND(PMT(マスタ!$B$5/計算過程!$B$6,G$29,-$B42*計算過程!$B$5),0)</f>
        <v>50539</v>
      </c>
      <c r="H42" s="107">
        <f>ROUND(PMT(マスタ!$B$5/計算過程!$B$6,H$29,-$B42*計算過程!$B$5),0)</f>
        <v>43384</v>
      </c>
    </row>
    <row r="43" spans="2:8">
      <c r="B43" s="111">
        <v>1400</v>
      </c>
      <c r="C43" s="107">
        <f>ROUND(PMT(マスタ!$B$5/計算過程!$B$6,C$29,-$B43*計算過程!$B$5),0)</f>
        <v>240883</v>
      </c>
      <c r="D43" s="107">
        <f>ROUND(PMT(マスタ!$B$5/計算過程!$B$6,D$29,-$B43*計算過程!$B$5),0)</f>
        <v>124232</v>
      </c>
      <c r="E43" s="107">
        <f>ROUND(PMT(マスタ!$B$5/計算過程!$B$6,E$29,-$B43*計算過程!$B$5),0)</f>
        <v>85400</v>
      </c>
      <c r="F43" s="107">
        <f>ROUND(PMT(マスタ!$B$5/計算過程!$B$6,F$29,-$B43*計算過程!$B$5),0)</f>
        <v>66022</v>
      </c>
      <c r="G43" s="107">
        <f>ROUND(PMT(マスタ!$B$5/計算過程!$B$6,G$29,-$B43*計算過程!$B$5),0)</f>
        <v>54426</v>
      </c>
      <c r="H43" s="107">
        <f>ROUND(PMT(マスタ!$B$5/計算過程!$B$6,H$29,-$B43*計算過程!$B$5),0)</f>
        <v>46721</v>
      </c>
    </row>
    <row r="44" spans="2:8">
      <c r="B44" s="111">
        <v>1500</v>
      </c>
      <c r="C44" s="107">
        <f>ROUND(PMT(マスタ!$B$5/計算過程!$B$6,C$29,-$B44*計算過程!$B$5),0)</f>
        <v>258089</v>
      </c>
      <c r="D44" s="107">
        <f>ROUND(PMT(マスタ!$B$5/計算過程!$B$6,D$29,-$B44*計算過程!$B$5),0)</f>
        <v>133106</v>
      </c>
      <c r="E44" s="107">
        <f>ROUND(PMT(マスタ!$B$5/計算過程!$B$6,E$29,-$B44*計算過程!$B$5),0)</f>
        <v>91500</v>
      </c>
      <c r="F44" s="107">
        <f>ROUND(PMT(マスタ!$B$5/計算過程!$B$6,F$29,-$B44*計算過程!$B$5),0)</f>
        <v>70738</v>
      </c>
      <c r="G44" s="107">
        <f>ROUND(PMT(マスタ!$B$5/計算過程!$B$6,G$29,-$B44*計算過程!$B$5),0)</f>
        <v>58314</v>
      </c>
      <c r="H44" s="107">
        <f>ROUND(PMT(マスタ!$B$5/計算過程!$B$6,H$29,-$B44*計算過程!$B$5),0)</f>
        <v>50058</v>
      </c>
    </row>
    <row r="45" spans="2:8">
      <c r="B45" s="111">
        <v>1600</v>
      </c>
      <c r="C45" s="107">
        <f>ROUND(PMT(マスタ!$B$5/計算過程!$B$6,C$29,-$B45*計算過程!$B$5),0)</f>
        <v>275295</v>
      </c>
      <c r="D45" s="107">
        <f>ROUND(PMT(マスタ!$B$5/計算過程!$B$6,D$29,-$B45*計算過程!$B$5),0)</f>
        <v>141980</v>
      </c>
      <c r="E45" s="107">
        <f>ROUND(PMT(マスタ!$B$5/計算過程!$B$6,E$29,-$B45*計算過程!$B$5),0)</f>
        <v>97600</v>
      </c>
      <c r="F45" s="107">
        <f>ROUND(PMT(マスタ!$B$5/計算過程!$B$6,F$29,-$B45*計算過程!$B$5),0)</f>
        <v>75454</v>
      </c>
      <c r="G45" s="107">
        <f>ROUND(PMT(マスタ!$B$5/計算過程!$B$6,G$29,-$B45*計算過程!$B$5),0)</f>
        <v>62201</v>
      </c>
      <c r="H45" s="107">
        <f>ROUND(PMT(マスタ!$B$5/計算過程!$B$6,H$29,-$B45*計算過程!$B$5),0)</f>
        <v>53395</v>
      </c>
    </row>
    <row r="46" spans="2:8">
      <c r="B46" s="111">
        <v>1700</v>
      </c>
      <c r="C46" s="107">
        <f>ROUND(PMT(マスタ!$B$5/計算過程!$B$6,C$29,-$B46*計算過程!$B$5),0)</f>
        <v>292501</v>
      </c>
      <c r="D46" s="107">
        <f>ROUND(PMT(マスタ!$B$5/計算過程!$B$6,D$29,-$B46*計算過程!$B$5),0)</f>
        <v>150853</v>
      </c>
      <c r="E46" s="107">
        <f>ROUND(PMT(マスタ!$B$5/計算過程!$B$6,E$29,-$B46*計算過程!$B$5),0)</f>
        <v>103700</v>
      </c>
      <c r="F46" s="107">
        <f>ROUND(PMT(マスタ!$B$5/計算過程!$B$6,F$29,-$B46*計算過程!$B$5),0)</f>
        <v>80170</v>
      </c>
      <c r="G46" s="107">
        <f>ROUND(PMT(マスタ!$B$5/計算過程!$B$6,G$29,-$B46*計算過程!$B$5),0)</f>
        <v>66089</v>
      </c>
      <c r="H46" s="107">
        <f>ROUND(PMT(マスタ!$B$5/計算過程!$B$6,H$29,-$B46*計算過程!$B$5),0)</f>
        <v>56733</v>
      </c>
    </row>
    <row r="47" spans="2:8">
      <c r="B47" s="111">
        <v>1800</v>
      </c>
      <c r="C47" s="107">
        <f>ROUND(PMT(マスタ!$B$5/計算過程!$B$6,C$29,-$B47*計算過程!$B$5),0)</f>
        <v>309707</v>
      </c>
      <c r="D47" s="107">
        <f>ROUND(PMT(マスタ!$B$5/計算過程!$B$6,D$29,-$B47*計算過程!$B$5),0)</f>
        <v>159727</v>
      </c>
      <c r="E47" s="107">
        <f>ROUND(PMT(マスタ!$B$5/計算過程!$B$6,E$29,-$B47*計算過程!$B$5),0)</f>
        <v>109800</v>
      </c>
      <c r="F47" s="107">
        <f>ROUND(PMT(マスタ!$B$5/計算過程!$B$6,F$29,-$B47*計算過程!$B$5),0)</f>
        <v>84886</v>
      </c>
      <c r="G47" s="107">
        <f>ROUND(PMT(マスタ!$B$5/計算過程!$B$6,G$29,-$B47*計算過程!$B$5),0)</f>
        <v>69977</v>
      </c>
      <c r="H47" s="107">
        <f>ROUND(PMT(マスタ!$B$5/計算過程!$B$6,H$29,-$B47*計算過程!$B$5),0)</f>
        <v>60070</v>
      </c>
    </row>
    <row r="50" spans="2:8">
      <c r="B50" s="109" t="str">
        <f>"災害貸付(年利 "&amp;TEXT(マスタ!$B$6,"0.00%")&amp;")"</f>
        <v>災害貸付(年利 0.93%)</v>
      </c>
    </row>
    <row r="51" spans="2:8" ht="24">
      <c r="B51" s="105" t="s">
        <v>266</v>
      </c>
      <c r="C51" s="110">
        <v>60</v>
      </c>
      <c r="D51" s="110">
        <v>120</v>
      </c>
      <c r="E51" s="110">
        <v>180</v>
      </c>
      <c r="F51" s="110">
        <v>240</v>
      </c>
      <c r="G51" s="110">
        <v>300</v>
      </c>
      <c r="H51" s="110">
        <v>360</v>
      </c>
    </row>
    <row r="52" spans="2:8">
      <c r="B52" s="111">
        <v>100</v>
      </c>
      <c r="C52" s="107">
        <f>ROUND(PMT(マスタ!$B$6/計算過程!$B$6,C$51,-$B52*計算過程!$B$5),0)</f>
        <v>17064</v>
      </c>
      <c r="D52" s="107">
        <f>ROUND(PMT(マスタ!$B$6/計算過程!$B$6,D$51,-$B52*計算過程!$B$5),0)</f>
        <v>8730</v>
      </c>
      <c r="E52" s="107">
        <f>ROUND(PMT(マスタ!$B$6/計算過程!$B$6,E$51,-$B52*計算過程!$B$5),0)</f>
        <v>5954</v>
      </c>
      <c r="F52" s="107">
        <f>ROUND(PMT(マスタ!$B$6/計算過程!$B$6,F$51,-$B52*計算過程!$B$5),0)</f>
        <v>4568</v>
      </c>
      <c r="G52" s="107">
        <f>ROUND(PMT(マスタ!$B$6/計算過程!$B$6,G$51,-$B52*計算過程!$B$5),0)</f>
        <v>3737</v>
      </c>
      <c r="H52" s="107">
        <f>ROUND(PMT(マスタ!$B$6/計算過程!$B$6,H$51,-$B52*計算過程!$B$5),0)</f>
        <v>3184</v>
      </c>
    </row>
    <row r="53" spans="2:8">
      <c r="B53" s="111">
        <v>200</v>
      </c>
      <c r="C53" s="107">
        <f>ROUND(PMT(マスタ!$B$6/計算過程!$B$6,C$51,-$B53*計算過程!$B$5),0)</f>
        <v>34127</v>
      </c>
      <c r="D53" s="107">
        <f>ROUND(PMT(マスタ!$B$6/計算過程!$B$6,D$51,-$B53*計算過程!$B$5),0)</f>
        <v>17460</v>
      </c>
      <c r="E53" s="107">
        <f>ROUND(PMT(マスタ!$B$6/計算過程!$B$6,E$51,-$B53*計算過程!$B$5),0)</f>
        <v>11908</v>
      </c>
      <c r="F53" s="107">
        <f>ROUND(PMT(マスタ!$B$6/計算過程!$B$6,F$51,-$B53*計算過程!$B$5),0)</f>
        <v>9136</v>
      </c>
      <c r="G53" s="107">
        <f>ROUND(PMT(マスタ!$B$6/計算過程!$B$6,G$51,-$B53*計算過程!$B$5),0)</f>
        <v>7474</v>
      </c>
      <c r="H53" s="107">
        <f>ROUND(PMT(マスタ!$B$6/計算過程!$B$6,H$51,-$B53*計算過程!$B$5),0)</f>
        <v>6369</v>
      </c>
    </row>
    <row r="54" spans="2:8">
      <c r="B54" s="111">
        <v>300</v>
      </c>
      <c r="C54" s="107">
        <f>ROUND(PMT(マスタ!$B$6/計算過程!$B$6,C$51,-$B54*計算過程!$B$5),0)</f>
        <v>51191</v>
      </c>
      <c r="D54" s="107">
        <f>ROUND(PMT(マスタ!$B$6/計算過程!$B$6,D$51,-$B54*計算過程!$B$5),0)</f>
        <v>26190</v>
      </c>
      <c r="E54" s="107">
        <f>ROUND(PMT(マスタ!$B$6/計算過程!$B$6,E$51,-$B54*計算過程!$B$5),0)</f>
        <v>17863</v>
      </c>
      <c r="F54" s="107">
        <f>ROUND(PMT(マスタ!$B$6/計算過程!$B$6,F$51,-$B54*計算過程!$B$5),0)</f>
        <v>13703</v>
      </c>
      <c r="G54" s="107">
        <f>ROUND(PMT(マスタ!$B$6/計算過程!$B$6,G$51,-$B54*計算過程!$B$5),0)</f>
        <v>11211</v>
      </c>
      <c r="H54" s="107">
        <f>ROUND(PMT(マスタ!$B$6/計算過程!$B$6,H$51,-$B54*計算過程!$B$5),0)</f>
        <v>9553</v>
      </c>
    </row>
    <row r="55" spans="2:8">
      <c r="B55" s="111">
        <v>400</v>
      </c>
      <c r="C55" s="107">
        <f>ROUND(PMT(マスタ!$B$6/計算過程!$B$6,C$51,-$B55*計算過程!$B$5),0)</f>
        <v>68255</v>
      </c>
      <c r="D55" s="107">
        <f>ROUND(PMT(マスタ!$B$6/計算過程!$B$6,D$51,-$B55*計算過程!$B$5),0)</f>
        <v>34920</v>
      </c>
      <c r="E55" s="107">
        <f>ROUND(PMT(マスタ!$B$6/計算過程!$B$6,E$51,-$B55*計算過程!$B$5),0)</f>
        <v>23817</v>
      </c>
      <c r="F55" s="107">
        <f>ROUND(PMT(マスタ!$B$6/計算過程!$B$6,F$51,-$B55*計算過程!$B$5),0)</f>
        <v>18271</v>
      </c>
      <c r="G55" s="107">
        <f>ROUND(PMT(マスタ!$B$6/計算過程!$B$6,G$51,-$B55*計算過程!$B$5),0)</f>
        <v>14948</v>
      </c>
      <c r="H55" s="107">
        <f>ROUND(PMT(マスタ!$B$6/計算過程!$B$6,H$51,-$B55*計算過程!$B$5),0)</f>
        <v>12737</v>
      </c>
    </row>
    <row r="56" spans="2:8">
      <c r="B56" s="111">
        <v>500</v>
      </c>
      <c r="C56" s="107">
        <f>ROUND(PMT(マスタ!$B$6/計算過程!$B$6,C$51,-$B56*計算過程!$B$5),0)</f>
        <v>85318</v>
      </c>
      <c r="D56" s="107">
        <f>ROUND(PMT(マスタ!$B$6/計算過程!$B$6,D$51,-$B56*計算過程!$B$5),0)</f>
        <v>43650</v>
      </c>
      <c r="E56" s="107">
        <f>ROUND(PMT(マスタ!$B$6/計算過程!$B$6,E$51,-$B56*計算過程!$B$5),0)</f>
        <v>29771</v>
      </c>
      <c r="F56" s="107">
        <f>ROUND(PMT(マスタ!$B$6/計算過程!$B$6,F$51,-$B56*計算過程!$B$5),0)</f>
        <v>22839</v>
      </c>
      <c r="G56" s="107">
        <f>ROUND(PMT(マスタ!$B$6/計算過程!$B$6,G$51,-$B56*計算過程!$B$5),0)</f>
        <v>18686</v>
      </c>
      <c r="H56" s="107">
        <f>ROUND(PMT(マスタ!$B$6/計算過程!$B$6,H$51,-$B56*計算過程!$B$5),0)</f>
        <v>15922</v>
      </c>
    </row>
    <row r="57" spans="2:8">
      <c r="B57" s="111">
        <v>600</v>
      </c>
      <c r="C57" s="107">
        <f>ROUND(PMT(マスタ!$B$6/計算過程!$B$6,C$51,-$B57*計算過程!$B$5),0)</f>
        <v>102382</v>
      </c>
      <c r="D57" s="107">
        <f>ROUND(PMT(マスタ!$B$6/計算過程!$B$6,D$51,-$B57*計算過程!$B$5),0)</f>
        <v>52380</v>
      </c>
      <c r="E57" s="107">
        <f>ROUND(PMT(マスタ!$B$6/計算過程!$B$6,E$51,-$B57*計算過程!$B$5),0)</f>
        <v>35725</v>
      </c>
      <c r="F57" s="107">
        <f>ROUND(PMT(マスタ!$B$6/計算過程!$B$6,F$51,-$B57*計算過程!$B$5),0)</f>
        <v>27407</v>
      </c>
      <c r="G57" s="107">
        <f>ROUND(PMT(マスタ!$B$6/計算過程!$B$6,G$51,-$B57*計算過程!$B$5),0)</f>
        <v>22423</v>
      </c>
      <c r="H57" s="107">
        <f>ROUND(PMT(マスタ!$B$6/計算過程!$B$6,H$51,-$B57*計算過程!$B$5),0)</f>
        <v>19106</v>
      </c>
    </row>
    <row r="58" spans="2:8">
      <c r="B58" s="111">
        <v>700</v>
      </c>
      <c r="C58" s="107">
        <f>ROUND(PMT(マスタ!$B$6/計算過程!$B$6,C$51,-$B58*計算過程!$B$5),0)</f>
        <v>119445</v>
      </c>
      <c r="D58" s="107">
        <f>ROUND(PMT(マスタ!$B$6/計算過程!$B$6,D$51,-$B58*計算過程!$B$5),0)</f>
        <v>61110</v>
      </c>
      <c r="E58" s="107">
        <f>ROUND(PMT(マスタ!$B$6/計算過程!$B$6,E$51,-$B58*計算過程!$B$5),0)</f>
        <v>41679</v>
      </c>
      <c r="F58" s="107">
        <f>ROUND(PMT(マスタ!$B$6/計算過程!$B$6,F$51,-$B58*計算過程!$B$5),0)</f>
        <v>31974</v>
      </c>
      <c r="G58" s="107">
        <f>ROUND(PMT(マスタ!$B$6/計算過程!$B$6,G$51,-$B58*計算過程!$B$5),0)</f>
        <v>26160</v>
      </c>
      <c r="H58" s="107">
        <f>ROUND(PMT(マスタ!$B$6/計算過程!$B$6,H$51,-$B58*計算過程!$B$5),0)</f>
        <v>22290</v>
      </c>
    </row>
    <row r="59" spans="2:8">
      <c r="B59" s="111">
        <v>800</v>
      </c>
      <c r="C59" s="107">
        <f>ROUND(PMT(マスタ!$B$6/計算過程!$B$6,C$51,-$B59*計算過程!$B$5),0)</f>
        <v>136509</v>
      </c>
      <c r="D59" s="107">
        <f>ROUND(PMT(マスタ!$B$6/計算過程!$B$6,D$51,-$B59*計算過程!$B$5),0)</f>
        <v>69841</v>
      </c>
      <c r="E59" s="107">
        <f>ROUND(PMT(マスタ!$B$6/計算過程!$B$6,E$51,-$B59*計算過程!$B$5),0)</f>
        <v>47634</v>
      </c>
      <c r="F59" s="107">
        <f>ROUND(PMT(マスタ!$B$6/計算過程!$B$6,F$51,-$B59*計算過程!$B$5),0)</f>
        <v>36542</v>
      </c>
      <c r="G59" s="107">
        <f>ROUND(PMT(マスタ!$B$6/計算過程!$B$6,G$51,-$B59*計算過程!$B$5),0)</f>
        <v>29897</v>
      </c>
      <c r="H59" s="107">
        <f>ROUND(PMT(マスタ!$B$6/計算過程!$B$6,H$51,-$B59*計算過程!$B$5),0)</f>
        <v>25475</v>
      </c>
    </row>
    <row r="60" spans="2:8">
      <c r="B60" s="111">
        <v>900</v>
      </c>
      <c r="C60" s="107">
        <f>ROUND(PMT(マスタ!$B$6/計算過程!$B$6,C$51,-$B60*計算過程!$B$5),0)</f>
        <v>153573</v>
      </c>
      <c r="D60" s="107">
        <f>ROUND(PMT(マスタ!$B$6/計算過程!$B$6,D$51,-$B60*計算過程!$B$5),0)</f>
        <v>78571</v>
      </c>
      <c r="E60" s="107">
        <f>ROUND(PMT(マスタ!$B$6/計算過程!$B$6,E$51,-$B60*計算過程!$B$5),0)</f>
        <v>53588</v>
      </c>
      <c r="F60" s="107">
        <f>ROUND(PMT(マスタ!$B$6/計算過程!$B$6,F$51,-$B60*計算過程!$B$5),0)</f>
        <v>41110</v>
      </c>
      <c r="G60" s="107">
        <f>ROUND(PMT(マスタ!$B$6/計算過程!$B$6,G$51,-$B60*計算過程!$B$5),0)</f>
        <v>33634</v>
      </c>
      <c r="H60" s="107">
        <f>ROUND(PMT(マスタ!$B$6/計算過程!$B$6,H$51,-$B60*計算過程!$B$5),0)</f>
        <v>28659</v>
      </c>
    </row>
    <row r="61" spans="2:8">
      <c r="B61" s="111">
        <v>1000</v>
      </c>
      <c r="C61" s="107">
        <f>ROUND(PMT(マスタ!$B$6/計算過程!$B$6,C$51,-$B61*計算過程!$B$5),0)</f>
        <v>170636</v>
      </c>
      <c r="D61" s="107">
        <f>ROUND(PMT(マスタ!$B$6/計算過程!$B$6,D$51,-$B61*計算過程!$B$5),0)</f>
        <v>87301</v>
      </c>
      <c r="E61" s="107">
        <f>ROUND(PMT(マスタ!$B$6/計算過程!$B$6,E$51,-$B61*計算過程!$B$5),0)</f>
        <v>59542</v>
      </c>
      <c r="F61" s="107">
        <f>ROUND(PMT(マスタ!$B$6/計算過程!$B$6,F$51,-$B61*計算過程!$B$5),0)</f>
        <v>45678</v>
      </c>
      <c r="G61" s="107">
        <f>ROUND(PMT(マスタ!$B$6/計算過程!$B$6,G$51,-$B61*計算過程!$B$5),0)</f>
        <v>37371</v>
      </c>
      <c r="H61" s="107">
        <f>ROUND(PMT(マスタ!$B$6/計算過程!$B$6,H$51,-$B61*計算過程!$B$5),0)</f>
        <v>31843</v>
      </c>
    </row>
    <row r="62" spans="2:8">
      <c r="B62" s="111">
        <v>1100</v>
      </c>
      <c r="C62" s="107">
        <f>ROUND(PMT(マスタ!$B$6/計算過程!$B$6,C$51,-$B62*計算過程!$B$5),0)</f>
        <v>187700</v>
      </c>
      <c r="D62" s="107">
        <f>ROUND(PMT(マスタ!$B$6/計算過程!$B$6,D$51,-$B62*計算過程!$B$5),0)</f>
        <v>96031</v>
      </c>
      <c r="E62" s="107">
        <f>ROUND(PMT(マスタ!$B$6/計算過程!$B$6,E$51,-$B62*計算過程!$B$5),0)</f>
        <v>65496</v>
      </c>
      <c r="F62" s="107">
        <f>ROUND(PMT(マスタ!$B$6/計算過程!$B$6,F$51,-$B62*計算過程!$B$5),0)</f>
        <v>50246</v>
      </c>
      <c r="G62" s="107">
        <f>ROUND(PMT(マスタ!$B$6/計算過程!$B$6,G$51,-$B62*計算過程!$B$5),0)</f>
        <v>41108</v>
      </c>
      <c r="H62" s="107">
        <f>ROUND(PMT(マスタ!$B$6/計算過程!$B$6,H$51,-$B62*計算過程!$B$5),0)</f>
        <v>35028</v>
      </c>
    </row>
    <row r="63" spans="2:8">
      <c r="B63" s="111">
        <v>1200</v>
      </c>
      <c r="C63" s="107">
        <f>ROUND(PMT(マスタ!$B$6/計算過程!$B$6,C$51,-$B63*計算過程!$B$5),0)</f>
        <v>204764</v>
      </c>
      <c r="D63" s="107">
        <f>ROUND(PMT(マスタ!$B$6/計算過程!$B$6,D$51,-$B63*計算過程!$B$5),0)</f>
        <v>104761</v>
      </c>
      <c r="E63" s="107">
        <f>ROUND(PMT(マスタ!$B$6/計算過程!$B$6,E$51,-$B63*計算過程!$B$5),0)</f>
        <v>71451</v>
      </c>
      <c r="F63" s="107">
        <f>ROUND(PMT(マスタ!$B$6/計算過程!$B$6,F$51,-$B63*計算過程!$B$5),0)</f>
        <v>54813</v>
      </c>
      <c r="G63" s="107">
        <f>ROUND(PMT(マスタ!$B$6/計算過程!$B$6,G$51,-$B63*計算過程!$B$5),0)</f>
        <v>44845</v>
      </c>
      <c r="H63" s="107">
        <f>ROUND(PMT(マスタ!$B$6/計算過程!$B$6,H$51,-$B63*計算過程!$B$5),0)</f>
        <v>38212</v>
      </c>
    </row>
    <row r="64" spans="2:8">
      <c r="B64" s="111">
        <v>1300</v>
      </c>
      <c r="C64" s="107">
        <f>ROUND(PMT(マスタ!$B$6/計算過程!$B$6,C$51,-$B64*計算過程!$B$5),0)</f>
        <v>221827</v>
      </c>
      <c r="D64" s="107">
        <f>ROUND(PMT(マスタ!$B$6/計算過程!$B$6,D$51,-$B64*計算過程!$B$5),0)</f>
        <v>113491</v>
      </c>
      <c r="E64" s="107">
        <f>ROUND(PMT(マスタ!$B$6/計算過程!$B$6,E$51,-$B64*計算過程!$B$5),0)</f>
        <v>77405</v>
      </c>
      <c r="F64" s="107">
        <f>ROUND(PMT(マスタ!$B$6/計算過程!$B$6,F$51,-$B64*計算過程!$B$5),0)</f>
        <v>59381</v>
      </c>
      <c r="G64" s="107">
        <f>ROUND(PMT(マスタ!$B$6/計算過程!$B$6,G$51,-$B64*計算過程!$B$5),0)</f>
        <v>48583</v>
      </c>
      <c r="H64" s="107">
        <f>ROUND(PMT(マスタ!$B$6/計算過程!$B$6,H$51,-$B64*計算過程!$B$5),0)</f>
        <v>41396</v>
      </c>
    </row>
    <row r="65" spans="2:8">
      <c r="B65" s="111">
        <v>1400</v>
      </c>
      <c r="C65" s="107">
        <f>ROUND(PMT(マスタ!$B$6/計算過程!$B$6,C$51,-$B65*計算過程!$B$5),0)</f>
        <v>238891</v>
      </c>
      <c r="D65" s="107">
        <f>ROUND(PMT(マスタ!$B$6/計算過程!$B$6,D$51,-$B65*計算過程!$B$5),0)</f>
        <v>122221</v>
      </c>
      <c r="E65" s="107">
        <f>ROUND(PMT(マスタ!$B$6/計算過程!$B$6,E$51,-$B65*計算過程!$B$5),0)</f>
        <v>83359</v>
      </c>
      <c r="F65" s="107">
        <f>ROUND(PMT(マスタ!$B$6/計算過程!$B$6,F$51,-$B65*計算過程!$B$5),0)</f>
        <v>63949</v>
      </c>
      <c r="G65" s="107">
        <f>ROUND(PMT(マスタ!$B$6/計算過程!$B$6,G$51,-$B65*計算過程!$B$5),0)</f>
        <v>52320</v>
      </c>
      <c r="H65" s="107">
        <f>ROUND(PMT(マスタ!$B$6/計算過程!$B$6,H$51,-$B65*計算過程!$B$5),0)</f>
        <v>44581</v>
      </c>
    </row>
    <row r="66" spans="2:8">
      <c r="B66" s="111">
        <v>1500</v>
      </c>
      <c r="C66" s="107">
        <f>ROUND(PMT(マスタ!$B$6/計算過程!$B$6,C$51,-$B66*計算過程!$B$5),0)</f>
        <v>255954</v>
      </c>
      <c r="D66" s="107">
        <f>ROUND(PMT(マスタ!$B$6/計算過程!$B$6,D$51,-$B66*計算過程!$B$5),0)</f>
        <v>130951</v>
      </c>
      <c r="E66" s="107">
        <f>ROUND(PMT(マスタ!$B$6/計算過程!$B$6,E$51,-$B66*計算過程!$B$5),0)</f>
        <v>89313</v>
      </c>
      <c r="F66" s="107">
        <f>ROUND(PMT(マスタ!$B$6/計算過程!$B$6,F$51,-$B66*計算過程!$B$5),0)</f>
        <v>68517</v>
      </c>
      <c r="G66" s="107">
        <f>ROUND(PMT(マスタ!$B$6/計算過程!$B$6,G$51,-$B66*計算過程!$B$5),0)</f>
        <v>56057</v>
      </c>
      <c r="H66" s="107">
        <f>ROUND(PMT(マスタ!$B$6/計算過程!$B$6,H$51,-$B66*計算過程!$B$5),0)</f>
        <v>47765</v>
      </c>
    </row>
    <row r="67" spans="2:8">
      <c r="B67" s="111">
        <v>1600</v>
      </c>
      <c r="C67" s="107">
        <f>ROUND(PMT(マスタ!$B$6/計算過程!$B$6,C$51,-$B67*計算過程!$B$5),0)</f>
        <v>273018</v>
      </c>
      <c r="D67" s="107">
        <f>ROUND(PMT(マスタ!$B$6/計算過程!$B$6,D$51,-$B67*計算過程!$B$5),0)</f>
        <v>139681</v>
      </c>
      <c r="E67" s="107">
        <f>ROUND(PMT(マスタ!$B$6/計算過程!$B$6,E$51,-$B67*計算過程!$B$5),0)</f>
        <v>95267</v>
      </c>
      <c r="F67" s="107">
        <f>ROUND(PMT(マスタ!$B$6/計算過程!$B$6,F$51,-$B67*計算過程!$B$5),0)</f>
        <v>73085</v>
      </c>
      <c r="G67" s="107">
        <f>ROUND(PMT(マスタ!$B$6/計算過程!$B$6,G$51,-$B67*計算過程!$B$5),0)</f>
        <v>59794</v>
      </c>
      <c r="H67" s="107">
        <f>ROUND(PMT(マスタ!$B$6/計算過程!$B$6,H$51,-$B67*計算過程!$B$5),0)</f>
        <v>50949</v>
      </c>
    </row>
    <row r="68" spans="2:8">
      <c r="B68" s="111">
        <v>1700</v>
      </c>
      <c r="C68" s="107">
        <f>ROUND(PMT(マスタ!$B$6/計算過程!$B$6,C$51,-$B68*計算過程!$B$5),0)</f>
        <v>290082</v>
      </c>
      <c r="D68" s="107">
        <f>ROUND(PMT(マスタ!$B$6/計算過程!$B$6,D$51,-$B68*計算過程!$B$5),0)</f>
        <v>148411</v>
      </c>
      <c r="E68" s="107">
        <f>ROUND(PMT(マスタ!$B$6/計算過程!$B$6,E$51,-$B68*計算過程!$B$5),0)</f>
        <v>101222</v>
      </c>
      <c r="F68" s="107">
        <f>ROUND(PMT(マスタ!$B$6/計算過程!$B$6,F$51,-$B68*計算過程!$B$5),0)</f>
        <v>77652</v>
      </c>
      <c r="G68" s="107">
        <f>ROUND(PMT(マスタ!$B$6/計算過程!$B$6,G$51,-$B68*計算過程!$B$5),0)</f>
        <v>63531</v>
      </c>
      <c r="H68" s="107">
        <f>ROUND(PMT(マスタ!$B$6/計算過程!$B$6,H$51,-$B68*計算過程!$B$5),0)</f>
        <v>54134</v>
      </c>
    </row>
    <row r="69" spans="2:8">
      <c r="B69" s="111">
        <v>1800</v>
      </c>
      <c r="C69" s="107">
        <f>ROUND(PMT(マスタ!$B$6/計算過程!$B$6,C$51,-$B69*計算過程!$B$5),0)</f>
        <v>307145</v>
      </c>
      <c r="D69" s="107">
        <f>ROUND(PMT(マスタ!$B$6/計算過程!$B$6,D$51,-$B69*計算過程!$B$5),0)</f>
        <v>157141</v>
      </c>
      <c r="E69" s="107">
        <f>ROUND(PMT(マスタ!$B$6/計算過程!$B$6,E$51,-$B69*計算過程!$B$5),0)</f>
        <v>107176</v>
      </c>
      <c r="F69" s="107">
        <f>ROUND(PMT(マスタ!$B$6/計算過程!$B$6,F$51,-$B69*計算過程!$B$5),0)</f>
        <v>82220</v>
      </c>
      <c r="G69" s="107">
        <f>ROUND(PMT(マスタ!$B$6/計算過程!$B$6,G$51,-$B69*計算過程!$B$5),0)</f>
        <v>67268</v>
      </c>
      <c r="H69" s="107">
        <f>ROUND(PMT(マスタ!$B$6/計算過程!$B$6,H$51,-$B69*計算過程!$B$5),0)</f>
        <v>57318</v>
      </c>
    </row>
    <row r="70" spans="2:8">
      <c r="B70" s="111">
        <v>1900</v>
      </c>
      <c r="C70" s="107">
        <f>ROUND(PMT(マスタ!$B$6/計算過程!$B$6,C$51,-$B70*計算過程!$B$5),0)</f>
        <v>324209</v>
      </c>
      <c r="D70" s="107">
        <f>ROUND(PMT(マスタ!$B$6/計算過程!$B$6,D$51,-$B70*計算過程!$B$5),0)</f>
        <v>165871</v>
      </c>
      <c r="E70" s="107">
        <f>ROUND(PMT(マスタ!$B$6/計算過程!$B$6,E$51,-$B70*計算過程!$B$5),0)</f>
        <v>113130</v>
      </c>
      <c r="F70" s="107">
        <f>ROUND(PMT(マスタ!$B$6/計算過程!$B$6,F$51,-$B70*計算過程!$B$5),0)</f>
        <v>86788</v>
      </c>
      <c r="G70" s="107">
        <f>ROUND(PMT(マスタ!$B$6/計算過程!$B$6,G$51,-$B70*計算過程!$B$5),0)</f>
        <v>71005</v>
      </c>
      <c r="H70" s="107">
        <f>ROUND(PMT(マスタ!$B$6/計算過程!$B$6,H$51,-$B70*計算過程!$B$5),0)</f>
        <v>60503</v>
      </c>
    </row>
  </sheetData>
  <sheetProtection sheet="1" objects="1" scenarios="1"/>
  <phoneticPr fontId="46"/>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4B183"/>
  </sheetPr>
  <dimension ref="B1:D22"/>
  <sheetViews>
    <sheetView showGridLines="0" zoomScaleNormal="100" workbookViewId="0"/>
  </sheetViews>
  <sheetFormatPr defaultColWidth="8.5546875" defaultRowHeight="13.2"/>
  <cols>
    <col min="1" max="1" width="2" customWidth="1"/>
    <col min="2" max="2" width="26" customWidth="1"/>
    <col min="3" max="3" width="52" customWidth="1"/>
    <col min="4" max="4" width="30" customWidth="1"/>
  </cols>
  <sheetData>
    <row r="1" spans="2:4" ht="17.399999999999999">
      <c r="B1" s="15" t="s">
        <v>267</v>
      </c>
    </row>
    <row r="2" spans="2:4">
      <c r="B2" s="20" t="s">
        <v>268</v>
      </c>
    </row>
    <row r="4" spans="2:4">
      <c r="B4" s="14" t="s">
        <v>269</v>
      </c>
      <c r="C4" s="14"/>
      <c r="D4" s="14"/>
    </row>
    <row r="5" spans="2:4">
      <c r="B5" s="23" t="s">
        <v>44</v>
      </c>
      <c r="C5" s="28" t="str">
        <f>IF(申込シミュレーション!$C$8="","",申込シミュレーション!$C$8)</f>
        <v>広島 太郎</v>
      </c>
    </row>
    <row r="6" spans="2:4">
      <c r="B6" s="23" t="s">
        <v>270</v>
      </c>
      <c r="C6" s="28" t="str">
        <f>IF(申込シミュレーション!$C$7="","",申込シミュレーション!$C$7)</f>
        <v>○○局○○課</v>
      </c>
    </row>
    <row r="7" spans="2:4">
      <c r="B7" s="23" t="s">
        <v>116</v>
      </c>
      <c r="C7" s="28" t="str">
        <f>IF(申込シミュレーション!$C$9="","",申込シミュレーション!$C$9)</f>
        <v>普通貸付:自動車購入</v>
      </c>
    </row>
    <row r="8" spans="2:4">
      <c r="B8" s="23" t="s">
        <v>271</v>
      </c>
      <c r="C8" s="28" t="str">
        <f>TEXT(計算過程!$B$65,"#,##0")&amp;"円"</f>
        <v>1,500,000円</v>
      </c>
    </row>
    <row r="9" spans="2:4">
      <c r="B9" s="23" t="s">
        <v>40</v>
      </c>
      <c r="C9" s="28" t="str">
        <f>計算過程!$B$160</f>
        <v>申込可能</v>
      </c>
    </row>
    <row r="11" spans="2:4" ht="6" customHeight="1"/>
    <row r="12" spans="2:4">
      <c r="B12" s="14" t="s">
        <v>272</v>
      </c>
      <c r="C12" s="14"/>
      <c r="D12" s="14"/>
    </row>
    <row r="13" spans="2:4" ht="39.75" customHeight="1"/>
    <row r="14" spans="2:4">
      <c r="B14" s="22" t="s">
        <v>273</v>
      </c>
    </row>
    <row r="16" spans="2:4">
      <c r="B16" s="14" t="s">
        <v>274</v>
      </c>
      <c r="C16" s="14"/>
      <c r="D16" s="14"/>
    </row>
    <row r="17" spans="2:4" ht="18" customHeight="1">
      <c r="B17" s="218" t="s">
        <v>275</v>
      </c>
      <c r="C17" s="218"/>
      <c r="D17" s="218"/>
    </row>
    <row r="18" spans="2:4" ht="30" customHeight="1">
      <c r="B18" s="218" t="s">
        <v>276</v>
      </c>
      <c r="C18" s="218"/>
      <c r="D18" s="218"/>
    </row>
    <row r="19" spans="2:4" ht="18" customHeight="1">
      <c r="B19" s="218" t="s">
        <v>277</v>
      </c>
      <c r="C19" s="218"/>
      <c r="D19" s="218"/>
    </row>
    <row r="20" spans="2:4" ht="30" customHeight="1">
      <c r="B20" s="218" t="s">
        <v>278</v>
      </c>
      <c r="C20" s="218"/>
      <c r="D20" s="218"/>
    </row>
    <row r="21" spans="2:4" ht="18" customHeight="1">
      <c r="B21" s="218" t="s">
        <v>279</v>
      </c>
      <c r="C21" s="218"/>
      <c r="D21" s="218"/>
    </row>
    <row r="22" spans="2:4" ht="43.5" customHeight="1">
      <c r="B22" s="12" t="s">
        <v>280</v>
      </c>
      <c r="C22" s="12"/>
      <c r="D22" s="12"/>
    </row>
  </sheetData>
  <mergeCells count="9">
    <mergeCell ref="B19:D19"/>
    <mergeCell ref="B20:D20"/>
    <mergeCell ref="B21:D21"/>
    <mergeCell ref="B22:D22"/>
    <mergeCell ref="B4:D4"/>
    <mergeCell ref="B12:D12"/>
    <mergeCell ref="B16:D16"/>
    <mergeCell ref="B17:D17"/>
    <mergeCell ref="B18:D18"/>
  </mergeCells>
  <phoneticPr fontId="46"/>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ke_Shakuyo">
                <anchor moveWithCells="1" sizeWithCells="1">
                  <from>
                    <xdr:col>1</xdr:col>
                    <xdr:colOff>30480</xdr:colOff>
                    <xdr:row>12</xdr:row>
                    <xdr:rowOff>30480</xdr:rowOff>
                  </from>
                  <to>
                    <xdr:col>2</xdr:col>
                    <xdr:colOff>327660</xdr:colOff>
                    <xdr:row>12</xdr:row>
                    <xdr:rowOff>274320</xdr:rowOff>
                  </to>
                </anchor>
              </controlPr>
            </control>
          </mc:Choice>
        </mc:AlternateContent>
        <mc:AlternateContent xmlns:mc="http://schemas.openxmlformats.org/markup-compatibility/2006">
          <mc:Choice Requires="x14">
            <control shapeId="2050" r:id="rId4" name="Button 2">
              <controlPr defaultSize="0" print="0" autoFill="0" autoPict="0" macro="[0]!Make_Soesho">
                <anchor moveWithCells="1" sizeWithCells="1">
                  <from>
                    <xdr:col>2</xdr:col>
                    <xdr:colOff>30480</xdr:colOff>
                    <xdr:row>12</xdr:row>
                    <xdr:rowOff>30480</xdr:rowOff>
                  </from>
                  <to>
                    <xdr:col>2</xdr:col>
                    <xdr:colOff>1752600</xdr:colOff>
                    <xdr:row>12</xdr:row>
                    <xdr:rowOff>274320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A9D08E"/>
  </sheetPr>
  <dimension ref="B1:E53"/>
  <sheetViews>
    <sheetView showGridLines="0" zoomScaleNormal="100" workbookViewId="0">
      <pane ySplit="3" topLeftCell="A4" activePane="bottomLeft" state="frozen"/>
      <selection pane="bottomLeft" activeCell="D66" sqref="D66"/>
    </sheetView>
  </sheetViews>
  <sheetFormatPr defaultColWidth="8.5546875" defaultRowHeight="13.2"/>
  <cols>
    <col min="1" max="1" width="2" customWidth="1"/>
    <col min="2" max="3" width="34" customWidth="1"/>
    <col min="4" max="4" width="62" customWidth="1"/>
    <col min="5" max="5" width="46" customWidth="1"/>
  </cols>
  <sheetData>
    <row r="1" spans="2:5" ht="16.2">
      <c r="B1" s="15" t="s">
        <v>281</v>
      </c>
    </row>
    <row r="2" spans="2:5" ht="30" customHeight="1">
      <c r="B2" s="219" t="s">
        <v>282</v>
      </c>
      <c r="C2" s="219"/>
      <c r="D2" s="219"/>
      <c r="E2" s="219"/>
    </row>
    <row r="4" spans="2:5">
      <c r="B4" s="14" t="s">
        <v>283</v>
      </c>
      <c r="C4" s="14"/>
      <c r="D4" s="14"/>
      <c r="E4" s="14"/>
    </row>
    <row r="5" spans="2:5">
      <c r="B5" s="48" t="s">
        <v>284</v>
      </c>
      <c r="C5" s="48" t="s">
        <v>285</v>
      </c>
      <c r="D5" s="48" t="s">
        <v>286</v>
      </c>
      <c r="E5" s="48" t="s">
        <v>287</v>
      </c>
    </row>
    <row r="6" spans="2:5" ht="67.5" customHeight="1">
      <c r="B6" s="112" t="s">
        <v>288</v>
      </c>
      <c r="C6" s="113" t="s">
        <v>289</v>
      </c>
      <c r="D6" s="17" t="s">
        <v>290</v>
      </c>
      <c r="E6" s="17" t="s">
        <v>291</v>
      </c>
    </row>
    <row r="7" spans="2:5" ht="36" customHeight="1">
      <c r="B7" s="112" t="s">
        <v>292</v>
      </c>
      <c r="C7" s="113" t="s">
        <v>293</v>
      </c>
      <c r="D7" s="19" t="s">
        <v>294</v>
      </c>
      <c r="E7" s="17" t="s">
        <v>295</v>
      </c>
    </row>
    <row r="8" spans="2:5" ht="51.75" customHeight="1">
      <c r="B8" s="112" t="s">
        <v>296</v>
      </c>
      <c r="C8" s="113" t="s">
        <v>297</v>
      </c>
      <c r="D8" s="19" t="s">
        <v>298</v>
      </c>
      <c r="E8" s="17" t="s">
        <v>299</v>
      </c>
    </row>
    <row r="9" spans="2:5" ht="36" customHeight="1">
      <c r="B9" s="114" t="s">
        <v>300</v>
      </c>
      <c r="C9" s="113" t="s">
        <v>301</v>
      </c>
      <c r="D9" s="19" t="s">
        <v>302</v>
      </c>
      <c r="E9" s="17" t="s">
        <v>303</v>
      </c>
    </row>
    <row r="10" spans="2:5" ht="36" customHeight="1">
      <c r="B10" s="112" t="s">
        <v>304</v>
      </c>
      <c r="C10" s="113" t="s">
        <v>305</v>
      </c>
      <c r="D10" s="17" t="s">
        <v>306</v>
      </c>
      <c r="E10" s="17" t="s">
        <v>307</v>
      </c>
    </row>
    <row r="11" spans="2:5" ht="36" customHeight="1">
      <c r="B11" s="112" t="s">
        <v>308</v>
      </c>
      <c r="C11" s="113" t="s">
        <v>309</v>
      </c>
      <c r="D11" s="17" t="s">
        <v>310</v>
      </c>
      <c r="E11" s="17" t="s">
        <v>311</v>
      </c>
    </row>
    <row r="12" spans="2:5" ht="19.5" customHeight="1">
      <c r="B12" s="112" t="s">
        <v>312</v>
      </c>
      <c r="C12" s="113" t="s">
        <v>313</v>
      </c>
      <c r="D12" s="17" t="s">
        <v>314</v>
      </c>
      <c r="E12" s="17" t="s">
        <v>315</v>
      </c>
    </row>
    <row r="13" spans="2:5" ht="19.5" customHeight="1">
      <c r="B13" s="112" t="s">
        <v>316</v>
      </c>
      <c r="C13" s="113" t="s">
        <v>317</v>
      </c>
      <c r="D13" s="17" t="s">
        <v>318</v>
      </c>
      <c r="E13" s="17" t="s">
        <v>319</v>
      </c>
    </row>
    <row r="14" spans="2:5" ht="36" customHeight="1">
      <c r="B14" s="112" t="s">
        <v>320</v>
      </c>
      <c r="C14" s="113" t="s">
        <v>321</v>
      </c>
      <c r="D14" s="17" t="s">
        <v>322</v>
      </c>
      <c r="E14" s="17" t="s">
        <v>323</v>
      </c>
    </row>
    <row r="15" spans="2:5" ht="51.75" customHeight="1">
      <c r="B15" s="114" t="s">
        <v>324</v>
      </c>
      <c r="C15" s="115" t="s">
        <v>325</v>
      </c>
      <c r="D15" s="19" t="s">
        <v>326</v>
      </c>
      <c r="E15" s="17" t="s">
        <v>327</v>
      </c>
    </row>
    <row r="16" spans="2:5" ht="36" customHeight="1">
      <c r="B16" s="112" t="s">
        <v>328</v>
      </c>
      <c r="C16" s="113" t="s">
        <v>329</v>
      </c>
      <c r="D16" s="17" t="s">
        <v>330</v>
      </c>
      <c r="E16" s="17" t="s">
        <v>331</v>
      </c>
    </row>
    <row r="18" spans="2:5">
      <c r="B18" s="14" t="s">
        <v>332</v>
      </c>
      <c r="C18" s="14"/>
      <c r="D18" s="14"/>
      <c r="E18" s="14"/>
    </row>
    <row r="19" spans="2:5" ht="15" customHeight="1">
      <c r="B19" s="222" t="s">
        <v>333</v>
      </c>
      <c r="C19" s="12" t="s">
        <v>334</v>
      </c>
      <c r="D19" s="12"/>
      <c r="E19" s="12"/>
    </row>
    <row r="20" spans="2:5" ht="15" customHeight="1">
      <c r="B20" s="117" t="s">
        <v>335</v>
      </c>
      <c r="C20" s="12" t="s">
        <v>336</v>
      </c>
      <c r="D20" s="12"/>
      <c r="E20" s="12"/>
    </row>
    <row r="21" spans="2:5" ht="15" customHeight="1">
      <c r="B21" s="23" t="s">
        <v>337</v>
      </c>
      <c r="C21" s="12" t="s">
        <v>338</v>
      </c>
      <c r="D21" s="12"/>
      <c r="E21" s="12"/>
    </row>
    <row r="22" spans="2:5" ht="15" customHeight="1">
      <c r="B22" s="53" t="s">
        <v>339</v>
      </c>
      <c r="C22" s="12" t="s">
        <v>340</v>
      </c>
      <c r="D22" s="12"/>
      <c r="E22" s="12"/>
    </row>
    <row r="24" spans="2:5">
      <c r="B24" s="14" t="s">
        <v>341</v>
      </c>
      <c r="C24" s="14"/>
      <c r="D24" s="14"/>
      <c r="E24" s="14"/>
    </row>
    <row r="25" spans="2:5" ht="30" customHeight="1">
      <c r="B25" s="12" t="s">
        <v>342</v>
      </c>
      <c r="C25" s="12"/>
      <c r="D25" s="12"/>
      <c r="E25" s="12"/>
    </row>
    <row r="26" spans="2:5" ht="30" customHeight="1">
      <c r="B26" s="218" t="s">
        <v>343</v>
      </c>
      <c r="C26" s="218"/>
      <c r="D26" s="218"/>
      <c r="E26" s="218"/>
    </row>
    <row r="27" spans="2:5" ht="30" customHeight="1">
      <c r="B27" s="12" t="s">
        <v>344</v>
      </c>
      <c r="C27" s="12"/>
      <c r="D27" s="12"/>
      <c r="E27" s="12"/>
    </row>
    <row r="28" spans="2:5" ht="30" customHeight="1">
      <c r="B28" s="12" t="s">
        <v>345</v>
      </c>
      <c r="C28" s="12"/>
      <c r="D28" s="12"/>
      <c r="E28" s="12"/>
    </row>
    <row r="30" spans="2:5">
      <c r="B30" s="23" t="s">
        <v>346</v>
      </c>
      <c r="C30" s="229" t="s">
        <v>347</v>
      </c>
      <c r="D30" s="22" t="s">
        <v>348</v>
      </c>
    </row>
    <row r="31" spans="2:5">
      <c r="B31" s="23" t="s">
        <v>349</v>
      </c>
      <c r="C31" s="230">
        <v>150</v>
      </c>
      <c r="D31" s="22" t="s">
        <v>350</v>
      </c>
    </row>
    <row r="32" spans="2:5">
      <c r="B32" s="23" t="s">
        <v>74</v>
      </c>
      <c r="C32" s="231">
        <v>60</v>
      </c>
      <c r="D32" s="22" t="s">
        <v>351</v>
      </c>
    </row>
    <row r="33" spans="2:5">
      <c r="B33" s="23" t="s">
        <v>352</v>
      </c>
      <c r="C33" s="232"/>
      <c r="D33" s="22" t="s">
        <v>353</v>
      </c>
    </row>
    <row r="35" spans="2:5">
      <c r="B35" s="23" t="s">
        <v>354</v>
      </c>
      <c r="C35" s="29">
        <f>IF(C30="災害",マスタ!$B$6,IF(C30="住宅",マスタ!$B$5,マスタ!$B$4))</f>
        <v>1.26E-2</v>
      </c>
      <c r="D35" s="22" t="s">
        <v>355</v>
      </c>
    </row>
    <row r="36" spans="2:5">
      <c r="B36" s="23" t="s">
        <v>356</v>
      </c>
      <c r="C36" s="118">
        <f>C35/計算過程!$B$6</f>
        <v>1.0499999999999999E-3</v>
      </c>
      <c r="D36" s="22" t="s">
        <v>357</v>
      </c>
    </row>
    <row r="37" spans="2:5">
      <c r="B37" s="23" t="s">
        <v>358</v>
      </c>
      <c r="C37" s="119">
        <f>PMT(C36,C32,-C31*計算過程!$B$5)</f>
        <v>25808.886570206858</v>
      </c>
      <c r="D37" s="22" t="s">
        <v>359</v>
      </c>
    </row>
    <row r="38" spans="2:5">
      <c r="B38" s="23" t="s">
        <v>360</v>
      </c>
      <c r="C38" s="38">
        <f>CHOOSE(計算過程!$B$73,ROUND(C37,0),ROUNDDOWN(C37,0),ROUNDUP(C37,0))</f>
        <v>25809</v>
      </c>
      <c r="D38" s="22" t="s">
        <v>361</v>
      </c>
    </row>
    <row r="39" spans="2:5">
      <c r="B39" s="120" t="s">
        <v>362</v>
      </c>
      <c r="C39" s="31">
        <f>CHOOSE(計算過程!$B$72,ROUND(C31*計算過程!$B$5*C36,0),ROUNDDOWN(C31*計算過程!$B$5*C36,0),ROUNDUP(C31*計算過程!$B$5*C36,0))</f>
        <v>1575</v>
      </c>
      <c r="D39" s="22" t="s">
        <v>363</v>
      </c>
    </row>
    <row r="40" spans="2:5">
      <c r="B40" s="120" t="s">
        <v>364</v>
      </c>
      <c r="C40" s="31">
        <f>C38-C39</f>
        <v>24234</v>
      </c>
      <c r="D40" s="22" t="s">
        <v>365</v>
      </c>
    </row>
    <row r="41" spans="2:5">
      <c r="B41" s="120" t="s">
        <v>366</v>
      </c>
      <c r="C41" s="31">
        <f>C31*計算過程!$B$5-C40</f>
        <v>1475766</v>
      </c>
      <c r="D41" s="22" t="s">
        <v>367</v>
      </c>
    </row>
    <row r="42" spans="2:5">
      <c r="B42" s="23" t="s">
        <v>368</v>
      </c>
      <c r="C42" s="31" t="str">
        <f>IF(C33="","",C33-C38)</f>
        <v/>
      </c>
      <c r="D42" s="22" t="s">
        <v>369</v>
      </c>
    </row>
    <row r="43" spans="2:5">
      <c r="B43" s="23" t="s">
        <v>370</v>
      </c>
      <c r="C43" s="121" t="str">
        <f>IF(C33="","(共済組合の毎月償還額を入力すると判定します)",IF(C42=0,"○ 一致",IF(ABS(C42)&lt;=5,"△ 数円の差(端数処理の設定を見直す)","× 差が大きい(利率・回数を確認する)")))</f>
        <v>(共済組合の毎月償還額を入力すると判定します)</v>
      </c>
      <c r="D43" s="22" t="s">
        <v>371</v>
      </c>
    </row>
    <row r="45" spans="2:5">
      <c r="B45" s="14" t="s">
        <v>372</v>
      </c>
      <c r="C45" s="14"/>
      <c r="D45" s="14"/>
      <c r="E45" s="14"/>
    </row>
    <row r="46" spans="2:5">
      <c r="B46" s="48" t="s">
        <v>373</v>
      </c>
      <c r="C46" s="48" t="s">
        <v>374</v>
      </c>
      <c r="D46" s="48" t="s">
        <v>375</v>
      </c>
      <c r="E46" s="48" t="s">
        <v>376</v>
      </c>
    </row>
    <row r="47" spans="2:5">
      <c r="B47" s="233"/>
      <c r="C47" s="234"/>
      <c r="D47" s="234"/>
      <c r="E47" s="234"/>
    </row>
    <row r="48" spans="2:5">
      <c r="B48" s="233"/>
      <c r="C48" s="234"/>
      <c r="D48" s="234"/>
      <c r="E48" s="234"/>
    </row>
    <row r="49" spans="2:5">
      <c r="B49" s="233"/>
      <c r="C49" s="234"/>
      <c r="D49" s="234"/>
      <c r="E49" s="234"/>
    </row>
    <row r="50" spans="2:5">
      <c r="B50" s="233"/>
      <c r="C50" s="234"/>
      <c r="D50" s="234"/>
      <c r="E50" s="234"/>
    </row>
    <row r="51" spans="2:5">
      <c r="B51" s="233"/>
      <c r="C51" s="234"/>
      <c r="D51" s="234"/>
      <c r="E51" s="234"/>
    </row>
    <row r="52" spans="2:5">
      <c r="B52" s="233"/>
      <c r="C52" s="234"/>
      <c r="D52" s="234"/>
      <c r="E52" s="234"/>
    </row>
  </sheetData>
  <sheetProtection sheet="1" objects="1" scenarios="1"/>
  <mergeCells count="13">
    <mergeCell ref="B27:E27"/>
    <mergeCell ref="B28:E28"/>
    <mergeCell ref="B45:E45"/>
    <mergeCell ref="C21:E21"/>
    <mergeCell ref="C22:E22"/>
    <mergeCell ref="B24:E24"/>
    <mergeCell ref="B25:E25"/>
    <mergeCell ref="B26:E26"/>
    <mergeCell ref="B2:E2"/>
    <mergeCell ref="B4:E4"/>
    <mergeCell ref="B18:E18"/>
    <mergeCell ref="C19:E19"/>
    <mergeCell ref="C20:E20"/>
  </mergeCells>
  <phoneticPr fontId="46"/>
  <dataValidations count="1">
    <dataValidation type="list" showInputMessage="1" showErrorMessage="1" errorTitle="利率の種類" error="一覧から選んでください。" promptTitle="利率の種類" prompt="普通・特別/住宅/災害から選びます。" sqref="C30" xr:uid="{00000000-0002-0000-0700-000000000000}">
      <formula1>"普通・特別,住宅,災害"</formula1>
      <formula2>0</formula2>
    </dataValidation>
  </dataValidations>
  <hyperlinks>
    <hyperlink ref="C6" location="'マスタ'!B4" display="マスタ B4〜B6(利率)" xr:uid="{00000000-0004-0000-0700-000000000000}"/>
    <hyperlink ref="C7" location="'マスタ'!B7" display="マスタ B7" xr:uid="{00000000-0004-0000-0700-000001000000}"/>
    <hyperlink ref="C8" location="'マスタ'!I5" display="マスタ I5・I6(端数処理)" xr:uid="{00000000-0004-0000-0700-000002000000}"/>
    <hyperlink ref="C9" location="'マスタ'!B8" display="マスタ B8" xr:uid="{00000000-0004-0000-0700-000003000000}"/>
    <hyperlink ref="C10" location="'マスタ'!G22" display="マスタ 貸付区分表 G列" xr:uid="{00000000-0004-0000-0700-000004000000}"/>
    <hyperlink ref="C11" location="'マスタ'!E22" display="マスタ 貸付区分表 E列 / 表3" xr:uid="{00000000-0004-0000-0700-000005000000}"/>
    <hyperlink ref="C12" location="'マスタ'!I22" display="マスタ 貸付区分表 I列" xr:uid="{00000000-0004-0000-0700-000006000000}"/>
    <hyperlink ref="C13" location="'マスタ'!A54" display="マスタ 4〜6(書類の表)" xr:uid="{00000000-0004-0000-0700-000007000000}"/>
    <hyperlink ref="C14" location="'マスタ'!A92" display="マスタ 8(休日・祝日)" xr:uid="{00000000-0004-0000-0700-000008000000}"/>
    <hyperlink ref="C15" location="'福利課用'!B1" display="Wordテンプレート(.docx)" xr:uid="{00000000-0004-0000-0700-000009000000}"/>
    <hyperlink ref="C16" location="'マスタ'!A22" display="マスタ 貸付区分表" xr:uid="{00000000-0004-0000-0700-00000A000000}"/>
  </hyperlink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A9D08E"/>
  </sheetPr>
  <dimension ref="A1:S152"/>
  <sheetViews>
    <sheetView zoomScaleNormal="100" workbookViewId="0">
      <pane ySplit="2" topLeftCell="A42" activePane="bottomLeft" state="frozen"/>
      <selection pane="bottomLeft" activeCell="E33" sqref="E33"/>
    </sheetView>
  </sheetViews>
  <sheetFormatPr defaultColWidth="8.5546875" defaultRowHeight="13.2"/>
  <cols>
    <col min="1" max="1" width="34" customWidth="1"/>
    <col min="2" max="2" width="26" customWidth="1"/>
    <col min="3" max="10" width="12" customWidth="1"/>
    <col min="11" max="11" width="44" customWidth="1"/>
    <col min="12" max="12" width="34" customWidth="1"/>
    <col min="13" max="13" width="20" customWidth="1"/>
    <col min="14" max="15" width="10" customWidth="1"/>
    <col min="16" max="16" width="40" customWidth="1"/>
    <col min="17" max="18" width="10" customWidth="1"/>
    <col min="19" max="19" width="24" customWidth="1"/>
  </cols>
  <sheetData>
    <row r="1" spans="1:11" ht="15.6">
      <c r="A1" s="100" t="s">
        <v>986</v>
      </c>
    </row>
    <row r="2" spans="1:11">
      <c r="A2" s="21" t="s">
        <v>987</v>
      </c>
    </row>
    <row r="3" spans="1:11">
      <c r="A3" s="14" t="s">
        <v>988</v>
      </c>
      <c r="B3" s="14"/>
      <c r="C3" s="14"/>
      <c r="D3" s="14"/>
      <c r="F3" s="14" t="s">
        <v>989</v>
      </c>
      <c r="G3" s="14"/>
      <c r="H3" s="14"/>
      <c r="I3" s="14"/>
      <c r="J3" s="14"/>
      <c r="K3" s="14"/>
    </row>
    <row r="4" spans="1:11">
      <c r="A4" s="53" t="s">
        <v>990</v>
      </c>
      <c r="B4" s="235">
        <v>1.26E-2</v>
      </c>
      <c r="C4" s="21" t="s">
        <v>991</v>
      </c>
      <c r="F4" s="221" t="s">
        <v>992</v>
      </c>
      <c r="G4" s="221"/>
      <c r="H4" s="221"/>
      <c r="I4" s="236" t="s">
        <v>993</v>
      </c>
      <c r="J4" s="21" t="s">
        <v>994</v>
      </c>
    </row>
    <row r="5" spans="1:11">
      <c r="A5" s="53" t="s">
        <v>995</v>
      </c>
      <c r="B5" s="235">
        <v>1.26E-2</v>
      </c>
      <c r="C5" s="21" t="s">
        <v>996</v>
      </c>
      <c r="F5" s="221" t="s">
        <v>997</v>
      </c>
      <c r="G5" s="221"/>
      <c r="H5" s="221"/>
      <c r="I5" s="236" t="s">
        <v>998</v>
      </c>
      <c r="J5" s="21" t="s">
        <v>999</v>
      </c>
    </row>
    <row r="6" spans="1:11">
      <c r="A6" s="53" t="s">
        <v>1000</v>
      </c>
      <c r="B6" s="235">
        <v>9.2999999999999992E-3</v>
      </c>
      <c r="C6" s="21" t="s">
        <v>1001</v>
      </c>
      <c r="F6" s="221" t="s">
        <v>1002</v>
      </c>
      <c r="G6" s="221"/>
      <c r="H6" s="221"/>
      <c r="I6" s="236" t="s">
        <v>998</v>
      </c>
      <c r="J6" s="21" t="s">
        <v>1003</v>
      </c>
    </row>
    <row r="7" spans="1:11">
      <c r="A7" s="53" t="s">
        <v>1004</v>
      </c>
      <c r="B7" s="235">
        <v>2.5999999999999999E-3</v>
      </c>
      <c r="C7" s="21" t="s">
        <v>1005</v>
      </c>
    </row>
    <row r="8" spans="1:11">
      <c r="A8" s="53" t="s">
        <v>1006</v>
      </c>
      <c r="B8" s="237">
        <v>0.3</v>
      </c>
      <c r="C8" s="21" t="s">
        <v>1007</v>
      </c>
    </row>
    <row r="9" spans="1:11">
      <c r="A9" s="53" t="s">
        <v>1008</v>
      </c>
      <c r="B9" s="238">
        <v>4</v>
      </c>
      <c r="C9" s="21" t="s">
        <v>1009</v>
      </c>
    </row>
    <row r="10" spans="1:11">
      <c r="A10" s="53" t="s">
        <v>1010</v>
      </c>
      <c r="B10" s="239">
        <v>10</v>
      </c>
      <c r="C10" s="21" t="s">
        <v>1011</v>
      </c>
    </row>
    <row r="11" spans="1:11">
      <c r="A11" s="53" t="s">
        <v>1012</v>
      </c>
      <c r="B11" s="239">
        <v>300</v>
      </c>
      <c r="C11" s="21" t="s">
        <v>1013</v>
      </c>
    </row>
    <row r="12" spans="1:11">
      <c r="A12" s="53" t="s">
        <v>1014</v>
      </c>
      <c r="B12" s="239">
        <v>300</v>
      </c>
      <c r="C12" s="21" t="s">
        <v>1015</v>
      </c>
    </row>
    <row r="13" spans="1:11">
      <c r="A13" s="53" t="s">
        <v>1016</v>
      </c>
      <c r="B13" s="239">
        <v>100</v>
      </c>
      <c r="C13" s="128" t="s">
        <v>1017</v>
      </c>
    </row>
    <row r="14" spans="1:11">
      <c r="A14" s="53" t="s">
        <v>1018</v>
      </c>
      <c r="B14" s="237">
        <v>0.5</v>
      </c>
      <c r="C14" s="21" t="s">
        <v>1019</v>
      </c>
    </row>
    <row r="15" spans="1:11">
      <c r="A15" s="53" t="s">
        <v>1020</v>
      </c>
      <c r="B15" s="239">
        <v>5</v>
      </c>
      <c r="C15" s="128" t="s">
        <v>1021</v>
      </c>
    </row>
    <row r="16" spans="1:11">
      <c r="A16" s="53" t="s">
        <v>1022</v>
      </c>
      <c r="B16" s="240">
        <v>60</v>
      </c>
      <c r="C16" s="128" t="s">
        <v>1023</v>
      </c>
    </row>
    <row r="17" spans="1:19">
      <c r="A17" s="53" t="s">
        <v>1024</v>
      </c>
      <c r="B17" s="238">
        <v>12</v>
      </c>
      <c r="C17" s="21" t="s">
        <v>1025</v>
      </c>
    </row>
    <row r="18" spans="1:19">
      <c r="A18" s="53" t="s">
        <v>1026</v>
      </c>
      <c r="B18" s="239">
        <v>15</v>
      </c>
      <c r="C18" s="128" t="s">
        <v>1027</v>
      </c>
    </row>
    <row r="20" spans="1:19">
      <c r="A20" s="14" t="s">
        <v>1028</v>
      </c>
      <c r="B20" s="14"/>
      <c r="C20" s="14"/>
      <c r="D20" s="14"/>
      <c r="E20" s="14"/>
      <c r="F20" s="14"/>
      <c r="G20" s="14"/>
      <c r="H20" s="14"/>
      <c r="I20" s="14"/>
      <c r="J20" s="14"/>
      <c r="K20" s="14"/>
      <c r="L20" s="14"/>
      <c r="M20" s="14"/>
      <c r="N20" s="14"/>
      <c r="O20" s="14"/>
      <c r="P20" s="14"/>
      <c r="Q20" s="14"/>
      <c r="R20" s="14"/>
      <c r="S20" s="14"/>
    </row>
    <row r="21" spans="1:19" ht="48" customHeight="1">
      <c r="A21" s="130" t="s">
        <v>116</v>
      </c>
      <c r="B21" s="130" t="s">
        <v>568</v>
      </c>
      <c r="C21" s="130" t="s">
        <v>571</v>
      </c>
      <c r="D21" s="130" t="s">
        <v>1029</v>
      </c>
      <c r="E21" s="130" t="s">
        <v>1030</v>
      </c>
      <c r="F21" s="130" t="s">
        <v>1031</v>
      </c>
      <c r="G21" s="130" t="s">
        <v>583</v>
      </c>
      <c r="H21" s="130" t="s">
        <v>586</v>
      </c>
      <c r="I21" s="130" t="s">
        <v>1032</v>
      </c>
      <c r="J21" s="130" t="s">
        <v>1033</v>
      </c>
      <c r="K21" s="130" t="s">
        <v>595</v>
      </c>
      <c r="L21" s="130" t="s">
        <v>122</v>
      </c>
      <c r="M21" s="130" t="s">
        <v>600</v>
      </c>
      <c r="N21" s="130" t="s">
        <v>1034</v>
      </c>
      <c r="O21" s="130" t="s">
        <v>1035</v>
      </c>
      <c r="P21" s="130" t="s">
        <v>1036</v>
      </c>
      <c r="Q21" s="130" t="s">
        <v>1037</v>
      </c>
      <c r="R21" s="130" t="s">
        <v>615</v>
      </c>
      <c r="S21" s="130" t="s">
        <v>1038</v>
      </c>
    </row>
    <row r="22" spans="1:19" ht="30" customHeight="1">
      <c r="A22" s="131" t="s">
        <v>1039</v>
      </c>
      <c r="B22" s="241" t="s">
        <v>175</v>
      </c>
      <c r="C22" s="241" t="s">
        <v>1040</v>
      </c>
      <c r="D22" s="241">
        <v>6</v>
      </c>
      <c r="E22" s="241">
        <v>200</v>
      </c>
      <c r="F22" s="241">
        <v>1</v>
      </c>
      <c r="G22" s="241">
        <v>120</v>
      </c>
      <c r="H22" s="241" t="s">
        <v>1041</v>
      </c>
      <c r="I22" s="241">
        <v>5</v>
      </c>
      <c r="J22" s="241">
        <v>0</v>
      </c>
      <c r="K22" s="242" t="s">
        <v>1042</v>
      </c>
      <c r="L22" s="242" t="s">
        <v>1043</v>
      </c>
      <c r="M22" s="241" t="s">
        <v>1044</v>
      </c>
      <c r="N22" s="117"/>
      <c r="O22" s="117"/>
      <c r="P22" s="242" t="s">
        <v>1045</v>
      </c>
      <c r="Q22" s="241">
        <v>2</v>
      </c>
      <c r="R22" s="241" t="s">
        <v>1046</v>
      </c>
      <c r="S22" s="242" t="s">
        <v>1047</v>
      </c>
    </row>
    <row r="23" spans="1:19" ht="30" customHeight="1">
      <c r="A23" s="131" t="s">
        <v>1048</v>
      </c>
      <c r="B23" s="241" t="s">
        <v>175</v>
      </c>
      <c r="C23" s="241" t="s">
        <v>1040</v>
      </c>
      <c r="D23" s="241">
        <v>6</v>
      </c>
      <c r="E23" s="241">
        <v>20</v>
      </c>
      <c r="F23" s="241">
        <v>1</v>
      </c>
      <c r="G23" s="241">
        <v>120</v>
      </c>
      <c r="H23" s="241" t="s">
        <v>1041</v>
      </c>
      <c r="I23" s="241">
        <v>5</v>
      </c>
      <c r="J23" s="241">
        <v>0</v>
      </c>
      <c r="K23" s="242" t="s">
        <v>1049</v>
      </c>
      <c r="L23" s="242" t="s">
        <v>1050</v>
      </c>
      <c r="M23" s="241" t="s">
        <v>1051</v>
      </c>
      <c r="N23" s="241">
        <v>3</v>
      </c>
      <c r="O23" s="241">
        <v>3</v>
      </c>
      <c r="P23" s="132"/>
      <c r="Q23" s="117"/>
      <c r="R23" s="117"/>
      <c r="S23" s="242" t="s">
        <v>1047</v>
      </c>
    </row>
    <row r="24" spans="1:19" ht="30" customHeight="1">
      <c r="A24" s="131" t="s">
        <v>1052</v>
      </c>
      <c r="B24" s="241" t="s">
        <v>174</v>
      </c>
      <c r="C24" s="241" t="s">
        <v>1040</v>
      </c>
      <c r="D24" s="241">
        <v>6</v>
      </c>
      <c r="E24" s="241">
        <v>200</v>
      </c>
      <c r="F24" s="241">
        <v>1</v>
      </c>
      <c r="G24" s="241">
        <v>120</v>
      </c>
      <c r="H24" s="241" t="s">
        <v>1041</v>
      </c>
      <c r="I24" s="241">
        <v>5</v>
      </c>
      <c r="J24" s="241">
        <v>0</v>
      </c>
      <c r="K24" s="242" t="s">
        <v>1053</v>
      </c>
      <c r="L24" s="242" t="s">
        <v>1054</v>
      </c>
      <c r="M24" s="241" t="s">
        <v>1055</v>
      </c>
      <c r="N24" s="117"/>
      <c r="O24" s="241">
        <v>2</v>
      </c>
      <c r="P24" s="242" t="s">
        <v>1056</v>
      </c>
      <c r="Q24" s="241">
        <v>1</v>
      </c>
      <c r="R24" s="241" t="s">
        <v>1057</v>
      </c>
      <c r="S24" s="242" t="s">
        <v>1047</v>
      </c>
    </row>
    <row r="25" spans="1:19" ht="30" customHeight="1">
      <c r="A25" s="131" t="s">
        <v>1058</v>
      </c>
      <c r="B25" s="241" t="s">
        <v>174</v>
      </c>
      <c r="C25" s="241" t="s">
        <v>1040</v>
      </c>
      <c r="D25" s="241">
        <v>6</v>
      </c>
      <c r="E25" s="241">
        <v>30</v>
      </c>
      <c r="F25" s="241">
        <v>1</v>
      </c>
      <c r="G25" s="241">
        <v>120</v>
      </c>
      <c r="H25" s="241" t="s">
        <v>1041</v>
      </c>
      <c r="I25" s="241">
        <v>5</v>
      </c>
      <c r="J25" s="241">
        <v>0</v>
      </c>
      <c r="K25" s="242" t="s">
        <v>1053</v>
      </c>
      <c r="L25" s="242" t="s">
        <v>1054</v>
      </c>
      <c r="M25" s="241" t="s">
        <v>1055</v>
      </c>
      <c r="N25" s="117"/>
      <c r="O25" s="241">
        <v>2</v>
      </c>
      <c r="P25" s="242" t="s">
        <v>1056</v>
      </c>
      <c r="Q25" s="241">
        <v>1</v>
      </c>
      <c r="R25" s="241" t="s">
        <v>1057</v>
      </c>
      <c r="S25" s="242" t="s">
        <v>1047</v>
      </c>
    </row>
    <row r="26" spans="1:19" ht="30" customHeight="1">
      <c r="A26" s="131" t="s">
        <v>1059</v>
      </c>
      <c r="B26" s="241" t="s">
        <v>174</v>
      </c>
      <c r="C26" s="241" t="s">
        <v>1060</v>
      </c>
      <c r="D26" s="117"/>
      <c r="E26" s="117"/>
      <c r="F26" s="241">
        <v>1</v>
      </c>
      <c r="G26" s="241">
        <v>150</v>
      </c>
      <c r="H26" s="241" t="s">
        <v>1041</v>
      </c>
      <c r="I26" s="241">
        <v>5</v>
      </c>
      <c r="J26" s="241">
        <v>0</v>
      </c>
      <c r="K26" s="242" t="s">
        <v>1061</v>
      </c>
      <c r="L26" s="242" t="s">
        <v>1062</v>
      </c>
      <c r="M26" s="241" t="s">
        <v>1063</v>
      </c>
      <c r="N26" s="117"/>
      <c r="O26" s="117"/>
      <c r="P26" s="242" t="s">
        <v>1064</v>
      </c>
      <c r="Q26" s="241">
        <v>2</v>
      </c>
      <c r="R26" s="241" t="s">
        <v>1046</v>
      </c>
      <c r="S26" s="242" t="s">
        <v>1047</v>
      </c>
    </row>
    <row r="27" spans="1:19" ht="30" customHeight="1">
      <c r="A27" s="131" t="s">
        <v>1065</v>
      </c>
      <c r="B27" s="241" t="s">
        <v>174</v>
      </c>
      <c r="C27" s="241" t="s">
        <v>1040</v>
      </c>
      <c r="D27" s="241">
        <v>6</v>
      </c>
      <c r="E27" s="241">
        <v>200</v>
      </c>
      <c r="F27" s="241">
        <v>1</v>
      </c>
      <c r="G27" s="241">
        <v>120</v>
      </c>
      <c r="H27" s="241" t="s">
        <v>1041</v>
      </c>
      <c r="I27" s="241">
        <v>5</v>
      </c>
      <c r="J27" s="241">
        <v>0</v>
      </c>
      <c r="K27" s="243" t="s">
        <v>1066</v>
      </c>
      <c r="L27" s="242" t="s">
        <v>1067</v>
      </c>
      <c r="M27" s="241" t="s">
        <v>1068</v>
      </c>
      <c r="N27" s="241">
        <v>6</v>
      </c>
      <c r="O27" s="241">
        <v>3</v>
      </c>
      <c r="P27" s="242" t="s">
        <v>1069</v>
      </c>
      <c r="Q27" s="241">
        <v>1</v>
      </c>
      <c r="R27" s="241" t="s">
        <v>1070</v>
      </c>
      <c r="S27" s="242" t="s">
        <v>1047</v>
      </c>
    </row>
    <row r="28" spans="1:19" ht="30" customHeight="1">
      <c r="A28" s="131" t="s">
        <v>1071</v>
      </c>
      <c r="B28" s="241" t="s">
        <v>174</v>
      </c>
      <c r="C28" s="241" t="s">
        <v>1040</v>
      </c>
      <c r="D28" s="241">
        <v>6</v>
      </c>
      <c r="E28" s="241">
        <v>200</v>
      </c>
      <c r="F28" s="241">
        <v>1</v>
      </c>
      <c r="G28" s="241">
        <v>120</v>
      </c>
      <c r="H28" s="241" t="s">
        <v>1041</v>
      </c>
      <c r="I28" s="241">
        <v>5</v>
      </c>
      <c r="J28" s="241">
        <v>0</v>
      </c>
      <c r="K28" s="242" t="s">
        <v>1072</v>
      </c>
      <c r="L28" s="242" t="s">
        <v>1073</v>
      </c>
      <c r="M28" s="241" t="s">
        <v>1074</v>
      </c>
      <c r="N28" s="241">
        <v>0</v>
      </c>
      <c r="O28" s="241">
        <v>3</v>
      </c>
      <c r="P28" s="132"/>
      <c r="Q28" s="117"/>
      <c r="R28" s="117"/>
      <c r="S28" s="242" t="s">
        <v>1047</v>
      </c>
    </row>
    <row r="29" spans="1:19" ht="30" customHeight="1">
      <c r="A29" s="131" t="s">
        <v>1075</v>
      </c>
      <c r="B29" s="241" t="s">
        <v>174</v>
      </c>
      <c r="C29" s="241" t="s">
        <v>1040</v>
      </c>
      <c r="D29" s="241">
        <v>6</v>
      </c>
      <c r="E29" s="241">
        <v>100</v>
      </c>
      <c r="F29" s="241">
        <v>1</v>
      </c>
      <c r="G29" s="241">
        <v>120</v>
      </c>
      <c r="H29" s="241" t="s">
        <v>1041</v>
      </c>
      <c r="I29" s="241">
        <v>5</v>
      </c>
      <c r="J29" s="241">
        <v>0</v>
      </c>
      <c r="K29" s="242" t="s">
        <v>1076</v>
      </c>
      <c r="L29" s="242" t="s">
        <v>1077</v>
      </c>
      <c r="M29" s="241" t="s">
        <v>1078</v>
      </c>
      <c r="N29" s="117"/>
      <c r="O29" s="117"/>
      <c r="P29" s="132"/>
      <c r="Q29" s="117"/>
      <c r="R29" s="117"/>
      <c r="S29" s="242" t="s">
        <v>1047</v>
      </c>
    </row>
    <row r="30" spans="1:19" ht="30" customHeight="1">
      <c r="A30" s="131" t="s">
        <v>1079</v>
      </c>
      <c r="B30" s="241" t="s">
        <v>173</v>
      </c>
      <c r="C30" s="241" t="s">
        <v>1080</v>
      </c>
      <c r="D30" s="117"/>
      <c r="E30" s="241">
        <v>1800</v>
      </c>
      <c r="F30" s="241">
        <v>5</v>
      </c>
      <c r="G30" s="241">
        <v>360</v>
      </c>
      <c r="H30" s="241" t="s">
        <v>1080</v>
      </c>
      <c r="I30" s="241">
        <v>20</v>
      </c>
      <c r="J30" s="241">
        <v>1</v>
      </c>
      <c r="K30" s="243" t="s">
        <v>1081</v>
      </c>
      <c r="L30" s="242" t="s">
        <v>1082</v>
      </c>
      <c r="M30" s="241" t="s">
        <v>1083</v>
      </c>
      <c r="N30" s="117"/>
      <c r="O30" s="117"/>
      <c r="P30" s="132"/>
      <c r="Q30" s="241">
        <v>6</v>
      </c>
      <c r="R30" s="241" t="s">
        <v>1046</v>
      </c>
      <c r="S30" s="242" t="s">
        <v>1084</v>
      </c>
    </row>
    <row r="31" spans="1:19" ht="30" customHeight="1">
      <c r="A31" s="131" t="s">
        <v>1085</v>
      </c>
      <c r="B31" s="241" t="s">
        <v>173</v>
      </c>
      <c r="C31" s="241" t="s">
        <v>1080</v>
      </c>
      <c r="D31" s="117"/>
      <c r="E31" s="241">
        <v>1800</v>
      </c>
      <c r="F31" s="241">
        <v>5</v>
      </c>
      <c r="G31" s="241">
        <v>360</v>
      </c>
      <c r="H31" s="241" t="s">
        <v>1080</v>
      </c>
      <c r="I31" s="241">
        <v>20</v>
      </c>
      <c r="J31" s="241">
        <v>2</v>
      </c>
      <c r="K31" s="243" t="s">
        <v>1081</v>
      </c>
      <c r="L31" s="242" t="s">
        <v>1082</v>
      </c>
      <c r="M31" s="241" t="s">
        <v>1083</v>
      </c>
      <c r="N31" s="117"/>
      <c r="O31" s="117"/>
      <c r="P31" s="132"/>
      <c r="Q31" s="241">
        <v>6</v>
      </c>
      <c r="R31" s="241" t="s">
        <v>1046</v>
      </c>
      <c r="S31" s="242" t="s">
        <v>1084</v>
      </c>
    </row>
    <row r="32" spans="1:19" ht="30" customHeight="1">
      <c r="A32" s="131" t="s">
        <v>1086</v>
      </c>
      <c r="B32" s="241" t="s">
        <v>173</v>
      </c>
      <c r="C32" s="241" t="s">
        <v>1080</v>
      </c>
      <c r="D32" s="117"/>
      <c r="E32" s="241">
        <v>1800</v>
      </c>
      <c r="F32" s="241">
        <v>5</v>
      </c>
      <c r="G32" s="241">
        <v>360</v>
      </c>
      <c r="H32" s="241" t="s">
        <v>1080</v>
      </c>
      <c r="I32" s="241">
        <v>20</v>
      </c>
      <c r="J32" s="241">
        <v>3</v>
      </c>
      <c r="K32" s="243" t="s">
        <v>1081</v>
      </c>
      <c r="L32" s="242" t="s">
        <v>1082</v>
      </c>
      <c r="M32" s="241" t="s">
        <v>1083</v>
      </c>
      <c r="N32" s="117"/>
      <c r="O32" s="117"/>
      <c r="P32" s="132"/>
      <c r="Q32" s="241">
        <v>6</v>
      </c>
      <c r="R32" s="241" t="s">
        <v>1046</v>
      </c>
      <c r="S32" s="242" t="s">
        <v>1084</v>
      </c>
    </row>
    <row r="33" spans="1:19" ht="30" customHeight="1">
      <c r="A33" s="131" t="s">
        <v>1087</v>
      </c>
      <c r="B33" s="241" t="s">
        <v>173</v>
      </c>
      <c r="C33" s="241" t="s">
        <v>1080</v>
      </c>
      <c r="D33" s="117"/>
      <c r="E33" s="241">
        <v>1800</v>
      </c>
      <c r="F33" s="241">
        <v>5</v>
      </c>
      <c r="G33" s="241">
        <v>360</v>
      </c>
      <c r="H33" s="241" t="s">
        <v>1080</v>
      </c>
      <c r="I33" s="241">
        <v>20</v>
      </c>
      <c r="J33" s="241">
        <v>4</v>
      </c>
      <c r="K33" s="243" t="s">
        <v>1081</v>
      </c>
      <c r="L33" s="242" t="s">
        <v>1082</v>
      </c>
      <c r="M33" s="241" t="s">
        <v>1083</v>
      </c>
      <c r="N33" s="117"/>
      <c r="O33" s="117"/>
      <c r="P33" s="132"/>
      <c r="Q33" s="241">
        <v>6</v>
      </c>
      <c r="R33" s="241" t="s">
        <v>1046</v>
      </c>
      <c r="S33" s="242" t="s">
        <v>1084</v>
      </c>
    </row>
    <row r="34" spans="1:19" ht="30" customHeight="1">
      <c r="A34" s="131" t="s">
        <v>1088</v>
      </c>
      <c r="B34" s="241" t="s">
        <v>173</v>
      </c>
      <c r="C34" s="241" t="s">
        <v>1080</v>
      </c>
      <c r="D34" s="117"/>
      <c r="E34" s="241">
        <v>1800</v>
      </c>
      <c r="F34" s="241">
        <v>5</v>
      </c>
      <c r="G34" s="241">
        <v>360</v>
      </c>
      <c r="H34" s="241" t="s">
        <v>1080</v>
      </c>
      <c r="I34" s="241">
        <v>20</v>
      </c>
      <c r="J34" s="241">
        <v>5</v>
      </c>
      <c r="K34" s="243" t="s">
        <v>1081</v>
      </c>
      <c r="L34" s="242" t="s">
        <v>1089</v>
      </c>
      <c r="M34" s="241" t="s">
        <v>1090</v>
      </c>
      <c r="N34" s="117"/>
      <c r="O34" s="117"/>
      <c r="P34" s="132"/>
      <c r="Q34" s="241">
        <v>6</v>
      </c>
      <c r="R34" s="241" t="s">
        <v>1046</v>
      </c>
      <c r="S34" s="242" t="s">
        <v>1084</v>
      </c>
    </row>
    <row r="35" spans="1:19" ht="30" customHeight="1">
      <c r="A35" s="131" t="s">
        <v>1091</v>
      </c>
      <c r="B35" s="241" t="s">
        <v>173</v>
      </c>
      <c r="C35" s="241" t="s">
        <v>1080</v>
      </c>
      <c r="D35" s="117"/>
      <c r="E35" s="241">
        <v>1800</v>
      </c>
      <c r="F35" s="241">
        <v>5</v>
      </c>
      <c r="G35" s="241">
        <v>360</v>
      </c>
      <c r="H35" s="241" t="s">
        <v>1080</v>
      </c>
      <c r="I35" s="241">
        <v>20</v>
      </c>
      <c r="J35" s="241">
        <v>6</v>
      </c>
      <c r="K35" s="243" t="s">
        <v>1081</v>
      </c>
      <c r="L35" s="242" t="s">
        <v>1089</v>
      </c>
      <c r="M35" s="241" t="s">
        <v>1090</v>
      </c>
      <c r="N35" s="117"/>
      <c r="O35" s="117"/>
      <c r="P35" s="132"/>
      <c r="Q35" s="241">
        <v>6</v>
      </c>
      <c r="R35" s="241" t="s">
        <v>1046</v>
      </c>
      <c r="S35" s="242" t="s">
        <v>1084</v>
      </c>
    </row>
    <row r="36" spans="1:19" ht="30" customHeight="1">
      <c r="A36" s="131" t="s">
        <v>1092</v>
      </c>
      <c r="B36" s="241" t="s">
        <v>173</v>
      </c>
      <c r="C36" s="241" t="s">
        <v>1080</v>
      </c>
      <c r="D36" s="117"/>
      <c r="E36" s="241">
        <v>1800</v>
      </c>
      <c r="F36" s="241">
        <v>5</v>
      </c>
      <c r="G36" s="241">
        <v>360</v>
      </c>
      <c r="H36" s="241" t="s">
        <v>1080</v>
      </c>
      <c r="I36" s="241">
        <v>20</v>
      </c>
      <c r="J36" s="241">
        <v>7</v>
      </c>
      <c r="K36" s="243" t="s">
        <v>1081</v>
      </c>
      <c r="L36" s="242" t="s">
        <v>1089</v>
      </c>
      <c r="M36" s="241" t="s">
        <v>1090</v>
      </c>
      <c r="N36" s="117"/>
      <c r="O36" s="117"/>
      <c r="P36" s="132"/>
      <c r="Q36" s="241">
        <v>6</v>
      </c>
      <c r="R36" s="241" t="s">
        <v>1046</v>
      </c>
      <c r="S36" s="242" t="s">
        <v>1084</v>
      </c>
    </row>
    <row r="37" spans="1:19" ht="30" customHeight="1">
      <c r="A37" s="131" t="s">
        <v>1093</v>
      </c>
      <c r="B37" s="241" t="s">
        <v>177</v>
      </c>
      <c r="C37" s="241" t="s">
        <v>1040</v>
      </c>
      <c r="D37" s="241">
        <v>6</v>
      </c>
      <c r="E37" s="241">
        <v>200</v>
      </c>
      <c r="F37" s="241">
        <v>5</v>
      </c>
      <c r="G37" s="241">
        <v>360</v>
      </c>
      <c r="H37" s="241" t="s">
        <v>1094</v>
      </c>
      <c r="I37" s="241">
        <v>5</v>
      </c>
      <c r="J37" s="241">
        <v>0</v>
      </c>
      <c r="K37" s="242" t="s">
        <v>1095</v>
      </c>
      <c r="L37" s="242" t="s">
        <v>1096</v>
      </c>
      <c r="M37" s="241" t="s">
        <v>1097</v>
      </c>
      <c r="N37" s="241">
        <v>0</v>
      </c>
      <c r="O37" s="241">
        <v>6</v>
      </c>
      <c r="P37" s="132"/>
      <c r="Q37" s="117"/>
      <c r="R37" s="117"/>
      <c r="S37" s="242" t="s">
        <v>1047</v>
      </c>
    </row>
    <row r="38" spans="1:19" ht="30" customHeight="1">
      <c r="A38" s="131" t="s">
        <v>1098</v>
      </c>
      <c r="B38" s="241" t="s">
        <v>177</v>
      </c>
      <c r="C38" s="241" t="s">
        <v>1080</v>
      </c>
      <c r="D38" s="117"/>
      <c r="E38" s="241">
        <v>1800</v>
      </c>
      <c r="F38" s="241">
        <v>5</v>
      </c>
      <c r="G38" s="241">
        <v>360</v>
      </c>
      <c r="H38" s="241" t="s">
        <v>1094</v>
      </c>
      <c r="I38" s="241">
        <v>5</v>
      </c>
      <c r="J38" s="241">
        <v>0</v>
      </c>
      <c r="K38" s="242" t="s">
        <v>1095</v>
      </c>
      <c r="L38" s="242" t="s">
        <v>1096</v>
      </c>
      <c r="M38" s="241" t="s">
        <v>1097</v>
      </c>
      <c r="N38" s="241">
        <v>0</v>
      </c>
      <c r="O38" s="241">
        <v>6</v>
      </c>
      <c r="P38" s="132"/>
      <c r="Q38" s="241">
        <v>6</v>
      </c>
      <c r="R38" s="241" t="s">
        <v>1046</v>
      </c>
      <c r="S38" s="242" t="s">
        <v>1047</v>
      </c>
    </row>
    <row r="39" spans="1:19" ht="30" customHeight="1">
      <c r="A39" s="131" t="s">
        <v>1099</v>
      </c>
      <c r="B39" s="241" t="s">
        <v>177</v>
      </c>
      <c r="C39" s="241" t="s">
        <v>1100</v>
      </c>
      <c r="D39" s="117"/>
      <c r="E39" s="241">
        <v>1900</v>
      </c>
      <c r="F39" s="241">
        <v>5</v>
      </c>
      <c r="G39" s="241">
        <v>360</v>
      </c>
      <c r="H39" s="241" t="s">
        <v>1094</v>
      </c>
      <c r="I39" s="241">
        <v>5</v>
      </c>
      <c r="J39" s="241">
        <v>0</v>
      </c>
      <c r="K39" s="242" t="s">
        <v>1095</v>
      </c>
      <c r="L39" s="242" t="s">
        <v>1096</v>
      </c>
      <c r="M39" s="241" t="s">
        <v>1097</v>
      </c>
      <c r="N39" s="241">
        <v>0</v>
      </c>
      <c r="O39" s="241">
        <v>6</v>
      </c>
      <c r="P39" s="132"/>
      <c r="Q39" s="241">
        <v>6</v>
      </c>
      <c r="R39" s="241" t="s">
        <v>1046</v>
      </c>
      <c r="S39" s="242" t="s">
        <v>1047</v>
      </c>
    </row>
    <row r="41" spans="1:19">
      <c r="A41" s="14" t="s">
        <v>1101</v>
      </c>
      <c r="B41" s="14"/>
      <c r="C41" s="14"/>
      <c r="D41" s="14"/>
      <c r="E41" s="14"/>
    </row>
    <row r="42" spans="1:19" ht="48" customHeight="1">
      <c r="A42" s="130" t="s">
        <v>1102</v>
      </c>
      <c r="B42" s="130" t="s">
        <v>1103</v>
      </c>
      <c r="C42" s="130" t="s">
        <v>1104</v>
      </c>
      <c r="E42" s="130" t="s">
        <v>1102</v>
      </c>
      <c r="F42" s="130" t="s">
        <v>1103</v>
      </c>
      <c r="G42" s="130" t="s">
        <v>1105</v>
      </c>
      <c r="H42" s="130" t="s">
        <v>1106</v>
      </c>
    </row>
    <row r="43" spans="1:19" ht="39.6">
      <c r="A43" s="244">
        <v>12</v>
      </c>
      <c r="B43" s="135" t="s">
        <v>1107</v>
      </c>
      <c r="C43" s="245">
        <v>7</v>
      </c>
      <c r="E43" s="244">
        <v>12</v>
      </c>
      <c r="F43" s="137" t="s">
        <v>1108</v>
      </c>
      <c r="G43" s="246">
        <v>100</v>
      </c>
      <c r="H43" s="246">
        <v>150</v>
      </c>
    </row>
    <row r="44" spans="1:19" ht="26.4">
      <c r="A44" s="244">
        <v>72</v>
      </c>
      <c r="B44" s="135" t="s">
        <v>1109</v>
      </c>
      <c r="C44" s="245">
        <v>15</v>
      </c>
      <c r="E44" s="244">
        <v>36</v>
      </c>
      <c r="F44" s="137" t="s">
        <v>1110</v>
      </c>
      <c r="G44" s="246">
        <v>400</v>
      </c>
      <c r="H44" s="246">
        <v>450</v>
      </c>
    </row>
    <row r="45" spans="1:19" ht="26.4">
      <c r="A45" s="244">
        <v>132</v>
      </c>
      <c r="B45" s="135" t="s">
        <v>1111</v>
      </c>
      <c r="C45" s="245">
        <v>22</v>
      </c>
      <c r="E45" s="244">
        <v>84</v>
      </c>
      <c r="F45" s="137" t="s">
        <v>1112</v>
      </c>
      <c r="G45" s="246">
        <v>700</v>
      </c>
      <c r="H45" s="246">
        <v>750</v>
      </c>
    </row>
    <row r="46" spans="1:19" ht="26.4">
      <c r="A46" s="244">
        <v>192</v>
      </c>
      <c r="B46" s="135" t="s">
        <v>1113</v>
      </c>
      <c r="C46" s="245">
        <v>28</v>
      </c>
      <c r="E46" s="244">
        <v>144</v>
      </c>
      <c r="F46" s="137" t="s">
        <v>1114</v>
      </c>
      <c r="G46" s="246">
        <v>900</v>
      </c>
      <c r="H46" s="246">
        <v>950</v>
      </c>
    </row>
    <row r="47" spans="1:19">
      <c r="A47" s="244">
        <v>240</v>
      </c>
      <c r="B47" s="135" t="s">
        <v>1115</v>
      </c>
      <c r="C47" s="245">
        <v>43</v>
      </c>
      <c r="E47" s="244">
        <v>204</v>
      </c>
      <c r="F47" s="137" t="s">
        <v>1116</v>
      </c>
      <c r="G47" s="246">
        <v>1100</v>
      </c>
      <c r="H47" s="246">
        <v>1150</v>
      </c>
    </row>
    <row r="48" spans="1:19">
      <c r="A48" s="244">
        <v>300</v>
      </c>
      <c r="B48" s="135" t="s">
        <v>1117</v>
      </c>
      <c r="C48" s="245">
        <v>60</v>
      </c>
    </row>
    <row r="49" spans="1:8">
      <c r="A49" s="244">
        <v>360</v>
      </c>
      <c r="B49" s="135" t="s">
        <v>1118</v>
      </c>
      <c r="C49" s="245">
        <v>69</v>
      </c>
    </row>
    <row r="50" spans="1:8">
      <c r="A50" s="21" t="s">
        <v>1119</v>
      </c>
    </row>
    <row r="52" spans="1:8">
      <c r="A52" s="14" t="s">
        <v>1120</v>
      </c>
      <c r="B52" s="14"/>
      <c r="C52" s="14"/>
      <c r="D52" s="14"/>
      <c r="E52" s="14"/>
      <c r="F52" s="14"/>
      <c r="G52" s="14"/>
      <c r="H52" s="14"/>
    </row>
    <row r="53" spans="1:8" ht="48" customHeight="1">
      <c r="A53" s="26" t="s">
        <v>1121</v>
      </c>
      <c r="B53" s="130" t="s">
        <v>1122</v>
      </c>
      <c r="C53" s="130" t="s">
        <v>1123</v>
      </c>
      <c r="D53" s="130" t="s">
        <v>1124</v>
      </c>
      <c r="E53" s="130" t="s">
        <v>1125</v>
      </c>
      <c r="F53" s="130" t="s">
        <v>1126</v>
      </c>
      <c r="G53" s="130" t="s">
        <v>1127</v>
      </c>
      <c r="H53" s="130" t="s">
        <v>1128</v>
      </c>
    </row>
    <row r="54" spans="1:8" ht="30" customHeight="1">
      <c r="A54" s="47" t="s">
        <v>1129</v>
      </c>
      <c r="B54" s="247" t="s">
        <v>1130</v>
      </c>
      <c r="C54" s="247" t="s">
        <v>1130</v>
      </c>
      <c r="D54" s="247" t="s">
        <v>1130</v>
      </c>
      <c r="E54" s="247" t="s">
        <v>1130</v>
      </c>
      <c r="F54" s="248" t="s">
        <v>176</v>
      </c>
      <c r="G54" s="248" t="s">
        <v>176</v>
      </c>
      <c r="H54" s="139"/>
    </row>
    <row r="55" spans="1:8" ht="30" customHeight="1">
      <c r="A55" s="47" t="s">
        <v>1131</v>
      </c>
      <c r="B55" s="248" t="s">
        <v>176</v>
      </c>
      <c r="C55" s="139"/>
      <c r="D55" s="248" t="s">
        <v>176</v>
      </c>
      <c r="E55" s="248" t="s">
        <v>176</v>
      </c>
      <c r="F55" s="248" t="s">
        <v>176</v>
      </c>
      <c r="G55" s="248" t="s">
        <v>176</v>
      </c>
      <c r="H55" s="139"/>
    </row>
    <row r="56" spans="1:8" ht="30" customHeight="1">
      <c r="A56" s="47" t="s">
        <v>1132</v>
      </c>
      <c r="B56" s="139"/>
      <c r="C56" s="139"/>
      <c r="D56" s="139"/>
      <c r="E56" s="248" t="s">
        <v>176</v>
      </c>
      <c r="F56" s="248" t="s">
        <v>176</v>
      </c>
      <c r="G56" s="248" t="s">
        <v>176</v>
      </c>
      <c r="H56" s="248" t="s">
        <v>176</v>
      </c>
    </row>
    <row r="57" spans="1:8" ht="30" customHeight="1">
      <c r="A57" s="47" t="s">
        <v>1133</v>
      </c>
      <c r="B57" s="139"/>
      <c r="C57" s="139"/>
      <c r="D57" s="139"/>
      <c r="E57" s="248" t="s">
        <v>176</v>
      </c>
      <c r="F57" s="248" t="s">
        <v>176</v>
      </c>
      <c r="G57" s="248" t="s">
        <v>176</v>
      </c>
      <c r="H57" s="248" t="s">
        <v>176</v>
      </c>
    </row>
    <row r="58" spans="1:8" ht="30" customHeight="1">
      <c r="A58" s="47" t="s">
        <v>1134</v>
      </c>
      <c r="B58" s="248" t="s">
        <v>176</v>
      </c>
      <c r="C58" s="248" t="s">
        <v>176</v>
      </c>
      <c r="D58" s="139"/>
      <c r="E58" s="248" t="s">
        <v>176</v>
      </c>
      <c r="F58" s="248" t="s">
        <v>176</v>
      </c>
      <c r="G58" s="248" t="s">
        <v>176</v>
      </c>
      <c r="H58" s="248" t="s">
        <v>176</v>
      </c>
    </row>
    <row r="59" spans="1:8" ht="30" customHeight="1">
      <c r="A59" s="47" t="s">
        <v>1135</v>
      </c>
      <c r="B59" s="139"/>
      <c r="C59" s="247" t="s">
        <v>1130</v>
      </c>
      <c r="D59" s="139"/>
      <c r="E59" s="139"/>
      <c r="F59" s="139"/>
      <c r="G59" s="248" t="s">
        <v>176</v>
      </c>
      <c r="H59" s="248" t="s">
        <v>176</v>
      </c>
    </row>
    <row r="60" spans="1:8" ht="30" customHeight="1">
      <c r="A60" s="47" t="s">
        <v>1136</v>
      </c>
      <c r="B60" s="248" t="s">
        <v>176</v>
      </c>
      <c r="C60" s="139"/>
      <c r="D60" s="139"/>
      <c r="E60" s="248" t="s">
        <v>176</v>
      </c>
      <c r="F60" s="248" t="s">
        <v>176</v>
      </c>
      <c r="G60" s="247" t="s">
        <v>1137</v>
      </c>
      <c r="H60" s="139"/>
    </row>
    <row r="61" spans="1:8" ht="30" customHeight="1">
      <c r="A61" s="47" t="s">
        <v>1138</v>
      </c>
      <c r="B61" s="248" t="s">
        <v>176</v>
      </c>
      <c r="C61" s="248" t="s">
        <v>176</v>
      </c>
      <c r="D61" s="248" t="s">
        <v>176</v>
      </c>
      <c r="E61" s="248" t="s">
        <v>176</v>
      </c>
      <c r="F61" s="139"/>
      <c r="G61" s="139"/>
      <c r="H61" s="139"/>
    </row>
    <row r="62" spans="1:8" ht="30" customHeight="1">
      <c r="A62" s="47" t="s">
        <v>1139</v>
      </c>
      <c r="B62" s="248" t="s">
        <v>176</v>
      </c>
      <c r="C62" s="248" t="s">
        <v>176</v>
      </c>
      <c r="D62" s="248" t="s">
        <v>176</v>
      </c>
      <c r="E62" s="248" t="s">
        <v>176</v>
      </c>
      <c r="F62" s="248" t="s">
        <v>176</v>
      </c>
      <c r="G62" s="248" t="s">
        <v>176</v>
      </c>
      <c r="H62" s="248" t="s">
        <v>176</v>
      </c>
    </row>
    <row r="65" spans="1:8">
      <c r="A65" s="14" t="s">
        <v>1140</v>
      </c>
      <c r="B65" s="14"/>
      <c r="C65" s="14"/>
      <c r="D65" s="14"/>
      <c r="E65" s="14"/>
      <c r="F65" s="14"/>
      <c r="G65" s="14"/>
      <c r="H65" s="14"/>
    </row>
    <row r="66" spans="1:8" ht="48" customHeight="1">
      <c r="A66" s="26" t="s">
        <v>1121</v>
      </c>
      <c r="B66" s="130" t="s">
        <v>1122</v>
      </c>
      <c r="C66" s="130" t="s">
        <v>1123</v>
      </c>
      <c r="D66" s="130" t="s">
        <v>1124</v>
      </c>
      <c r="E66" s="130" t="s">
        <v>1125</v>
      </c>
      <c r="F66" s="130" t="s">
        <v>1126</v>
      </c>
      <c r="G66" s="130" t="s">
        <v>1127</v>
      </c>
      <c r="H66" s="130" t="s">
        <v>1128</v>
      </c>
    </row>
    <row r="67" spans="1:8" ht="30" customHeight="1">
      <c r="A67" s="47" t="s">
        <v>1141</v>
      </c>
      <c r="B67" s="139"/>
      <c r="C67" s="139"/>
      <c r="D67" s="139"/>
      <c r="E67" s="248" t="s">
        <v>176</v>
      </c>
      <c r="F67" s="248" t="s">
        <v>176</v>
      </c>
      <c r="G67" s="248" t="s">
        <v>176</v>
      </c>
      <c r="H67" s="248" t="s">
        <v>176</v>
      </c>
    </row>
    <row r="68" spans="1:8" ht="30" customHeight="1">
      <c r="A68" s="47" t="s">
        <v>1142</v>
      </c>
      <c r="B68" s="248" t="s">
        <v>176</v>
      </c>
      <c r="C68" s="248" t="s">
        <v>176</v>
      </c>
      <c r="D68" s="248" t="s">
        <v>176</v>
      </c>
      <c r="E68" s="248" t="s">
        <v>176</v>
      </c>
      <c r="F68" s="139"/>
      <c r="G68" s="139"/>
      <c r="H68" s="139"/>
    </row>
    <row r="69" spans="1:8" ht="30" customHeight="1">
      <c r="A69" s="47" t="s">
        <v>1143</v>
      </c>
      <c r="B69" s="248" t="s">
        <v>176</v>
      </c>
      <c r="C69" s="248" t="s">
        <v>176</v>
      </c>
      <c r="D69" s="139"/>
      <c r="E69" s="248" t="s">
        <v>176</v>
      </c>
      <c r="F69" s="248" t="s">
        <v>176</v>
      </c>
      <c r="G69" s="139"/>
      <c r="H69" s="139"/>
    </row>
    <row r="70" spans="1:8" ht="30" customHeight="1">
      <c r="A70" s="47" t="s">
        <v>1144</v>
      </c>
      <c r="B70" s="248" t="s">
        <v>176</v>
      </c>
      <c r="C70" s="248" t="s">
        <v>176</v>
      </c>
      <c r="D70" s="139"/>
      <c r="E70" s="248" t="s">
        <v>176</v>
      </c>
      <c r="F70" s="248" t="s">
        <v>176</v>
      </c>
      <c r="G70" s="139"/>
      <c r="H70" s="139"/>
    </row>
    <row r="71" spans="1:8" ht="30" customHeight="1">
      <c r="A71" s="47" t="s">
        <v>1145</v>
      </c>
      <c r="B71" s="139"/>
      <c r="C71" s="139"/>
      <c r="D71" s="139"/>
      <c r="E71" s="139"/>
      <c r="F71" s="139"/>
      <c r="G71" s="247" t="s">
        <v>1146</v>
      </c>
      <c r="H71" s="139"/>
    </row>
    <row r="74" spans="1:8">
      <c r="A74" s="14" t="s">
        <v>1147</v>
      </c>
      <c r="B74" s="14"/>
      <c r="C74" s="14"/>
    </row>
    <row r="75" spans="1:8" ht="39.75" customHeight="1">
      <c r="A75" s="26" t="s">
        <v>1148</v>
      </c>
      <c r="B75" s="141" t="s">
        <v>1149</v>
      </c>
    </row>
    <row r="76" spans="1:8" ht="30" customHeight="1">
      <c r="A76" s="242" t="s">
        <v>1150</v>
      </c>
      <c r="B76" s="242" t="s">
        <v>1151</v>
      </c>
    </row>
    <row r="77" spans="1:8" ht="30" customHeight="1">
      <c r="A77" s="242" t="s">
        <v>1152</v>
      </c>
      <c r="B77" s="242" t="s">
        <v>1152</v>
      </c>
    </row>
    <row r="78" spans="1:8" ht="30" customHeight="1">
      <c r="A78" s="242" t="s">
        <v>1153</v>
      </c>
      <c r="B78" s="242" t="s">
        <v>1154</v>
      </c>
    </row>
    <row r="79" spans="1:8" ht="30" customHeight="1">
      <c r="A79" s="242" t="s">
        <v>1155</v>
      </c>
      <c r="B79" s="242" t="s">
        <v>1155</v>
      </c>
    </row>
    <row r="80" spans="1:8" ht="30" customHeight="1">
      <c r="A80" s="242" t="s">
        <v>5</v>
      </c>
      <c r="B80" s="242" t="s">
        <v>1156</v>
      </c>
    </row>
    <row r="83" spans="1:4">
      <c r="A83" s="14" t="s">
        <v>1157</v>
      </c>
      <c r="B83" s="14"/>
    </row>
    <row r="84" spans="1:4">
      <c r="A84" s="26" t="s">
        <v>38</v>
      </c>
      <c r="B84" s="26" t="s">
        <v>135</v>
      </c>
    </row>
    <row r="85" spans="1:4" ht="30" customHeight="1">
      <c r="A85" s="242" t="s">
        <v>39</v>
      </c>
      <c r="B85" s="241" t="s">
        <v>1158</v>
      </c>
    </row>
    <row r="86" spans="1:4" ht="30" customHeight="1">
      <c r="A86" s="242" t="s">
        <v>1159</v>
      </c>
      <c r="B86" s="241" t="s">
        <v>1160</v>
      </c>
    </row>
    <row r="87" spans="1:4" ht="30" customHeight="1">
      <c r="A87" s="242" t="s">
        <v>1161</v>
      </c>
      <c r="B87" s="241" t="s">
        <v>1162</v>
      </c>
    </row>
    <row r="90" spans="1:4">
      <c r="A90" s="14" t="s">
        <v>1163</v>
      </c>
      <c r="B90" s="14"/>
    </row>
    <row r="91" spans="1:4">
      <c r="A91" s="26" t="s">
        <v>373</v>
      </c>
      <c r="B91" s="26" t="s">
        <v>1164</v>
      </c>
    </row>
    <row r="92" spans="1:4">
      <c r="A92" s="249">
        <v>46307</v>
      </c>
      <c r="B92" s="241" t="s">
        <v>1165</v>
      </c>
      <c r="D92" s="128" t="s">
        <v>1166</v>
      </c>
    </row>
    <row r="93" spans="1:4">
      <c r="A93" s="249">
        <v>46329</v>
      </c>
      <c r="B93" s="241" t="s">
        <v>1167</v>
      </c>
    </row>
    <row r="94" spans="1:4">
      <c r="A94" s="249">
        <v>46349</v>
      </c>
      <c r="B94" s="241" t="s">
        <v>1168</v>
      </c>
    </row>
    <row r="95" spans="1:4">
      <c r="A95" s="249">
        <v>46385</v>
      </c>
      <c r="B95" s="241" t="s">
        <v>1169</v>
      </c>
    </row>
    <row r="96" spans="1:4">
      <c r="A96" s="249">
        <v>46386</v>
      </c>
      <c r="B96" s="241" t="s">
        <v>1169</v>
      </c>
    </row>
    <row r="97" spans="1:2">
      <c r="A97" s="249">
        <v>46387</v>
      </c>
      <c r="B97" s="241" t="s">
        <v>1169</v>
      </c>
    </row>
    <row r="98" spans="1:2">
      <c r="A98" s="249">
        <v>46388</v>
      </c>
      <c r="B98" s="241" t="s">
        <v>1170</v>
      </c>
    </row>
    <row r="99" spans="1:2">
      <c r="A99" s="249">
        <v>46389</v>
      </c>
      <c r="B99" s="241" t="s">
        <v>1169</v>
      </c>
    </row>
    <row r="100" spans="1:2">
      <c r="A100" s="249">
        <v>46390</v>
      </c>
      <c r="B100" s="241" t="s">
        <v>1169</v>
      </c>
    </row>
    <row r="101" spans="1:2">
      <c r="A101" s="249">
        <v>46398</v>
      </c>
      <c r="B101" s="241" t="s">
        <v>1171</v>
      </c>
    </row>
    <row r="102" spans="1:2">
      <c r="A102" s="249">
        <v>46429</v>
      </c>
      <c r="B102" s="241" t="s">
        <v>1172</v>
      </c>
    </row>
    <row r="103" spans="1:2">
      <c r="A103" s="249">
        <v>46441</v>
      </c>
      <c r="B103" s="241" t="s">
        <v>1173</v>
      </c>
    </row>
    <row r="104" spans="1:2">
      <c r="A104" s="249">
        <v>46467</v>
      </c>
      <c r="B104" s="241" t="s">
        <v>1174</v>
      </c>
    </row>
    <row r="105" spans="1:2">
      <c r="A105" s="249">
        <v>46468</v>
      </c>
      <c r="B105" s="241" t="s">
        <v>1175</v>
      </c>
    </row>
    <row r="106" spans="1:2">
      <c r="A106" s="249">
        <v>46506</v>
      </c>
      <c r="B106" s="241" t="s">
        <v>1176</v>
      </c>
    </row>
    <row r="107" spans="1:2">
      <c r="A107" s="249">
        <v>46510</v>
      </c>
      <c r="B107" s="241" t="s">
        <v>1177</v>
      </c>
    </row>
    <row r="108" spans="1:2">
      <c r="A108" s="249">
        <v>46511</v>
      </c>
      <c r="B108" s="241" t="s">
        <v>1178</v>
      </c>
    </row>
    <row r="109" spans="1:2">
      <c r="A109" s="249">
        <v>46512</v>
      </c>
      <c r="B109" s="241" t="s">
        <v>1179</v>
      </c>
    </row>
    <row r="110" spans="1:2">
      <c r="A110" s="249">
        <v>46587</v>
      </c>
      <c r="B110" s="241" t="s">
        <v>1180</v>
      </c>
    </row>
    <row r="111" spans="1:2">
      <c r="A111" s="249">
        <v>46610</v>
      </c>
      <c r="B111" s="241" t="s">
        <v>1181</v>
      </c>
    </row>
    <row r="112" spans="1:2">
      <c r="A112" s="249">
        <v>46650</v>
      </c>
      <c r="B112" s="241" t="s">
        <v>1182</v>
      </c>
    </row>
    <row r="113" spans="1:2">
      <c r="A113" s="249">
        <v>46653</v>
      </c>
      <c r="B113" s="241" t="s">
        <v>1183</v>
      </c>
    </row>
    <row r="114" spans="1:2">
      <c r="A114" s="249">
        <v>46671</v>
      </c>
      <c r="B114" s="241" t="s">
        <v>1165</v>
      </c>
    </row>
    <row r="115" spans="1:2">
      <c r="A115" s="249">
        <v>46694</v>
      </c>
      <c r="B115" s="241" t="s">
        <v>1167</v>
      </c>
    </row>
    <row r="116" spans="1:2">
      <c r="A116" s="249">
        <v>46714</v>
      </c>
      <c r="B116" s="241" t="s">
        <v>1168</v>
      </c>
    </row>
    <row r="117" spans="1:2">
      <c r="A117" s="249">
        <v>46750</v>
      </c>
      <c r="B117" s="241" t="s">
        <v>1169</v>
      </c>
    </row>
    <row r="118" spans="1:2">
      <c r="A118" s="249">
        <v>46751</v>
      </c>
      <c r="B118" s="241" t="s">
        <v>1169</v>
      </c>
    </row>
    <row r="119" spans="1:2">
      <c r="A119" s="249">
        <v>46752</v>
      </c>
      <c r="B119" s="241" t="s">
        <v>1169</v>
      </c>
    </row>
    <row r="120" spans="1:2">
      <c r="A120" s="143"/>
      <c r="B120" s="116"/>
    </row>
    <row r="121" spans="1:2">
      <c r="A121" s="143"/>
      <c r="B121" s="116"/>
    </row>
    <row r="122" spans="1:2">
      <c r="A122" s="143"/>
      <c r="B122" s="116"/>
    </row>
    <row r="123" spans="1:2">
      <c r="A123" s="143"/>
      <c r="B123" s="116"/>
    </row>
    <row r="124" spans="1:2">
      <c r="A124" s="143"/>
      <c r="B124" s="116"/>
    </row>
    <row r="125" spans="1:2">
      <c r="A125" s="143"/>
      <c r="B125" s="116"/>
    </row>
    <row r="126" spans="1:2">
      <c r="A126" s="143"/>
      <c r="B126" s="116"/>
    </row>
    <row r="127" spans="1:2">
      <c r="A127" s="143"/>
      <c r="B127" s="116"/>
    </row>
    <row r="128" spans="1:2">
      <c r="A128" s="143"/>
      <c r="B128" s="116"/>
    </row>
    <row r="129" spans="1:2">
      <c r="A129" s="143"/>
      <c r="B129" s="116"/>
    </row>
    <row r="130" spans="1:2">
      <c r="A130" s="143"/>
      <c r="B130" s="116"/>
    </row>
    <row r="131" spans="1:2">
      <c r="A131" s="143"/>
      <c r="B131" s="116"/>
    </row>
    <row r="132" spans="1:2">
      <c r="A132" s="143"/>
      <c r="B132" s="116"/>
    </row>
    <row r="133" spans="1:2">
      <c r="A133" s="143"/>
      <c r="B133" s="116"/>
    </row>
    <row r="134" spans="1:2">
      <c r="A134" s="143"/>
      <c r="B134" s="116"/>
    </row>
    <row r="135" spans="1:2">
      <c r="A135" s="143"/>
      <c r="B135" s="116"/>
    </row>
    <row r="136" spans="1:2">
      <c r="A136" s="143"/>
      <c r="B136" s="116"/>
    </row>
    <row r="137" spans="1:2">
      <c r="A137" s="143"/>
      <c r="B137" s="116"/>
    </row>
    <row r="138" spans="1:2">
      <c r="A138" s="143"/>
      <c r="B138" s="116"/>
    </row>
    <row r="139" spans="1:2">
      <c r="A139" s="143"/>
      <c r="B139" s="116"/>
    </row>
    <row r="140" spans="1:2">
      <c r="A140" s="143"/>
      <c r="B140" s="116"/>
    </row>
    <row r="141" spans="1:2">
      <c r="A141" s="143"/>
      <c r="B141" s="116"/>
    </row>
    <row r="142" spans="1:2">
      <c r="A142" s="143"/>
      <c r="B142" s="116"/>
    </row>
    <row r="143" spans="1:2">
      <c r="A143" s="143"/>
      <c r="B143" s="116"/>
    </row>
    <row r="144" spans="1:2">
      <c r="A144" s="143"/>
      <c r="B144" s="116"/>
    </row>
    <row r="145" spans="1:2">
      <c r="A145" s="143"/>
      <c r="B145" s="116"/>
    </row>
    <row r="146" spans="1:2">
      <c r="A146" s="143"/>
      <c r="B146" s="116"/>
    </row>
    <row r="147" spans="1:2">
      <c r="A147" s="143"/>
      <c r="B147" s="116"/>
    </row>
    <row r="148" spans="1:2">
      <c r="A148" s="143"/>
      <c r="B148" s="116"/>
    </row>
    <row r="149" spans="1:2">
      <c r="A149" s="143"/>
      <c r="B149" s="116"/>
    </row>
    <row r="150" spans="1:2">
      <c r="A150" s="143"/>
      <c r="B150" s="116"/>
    </row>
    <row r="151" spans="1:2">
      <c r="A151" s="143"/>
      <c r="B151" s="116"/>
    </row>
    <row r="152" spans="1:2">
      <c r="A152" s="143"/>
      <c r="B152" s="116"/>
    </row>
  </sheetData>
  <sheetProtection sheet="1" objects="1" scenarios="1"/>
  <mergeCells count="12">
    <mergeCell ref="A83:B83"/>
    <mergeCell ref="A90:B90"/>
    <mergeCell ref="A20:S20"/>
    <mergeCell ref="A41:E41"/>
    <mergeCell ref="A52:H52"/>
    <mergeCell ref="A65:H65"/>
    <mergeCell ref="A74:C74"/>
    <mergeCell ref="A3:D3"/>
    <mergeCell ref="F3:K3"/>
    <mergeCell ref="F4:H4"/>
    <mergeCell ref="F5:H5"/>
    <mergeCell ref="F6:H6"/>
  </mergeCells>
  <phoneticPr fontId="46"/>
  <dataValidations count="2">
    <dataValidation type="list" showInputMessage="1" showErrorMessage="1" errorTitle="端数処理" error="一覧から選んでください(四捨五入・切捨て・切上げ)。" promptTitle="利息の端数処理" prompt="一覧から選びます。" sqref="I5" xr:uid="{00000000-0002-0000-0800-000000000000}">
      <formula1>"四捨五入,切捨て,切上げ"</formula1>
      <formula2>0</formula2>
    </dataValidation>
    <dataValidation type="list" showInputMessage="1" showErrorMessage="1" errorTitle="端数処理" error="一覧から選んでください(四捨五入・切捨て・切上げ)。" promptTitle="毎月償還額の端数処理" prompt="一覧から選びます。" sqref="I6" xr:uid="{00000000-0002-0000-0800-000001000000}">
      <formula1>"四捨五入,切捨て,切上げ"</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BFBFBF"/>
  </sheetPr>
  <dimension ref="A1:D220"/>
  <sheetViews>
    <sheetView zoomScaleNormal="100" workbookViewId="0">
      <pane ySplit="3" topLeftCell="A133" activePane="bottomLeft" state="frozen"/>
      <selection pane="bottomLeft" activeCell="C39" sqref="C39"/>
    </sheetView>
  </sheetViews>
  <sheetFormatPr defaultColWidth="8.5546875" defaultRowHeight="13.2"/>
  <cols>
    <col min="1" max="1" width="44" customWidth="1"/>
    <col min="2" max="2" width="22" customWidth="1"/>
    <col min="3" max="3" width="70" customWidth="1"/>
    <col min="4" max="4" width="34" customWidth="1"/>
  </cols>
  <sheetData>
    <row r="1" spans="1:4" ht="15.6">
      <c r="A1" s="100" t="s">
        <v>1184</v>
      </c>
    </row>
    <row r="2" spans="1:4">
      <c r="A2" s="21" t="s">
        <v>1185</v>
      </c>
    </row>
    <row r="3" spans="1:4">
      <c r="A3" s="26" t="s">
        <v>1186</v>
      </c>
      <c r="B3" s="26" t="s">
        <v>1187</v>
      </c>
      <c r="C3" s="26" t="s">
        <v>1188</v>
      </c>
      <c r="D3" s="26" t="s">
        <v>1189</v>
      </c>
    </row>
    <row r="4" spans="1:4">
      <c r="A4" s="144" t="s">
        <v>1190</v>
      </c>
      <c r="B4" s="145"/>
      <c r="C4" s="145"/>
      <c r="D4" s="145"/>
    </row>
    <row r="5" spans="1:4">
      <c r="A5" s="53" t="s">
        <v>1191</v>
      </c>
      <c r="B5" s="146">
        <f>10000</f>
        <v>10000</v>
      </c>
      <c r="C5" s="21" t="s">
        <v>1192</v>
      </c>
      <c r="D5" s="50" t="s">
        <v>1193</v>
      </c>
    </row>
    <row r="6" spans="1:4">
      <c r="A6" s="53" t="s">
        <v>1194</v>
      </c>
      <c r="B6" s="147">
        <f>12</f>
        <v>12</v>
      </c>
      <c r="C6" s="21" t="s">
        <v>1195</v>
      </c>
      <c r="D6" s="50" t="s">
        <v>1196</v>
      </c>
    </row>
    <row r="7" spans="1:4">
      <c r="A7" s="53" t="s">
        <v>1197</v>
      </c>
      <c r="B7" s="147">
        <f>6</f>
        <v>6</v>
      </c>
      <c r="C7" s="21" t="s">
        <v>1198</v>
      </c>
      <c r="D7" s="50" t="s">
        <v>1199</v>
      </c>
    </row>
    <row r="8" spans="1:4">
      <c r="A8" s="53" t="s">
        <v>1200</v>
      </c>
      <c r="B8" s="147">
        <f>2</f>
        <v>2</v>
      </c>
      <c r="C8" s="21" t="s">
        <v>1201</v>
      </c>
      <c r="D8" s="50" t="s">
        <v>1202</v>
      </c>
    </row>
    <row r="9" spans="1:4">
      <c r="A9" s="53" t="s">
        <v>1203</v>
      </c>
      <c r="B9" s="148">
        <f>0.0000001</f>
        <v>9.9999999999999995E-8</v>
      </c>
      <c r="C9" s="21" t="s">
        <v>1204</v>
      </c>
      <c r="D9" s="50" t="s">
        <v>1205</v>
      </c>
    </row>
    <row r="10" spans="1:4">
      <c r="A10" s="144" t="s">
        <v>1206</v>
      </c>
      <c r="B10" s="145"/>
      <c r="C10" s="145"/>
      <c r="D10" s="145"/>
    </row>
    <row r="11" spans="1:4">
      <c r="A11" s="53" t="s">
        <v>565</v>
      </c>
      <c r="B11" s="147">
        <f>IFERROR(MATCH(申込シミュレーション!$C$9,マスタ!$A$22:$A$39,0),1)</f>
        <v>1</v>
      </c>
      <c r="C11" s="21" t="s">
        <v>1207</v>
      </c>
      <c r="D11" s="50" t="s">
        <v>1208</v>
      </c>
    </row>
    <row r="12" spans="1:4">
      <c r="A12" s="53" t="s">
        <v>568</v>
      </c>
      <c r="B12" s="149" t="str">
        <f>INDEX(マスタ!$B$22:$B$39,計算過程!$B$11)&amp;""</f>
        <v>普通貸付</v>
      </c>
      <c r="C12" s="21" t="s">
        <v>1209</v>
      </c>
      <c r="D12" s="50" t="s">
        <v>1210</v>
      </c>
    </row>
    <row r="13" spans="1:4">
      <c r="A13" s="53" t="s">
        <v>571</v>
      </c>
      <c r="B13" s="149" t="str">
        <f>INDEX(マスタ!$C$22:$C$39,計算過程!$B$11)&amp;""</f>
        <v>月数</v>
      </c>
      <c r="C13" s="21" t="s">
        <v>1211</v>
      </c>
      <c r="D13" s="50" t="s">
        <v>1212</v>
      </c>
    </row>
    <row r="14" spans="1:4">
      <c r="A14" s="53" t="s">
        <v>1213</v>
      </c>
      <c r="B14" s="147">
        <f>N(INDEX(マスタ!$D$22:$D$39,計算過程!$B$11))</f>
        <v>6</v>
      </c>
      <c r="C14" s="21" t="s">
        <v>1214</v>
      </c>
      <c r="D14" s="50" t="s">
        <v>1215</v>
      </c>
    </row>
    <row r="15" spans="1:4">
      <c r="A15" s="53" t="s">
        <v>1216</v>
      </c>
      <c r="B15" s="146">
        <f>N(INDEX(マスタ!$E$22:$E$39,計算過程!$B$11))</f>
        <v>200</v>
      </c>
      <c r="C15" s="21" t="s">
        <v>1217</v>
      </c>
      <c r="D15" s="50" t="s">
        <v>1218</v>
      </c>
    </row>
    <row r="16" spans="1:4">
      <c r="A16" s="53" t="s">
        <v>1219</v>
      </c>
      <c r="B16" s="146">
        <f>N(INDEX(マスタ!$F$22:$F$39,計算過程!$B$11))</f>
        <v>1</v>
      </c>
      <c r="C16" s="21" t="s">
        <v>1220</v>
      </c>
      <c r="D16" s="50" t="s">
        <v>1221</v>
      </c>
    </row>
    <row r="17" spans="1:4">
      <c r="A17" s="53" t="s">
        <v>583</v>
      </c>
      <c r="B17" s="146">
        <f>N(INDEX(マスタ!$G$22:$G$39,計算過程!$B$11))</f>
        <v>120</v>
      </c>
      <c r="C17" s="21" t="s">
        <v>583</v>
      </c>
      <c r="D17" s="50" t="s">
        <v>1222</v>
      </c>
    </row>
    <row r="18" spans="1:4">
      <c r="A18" s="53" t="s">
        <v>586</v>
      </c>
      <c r="B18" s="149" t="str">
        <f>INDEX(マスタ!$H$22:$H$39,計算過程!$B$11)&amp;""</f>
        <v>通常</v>
      </c>
      <c r="C18" s="21" t="s">
        <v>1223</v>
      </c>
      <c r="D18" s="50" t="s">
        <v>1224</v>
      </c>
    </row>
    <row r="19" spans="1:4">
      <c r="A19" s="53" t="s">
        <v>1225</v>
      </c>
      <c r="B19" s="147">
        <f>N(INDEX(マスタ!$I$22:$I$39,計算過程!$B$11))</f>
        <v>5</v>
      </c>
      <c r="C19" s="21" t="s">
        <v>1226</v>
      </c>
      <c r="D19" s="50" t="s">
        <v>1227</v>
      </c>
    </row>
    <row r="20" spans="1:4">
      <c r="A20" s="53" t="s">
        <v>1228</v>
      </c>
      <c r="B20" s="147">
        <f>N(INDEX(マスタ!$J$22:$J$39,計算過程!$B$11))</f>
        <v>0</v>
      </c>
      <c r="C20" s="21" t="s">
        <v>1229</v>
      </c>
      <c r="D20" s="50" t="s">
        <v>1230</v>
      </c>
    </row>
    <row r="21" spans="1:4">
      <c r="A21" s="53" t="s">
        <v>595</v>
      </c>
      <c r="B21" s="149" t="str">
        <f>INDEX(マスタ!$K$22:$K$39,計算過程!$B$11)&amp;""</f>
        <v>注文書(写)又は発注書(写)(見積書は不可)</v>
      </c>
      <c r="C21" s="21" t="s">
        <v>1231</v>
      </c>
      <c r="D21" s="50" t="s">
        <v>1232</v>
      </c>
    </row>
    <row r="22" spans="1:4">
      <c r="A22" s="53" t="s">
        <v>122</v>
      </c>
      <c r="B22" s="149" t="str">
        <f>INDEX(マスタ!$L$22:$L$39,計算過程!$B$11)&amp;""</f>
        <v>自動車登録(名義変更)前で代金支払前</v>
      </c>
      <c r="C22" s="21" t="s">
        <v>1233</v>
      </c>
      <c r="D22" s="50" t="s">
        <v>1234</v>
      </c>
    </row>
    <row r="23" spans="1:4">
      <c r="A23" s="53" t="s">
        <v>600</v>
      </c>
      <c r="B23" s="149" t="str">
        <f>INDEX(マスタ!$M$22:$M$39,計算過程!$B$11)&amp;""</f>
        <v>自動車の登録(予定)日</v>
      </c>
      <c r="C23" s="21" t="s">
        <v>1235</v>
      </c>
      <c r="D23" s="50" t="s">
        <v>1236</v>
      </c>
    </row>
    <row r="24" spans="1:4">
      <c r="A24" s="53" t="s">
        <v>1237</v>
      </c>
      <c r="B24" s="149" t="str">
        <f>INDEX(マスタ!$N$22:$N$39,計算過程!$B$11)&amp;""</f>
        <v/>
      </c>
      <c r="C24" s="21" t="s">
        <v>1238</v>
      </c>
      <c r="D24" s="50" t="s">
        <v>1239</v>
      </c>
    </row>
    <row r="25" spans="1:4">
      <c r="A25" s="53" t="s">
        <v>1240</v>
      </c>
      <c r="B25" s="149" t="str">
        <f>INDEX(マスタ!$O$22:$O$39,計算過程!$B$11)&amp;""</f>
        <v/>
      </c>
      <c r="C25" s="21" t="s">
        <v>1241</v>
      </c>
      <c r="D25" s="50" t="s">
        <v>1242</v>
      </c>
    </row>
    <row r="26" spans="1:4">
      <c r="A26" s="53" t="s">
        <v>1243</v>
      </c>
      <c r="B26" s="149" t="str">
        <f>INDEX(マスタ!$P$22:$P$39,計算過程!$B$11)&amp;""</f>
        <v>完了届(自動車検査証(写)及び自動車検査証記録事項(写)を添付)</v>
      </c>
      <c r="C26" s="21" t="s">
        <v>1244</v>
      </c>
      <c r="D26" s="50" t="s">
        <v>1245</v>
      </c>
    </row>
    <row r="27" spans="1:4">
      <c r="A27" s="53" t="s">
        <v>1246</v>
      </c>
      <c r="B27" s="149" t="str">
        <f>INDEX(マスタ!$Q$22:$Q$39,計算過程!$B$11)&amp;""</f>
        <v>2</v>
      </c>
      <c r="C27" s="21" t="s">
        <v>1247</v>
      </c>
      <c r="D27" s="50" t="s">
        <v>1248</v>
      </c>
    </row>
    <row r="28" spans="1:4">
      <c r="A28" s="53" t="s">
        <v>615</v>
      </c>
      <c r="B28" s="149" t="str">
        <f>INDEX(マスタ!$R$22:$R$39,計算過程!$B$11)&amp;""</f>
        <v>交付日</v>
      </c>
      <c r="C28" s="21" t="s">
        <v>1249</v>
      </c>
      <c r="D28" s="50" t="s">
        <v>1250</v>
      </c>
    </row>
    <row r="29" spans="1:4">
      <c r="A29" s="53" t="s">
        <v>136</v>
      </c>
      <c r="B29" s="149" t="str">
        <f>INDEX(マスタ!$S$22:$S$39,計算過程!$B$11)&amp;""</f>
        <v>締切日の同月10日頃</v>
      </c>
      <c r="C29" s="21" t="s">
        <v>1251</v>
      </c>
      <c r="D29" s="50" t="s">
        <v>1252</v>
      </c>
    </row>
    <row r="30" spans="1:4">
      <c r="A30" s="144" t="s">
        <v>1253</v>
      </c>
      <c r="B30" s="145"/>
      <c r="C30" s="145"/>
      <c r="D30" s="145"/>
    </row>
    <row r="31" spans="1:4">
      <c r="A31" s="53" t="s">
        <v>1254</v>
      </c>
      <c r="B31" s="147">
        <f>IF(OR(計算過程!$B$13="住宅",計算過程!$B$13="再貸付"),1,0)</f>
        <v>0</v>
      </c>
      <c r="C31" s="21" t="s">
        <v>1255</v>
      </c>
      <c r="D31" s="50" t="s">
        <v>1256</v>
      </c>
    </row>
    <row r="32" spans="1:4">
      <c r="A32" s="53" t="s">
        <v>49</v>
      </c>
      <c r="B32" s="29">
        <f>IF(計算過程!$B$18="災害",マスタ!$B$6,IF(計算過程!$B$18="住宅",マスタ!$B$5,マスタ!$B$4))</f>
        <v>1.26E-2</v>
      </c>
      <c r="C32" s="21" t="s">
        <v>1257</v>
      </c>
      <c r="D32" s="50" t="s">
        <v>1258</v>
      </c>
    </row>
    <row r="33" spans="1:4">
      <c r="A33" s="53" t="s">
        <v>1259</v>
      </c>
      <c r="B33" s="29">
        <f>MAX(0,計算過程!$B$32-マスタ!$B$7)</f>
        <v>0.01</v>
      </c>
      <c r="C33" s="21" t="s">
        <v>1260</v>
      </c>
      <c r="D33" s="50" t="s">
        <v>1261</v>
      </c>
    </row>
    <row r="34" spans="1:4">
      <c r="A34" s="53" t="s">
        <v>1262</v>
      </c>
      <c r="B34" s="147">
        <f>IF(OR(申込シミュレーション!$C$11="",申込シミュレーション!$C$10=""),0,IFERROR(DATEDIF(申込シミュレーション!$C$11,申込シミュレーション!$C$10,"m"),0))</f>
        <v>175</v>
      </c>
      <c r="C34" s="21" t="s">
        <v>1263</v>
      </c>
      <c r="D34" s="50" t="s">
        <v>1264</v>
      </c>
    </row>
    <row r="35" spans="1:4">
      <c r="A35" s="53" t="s">
        <v>1265</v>
      </c>
      <c r="B35" s="149" t="str">
        <f>INT(計算過程!$B$34/計算過程!$B$6)&amp;"年"&amp;MOD(計算過程!$B$34,計算過程!$B$6)&amp;"か月"</f>
        <v>14年7か月</v>
      </c>
      <c r="C35" s="21" t="s">
        <v>1266</v>
      </c>
      <c r="D35" s="50" t="s">
        <v>1267</v>
      </c>
    </row>
    <row r="36" spans="1:4">
      <c r="A36" s="53" t="s">
        <v>636</v>
      </c>
      <c r="B36" s="147">
        <f>IFERROR(MATCH(計算過程!$B$34,マスタ!$A$43:$A$49,1),1)</f>
        <v>3</v>
      </c>
      <c r="C36" s="128" t="s">
        <v>1268</v>
      </c>
      <c r="D36" s="50" t="s">
        <v>1269</v>
      </c>
    </row>
    <row r="37" spans="1:4">
      <c r="A37" s="53" t="s">
        <v>639</v>
      </c>
      <c r="B37" s="147">
        <f>IFERROR(MATCH(計算過程!$B$34,マスタ!$E$43:$E$47,1),1)</f>
        <v>4</v>
      </c>
      <c r="C37" s="21"/>
      <c r="D37" s="50" t="s">
        <v>1270</v>
      </c>
    </row>
    <row r="38" spans="1:4">
      <c r="A38" s="53" t="s">
        <v>1271</v>
      </c>
      <c r="B38" s="147">
        <f>INDEX(マスタ!$C$43:$C$49,計算過程!$B$36)</f>
        <v>22</v>
      </c>
      <c r="C38" s="21"/>
      <c r="D38" s="50" t="s">
        <v>1272</v>
      </c>
    </row>
    <row r="39" spans="1:4">
      <c r="A39" s="53" t="s">
        <v>1273</v>
      </c>
      <c r="B39" s="146">
        <f>INDEX(マスタ!$G$43:$G$47,計算過程!$B$37)</f>
        <v>900</v>
      </c>
      <c r="C39" s="21"/>
      <c r="D39" s="50" t="s">
        <v>1274</v>
      </c>
    </row>
    <row r="40" spans="1:4">
      <c r="A40" s="53" t="s">
        <v>1275</v>
      </c>
      <c r="B40" s="146">
        <f>INDEX(マスタ!$H$43:$H$47,計算過程!$B$37)</f>
        <v>950</v>
      </c>
      <c r="C40" s="21"/>
      <c r="D40" s="50" t="s">
        <v>1276</v>
      </c>
    </row>
    <row r="41" spans="1:4">
      <c r="A41" s="144" t="s">
        <v>1277</v>
      </c>
      <c r="B41" s="145"/>
      <c r="C41" s="145"/>
      <c r="D41" s="145"/>
    </row>
    <row r="42" spans="1:4">
      <c r="A42" s="53" t="s">
        <v>1278</v>
      </c>
      <c r="B42" s="31">
        <f>MIN(申込シミュレーション!$C$12*計算過程!$B$14,計算過程!$B$15*計算過程!$B$5)</f>
        <v>1740000</v>
      </c>
      <c r="C42" s="21" t="s">
        <v>1279</v>
      </c>
      <c r="D42" s="50" t="s">
        <v>1280</v>
      </c>
    </row>
    <row r="43" spans="1:4">
      <c r="A43" s="53" t="s">
        <v>1281</v>
      </c>
      <c r="B43" s="31">
        <f>マスタ!$B$18*計算過程!$B$5*N(申込シミュレーション!$C$16)</f>
        <v>0</v>
      </c>
      <c r="C43" s="128" t="s">
        <v>1282</v>
      </c>
      <c r="D43" s="50" t="s">
        <v>1283</v>
      </c>
    </row>
    <row r="44" spans="1:4">
      <c r="A44" s="53" t="s">
        <v>1284</v>
      </c>
      <c r="B44" s="31">
        <f>MIN(MAX(申込シミュレーション!$C$12*計算過程!$B$38,計算過程!$B$39*計算過程!$B$5),計算過程!$B$15*計算過程!$B$5)</f>
        <v>2000000</v>
      </c>
      <c r="C44" s="21" t="s">
        <v>1285</v>
      </c>
      <c r="D44" s="50" t="s">
        <v>1286</v>
      </c>
    </row>
    <row r="45" spans="1:4">
      <c r="A45" s="53" t="s">
        <v>1287</v>
      </c>
      <c r="B45" s="31">
        <f>MIN(MAX(申込シミュレーション!$C$12*計算過程!$B$38*2,計算過程!$B$40*計算過程!$B$5),計算過程!$B$15*計算過程!$B$5)</f>
        <v>2000000</v>
      </c>
      <c r="C45" s="21" t="s">
        <v>1288</v>
      </c>
      <c r="D45" s="50" t="s">
        <v>1289</v>
      </c>
    </row>
    <row r="46" spans="1:4">
      <c r="A46" s="53" t="s">
        <v>1290</v>
      </c>
      <c r="B46" s="31">
        <f>IF(計算過程!$B$13="月数",計算過程!$B$42,IF(計算過程!$B$13="修学",計算過程!$B$43,IF(計算過程!$B$13="住宅",計算過程!$B$44,IF(計算過程!$B$13="再貸付",計算過程!$B$45,0))))</f>
        <v>1740000</v>
      </c>
      <c r="C46" s="21" t="s">
        <v>1291</v>
      </c>
      <c r="D46" s="50" t="s">
        <v>1292</v>
      </c>
    </row>
    <row r="47" spans="1:4">
      <c r="A47" s="53" t="s">
        <v>1293</v>
      </c>
      <c r="B47" s="31">
        <f>IF(計算過程!$B$31=1,MIN(MAX(N(申込シミュレーション!$C$23),0)*計算過程!$B$5,マスタ!$B$11*計算過程!$B$5),0)</f>
        <v>0</v>
      </c>
      <c r="C47" s="21" t="s">
        <v>1294</v>
      </c>
      <c r="D47" s="50" t="s">
        <v>1295</v>
      </c>
    </row>
    <row r="48" spans="1:4">
      <c r="A48" s="53" t="s">
        <v>1296</v>
      </c>
      <c r="B48" s="31">
        <f>計算過程!$B$46+計算過程!$B$47</f>
        <v>1740000</v>
      </c>
      <c r="C48" s="21" t="s">
        <v>1297</v>
      </c>
      <c r="D48" s="50" t="s">
        <v>1298</v>
      </c>
    </row>
    <row r="49" spans="1:4">
      <c r="A49" s="53" t="s">
        <v>1299</v>
      </c>
      <c r="B49" s="149" t="str">
        <f>IF(計算過程!$B$13="月数","給料月額 "&amp;TEXT(申込シミュレーション!$C$12,"#,##0")&amp;"円 × "&amp;計算過程!$B$14&amp;"か月 = "&amp;TEXT(申込シミュレーション!$C$12*計算過程!$B$14,"#,##0")&amp;"円(上限 "&amp;TEXT(計算過程!$B$15,"#,##0")&amp;"万円)",IF(計算過程!$B$13="修学",マスタ!$B$18&amp;"万円 × 修学月数 "&amp;N(申込シミュレーション!$C$16)&amp;"か月",IF(計算過程!$B$13="住宅","給料月額 × "&amp;計算過程!$B$38&amp;"か月 = "&amp;TEXT(申込シミュレーション!$C$12*計算過程!$B$38,"#,##0")&amp;"円 と 最低保障額 "&amp;TEXT(計算過程!$B$39,"#,##0")&amp;"万円 の高い方(上限 "&amp;TEXT(計算過程!$B$15,"#,##0")&amp;"万円)",IF(計算過程!$B$13="再貸付","(給料月額 × "&amp;計算過程!$B$38&amp;"か月)の2倍 = "&amp;TEXT(申込シミュレーション!$C$12*計算過程!$B$38*2,"#,##0")&amp;"円 と 最低保障額 "&amp;TEXT(計算過程!$B$40,"#,##0")&amp;"万円 の高い方(上限 "&amp;TEXT(計算過程!$B$15,"#,##0")&amp;"万円)",""))))</f>
        <v>給料月額 290,000円 × 6か月 = 1,740,000円(上限 200万円)</v>
      </c>
      <c r="C49" s="21"/>
      <c r="D49" s="50" t="s">
        <v>1300</v>
      </c>
    </row>
    <row r="50" spans="1:4">
      <c r="A50" s="53" t="s">
        <v>1301</v>
      </c>
      <c r="B50" s="149" t="str">
        <f>"毎月償還額の上限 "&amp;TEXT(計算過程!$B$57,"#,##0")&amp;"円(給料月額の"&amp;TEXT(マスタ!$B$8,"0%")&amp;" "&amp;TEXT(マスタ!$B$8*申込シミュレーション!$C$12,"#,##0")&amp;"円 − 他の借入等 "&amp;TEXT(計算過程!$B$54,"#,##0")&amp;"円)を "&amp;計算過程!$B$58&amp;"回で返済する場合"</f>
        <v>毎月償還額の上限 57,000円(給料月額の30% 87,000円 − 他の借入等 30,000円)を 60回で返済する場合</v>
      </c>
      <c r="C50" s="21"/>
      <c r="D50" s="50" t="s">
        <v>1302</v>
      </c>
    </row>
    <row r="51" spans="1:4">
      <c r="A51" s="144" t="s">
        <v>1303</v>
      </c>
      <c r="B51" s="145"/>
      <c r="C51" s="145"/>
      <c r="D51" s="145"/>
    </row>
    <row r="52" spans="1:4">
      <c r="A52" s="53" t="s">
        <v>1304</v>
      </c>
      <c r="B52" s="31">
        <f>計算過程!$B$16*計算過程!$B$5</f>
        <v>10000</v>
      </c>
      <c r="C52" s="21" t="s">
        <v>1305</v>
      </c>
      <c r="D52" s="50" t="s">
        <v>1306</v>
      </c>
    </row>
    <row r="53" spans="1:4">
      <c r="A53" s="53" t="s">
        <v>1307</v>
      </c>
      <c r="B53" s="31">
        <f>マスタ!$B$10*計算過程!$B$5</f>
        <v>100000</v>
      </c>
      <c r="C53" s="21" t="s">
        <v>1308</v>
      </c>
      <c r="D53" s="50" t="s">
        <v>1309</v>
      </c>
    </row>
    <row r="54" spans="1:4">
      <c r="A54" s="53" t="s">
        <v>1310</v>
      </c>
      <c r="B54" s="31">
        <f>N(借入状況等申告書!$P$33)+N(借入状況等申告書!$AG$33)+N(借入状況等申告書!$A$53)</f>
        <v>30000</v>
      </c>
      <c r="C54" s="21" t="s">
        <v>1311</v>
      </c>
      <c r="D54" s="50" t="s">
        <v>1312</v>
      </c>
    </row>
    <row r="55" spans="1:4">
      <c r="A55" s="53" t="s">
        <v>1313</v>
      </c>
      <c r="B55" s="31">
        <f>N(借入状況等申告書!$U$33)+N(借入状況等申告書!$AL$33)+N(借入状況等申告書!$H$53)</f>
        <v>0</v>
      </c>
      <c r="C55" s="21" t="s">
        <v>1314</v>
      </c>
      <c r="D55" s="50" t="s">
        <v>1315</v>
      </c>
    </row>
    <row r="56" spans="1:4">
      <c r="A56" s="53" t="s">
        <v>1316</v>
      </c>
      <c r="B56" s="31">
        <f>MAX(0,MIN(マスタ!$B$8*申込シミュレーション!$C$12,(マスタ!$B$8*申込シミュレーション!$C$12*(計算過程!$B$6+マスタ!$B$9)-計算過程!$B$8*計算過程!$B$55)/計算過程!$B$6))</f>
        <v>87000</v>
      </c>
      <c r="C56" s="21" t="s">
        <v>1317</v>
      </c>
      <c r="D56" s="50" t="s">
        <v>1318</v>
      </c>
    </row>
    <row r="57" spans="1:4">
      <c r="A57" s="53" t="s">
        <v>1319</v>
      </c>
      <c r="B57" s="31">
        <f>MAX(0,計算過程!$B$56-計算過程!$B$54)</f>
        <v>57000</v>
      </c>
      <c r="C57" s="21"/>
      <c r="D57" s="50" t="s">
        <v>1320</v>
      </c>
    </row>
    <row r="58" spans="1:4">
      <c r="A58" s="53" t="s">
        <v>696</v>
      </c>
      <c r="B58" s="146">
        <f>IF(N(申込シミュレーション!$C$18)&gt;0,申込シミュレーション!$C$18,計算過程!$B$17)</f>
        <v>60</v>
      </c>
      <c r="C58" s="21" t="s">
        <v>1321</v>
      </c>
      <c r="D58" s="50" t="s">
        <v>1322</v>
      </c>
    </row>
    <row r="59" spans="1:4">
      <c r="A59" s="53" t="s">
        <v>1323</v>
      </c>
      <c r="B59" s="31">
        <f>IF(計算過程!$B$57&lt;=0,0,PV(計算過程!$B$32/計算過程!$B$6,計算過程!$B$58,-計算過程!$B$57))</f>
        <v>3312812.4209239185</v>
      </c>
      <c r="C59" s="21" t="s">
        <v>1324</v>
      </c>
      <c r="D59" s="50" t="s">
        <v>1325</v>
      </c>
    </row>
    <row r="60" spans="1:4">
      <c r="A60" s="53" t="s">
        <v>1326</v>
      </c>
      <c r="B60" s="31">
        <f>MIN(計算過程!$B$48,計算過程!$B$59)</f>
        <v>1740000</v>
      </c>
      <c r="C60" s="21" t="s">
        <v>1327</v>
      </c>
      <c r="D60" s="50" t="s">
        <v>1328</v>
      </c>
    </row>
    <row r="61" spans="1:4">
      <c r="A61" s="53" t="s">
        <v>1329</v>
      </c>
      <c r="B61" s="31">
        <f>IF(計算過程!$B$48&lt;=0,0,ROUNDDOWN(計算過程!$B$60/計算過程!$B$52,0)*計算過程!$B$52)</f>
        <v>1740000</v>
      </c>
      <c r="C61" s="128" t="s">
        <v>1330</v>
      </c>
      <c r="D61" s="50" t="s">
        <v>1331</v>
      </c>
    </row>
    <row r="62" spans="1:4">
      <c r="A62" s="53" t="s">
        <v>1332</v>
      </c>
      <c r="B62" s="31">
        <f>IF(計算過程!$B$61&lt;計算過程!$B$53,0,計算過程!$B$61)</f>
        <v>1740000</v>
      </c>
      <c r="C62" s="21" t="s">
        <v>1333</v>
      </c>
      <c r="D62" s="50" t="s">
        <v>1334</v>
      </c>
    </row>
    <row r="63" spans="1:4">
      <c r="A63" s="53" t="s">
        <v>711</v>
      </c>
      <c r="B63" s="149" t="str">
        <f>IF(計算過程!$B$62=0,"申込不可(下限未満または条件不適合)",IF(計算過程!$B$48&lt;=計算過程!$B$59,"貸付限度額","返済能力(償還額が給料月額の30%以内)"))</f>
        <v>貸付限度額</v>
      </c>
      <c r="C63" s="21" t="s">
        <v>1335</v>
      </c>
      <c r="D63" s="50" t="s">
        <v>1336</v>
      </c>
    </row>
    <row r="64" spans="1:4">
      <c r="A64" s="144" t="s">
        <v>1337</v>
      </c>
      <c r="B64" s="145"/>
      <c r="C64" s="145"/>
      <c r="D64" s="145"/>
    </row>
    <row r="65" spans="1:4">
      <c r="A65" s="53" t="s">
        <v>1338</v>
      </c>
      <c r="B65" s="31">
        <f>IF(N(申込シミュレーション!$C$17)&gt;0,申込シミュレーション!$C$17*計算過程!$B$5,計算過程!$B$62)</f>
        <v>1500000</v>
      </c>
      <c r="C65" s="21" t="s">
        <v>1339</v>
      </c>
      <c r="D65" s="50" t="s">
        <v>1340</v>
      </c>
    </row>
    <row r="66" spans="1:4">
      <c r="A66" s="53" t="s">
        <v>1341</v>
      </c>
      <c r="B66" s="31">
        <f>IF(計算過程!$B$31=1,MIN(MAX(N(申込シミュレーション!$C$23),0)*計算過程!$B$5,マスタ!$B$11*計算過程!$B$5,計算過程!$B$65),0)</f>
        <v>0</v>
      </c>
      <c r="C66" s="21" t="s">
        <v>1342</v>
      </c>
      <c r="D66" s="50" t="s">
        <v>1343</v>
      </c>
    </row>
    <row r="67" spans="1:4">
      <c r="A67" s="53" t="s">
        <v>1344</v>
      </c>
      <c r="B67" s="31">
        <f>計算過程!$B$65-計算過程!$B$66</f>
        <v>1500000</v>
      </c>
      <c r="C67" s="21" t="s">
        <v>1345</v>
      </c>
      <c r="D67" s="50" t="s">
        <v>1346</v>
      </c>
    </row>
    <row r="68" spans="1:4">
      <c r="A68" s="53" t="s">
        <v>1347</v>
      </c>
      <c r="B68" s="31">
        <f>IF(申込シミュレーション!$C$20="有",MAX(N(申込シミュレーション!$C$21),0)*計算過程!$B$5,0)</f>
        <v>0</v>
      </c>
      <c r="C68" s="21" t="s">
        <v>1348</v>
      </c>
      <c r="D68" s="50" t="s">
        <v>1349</v>
      </c>
    </row>
    <row r="69" spans="1:4">
      <c r="A69" s="53" t="s">
        <v>87</v>
      </c>
      <c r="B69" s="146">
        <f>IF(申込シミュレーション!$C$20="有",N(申込シミュレーション!$C$22),0)</f>
        <v>0</v>
      </c>
      <c r="C69" s="21" t="s">
        <v>1350</v>
      </c>
      <c r="D69" s="50" t="s">
        <v>1351</v>
      </c>
    </row>
    <row r="70" spans="1:4">
      <c r="A70" s="53" t="s">
        <v>729</v>
      </c>
      <c r="B70" s="146">
        <f>IFERROR(ROUNDUP(NPER(計算過程!$B$32/計算過程!$B$6,-申込シミュレーション!$C$19,計算過程!$B$65),0),0)</f>
        <v>0</v>
      </c>
      <c r="C70" s="21" t="s">
        <v>1352</v>
      </c>
      <c r="D70" s="50" t="s">
        <v>1353</v>
      </c>
    </row>
    <row r="71" spans="1:4">
      <c r="A71" s="53" t="s">
        <v>1354</v>
      </c>
      <c r="B71" s="146">
        <f>IF(N(申込シミュレーション!$C$18)&gt;0,申込シミュレーション!$C$18,IF(AND(N(申込シミュレーション!$C$19)&gt;0,計算過程!$B$65&gt;0),計算過程!$B$70,計算過程!$B$17))</f>
        <v>60</v>
      </c>
      <c r="C71" s="21" t="s">
        <v>1355</v>
      </c>
      <c r="D71" s="50" t="s">
        <v>1356</v>
      </c>
    </row>
    <row r="72" spans="1:4">
      <c r="A72" s="53" t="s">
        <v>976</v>
      </c>
      <c r="B72" s="147">
        <f>IF(マスタ!$I$5="切捨て",2,IF(マスタ!$I$5="切上げ",3,1))</f>
        <v>1</v>
      </c>
      <c r="C72" s="128" t="s">
        <v>1357</v>
      </c>
      <c r="D72" s="50" t="s">
        <v>1358</v>
      </c>
    </row>
    <row r="73" spans="1:4">
      <c r="A73" s="53" t="s">
        <v>979</v>
      </c>
      <c r="B73" s="147">
        <f>IF(マスタ!$I$6="切捨て",2,IF(マスタ!$I$6="切上げ",3,1))</f>
        <v>1</v>
      </c>
      <c r="C73" s="128" t="s">
        <v>1359</v>
      </c>
      <c r="D73" s="50" t="s">
        <v>1360</v>
      </c>
    </row>
    <row r="74" spans="1:4">
      <c r="A74" s="53" t="s">
        <v>1361</v>
      </c>
      <c r="B74" s="119">
        <f>IF(AND(計算過程!$B$71&gt;0,計算過程!$B$67-計算過程!$B$68&gt;0),PMT(計算過程!$B$32/計算過程!$B$6,計算過程!$B$71,-(計算過程!$B$67-計算過程!$B$68)),0)</f>
        <v>25808.886570206858</v>
      </c>
      <c r="C74" s="21" t="s">
        <v>1362</v>
      </c>
      <c r="D74" s="50" t="s">
        <v>1363</v>
      </c>
    </row>
    <row r="75" spans="1:4">
      <c r="A75" s="53" t="s">
        <v>1364</v>
      </c>
      <c r="B75" s="119">
        <f>IF(AND(計算過程!$B$71&gt;0,計算過程!$B$66&gt;0),PMT(計算過程!$B$33/計算過程!$B$6,計算過程!$B$71,-計算過程!$B$66),0)</f>
        <v>0</v>
      </c>
      <c r="C75" s="21" t="s">
        <v>1365</v>
      </c>
      <c r="D75" s="50" t="s">
        <v>1366</v>
      </c>
    </row>
    <row r="76" spans="1:4">
      <c r="A76" s="53" t="s">
        <v>1367</v>
      </c>
      <c r="B76" s="31">
        <f>CHOOSE(計算過程!$B$73,ROUND(計算過程!$B$74,0),ROUNDDOWN(計算過程!$B$74,0),ROUNDUP(計算過程!$B$74,0))</f>
        <v>25809</v>
      </c>
      <c r="C76" s="128" t="s">
        <v>1368</v>
      </c>
      <c r="D76" s="50" t="s">
        <v>1369</v>
      </c>
    </row>
    <row r="77" spans="1:4">
      <c r="A77" s="53" t="s">
        <v>1370</v>
      </c>
      <c r="B77" s="31">
        <f>CHOOSE(計算過程!$B$73,ROUND(計算過程!$B$75,0),ROUNDDOWN(計算過程!$B$75,0),ROUNDUP(計算過程!$B$75,0))</f>
        <v>0</v>
      </c>
      <c r="C77" s="21" t="s">
        <v>1371</v>
      </c>
      <c r="D77" s="50" t="s">
        <v>1372</v>
      </c>
    </row>
    <row r="78" spans="1:4">
      <c r="A78" s="53" t="s">
        <v>1373</v>
      </c>
      <c r="B78" s="31">
        <f>計算過程!$B$76+計算過程!$B$77</f>
        <v>25809</v>
      </c>
      <c r="C78" s="21" t="s">
        <v>1374</v>
      </c>
      <c r="D78" s="50" t="s">
        <v>1375</v>
      </c>
    </row>
    <row r="79" spans="1:4">
      <c r="A79" s="53" t="s">
        <v>1376</v>
      </c>
      <c r="B79" s="118">
        <f>(1+計算過程!$B$32/計算過程!$B$6)^6-1</f>
        <v>6.3165606707400457E-3</v>
      </c>
      <c r="C79" s="21" t="s">
        <v>1377</v>
      </c>
      <c r="D79" s="50" t="s">
        <v>1378</v>
      </c>
    </row>
    <row r="80" spans="1:4">
      <c r="A80" s="53" t="s">
        <v>1379</v>
      </c>
      <c r="B80" s="119">
        <f>IF(AND(計算過程!$B$68&gt;0,計算過程!$B$69&gt;0),PMT(計算過程!$B$79,計算過程!$B$69,-計算過程!$B$68),0)</f>
        <v>0</v>
      </c>
      <c r="C80" s="21" t="s">
        <v>1380</v>
      </c>
      <c r="D80" s="50" t="s">
        <v>1381</v>
      </c>
    </row>
    <row r="81" spans="1:4">
      <c r="A81" s="53" t="s">
        <v>1382</v>
      </c>
      <c r="B81" s="31">
        <f>CHOOSE(計算過程!$B$73,ROUND(計算過程!$B$80,0),ROUNDDOWN(計算過程!$B$80,0),ROUNDUP(計算過程!$B$80,0))</f>
        <v>0</v>
      </c>
      <c r="C81" s="21" t="s">
        <v>1383</v>
      </c>
      <c r="D81" s="50" t="s">
        <v>1384</v>
      </c>
    </row>
    <row r="82" spans="1:4">
      <c r="A82" s="53" t="s">
        <v>1385</v>
      </c>
      <c r="B82" s="31">
        <f>IF(計算過程!$B$71&gt;0,N(INDEX(償還表!$C$8:$C$367,計算過程!$B$71)),0)</f>
        <v>25804</v>
      </c>
      <c r="C82" s="21" t="s">
        <v>1386</v>
      </c>
      <c r="D82" s="50" t="s">
        <v>1387</v>
      </c>
    </row>
    <row r="83" spans="1:4">
      <c r="A83" s="53" t="s">
        <v>1388</v>
      </c>
      <c r="B83" s="31">
        <f>N(償還表!$N$5)</f>
        <v>1548535</v>
      </c>
      <c r="C83" s="21" t="s">
        <v>1389</v>
      </c>
      <c r="D83" s="50" t="s">
        <v>1390</v>
      </c>
    </row>
    <row r="84" spans="1:4">
      <c r="A84" s="53" t="s">
        <v>1391</v>
      </c>
      <c r="B84" s="31">
        <f>IF(計算過程!$B$65&gt;0,計算過程!$B$83-計算過程!$B$65,0)</f>
        <v>48535</v>
      </c>
      <c r="C84" s="21" t="s">
        <v>1392</v>
      </c>
      <c r="D84" s="50" t="s">
        <v>1393</v>
      </c>
    </row>
    <row r="85" spans="1:4">
      <c r="A85" s="144" t="s">
        <v>1394</v>
      </c>
      <c r="B85" s="145"/>
      <c r="C85" s="145"/>
      <c r="D85" s="145"/>
    </row>
    <row r="86" spans="1:4">
      <c r="A86" s="53" t="s">
        <v>94</v>
      </c>
      <c r="B86" s="31">
        <f>計算過程!$B$54+計算過程!$B$78</f>
        <v>55809</v>
      </c>
      <c r="C86" s="21" t="s">
        <v>1395</v>
      </c>
      <c r="D86" s="50" t="s">
        <v>1396</v>
      </c>
    </row>
    <row r="87" spans="1:4">
      <c r="A87" s="53" t="s">
        <v>99</v>
      </c>
      <c r="B87" s="31">
        <f>計算過程!$B$55+計算過程!$B$81</f>
        <v>0</v>
      </c>
      <c r="C87" s="21" t="s">
        <v>1397</v>
      </c>
      <c r="D87" s="50" t="s">
        <v>1398</v>
      </c>
    </row>
    <row r="88" spans="1:4">
      <c r="A88" s="53" t="s">
        <v>101</v>
      </c>
      <c r="B88" s="31">
        <f>N(申込シミュレーション!$C$12)</f>
        <v>290000</v>
      </c>
      <c r="C88" s="21" t="s">
        <v>1399</v>
      </c>
      <c r="D88" s="50" t="s">
        <v>1400</v>
      </c>
    </row>
    <row r="89" spans="1:4">
      <c r="A89" s="53" t="s">
        <v>1401</v>
      </c>
      <c r="B89" s="29">
        <f>IF(計算過程!$B$88&gt;0,計算過程!$B$86/計算過程!$B$88,0)</f>
        <v>0.1924448275862069</v>
      </c>
      <c r="C89" s="21" t="s">
        <v>1402</v>
      </c>
      <c r="D89" s="50" t="s">
        <v>1403</v>
      </c>
    </row>
    <row r="90" spans="1:4">
      <c r="A90" s="53" t="s">
        <v>108</v>
      </c>
      <c r="B90" s="31">
        <f>計算過程!$B$86*計算過程!$B$6+計算過程!$B$87*計算過程!$B$8</f>
        <v>669708</v>
      </c>
      <c r="C90" s="21" t="s">
        <v>1404</v>
      </c>
      <c r="D90" s="50" t="s">
        <v>1405</v>
      </c>
    </row>
    <row r="91" spans="1:4">
      <c r="A91" s="53" t="s">
        <v>110</v>
      </c>
      <c r="B91" s="31">
        <f>計算過程!$B$88*(計算過程!$B$6+マスタ!$B$9)</f>
        <v>4640000</v>
      </c>
      <c r="C91" s="21" t="s">
        <v>1406</v>
      </c>
      <c r="D91" s="50" t="s">
        <v>1407</v>
      </c>
    </row>
    <row r="92" spans="1:4">
      <c r="A92" s="53" t="s">
        <v>1408</v>
      </c>
      <c r="B92" s="29">
        <f>IF(計算過程!$B$91&gt;0,計算過程!$B$90/計算過程!$B$91,0)</f>
        <v>0.14433362068965516</v>
      </c>
      <c r="C92" s="21" t="s">
        <v>1409</v>
      </c>
      <c r="D92" s="50" t="s">
        <v>1410</v>
      </c>
    </row>
    <row r="93" spans="1:4">
      <c r="A93" s="144" t="s">
        <v>1411</v>
      </c>
      <c r="B93" s="145"/>
      <c r="C93" s="145"/>
      <c r="D93" s="145"/>
    </row>
    <row r="94" spans="1:4">
      <c r="A94" s="53" t="s">
        <v>783</v>
      </c>
      <c r="B94" s="150">
        <f>IF(申込シミュレーション!$C$10="","",WORKDAY(DATE(YEAR(申込シミュレーション!$C$10),MONTH(申込シミュレーション!$C$10),計算過程!$B$19)-1,1,マスタ!$A$92:$A$152))</f>
        <v>46331</v>
      </c>
      <c r="C94" s="21" t="s">
        <v>1412</v>
      </c>
      <c r="D94" s="50" t="s">
        <v>1413</v>
      </c>
    </row>
    <row r="95" spans="1:4">
      <c r="A95" s="53" t="s">
        <v>786</v>
      </c>
      <c r="B95" s="150">
        <f>IF(申込シミュレーション!$C$10="","",WORKDAY(DATE(YEAR(申込シミュレーション!$C$10),MONTH(申込シミュレーション!$C$10)+1,計算過程!$B$19)-1,1,マスタ!$A$92:$A$152))</f>
        <v>46363</v>
      </c>
      <c r="C95" s="21" t="s">
        <v>786</v>
      </c>
      <c r="D95" s="50" t="s">
        <v>1414</v>
      </c>
    </row>
    <row r="96" spans="1:4">
      <c r="A96" s="53" t="s">
        <v>1415</v>
      </c>
      <c r="B96" s="150">
        <f>IF(申込シミュレーション!$C$10="","",IF(申込シミュレーション!$C$10&lt;=計算過程!$B$94,計算過程!$B$94,計算過程!$B$95))</f>
        <v>46331</v>
      </c>
      <c r="C96" s="21" t="s">
        <v>1416</v>
      </c>
      <c r="D96" s="50" t="s">
        <v>1417</v>
      </c>
    </row>
    <row r="97" spans="1:4">
      <c r="A97" s="53" t="s">
        <v>137</v>
      </c>
      <c r="B97" s="150">
        <f>IF(計算過程!$B$96="","",WORKDAY(EOMONTH(計算過程!$B$96,0)+1,-1,マスタ!$A$92:$A$152))</f>
        <v>46356</v>
      </c>
      <c r="C97" s="21" t="s">
        <v>1418</v>
      </c>
      <c r="D97" s="50" t="s">
        <v>1419</v>
      </c>
    </row>
    <row r="98" spans="1:4">
      <c r="A98" s="53" t="s">
        <v>794</v>
      </c>
      <c r="B98" s="41">
        <f>IF(計算過程!$B$97="","",EDATE(DATE(YEAR(計算過程!$B$97),MONTH(計算過程!$B$97),1),1))</f>
        <v>46357</v>
      </c>
      <c r="C98" s="21" t="s">
        <v>77</v>
      </c>
      <c r="D98" s="50" t="s">
        <v>1420</v>
      </c>
    </row>
    <row r="99" spans="1:4">
      <c r="A99" s="53" t="s">
        <v>797</v>
      </c>
      <c r="B99" s="41">
        <f>IF(OR(計算過程!$B$98="",計算過程!$B$71&lt;1),"",EDATE(計算過程!$B$98,計算過程!$B$71-1))</f>
        <v>48153</v>
      </c>
      <c r="C99" s="21" t="s">
        <v>1421</v>
      </c>
      <c r="D99" s="50" t="s">
        <v>1422</v>
      </c>
    </row>
    <row r="100" spans="1:4">
      <c r="A100" s="53" t="s">
        <v>1423</v>
      </c>
      <c r="B100" s="149" t="str">
        <f>IF(計算過程!$B$71&lt;1,"",INT(計算過程!$B$71/計算過程!$B$6)&amp;"年"&amp;MOD(計算過程!$B$71,計算過程!$B$6)&amp;"か月")</f>
        <v>5年0か月</v>
      </c>
      <c r="C100" s="21" t="s">
        <v>1266</v>
      </c>
      <c r="D100" s="50" t="s">
        <v>1424</v>
      </c>
    </row>
    <row r="101" spans="1:4">
      <c r="A101" s="53" t="s">
        <v>1425</v>
      </c>
      <c r="B101" s="150">
        <f>IF(OR(計算過程!$B$27="",計算過程!$B$97=""),"",EDATE(計算過程!$B$97,VALUE(計算過程!$B$27)))</f>
        <v>46417</v>
      </c>
      <c r="C101" s="21" t="s">
        <v>1426</v>
      </c>
      <c r="D101" s="50" t="s">
        <v>1427</v>
      </c>
    </row>
    <row r="102" spans="1:4">
      <c r="A102" s="53" t="s">
        <v>1428</v>
      </c>
      <c r="B102" s="150" t="str">
        <f>IF(OR(計算過程!$B$27="",申込シミュレーション!$C$13=""),"",EDATE(申込シミュレーション!$C$13,VALUE(計算過程!$B$27)))</f>
        <v/>
      </c>
      <c r="C102" s="21" t="s">
        <v>1429</v>
      </c>
      <c r="D102" s="50" t="s">
        <v>1430</v>
      </c>
    </row>
    <row r="103" spans="1:4">
      <c r="A103" s="53" t="s">
        <v>1431</v>
      </c>
      <c r="B103" s="150" t="str">
        <f>IF(OR(計算過程!$B$27="",申込シミュレーション!$C$13="",計算過程!$B$97=""),"",IF(申込シミュレーション!$C$10&gt;申込シミュレーション!$C$13,EDATE(計算過程!$B$97,VALUE(計算過程!$B$27)),EDATE(申込シミュレーション!$C$13,VALUE(計算過程!$B$27))))</f>
        <v/>
      </c>
      <c r="C103" s="21" t="s">
        <v>1432</v>
      </c>
      <c r="D103" s="50" t="s">
        <v>1433</v>
      </c>
    </row>
    <row r="104" spans="1:4">
      <c r="A104" s="53" t="s">
        <v>812</v>
      </c>
      <c r="B104" s="150">
        <f>IF(OR(計算過程!$B$27="",計算過程!$B$97=""),"",IF(計算過程!$B$28="交付日",計算過程!$B$101,IF(計算過程!$B$28="事由日",計算過程!$B$102,IF(計算過程!$B$28="入学",計算過程!$B$103,""))))</f>
        <v>46417</v>
      </c>
      <c r="C104" s="21" t="s">
        <v>1434</v>
      </c>
      <c r="D104" s="50" t="s">
        <v>1435</v>
      </c>
    </row>
    <row r="105" spans="1:4">
      <c r="A105" s="53" t="s">
        <v>1436</v>
      </c>
      <c r="B105" s="147">
        <f>IF(計算過程!$B$12="住宅貸付",計算過程!$B$20,IF(計算過程!$B$31=1,IFERROR(MATCH(申込シミュレーション!$C$24,マスタ!$B$53:$H$53,0),0),0))</f>
        <v>0</v>
      </c>
      <c r="C105" s="21" t="s">
        <v>1437</v>
      </c>
      <c r="D105" s="50" t="s">
        <v>1438</v>
      </c>
    </row>
    <row r="106" spans="1:4">
      <c r="A106" s="144" t="s">
        <v>1439</v>
      </c>
      <c r="B106" s="145"/>
      <c r="C106" s="145"/>
      <c r="D106" s="145"/>
    </row>
    <row r="107" spans="1:4">
      <c r="A107" s="53" t="s">
        <v>1440</v>
      </c>
      <c r="B107" s="31">
        <f>N(借入状況等申告書!$P$33)+N(借入状況等申告書!$AG$33)+N(借入状況等申告書!$U$33)+N(借入状況等申告書!$AL$33)</f>
        <v>18000</v>
      </c>
      <c r="C107" s="21" t="s">
        <v>1441</v>
      </c>
      <c r="D107" s="50" t="s">
        <v>1442</v>
      </c>
    </row>
    <row r="108" spans="1:4">
      <c r="A108" s="53" t="s">
        <v>1443</v>
      </c>
      <c r="B108" s="31">
        <f>N(借入状況等申告書!$A$53)+N(借入状況等申告書!$H$53)</f>
        <v>12000</v>
      </c>
      <c r="C108" s="21" t="s">
        <v>1444</v>
      </c>
      <c r="D108" s="50" t="s">
        <v>1445</v>
      </c>
    </row>
    <row r="109" spans="1:4">
      <c r="A109" s="53" t="s">
        <v>824</v>
      </c>
      <c r="B109" s="150" t="str">
        <f>IF(OR(計算過程!$B$24="",申込シミュレーション!$C$13=""),"",EDATE(申込シミュレーション!$C$13,-VALUE(計算過程!$B$24)))</f>
        <v/>
      </c>
      <c r="C109" s="21" t="s">
        <v>1446</v>
      </c>
      <c r="D109" s="50" t="s">
        <v>1447</v>
      </c>
    </row>
    <row r="110" spans="1:4">
      <c r="A110" s="53" t="s">
        <v>827</v>
      </c>
      <c r="B110" s="150" t="str">
        <f>IF(OR(計算過程!$B$25="",申込シミュレーション!$C$13=""),"",EDATE(申込シミュレーション!$C$13,VALUE(計算過程!$B$25)))</f>
        <v/>
      </c>
      <c r="C110" s="21" t="s">
        <v>1448</v>
      </c>
      <c r="D110" s="50" t="s">
        <v>1449</v>
      </c>
    </row>
    <row r="111" spans="1:4">
      <c r="A111" s="135" t="s">
        <v>1450</v>
      </c>
      <c r="B111" s="146">
        <f>IF(OR(計算過程!$B$57&lt;=0,計算過程!$B$65&lt;=0),0,IFERROR(ROUNDUP(NPER(計算過程!$B$32/計算過程!$B$6,-計算過程!$B$57,計算過程!$B$67-計算過程!$B$68),0),0))</f>
        <v>27</v>
      </c>
      <c r="C111" s="21" t="s">
        <v>1451</v>
      </c>
      <c r="D111" s="50" t="s">
        <v>1452</v>
      </c>
    </row>
    <row r="112" spans="1:4">
      <c r="A112" s="135" t="s">
        <v>1453</v>
      </c>
      <c r="B112" s="146">
        <f>IF(計算過程!$B$57&lt;=0,0,ROUNDDOWN(PV(計算過程!$B$32/計算過程!$B$6,MAX(計算過程!$B$71,1),-計算過程!$B$57)/計算過程!$B$5,0))</f>
        <v>331</v>
      </c>
      <c r="C112" s="21" t="s">
        <v>1454</v>
      </c>
      <c r="D112" s="50" t="s">
        <v>1455</v>
      </c>
    </row>
    <row r="113" spans="1:4">
      <c r="A113" s="144" t="s">
        <v>1456</v>
      </c>
      <c r="B113" s="145"/>
      <c r="C113" s="145"/>
      <c r="D113" s="145"/>
    </row>
    <row r="114" spans="1:4">
      <c r="A114" s="135" t="s">
        <v>1457</v>
      </c>
      <c r="B114" s="149">
        <f>IF(申込シミュレーション!$C$9="",0,1)</f>
        <v>1</v>
      </c>
      <c r="C114" s="128" t="s">
        <v>1458</v>
      </c>
      <c r="D114" s="50" t="s">
        <v>1459</v>
      </c>
    </row>
    <row r="115" spans="1:4">
      <c r="A115" s="53" t="s">
        <v>865</v>
      </c>
      <c r="B115" s="149" t="str">
        <f>IF(計算過程!$B$114=1,"貸付区分: "&amp;申込シミュレーション!$C$9,"貸付区分が未選択です。プルダウンから選んでください。")</f>
        <v>貸付区分: 普通貸付:自動車購入</v>
      </c>
      <c r="C115" s="21" t="s">
        <v>1460</v>
      </c>
      <c r="D115" s="50" t="s">
        <v>1461</v>
      </c>
    </row>
    <row r="116" spans="1:4">
      <c r="A116" s="135" t="s">
        <v>1462</v>
      </c>
      <c r="B116" s="149">
        <f>IF(N(申込シミュレーション!$C$12)&gt;0,1,0)</f>
        <v>1</v>
      </c>
      <c r="C116" s="128" t="s">
        <v>1458</v>
      </c>
      <c r="D116" s="50" t="s">
        <v>1463</v>
      </c>
    </row>
    <row r="117" spans="1:4">
      <c r="A117" s="53" t="s">
        <v>865</v>
      </c>
      <c r="B117" s="149" t="str">
        <f>IF(計算過程!$B$116=1,"給料月額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117" s="21" t="s">
        <v>1460</v>
      </c>
      <c r="D117" s="50" t="s">
        <v>1464</v>
      </c>
    </row>
    <row r="118" spans="1:4">
      <c r="A118" s="135" t="s">
        <v>1465</v>
      </c>
      <c r="B118" s="149">
        <f>IF(OR(申込シミュレーション!$C$11="",申込シミュレーション!$C$10=""),2,IF(計算過程!$B$12="住宅貸付",IF(計算過程!$B$34&gt;=マスタ!$B$17,1,0),1))</f>
        <v>1</v>
      </c>
      <c r="C118" s="128" t="s">
        <v>1458</v>
      </c>
      <c r="D118" s="50" t="s">
        <v>1466</v>
      </c>
    </row>
    <row r="119" spans="1:4">
      <c r="A119" s="53" t="s">
        <v>865</v>
      </c>
      <c r="B119" s="149" t="str">
        <f>IF(計算過程!$B$118=2,"組合員資格取得日と申込予定日を入力すると判定します。",IF(計算過程!$B$12="住宅貸付",IF(計算過程!$B$118=1,"組合員期間 "&amp;計算過程!$B$35&amp;"(1年以上で申込可)","組合員期間が"&amp;計算過程!$B$35&amp;"のため、住宅貸付は申込できません。"&amp;TEXT(EDATE(申込シミュレーション!$C$11,マスタ!$B$17),"yyyy/m/d")&amp;"以降に申込めます。"),"組合員期間 "&amp;計算過程!$B$35&amp;"(資格取得日から借受可)"))</f>
        <v>組合員期間 14年7か月(資格取得日から借受可)</v>
      </c>
      <c r="C119" s="21" t="s">
        <v>1460</v>
      </c>
      <c r="D119" s="50" t="s">
        <v>1467</v>
      </c>
    </row>
    <row r="120" spans="1:4">
      <c r="A120" s="135" t="s">
        <v>1468</v>
      </c>
      <c r="B120" s="149">
        <f>IF(申込シミュレーション!$C$14="無",1,IF(申込シミュレーション!$C$14="有",0,2))</f>
        <v>1</v>
      </c>
      <c r="C120" s="128" t="s">
        <v>1458</v>
      </c>
      <c r="D120" s="50" t="s">
        <v>1469</v>
      </c>
    </row>
    <row r="121" spans="1:4">
      <c r="A121" s="53" t="s">
        <v>865</v>
      </c>
      <c r="B121" s="149" t="str">
        <f>IF(計算過程!$B$120=1,"貸付制限に該当しません",IF(計算過程!$B$120=0,"給与の差押さえ等がある間は貸付できません。解消後に申込むか、共済組合へご相談ください。","「有」か「無」を選んでください。"))</f>
        <v>貸付制限に該当しません</v>
      </c>
      <c r="C121" s="21" t="s">
        <v>1460</v>
      </c>
      <c r="D121" s="50" t="s">
        <v>1470</v>
      </c>
    </row>
    <row r="122" spans="1:4">
      <c r="A122" s="135" t="s">
        <v>1471</v>
      </c>
      <c r="B122" s="149">
        <f>IF(申込シミュレーション!$C$15="無",1,IF(申込シミュレーション!$C$15="有",0,2))</f>
        <v>1</v>
      </c>
      <c r="C122" s="128" t="s">
        <v>1458</v>
      </c>
      <c r="D122" s="50" t="s">
        <v>1472</v>
      </c>
    </row>
    <row r="123" spans="1:4">
      <c r="A123" s="53" t="s">
        <v>865</v>
      </c>
      <c r="B123" s="149" t="str">
        <f>IF(計算過程!$B$122=1,"無給休職ではありません(育児休業は除く)",IF(計算過程!$B$122=0,"無給休職中は貸付できません(育児休業は除く)。復職後に申込んでください。","「有」か「無」を選んでください。"))</f>
        <v>無給休職ではありません(育児休業は除く)</v>
      </c>
      <c r="C123" s="21" t="s">
        <v>1460</v>
      </c>
      <c r="D123" s="50" t="s">
        <v>1473</v>
      </c>
    </row>
    <row r="124" spans="1:4">
      <c r="A124" s="135" t="s">
        <v>1474</v>
      </c>
      <c r="B124" s="149">
        <f>IF(OR(申込シミュレーション!$C$27="",申込シミュレーション!$C$28=""),2,IF(OR(AND(申込シミュレーション!$C$27="有",計算過程!$B$107=0),AND(申込シミュレーション!$C$28="有",計算過程!$B$108=0),AND(申込シミュレーション!$C$27="無",計算過程!$B$107&gt;0),AND(申込シミュレーション!$C$28="無",計算過程!$B$108&gt;0)),2,1))</f>
        <v>1</v>
      </c>
      <c r="C124" s="128" t="s">
        <v>1458</v>
      </c>
      <c r="D124" s="50" t="s">
        <v>1475</v>
      </c>
    </row>
    <row r="125" spans="1:4">
      <c r="A125" s="53" t="s">
        <v>865</v>
      </c>
      <c r="B125" s="149" t="str">
        <f>IF(OR(申込シミュレーション!$C$27="",申込シミュレーション!$C$28=""),"他の金融機関等の借入の有無と、共済組合の既貸付の有無を選んでください。",IF(計算過程!$B$124=1,"借入状況は借入状況等申告書の入力と一致しています",IF(OR(AND(申込シミュレーション!$C$27="有",計算過程!$B$107=0),AND(申込シミュレーション!$C$28="有",計算過程!$B$108=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21" t="s">
        <v>1460</v>
      </c>
      <c r="D125" s="50" t="s">
        <v>1476</v>
      </c>
    </row>
    <row r="126" spans="1:4">
      <c r="A126" s="135" t="s">
        <v>1477</v>
      </c>
      <c r="B126" s="149">
        <f>IF(AND(計算過程!$B$24="",計算過程!$B$25=""),3,IF(OR(申込シミュレーション!$C$13="",申込シミュレーション!$C$10=""),2,IF(AND(申込シミュレーション!$C$10&gt;=IF(計算過程!$B$24="",0,EDATE(申込シミュレーション!$C$13,-VALUE(計算過程!$B$24))),申込シミュレーション!$C$10&lt;=IF(計算過程!$B$25="",99999,EDATE(申込シミュレーション!$C$13,VALUE(計算過程!$B$25)))),1,0)))</f>
        <v>3</v>
      </c>
      <c r="C126" s="128" t="s">
        <v>1458</v>
      </c>
      <c r="D126" s="50" t="s">
        <v>1478</v>
      </c>
    </row>
    <row r="127" spans="1:4">
      <c r="A127" s="53" t="s">
        <v>865</v>
      </c>
      <c r="B127" s="149" t="str">
        <f>IF(計算過程!$B$126=3,"申込時期: "&amp;計算過程!$B$22,IF(計算過程!$B$126=2,"「"&amp;計算過程!$B$23&amp;"」と申込予定日を入力すると判定します。(申込時期: "&amp;計算過程!$B$22&amp;")",IF(計算過程!$B$126=1,"申込時期の範囲内です。(申込時期: "&amp;計算過程!$B$22&amp;")","申込予定日が申込時期の範囲外です。申込できる期間は "&amp;IF(計算過程!$B$109="","制限なし",TEXT(計算過程!$B$109,"yyyy/m/d"))&amp;" 〜 "&amp;IF(計算過程!$B$110="","制限なし",TEXT(計算過程!$B$110,"yyyy/m/d"))&amp;" です。(基準日: "&amp;計算過程!$B$23&amp;")")))</f>
        <v>申込時期: 自動車登録(名義変更)前で代金支払前</v>
      </c>
      <c r="C127" s="21" t="s">
        <v>1460</v>
      </c>
      <c r="D127" s="50" t="s">
        <v>1479</v>
      </c>
    </row>
    <row r="128" spans="1:4">
      <c r="A128" s="135" t="s">
        <v>1480</v>
      </c>
      <c r="B128" s="149">
        <f>IF(計算過程!$B$13="修学",IF(N(申込シミュレーション!$C$16)&gt;0,1,0),3)</f>
        <v>3</v>
      </c>
      <c r="C128" s="128" t="s">
        <v>1458</v>
      </c>
      <c r="D128" s="50" t="s">
        <v>1481</v>
      </c>
    </row>
    <row r="129" spans="1:4">
      <c r="A129" s="53" t="s">
        <v>865</v>
      </c>
      <c r="B129" s="149" t="str">
        <f>IF(計算過程!$B$128=0,"修学貸付は修学月数の入力が必要です(学年単位・修業年限以内。例: 12)。",IF(計算過程!$B$128=3,"修学貸付のみ対象","1か月につき"&amp;マスタ!$B$18&amp;"万円×修学月数"))</f>
        <v>修学貸付のみ対象</v>
      </c>
      <c r="C129" s="21" t="s">
        <v>1460</v>
      </c>
      <c r="D129" s="50" t="s">
        <v>1482</v>
      </c>
    </row>
    <row r="130" spans="1:4">
      <c r="A130" s="135" t="s">
        <v>1483</v>
      </c>
      <c r="B130" s="149">
        <f>IF(計算過程!$B$65&lt;=0,0,IF(AND(計算過程!$B$65&gt;=計算過程!$B$53,MOD(ROUND(計算過程!$B$65,0),計算過程!$B$52)=0),1,0))</f>
        <v>1</v>
      </c>
      <c r="C130" s="128" t="s">
        <v>1458</v>
      </c>
      <c r="D130" s="50" t="s">
        <v>1484</v>
      </c>
    </row>
    <row r="131" spans="1:4">
      <c r="A131" s="53" t="s">
        <v>865</v>
      </c>
      <c r="B131" s="149" t="str">
        <f>IF(計算過程!$B$130=1,"申込金額 "&amp;TEXT(計算過程!$B$65,"#,##0")&amp;"円("&amp;マスタ!$B$10&amp;"万円以上・"&amp;計算過程!$B$16&amp;"万円単位)",IF(計算過程!$B$65&lt;=0,"申込可能額が0円です。貸付限度額・返済能力・申込時期などの×の項目を確認してください。",IF(計算過程!$B$65&lt;計算過程!$B$53,"申込金額は"&amp;マスタ!$B$10&amp;"万円以上にしてください。","申込金額は"&amp;計算過程!$B$16&amp;"万円単位です。"&amp;TEXT(ROUNDDOWN(計算過程!$B$65/計算過程!$B$52,0)*計算過程!$B$16,"#,##0")&amp;"万円または"&amp;TEXT((ROUNDDOWN(計算過程!$B$65/計算過程!$B$52,0)+1)*計算過程!$B$16,"#,##0")&amp;"万円に修正してください。")))</f>
        <v>申込金額 1,500,000円(10万円以上・1万円単位)</v>
      </c>
      <c r="C131" s="21" t="s">
        <v>1460</v>
      </c>
      <c r="D131" s="50" t="s">
        <v>1485</v>
      </c>
    </row>
    <row r="132" spans="1:4">
      <c r="A132" s="135" t="s">
        <v>1486</v>
      </c>
      <c r="B132" s="149">
        <f>IF(計算過程!$B$65&lt;=0,0,IF(計算過程!$B$67&lt;=計算過程!$B$46,1,0))</f>
        <v>1</v>
      </c>
      <c r="C132" s="128" t="s">
        <v>1458</v>
      </c>
      <c r="D132" s="50" t="s">
        <v>1487</v>
      </c>
    </row>
    <row r="133" spans="1:4">
      <c r="A133" s="53" t="s">
        <v>865</v>
      </c>
      <c r="B133" s="149" t="str">
        <f>IF(計算過程!$B$132=1,"貸付限度額 "&amp;TEXT(計算過程!$B$48,"#,##0")&amp;"円以内です",IF(計算過程!$B$48&lt;=0,"貸付限度額を計算できません。給料月額・組合員資格取得日などの入力を確認してください。",IF(計算過程!$B$65&lt;=0,"貸付限度額は"&amp;TEXT(計算過程!$B$48,"#,##0")&amp;"円です。申込額が0円のため判定できません。","貸付限度額は"&amp;TEXT(計算過程!$B$48,"#,##0")&amp;"円です。申込額が"&amp;TEXT(計算過程!$B$67-計算過程!$B$46,"#,##0")&amp;"円超えています。"&amp;TEXT(ROUNDDOWN(計算過程!$B$48/計算過程!$B$52,0)*計算過程!$B$16,"#,##0")&amp;"万円以内にしてください。")))</f>
        <v>貸付限度額 1,740,000円以内です</v>
      </c>
      <c r="C133" s="21" t="s">
        <v>1460</v>
      </c>
      <c r="D133" s="50" t="s">
        <v>1488</v>
      </c>
    </row>
    <row r="134" spans="1:4">
      <c r="A134" s="135" t="s">
        <v>1489</v>
      </c>
      <c r="B134" s="149">
        <f>IF(計算過程!$B$71&lt;1,0,IF(計算過程!$B$71&lt;=計算過程!$B$17,1,0))</f>
        <v>1</v>
      </c>
      <c r="C134" s="128" t="s">
        <v>1458</v>
      </c>
      <c r="D134" s="50" t="s">
        <v>1490</v>
      </c>
    </row>
    <row r="135" spans="1:4">
      <c r="A135" s="53" t="s">
        <v>865</v>
      </c>
      <c r="B135" s="149" t="str">
        <f>IF(計算過程!$B$134=1,"償還回数 "&amp;計算過程!$B$71&amp;"回(上限"&amp;計算過程!$B$17&amp;"回)",IF(計算過程!$B$71&lt;1,"償還回数が決まりません。償還回数を入力するか、毎月償還額の希望を見直してください。","償還回数の上限は"&amp;計算過程!$B$17&amp;"回です。"&amp;計算過程!$B$17&amp;"回以内にしてください。"))</f>
        <v>償還回数 60回(上限120回)</v>
      </c>
      <c r="C135" s="21" t="s">
        <v>1460</v>
      </c>
      <c r="D135" s="50" t="s">
        <v>1491</v>
      </c>
    </row>
    <row r="136" spans="1:4">
      <c r="A136" s="135" t="s">
        <v>1492</v>
      </c>
      <c r="B136" s="149">
        <f>IF(計算過程!$B$89&lt;=マスタ!$B$8+計算過程!$B$9,1,0)</f>
        <v>1</v>
      </c>
      <c r="C136" s="128" t="s">
        <v>1458</v>
      </c>
      <c r="D136" s="50" t="s">
        <v>1493</v>
      </c>
    </row>
    <row r="137" spans="1:4">
      <c r="A137" s="53" t="s">
        <v>865</v>
      </c>
      <c r="B137" s="149" t="str">
        <f>IF(計算過程!$B$136=1,"毎月償還額÷給料月額 = "&amp;TEXT(計算過程!$B$89,"0.0%")&amp;"(30%以内)",IF(計算過程!$B$57&lt;=0,"他の借入等の償還額だけで30%に達しているため、貸付できません。("&amp;TEXT(計算過程!$B$89,"0.0%")&amp;")","毎月償還額÷給料月額 = "&amp;TEXT(計算過程!$B$89,"0.0%")&amp;"で30%を超えています。"&amp;IF(AND(計算過程!$B$111&gt;0,計算過程!$B$111&lt;=計算過程!$B$17),"償還回数を"&amp;計算過程!$B$111&amp;"回以上にするか、","")&amp;"申込額を"&amp;TEXT(計算過程!$B$112,"#,##0")&amp;"万円以下にしてください。"))</f>
        <v>毎月償還額÷給料月額 = 19.2%(30%以内)</v>
      </c>
      <c r="C137" s="21" t="s">
        <v>1460</v>
      </c>
      <c r="D137" s="50" t="s">
        <v>1494</v>
      </c>
    </row>
    <row r="138" spans="1:4">
      <c r="A138" s="135" t="s">
        <v>1495</v>
      </c>
      <c r="B138" s="149">
        <f>IF(計算過程!$B$92&lt;=マスタ!$B$8+計算過程!$B$9,1,0)</f>
        <v>1</v>
      </c>
      <c r="C138" s="128" t="s">
        <v>1458</v>
      </c>
      <c r="D138" s="50" t="s">
        <v>1496</v>
      </c>
    </row>
    <row r="139" spans="1:4">
      <c r="A139" s="53" t="s">
        <v>865</v>
      </c>
      <c r="B139" s="149" t="str">
        <f>IF(計算過程!$B$138=1,"年間償還額÷年収額 = "&amp;TEXT(計算過程!$B$92,"0.0%")&amp;"(30%以内)","年間償還額÷年収額 = "&amp;TEXT(計算過程!$B$92,"0.0%")&amp;"で30%を超えています。ボーナス償還額や申込額を減らしてください。")</f>
        <v>年間償還額÷年収額 = 14.4%(30%以内)</v>
      </c>
      <c r="C139" s="21" t="s">
        <v>1460</v>
      </c>
      <c r="D139" s="50" t="s">
        <v>1497</v>
      </c>
    </row>
    <row r="140" spans="1:4">
      <c r="A140" s="53" t="s">
        <v>1498</v>
      </c>
      <c r="B140" s="147">
        <f>IF(計算過程!$B$31=1,1,0)</f>
        <v>0</v>
      </c>
      <c r="C140" s="21" t="s">
        <v>1499</v>
      </c>
      <c r="D140" s="50" t="s">
        <v>1500</v>
      </c>
    </row>
    <row r="141" spans="1:4">
      <c r="A141" s="53" t="s">
        <v>1501</v>
      </c>
      <c r="B141" s="147">
        <f>IF(計算過程!$B$65&gt;=マスタ!$B$12*計算過程!$B$5,1,0)</f>
        <v>0</v>
      </c>
      <c r="C141" s="21" t="s">
        <v>1502</v>
      </c>
      <c r="D141" s="50" t="s">
        <v>1503</v>
      </c>
    </row>
    <row r="142" spans="1:4">
      <c r="A142" s="53" t="s">
        <v>1504</v>
      </c>
      <c r="B142" s="147">
        <f>IF(計算過程!$B$68&gt;=マスタ!$B$13*計算過程!$B$5,1,0)</f>
        <v>0</v>
      </c>
      <c r="C142" s="128" t="s">
        <v>1017</v>
      </c>
      <c r="D142" s="50" t="s">
        <v>1505</v>
      </c>
    </row>
    <row r="143" spans="1:4">
      <c r="A143" s="53" t="s">
        <v>1506</v>
      </c>
      <c r="B143" s="147">
        <f>IF(計算過程!$B$68&lt;=計算過程!$B$65*マスタ!$B$14,1,0)</f>
        <v>1</v>
      </c>
      <c r="C143" s="21" t="s">
        <v>1019</v>
      </c>
      <c r="D143" s="50" t="s">
        <v>1507</v>
      </c>
    </row>
    <row r="144" spans="1:4">
      <c r="A144" s="53" t="s">
        <v>1508</v>
      </c>
      <c r="B144" s="147">
        <f>IF(MOD(ROUND(計算過程!$B$68,0),マスタ!$B$15*計算過程!$B$5)=0,1,0)</f>
        <v>1</v>
      </c>
      <c r="C144" s="128" t="s">
        <v>1021</v>
      </c>
      <c r="D144" s="50" t="s">
        <v>1509</v>
      </c>
    </row>
    <row r="145" spans="1:4">
      <c r="A145" s="53" t="s">
        <v>1510</v>
      </c>
      <c r="B145" s="147">
        <f>IF(計算過程!$B$69&gt;=1,1,0)</f>
        <v>0</v>
      </c>
      <c r="C145" s="128" t="s">
        <v>1458</v>
      </c>
      <c r="D145" s="50" t="s">
        <v>1511</v>
      </c>
    </row>
    <row r="146" spans="1:4">
      <c r="A146" s="53" t="s">
        <v>1512</v>
      </c>
      <c r="B146" s="147">
        <f>IF(計算過程!$B$69&lt;=マスタ!$B$16,1,0)</f>
        <v>1</v>
      </c>
      <c r="C146" s="128" t="s">
        <v>1513</v>
      </c>
      <c r="D146" s="50" t="s">
        <v>1514</v>
      </c>
    </row>
    <row r="147" spans="1:4">
      <c r="A147" s="53" t="s">
        <v>1515</v>
      </c>
      <c r="B147" s="147">
        <f>IF(計算過程!$B$69*計算過程!$B$7&lt;=計算過程!$B$71,1,0)</f>
        <v>1</v>
      </c>
      <c r="C147" s="21" t="s">
        <v>1516</v>
      </c>
      <c r="D147" s="50" t="s">
        <v>1517</v>
      </c>
    </row>
    <row r="148" spans="1:4">
      <c r="A148" s="53" t="s">
        <v>1518</v>
      </c>
      <c r="B148" s="147">
        <f>IF(計算過程!$B$81&lt;=申込シミュレーション!$C$12,1,0)</f>
        <v>1</v>
      </c>
      <c r="C148" s="128" t="s">
        <v>1519</v>
      </c>
      <c r="D148" s="50" t="s">
        <v>1520</v>
      </c>
    </row>
    <row r="149" spans="1:4">
      <c r="A149" s="135" t="s">
        <v>1521</v>
      </c>
      <c r="B149" s="149">
        <f>IF(申込シミュレーション!$C$20&lt;&gt;"有",3,IF(計算過程!$B$140+計算過程!$B$141+計算過程!$B$142+計算過程!$B$143+計算過程!$B$144+計算過程!$B$145+計算過程!$B$146+計算過程!$B$147+計算過程!$B$148=9,1,0))</f>
        <v>3</v>
      </c>
      <c r="C149" s="21" t="s">
        <v>1522</v>
      </c>
      <c r="D149" s="50" t="s">
        <v>1523</v>
      </c>
    </row>
    <row r="150" spans="1:4">
      <c r="A150" s="53"/>
      <c r="B150" s="149" t="str">
        <f>IF(計算過程!$B$149=3,"ボーナス併用なし",IF(計算過程!$B$149=1,"ボーナス併用の条件を満たしています",IF(計算過程!$B$140=0,"ボーナス併用は住宅貸付・災害住宅貸付・災害再貸付のみです。「無」に戻してください。",IF(計算過程!$B$141=0,"ボーナス併用は申込金額が"&amp;マスタ!$B$12&amp;"万円以上の場合のみです。(現在 "&amp;TEXT(計算過程!$B$65/計算過程!$B$5,"#,##0")&amp;"万円)",IF(計算過程!$B$142=0,"ボーナス償還分は"&amp;マスタ!$B$13&amp;"万円以上にしてください。",IF(計算過程!$B$143=0,"ボーナス償還分は貸付金額の1/2("&amp;TEXT(計算過程!$B$65*マスタ!$B$14/計算過程!$B$5,"#,##0")&amp;"万円)以内にしてください。",IF(計算過程!$B$144=0,"ボーナス償還分は"&amp;マスタ!$B$15&amp;"万円単位にしてください。",IF(計算過程!$B$145=0,"ボーナス償還回数を入力してください。",IF(計算過程!$B$146=0,"ボーナス償還回数は"&amp;マスタ!$B$16&amp;"回以内にしてください。",IF(計算過程!$B$147=0,"ボーナス償還の期間が毎月償還の期間より長くなっています。ボーナス回数は"&amp;ROUNDDOWN(計算過程!$B$71/計算過程!$B$7,0)&amp;"回以内にしてください。","ボーナス1回の償還額が給料月額("&amp;TEXT(申込シミュレーション!$C$12,"#,##0")&amp;"円)を超えています。ボーナス償還分を減らすか、回数を増やしてください。"))))))))))</f>
        <v>ボーナス併用なし</v>
      </c>
      <c r="C150" s="128" t="s">
        <v>1524</v>
      </c>
      <c r="D150" s="50" t="s">
        <v>1525</v>
      </c>
    </row>
    <row r="151" spans="1:4">
      <c r="A151" s="135" t="s">
        <v>1526</v>
      </c>
      <c r="B151" s="149">
        <f>IF(AND(計算過程!$B$12="災害貸付",計算過程!$B$31=1),IF(計算過程!$B$105&gt;0,1,2),3)</f>
        <v>3</v>
      </c>
      <c r="C151" s="128" t="s">
        <v>1458</v>
      </c>
      <c r="D151" s="50" t="s">
        <v>1527</v>
      </c>
    </row>
    <row r="152" spans="1:4">
      <c r="A152" s="53" t="s">
        <v>865</v>
      </c>
      <c r="B152" s="149" t="str">
        <f>IF(計算過程!$B$151=2,"災害住宅・災害再貸付は、住宅書類の区分を選ぶと必要書類が表示されます。","住宅書類の区分: 選択済み/対象外")</f>
        <v>住宅書類の区分: 選択済み/対象外</v>
      </c>
      <c r="C152" s="21" t="s">
        <v>1460</v>
      </c>
      <c r="D152" s="50" t="s">
        <v>1528</v>
      </c>
    </row>
    <row r="153" spans="1:4">
      <c r="A153" s="135" t="s">
        <v>1529</v>
      </c>
      <c r="B153" s="149">
        <f>IF(N(申込シミュレーション!$C$23)&gt;0,IF(計算過程!$B$31=1,2,0),3)</f>
        <v>3</v>
      </c>
      <c r="C153" s="128" t="s">
        <v>1458</v>
      </c>
      <c r="D153" s="50" t="s">
        <v>1530</v>
      </c>
    </row>
    <row r="154" spans="1:4">
      <c r="A154" s="53" t="s">
        <v>865</v>
      </c>
      <c r="B154" s="149" t="str">
        <f>IF(計算過程!$B$153=0,"在宅介護対応の加算は住宅貸付・災害住宅貸付・災害再貸付のみです。入力を消してください。",IF(計算過程!$B$153=2,"在宅介護対応の加算は300万円までです。要件は共済組合へ確認してください。","在宅介護対応の加算なし"))</f>
        <v>在宅介護対応の加算なし</v>
      </c>
      <c r="C154" s="21" t="s">
        <v>1460</v>
      </c>
      <c r="D154" s="50" t="s">
        <v>1531</v>
      </c>
    </row>
    <row r="155" spans="1:4">
      <c r="A155" s="144" t="s">
        <v>1532</v>
      </c>
      <c r="B155" s="145"/>
      <c r="C155" s="145"/>
      <c r="D155" s="145"/>
    </row>
    <row r="156" spans="1:4">
      <c r="A156" s="135" t="s">
        <v>1533</v>
      </c>
      <c r="B156" s="147">
        <f>IF(計算過程!$B$114=0,1,0)+IF(計算過程!$B$116=0,1,0)+IF(計算過程!$B$118=0,1,0)+IF(計算過程!$B$120=0,1,0)+IF(計算過程!$B$122=0,1,0)+IF(計算過程!$B$124=0,1,0)+IF(計算過程!$B$126=0,1,0)+IF(計算過程!$B$128=0,1,0)+IF(計算過程!$B$130=0,1,0)+IF(計算過程!$B$132=0,1,0)+IF(計算過程!$B$134=0,1,0)+IF(計算過程!$B$136=0,1,0)+IF(計算過程!$B$138=0,1,0)+IF(計算過程!$B$149=0,1,0)+IF(計算過程!$B$151=0,1,0)+IF(計算過程!$B$153=0,1,0)</f>
        <v>0</v>
      </c>
      <c r="C156" s="21" t="s">
        <v>1534</v>
      </c>
      <c r="D156" s="50" t="s">
        <v>1535</v>
      </c>
    </row>
    <row r="157" spans="1:4">
      <c r="A157" s="53" t="s">
        <v>839</v>
      </c>
      <c r="B157" s="147">
        <f>IF(計算過程!$B$114=2,1,0)+IF(計算過程!$B$116=2,1,0)+IF(計算過程!$B$118=2,1,0)+IF(計算過程!$B$120=2,1,0)+IF(計算過程!$B$122=2,1,0)+IF(計算過程!$B$124=2,1,0)+IF(計算過程!$B$126=2,1,0)+IF(計算過程!$B$128=2,1,0)+IF(計算過程!$B$130=2,1,0)+IF(計算過程!$B$132=2,1,0)+IF(計算過程!$B$134=2,1,0)+IF(計算過程!$B$136=2,1,0)+IF(計算過程!$B$138=2,1,0)+IF(計算過程!$B$149=2,1,0)+IF(計算過程!$B$151=2,1,0)+IF(計算過程!$B$153=2,1,0)</f>
        <v>0</v>
      </c>
      <c r="C157" s="21" t="s">
        <v>1536</v>
      </c>
      <c r="D157" s="50" t="s">
        <v>1537</v>
      </c>
    </row>
    <row r="158" spans="1:4">
      <c r="A158" s="53" t="s">
        <v>1538</v>
      </c>
      <c r="B158" s="149" t="str">
        <f>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58" s="21" t="s">
        <v>1539</v>
      </c>
      <c r="D158" s="50" t="s">
        <v>1540</v>
      </c>
    </row>
    <row r="159" spans="1:4">
      <c r="A159" s="53" t="s">
        <v>845</v>
      </c>
      <c r="B159" s="149" t="str">
        <f>IF(計算過程!$B$158="","",LEFT(計算過程!$B$158,LEN(計算過程!$B$158)-1))</f>
        <v/>
      </c>
      <c r="C159" s="21" t="s">
        <v>1541</v>
      </c>
      <c r="D159" s="50" t="s">
        <v>1542</v>
      </c>
    </row>
    <row r="160" spans="1:4">
      <c r="A160" s="53" t="s">
        <v>40</v>
      </c>
      <c r="B160" s="149" t="str">
        <f>IF(計算過程!$B$159&lt;&gt;"","入力が不足しています("&amp;計算過程!$B$159&amp;")",IF(計算過程!$B$156&gt;0,"申込不可(×の項目が"&amp;計算過程!$B$156&amp;"件あります)",IF(計算過程!$B$157&gt;0,"申込可能(△の確認事項が"&amp;計算過程!$B$157&amp;"件あります)","申込可能")))</f>
        <v>申込可能</v>
      </c>
      <c r="C160" s="21" t="s">
        <v>1543</v>
      </c>
      <c r="D160" s="50" t="s">
        <v>1544</v>
      </c>
    </row>
    <row r="161" spans="1:4">
      <c r="A161" s="144" t="s">
        <v>1545</v>
      </c>
      <c r="B161" s="145"/>
      <c r="C161" s="145"/>
      <c r="D161" s="145"/>
    </row>
    <row r="162" spans="1:4">
      <c r="A162" s="53" t="s">
        <v>1546</v>
      </c>
      <c r="B162" s="149" t="str">
        <f>SUBSTITUTE(SUBSTITUTE(SUBSTITUTE(SUBSTITUTE(SUBSTITUTE(SUBSTITUTE(SUBSTITUTE(SUBSTITUTE(SUBSTITUTE(SUBSTITUTE(SUBSTITUTE(TEXT(マスタ!$B$4*100,"0.00"),"0","０"),"1","１"),"2","２"),"3","３"),"4","４"),"5","５"),"6","６"),"7","７"),"8","８"),"9","９"),".","．")</f>
        <v>１．２６</v>
      </c>
      <c r="C162" s="21" t="s">
        <v>1547</v>
      </c>
      <c r="D162" s="50" t="s">
        <v>1548</v>
      </c>
    </row>
    <row r="163" spans="1:4">
      <c r="A163" s="53" t="s">
        <v>1549</v>
      </c>
      <c r="B163" s="149" t="str">
        <f>SUBSTITUTE(SUBSTITUTE(SUBSTITUTE(SUBSTITUTE(SUBSTITUTE(SUBSTITUTE(SUBSTITUTE(SUBSTITUTE(SUBSTITUTE(SUBSTITUTE(SUBSTITUTE(TEXT(マスタ!$B$6*100,"0.00"),"0","０"),"1","１"),"2","２"),"3","３"),"4","４"),"5","５"),"6","６"),"7","７"),"8","８"),"9","９"),".","．")</f>
        <v>０．９３</v>
      </c>
      <c r="C163" s="21" t="s">
        <v>1550</v>
      </c>
      <c r="D163" s="50" t="s">
        <v>1551</v>
      </c>
    </row>
    <row r="164" spans="1:4">
      <c r="A164" s="53" t="s">
        <v>1552</v>
      </c>
      <c r="B164" s="149" t="str">
        <f>SUBSTITUTE(SUBSTITUTE(SUBSTITUTE(SUBSTITUTE(SUBSTITUTE(SUBSTITUTE(SUBSTITUTE(SUBSTITUTE(SUBSTITUTE(SUBSTITUTE(SUBSTITUTE(TEXT(MAX(0,マスタ!$B$5-マスタ!$B$7)*100,"0.00"),"0","０"),"1","１"),"2","２"),"3","３"),"4","４"),"5","５"),"6","６"),"7","７"),"8","８"),"9","９"),".","．")</f>
        <v>１．００</v>
      </c>
      <c r="C164" s="21" t="s">
        <v>1553</v>
      </c>
      <c r="D164" s="50" t="s">
        <v>1554</v>
      </c>
    </row>
    <row r="165" spans="1:4">
      <c r="A165" s="53" t="s">
        <v>1555</v>
      </c>
      <c r="B165" s="146">
        <f>IF(計算過程!$B$65&gt;0,ROUND(計算過程!$B$65/計算過程!$B$5,0),0)</f>
        <v>150</v>
      </c>
      <c r="C165" s="21" t="s">
        <v>1556</v>
      </c>
      <c r="D165" s="50" t="s">
        <v>1557</v>
      </c>
    </row>
    <row r="167" spans="1:4">
      <c r="A167" s="26" t="s">
        <v>1558</v>
      </c>
      <c r="B167" s="26" t="s">
        <v>1559</v>
      </c>
      <c r="C167" s="26" t="s">
        <v>1560</v>
      </c>
    </row>
    <row r="168" spans="1:4">
      <c r="A168" s="47" t="str">
        <f>IF(計算過程!$B$31=1,マスタ!$B$76,マスタ!$A$76)</f>
        <v>貸付申込書</v>
      </c>
      <c r="B168" s="53">
        <f>1</f>
        <v>1</v>
      </c>
      <c r="C168" s="53">
        <f>IF(B168=1,SUM($B$168:B168),"")</f>
        <v>1</v>
      </c>
    </row>
    <row r="169" spans="1:4">
      <c r="A169" s="47" t="str">
        <f>IF(計算過程!$B$31=1,マスタ!$B$77,マスタ!$A$77)</f>
        <v>貸付金借用証書(様式第4号・共済組合で配布)</v>
      </c>
      <c r="B169" s="53">
        <f>1</f>
        <v>1</v>
      </c>
      <c r="C169" s="53">
        <f>IF(B169=1,SUM($B$168:B169),"")</f>
        <v>2</v>
      </c>
    </row>
    <row r="170" spans="1:4" ht="24">
      <c r="A170" s="47" t="str">
        <f>IF(計算過程!$B$31=1,マスタ!$B$78,マスタ!$A$78)</f>
        <v>印鑑登録証明書(貸付金交付日前3か月以内に発行されたもの)</v>
      </c>
      <c r="B170" s="53">
        <f>1</f>
        <v>1</v>
      </c>
      <c r="C170" s="53">
        <f>IF(B170=1,SUM($B$168:B170),"")</f>
        <v>3</v>
      </c>
    </row>
    <row r="171" spans="1:4">
      <c r="A171" s="47" t="str">
        <f>IF(計算過程!$B$31=1,マスタ!$B$79,マスタ!$A$79)</f>
        <v>給与支払明細書(直近のもの)</v>
      </c>
      <c r="B171" s="53">
        <f>1</f>
        <v>1</v>
      </c>
      <c r="C171" s="53">
        <f>IF(B171=1,SUM($B$168:B171),"")</f>
        <v>4</v>
      </c>
    </row>
    <row r="172" spans="1:4">
      <c r="A172" s="47" t="str">
        <f>IF(計算過程!$B$31=1,マスタ!$B$80,マスタ!$A$80)</f>
        <v>借入状況等申告書</v>
      </c>
      <c r="B172" s="53">
        <f>1</f>
        <v>1</v>
      </c>
      <c r="C172" s="53">
        <f>IF(B172=1,SUM($B$168:B172),"")</f>
        <v>5</v>
      </c>
    </row>
    <row r="173" spans="1:4" ht="24">
      <c r="A173" s="47" t="str">
        <f>"【事由別】"&amp;計算過程!$B$21</f>
        <v>【事由別】注文書(写)又は発注書(写)(見積書は不可)</v>
      </c>
      <c r="B173" s="53">
        <f>IF(計算過程!$B$12="住宅貸付",0,IF(計算過程!$B$21="",0,1))</f>
        <v>1</v>
      </c>
      <c r="C173" s="53">
        <f>IF(B173=1,SUM($B$168:B173),"")</f>
        <v>6</v>
      </c>
    </row>
    <row r="174" spans="1:4" ht="24">
      <c r="A174" s="47" t="str">
        <f>マスタ!$A$54&amp;IF(LEN(IF(計算過程!$B$105=0,"",INDEX(マスタ!$B$54:$H$54,計算過程!$B$105)&amp;""))&gt;1," "&amp;MID(IF(計算過程!$B$105=0,"",INDEX(マスタ!$B$54:$H$54,計算過程!$B$105)&amp;""),2,99),"")</f>
        <v>土地の登記事項証明書(登記簿謄本)※交付日前3か月以内に発行されたもの・コピー不可</v>
      </c>
      <c r="B174" s="53">
        <f>IF(計算過程!$B$105=0,0,IF(IF(計算過程!$B$105=0,"",INDEX(マスタ!$B$54:$H$54,計算過程!$B$105)&amp;"")="",0,1))</f>
        <v>0</v>
      </c>
      <c r="C174" s="53" t="str">
        <f>IF(B174=1,SUM($B$168:B174),"")</f>
        <v/>
      </c>
    </row>
    <row r="175" spans="1:4" ht="24">
      <c r="A175" s="47" t="str">
        <f>マスタ!$A$55&amp;IF(LEN(IF(計算過程!$B$105=0,"",INDEX(マスタ!$B$55:$H$55,計算過程!$B$105)&amp;""))&gt;1," "&amp;MID(IF(計算過程!$B$105=0,"",INDEX(マスタ!$B$55:$H$55,計算過程!$B$105)&amp;""),2,99),"")</f>
        <v>【土地が農地の場合】転用許可書(写)又は転用受理書(写)</v>
      </c>
      <c r="B175" s="53">
        <f>IF(計算過程!$B$105=0,0,IF(IF(計算過程!$B$105=0,"",INDEX(マスタ!$B$55:$H$55,計算過程!$B$105)&amp;"")="",0,1))</f>
        <v>0</v>
      </c>
      <c r="C175" s="53" t="str">
        <f>IF(B175=1,SUM($B$168:B175),"")</f>
        <v/>
      </c>
    </row>
    <row r="176" spans="1:4" ht="24">
      <c r="A176" s="47" t="str">
        <f>マスタ!$A$56&amp;IF(LEN(IF(計算過程!$B$105=0,"",INDEX(マスタ!$B$56:$H$56,計算過程!$B$105)&amp;""))&gt;1," "&amp;MID(IF(計算過程!$B$105=0,"",INDEX(マスタ!$B$56:$H$56,計算過程!$B$105)&amp;""),2,99),"")</f>
        <v>【土地建物が共有又は他の者の名義になっている場合】同意書</v>
      </c>
      <c r="B176" s="53">
        <f>IF(計算過程!$B$105=0,0,IF(IF(計算過程!$B$105=0,"",INDEX(マスタ!$B$56:$H$56,計算過程!$B$105)&amp;"")="",0,1))</f>
        <v>0</v>
      </c>
      <c r="C176" s="53" t="str">
        <f>IF(B176=1,SUM($B$168:B176),"")</f>
        <v/>
      </c>
    </row>
    <row r="177" spans="1:3">
      <c r="A177" s="47" t="str">
        <f>マスタ!$A$57&amp;IF(LEN(IF(計算過程!$B$105=0,"",INDEX(マスタ!$B$57:$H$57,計算過程!$B$105)&amp;""))&gt;1," "&amp;MID(IF(計算過程!$B$105=0,"",INDEX(マスタ!$B$57:$H$57,計算過程!$B$105)&amp;""),2,99),"")</f>
        <v>工事見積書</v>
      </c>
      <c r="B177" s="53">
        <f>IF(計算過程!$B$105=0,0,IF(IF(計算過程!$B$105=0,"",INDEX(マスタ!$B$57:$H$57,計算過程!$B$105)&amp;"")="",0,1))</f>
        <v>0</v>
      </c>
      <c r="C177" s="53" t="str">
        <f>IF(B177=1,SUM($B$168:B177),"")</f>
        <v/>
      </c>
    </row>
    <row r="178" spans="1:3">
      <c r="A178" s="47" t="str">
        <f>マスタ!$A$58&amp;IF(LEN(IF(計算過程!$B$105=0,"",INDEX(マスタ!$B$58:$H$58,計算過程!$B$105)&amp;""))&gt;1," "&amp;MID(IF(計算過程!$B$105=0,"",INDEX(マスタ!$B$58:$H$58,計算過程!$B$105)&amp;""),2,99),"")</f>
        <v>平面図</v>
      </c>
      <c r="B178" s="53">
        <f>IF(計算過程!$B$105=0,0,IF(IF(計算過程!$B$105=0,"",INDEX(マスタ!$B$58:$H$58,計算過程!$B$105)&amp;"")="",0,1))</f>
        <v>0</v>
      </c>
      <c r="C178" s="53" t="str">
        <f>IF(B178=1,SUM($B$168:B178),"")</f>
        <v/>
      </c>
    </row>
    <row r="179" spans="1:3" ht="24">
      <c r="A179" s="47" t="str">
        <f>マスタ!$A$59&amp;IF(LEN(IF(計算過程!$B$105=0,"",INDEX(マスタ!$B$59:$H$59,計算過程!$B$105)&amp;""))&gt;1," "&amp;MID(IF(計算過程!$B$105=0,"",INDEX(マスタ!$B$59:$H$59,計算過程!$B$105)&amp;""),2,99),"")</f>
        <v>建物の登記事項証明書(登記簿謄本)※交付日前3か月以内に発行されたもの・コピー不可</v>
      </c>
      <c r="B179" s="53">
        <f>IF(計算過程!$B$105=0,0,IF(IF(計算過程!$B$105=0,"",INDEX(マスタ!$B$59:$H$59,計算過程!$B$105)&amp;"")="",0,1))</f>
        <v>0</v>
      </c>
      <c r="C179" s="53" t="str">
        <f>IF(B179=1,SUM($B$168:B179),"")</f>
        <v/>
      </c>
    </row>
    <row r="180" spans="1:3">
      <c r="A180" s="47" t="str">
        <f>マスタ!$A$60&amp;IF(LEN(IF(計算過程!$B$105=0,"",INDEX(マスタ!$B$60:$H$60,計算過程!$B$105)&amp;""))&gt;1," "&amp;MID(IF(計算過程!$B$105=0,"",INDEX(マスタ!$B$60:$H$60,計算過程!$B$105)&amp;""),2,99),"")</f>
        <v>建築確認済証(写)</v>
      </c>
      <c r="B180" s="53">
        <f>IF(計算過程!$B$105=0,0,IF(IF(計算過程!$B$105=0,"",INDEX(マスタ!$B$60:$H$60,計算過程!$B$105)&amp;"")="",0,1))</f>
        <v>0</v>
      </c>
      <c r="C180" s="53" t="str">
        <f>IF(B180=1,SUM($B$168:B180),"")</f>
        <v/>
      </c>
    </row>
    <row r="181" spans="1:3">
      <c r="A181" s="47" t="str">
        <f>マスタ!$A$61&amp;IF(LEN(IF(計算過程!$B$105=0,"",INDEX(マスタ!$B$61:$H$61,計算過程!$B$105)&amp;""))&gt;1," "&amp;MID(IF(計算過程!$B$105=0,"",INDEX(マスタ!$B$61:$H$61,計算過程!$B$105)&amp;""),2,99),"")</f>
        <v>売買契約書(写)</v>
      </c>
      <c r="B181" s="53">
        <f>IF(計算過程!$B$105=0,0,IF(IF(計算過程!$B$105=0,"",INDEX(マスタ!$B$61:$H$61,計算過程!$B$105)&amp;"")="",0,1))</f>
        <v>0</v>
      </c>
      <c r="C181" s="53" t="str">
        <f>IF(B181=1,SUM($B$168:B181),"")</f>
        <v/>
      </c>
    </row>
    <row r="182" spans="1:3">
      <c r="A182" s="47" t="str">
        <f>マスタ!$A$62&amp;IF(LEN(IF(計算過程!$B$105=0,"",INDEX(マスタ!$B$62:$H$62,計算過程!$B$105)&amp;""))&gt;1," "&amp;MID(IF(計算過程!$B$105=0,"",INDEX(マスタ!$B$62:$H$62,計算過程!$B$105)&amp;""),2,99),"")</f>
        <v>対象物件の周辺地図</v>
      </c>
      <c r="B182" s="53">
        <f>IF(計算過程!$B$105=0,0,IF(IF(計算過程!$B$105=0,"",INDEX(マスタ!$B$62:$H$62,計算過程!$B$105)&amp;"")="",0,1))</f>
        <v>0</v>
      </c>
      <c r="C182" s="53" t="str">
        <f>IF(B182=1,SUM($B$168:B182),"")</f>
        <v/>
      </c>
    </row>
    <row r="184" spans="1:3">
      <c r="A184" s="26" t="s">
        <v>1561</v>
      </c>
    </row>
    <row r="185" spans="1:3">
      <c r="A185" s="47" t="str">
        <f>IFERROR(INDEX($A$168:$A$182,MATCH(1,$C$168:$C$182,0)),"")</f>
        <v>貸付申込書</v>
      </c>
      <c r="B185" s="47" t="str">
        <f>IF(A185="","","□ "&amp;A185)</f>
        <v>□ 貸付申込書</v>
      </c>
    </row>
    <row r="186" spans="1:3" ht="36">
      <c r="A186" s="47" t="str">
        <f>IFERROR(INDEX($A$168:$A$182,MATCH(2,$C$168:$C$182,0)),"")</f>
        <v>貸付金借用証書(様式第4号・共済組合で配布)</v>
      </c>
      <c r="B186" s="47" t="str">
        <f>IF(A186="","","□ "&amp;A186)</f>
        <v>□ 貸付金借用証書(様式第4号・共済組合で配布)</v>
      </c>
    </row>
    <row r="187" spans="1:3" ht="36">
      <c r="A187" s="47" t="str">
        <f>IFERROR(INDEX($A$168:$A$182,MATCH(3,$C$168:$C$182,0)),"")</f>
        <v>印鑑登録証明書(貸付金交付日前3か月以内に発行されたもの)</v>
      </c>
      <c r="B187" s="47" t="str">
        <f>IF(A187="","","□ "&amp;A187)</f>
        <v>□ 印鑑登録証明書(貸付金交付日前3か月以内に発行されたもの)</v>
      </c>
    </row>
    <row r="188" spans="1:3" ht="24">
      <c r="A188" s="47" t="str">
        <f>IFERROR(INDEX($A$168:$A$182,MATCH(4,$C$168:$C$182,0)),"")</f>
        <v>給与支払明細書(直近のもの)</v>
      </c>
      <c r="B188" s="47" t="str">
        <f>IF(A188="","","□ "&amp;A188)</f>
        <v>□ 給与支払明細書(直近のもの)</v>
      </c>
    </row>
    <row r="189" spans="1:3">
      <c r="A189" s="47" t="str">
        <f>IFERROR(INDEX($A$168:$A$182,MATCH(5,$C$168:$C$182,0)),"")</f>
        <v>借入状況等申告書</v>
      </c>
      <c r="B189" s="47" t="str">
        <f>IF(A189="","","□ "&amp;A189)</f>
        <v>□ 借入状況等申告書</v>
      </c>
    </row>
    <row r="190" spans="1:3" ht="36">
      <c r="A190" s="47" t="str">
        <f>IFERROR(INDEX($A$168:$A$182,MATCH(6,$C$168:$C$182,0)),"")</f>
        <v>【事由別】注文書(写)又は発注書(写)(見積書は不可)</v>
      </c>
      <c r="B190" s="47" t="str">
        <f>IF(A190="","","□ "&amp;A190)</f>
        <v>□ 【事由別】注文書(写)又は発注書(写)(見積書は不可)</v>
      </c>
    </row>
    <row r="191" spans="1:3">
      <c r="A191" s="47" t="str">
        <f>IFERROR(INDEX($A$168:$A$182,MATCH(7,$C$168:$C$182,0)),"")</f>
        <v/>
      </c>
      <c r="B191" s="47" t="str">
        <f>IF(A191="","","□ "&amp;A191)</f>
        <v/>
      </c>
    </row>
    <row r="192" spans="1:3">
      <c r="A192" s="47" t="str">
        <f>IFERROR(INDEX($A$168:$A$182,MATCH(8,$C$168:$C$182,0)),"")</f>
        <v/>
      </c>
      <c r="B192" s="47" t="str">
        <f>IF(A192="","","□ "&amp;A192)</f>
        <v/>
      </c>
    </row>
    <row r="193" spans="1:3">
      <c r="A193" s="47" t="str">
        <f>IFERROR(INDEX($A$168:$A$182,MATCH(9,$C$168:$C$182,0)),"")</f>
        <v/>
      </c>
      <c r="B193" s="47" t="str">
        <f>IF(A193="","","□ "&amp;A193)</f>
        <v/>
      </c>
    </row>
    <row r="194" spans="1:3">
      <c r="A194" s="47" t="str">
        <f>IFERROR(INDEX($A$168:$A$182,MATCH(10,$C$168:$C$182,0)),"")</f>
        <v/>
      </c>
      <c r="B194" s="47" t="str">
        <f>IF(A194="","","□ "&amp;A194)</f>
        <v/>
      </c>
    </row>
    <row r="195" spans="1:3">
      <c r="A195" s="47" t="str">
        <f>IFERROR(INDEX($A$168:$A$182,MATCH(11,$C$168:$C$182,0)),"")</f>
        <v/>
      </c>
      <c r="B195" s="47" t="str">
        <f>IF(A195="","","□ "&amp;A195)</f>
        <v/>
      </c>
    </row>
    <row r="196" spans="1:3">
      <c r="A196" s="47" t="str">
        <f>IFERROR(INDEX($A$168:$A$182,MATCH(12,$C$168:$C$182,0)),"")</f>
        <v/>
      </c>
      <c r="B196" s="47" t="str">
        <f>IF(A196="","","□ "&amp;A196)</f>
        <v/>
      </c>
    </row>
    <row r="197" spans="1:3">
      <c r="A197" s="47" t="str">
        <f>IFERROR(INDEX($A$168:$A$182,MATCH(13,$C$168:$C$182,0)),"")</f>
        <v/>
      </c>
      <c r="B197" s="47" t="str">
        <f>IF(A197="","","□ "&amp;A197)</f>
        <v/>
      </c>
    </row>
    <row r="198" spans="1:3">
      <c r="A198" s="47" t="str">
        <f>IFERROR(INDEX($A$168:$A$182,MATCH(14,$C$168:$C$182,0)),"")</f>
        <v/>
      </c>
      <c r="B198" s="47" t="str">
        <f>IF(A198="","","□ "&amp;A198)</f>
        <v/>
      </c>
    </row>
    <row r="199" spans="1:3">
      <c r="A199" s="47" t="str">
        <f>IFERROR(INDEX($A$168:$A$182,MATCH(15,$C$168:$C$182,0)),"")</f>
        <v/>
      </c>
      <c r="B199" s="47" t="str">
        <f>IF(A199="","","□ "&amp;A199)</f>
        <v/>
      </c>
    </row>
    <row r="200" spans="1:3">
      <c r="A200" s="47" t="str">
        <f>IFERROR(INDEX($A$168:$A$182,MATCH(16,$C$168:$C$182,0)),"")</f>
        <v/>
      </c>
      <c r="B200" s="47" t="str">
        <f>IF(A200="","","□ "&amp;A200)</f>
        <v/>
      </c>
    </row>
    <row r="203" spans="1:3">
      <c r="A203" s="26" t="s">
        <v>1562</v>
      </c>
      <c r="B203" s="26" t="s">
        <v>1559</v>
      </c>
      <c r="C203" s="26" t="s">
        <v>1560</v>
      </c>
    </row>
    <row r="204" spans="1:3">
      <c r="A204" s="47" t="str">
        <f>"完了届(工事又は購入の完了後に提出)"</f>
        <v>完了届(工事又は購入の完了後に提出)</v>
      </c>
      <c r="B204" s="53">
        <f>IF(計算過程!$B$105&gt;0,1,0)</f>
        <v>0</v>
      </c>
      <c r="C204" s="53" t="str">
        <f>IF(B204=1,SUM($B$204:B204),"")</f>
        <v/>
      </c>
    </row>
    <row r="205" spans="1:3">
      <c r="A205" s="47" t="str">
        <f>マスタ!$A$67&amp;IF(LEN(IF(計算過程!$B$105=0,"",INDEX(マスタ!$B$67:$H$67,計算過程!$B$105)&amp;""))&gt;1," "&amp;MID(IF(計算過程!$B$105=0,"",INDEX(マスタ!$B$67:$H$67,計算過程!$B$105)&amp;""),2,99),"")</f>
        <v>支払領収書(写)</v>
      </c>
      <c r="B205" s="53">
        <f>IF(計算過程!$B$105=0,0,IF(IF(計算過程!$B$105=0,"",INDEX(マスタ!$B$67:$H$67,計算過程!$B$105)&amp;"")="",0,1))</f>
        <v>0</v>
      </c>
      <c r="C205" s="53" t="str">
        <f>IF(B205=1,SUM($B$204:B205),"")</f>
        <v/>
      </c>
    </row>
    <row r="206" spans="1:3" ht="36">
      <c r="A206" s="47" t="str">
        <f>マスタ!$A$68&amp;IF(LEN(IF(計算過程!$B$105=0,"",INDEX(マスタ!$B$68:$H$68,計算過程!$B$105)&amp;""))&gt;1," "&amp;MID(IF(計算過程!$B$105=0,"",INDEX(マスタ!$B$68:$H$68,計算過程!$B$105)&amp;""),2,99),"")</f>
        <v>土地の登記事項証明書(登記簿謄本)※提出日前3か月以内・コピー不可(所有権保存登記後又は所有権移転登記後のもの)</v>
      </c>
      <c r="B206" s="53">
        <f>IF(計算過程!$B$105=0,0,IF(IF(計算過程!$B$105=0,"",INDEX(マスタ!$B$68:$H$68,計算過程!$B$105)&amp;"")="",0,1))</f>
        <v>0</v>
      </c>
      <c r="C206" s="53" t="str">
        <f>IF(B206=1,SUM($B$204:B206),"")</f>
        <v/>
      </c>
    </row>
    <row r="207" spans="1:3" ht="36">
      <c r="A207" s="47" t="str">
        <f>マスタ!$A$69&amp;IF(LEN(IF(計算過程!$B$105=0,"",INDEX(マスタ!$B$69:$H$69,計算過程!$B$105)&amp;""))&gt;1," "&amp;MID(IF(計算過程!$B$105=0,"",INDEX(マスタ!$B$69:$H$69,計算過程!$B$105)&amp;""),2,99),"")</f>
        <v>建物の登記事項証明書(登記簿謄本)※提出日前3か月以内・コピー不可(所有権保存登記後又は所有権移転登記後のもの)</v>
      </c>
      <c r="B207" s="53">
        <f>IF(計算過程!$B$105=0,0,IF(IF(計算過程!$B$105=0,"",INDEX(マスタ!$B$69:$H$69,計算過程!$B$105)&amp;"")="",0,1))</f>
        <v>0</v>
      </c>
      <c r="C207" s="53" t="str">
        <f>IF(B207=1,SUM($B$204:B207),"")</f>
        <v/>
      </c>
    </row>
    <row r="208" spans="1:3" ht="24">
      <c r="A208" s="47" t="str">
        <f>マスタ!$A$70&amp;IF(LEN(IF(計算過程!$B$105=0,"",INDEX(マスタ!$B$70:$H$70,計算過程!$B$105)&amp;""))&gt;1," "&amp;MID(IF(計算過程!$B$105=0,"",INDEX(マスタ!$B$70:$H$70,計算過程!$B$105)&amp;""),2,99),"")</f>
        <v>住民票※個人番号(マイナンバー)の記載のないもの・提出日前3か月以内・コピー不可</v>
      </c>
      <c r="B208" s="53">
        <f>IF(計算過程!$B$105=0,0,IF(IF(計算過程!$B$105=0,"",INDEX(マスタ!$B$70:$H$70,計算過程!$B$105)&amp;"")="",0,1))</f>
        <v>0</v>
      </c>
      <c r="C208" s="53" t="str">
        <f>IF(B208=1,SUM($B$204:B208),"")</f>
        <v/>
      </c>
    </row>
    <row r="209" spans="1:3">
      <c r="A209" s="47" t="str">
        <f>マスタ!$A$71&amp;IF(LEN(IF(計算過程!$B$105=0,"",INDEX(マスタ!$B$71:$H$71,計算過程!$B$105)&amp;""))&gt;1," "&amp;MID(IF(計算過程!$B$105=0,"",INDEX(マスタ!$B$71:$H$71,計算過程!$B$105)&amp;""),2,99),"")</f>
        <v>竣工検査済証(写)</v>
      </c>
      <c r="B209" s="53">
        <f>IF(計算過程!$B$105=0,0,IF(IF(計算過程!$B$105=0,"",INDEX(マスタ!$B$71:$H$71,計算過程!$B$105)&amp;"")="",0,1))</f>
        <v>0</v>
      </c>
      <c r="C209" s="53" t="str">
        <f>IF(B209=1,SUM($B$204:B209),"")</f>
        <v/>
      </c>
    </row>
    <row r="210" spans="1:3" ht="24">
      <c r="A210" s="47" t="str">
        <f>計算過程!$B$26</f>
        <v>完了届(自動車検査証(写)及び自動車検査証記録事項(写)を添付)</v>
      </c>
      <c r="B210" s="53">
        <f>IF(計算過程!$B$31=1,0,IF(計算過程!$B$26="",0,1))</f>
        <v>1</v>
      </c>
      <c r="C210" s="53">
        <f>IF(B210=1,SUM($B$204:B210),"")</f>
        <v>1</v>
      </c>
    </row>
    <row r="212" spans="1:3">
      <c r="A212" s="26" t="s">
        <v>1563</v>
      </c>
    </row>
    <row r="213" spans="1:3" ht="36">
      <c r="A213" s="47" t="str">
        <f>IFERROR(INDEX($A$204:$A$210,MATCH(1,$C$204:$C$210,0)),"")</f>
        <v>完了届(自動車検査証(写)及び自動車検査証記録事項(写)を添付)</v>
      </c>
      <c r="B213" s="47" t="str">
        <f>IF(A213="","","□ "&amp;A213)</f>
        <v>□ 完了届(自動車検査証(写)及び自動車検査証記録事項(写)を添付)</v>
      </c>
    </row>
    <row r="214" spans="1:3">
      <c r="A214" s="47" t="str">
        <f>IFERROR(INDEX($A$204:$A$210,MATCH(2,$C$204:$C$210,0)),"")</f>
        <v/>
      </c>
      <c r="B214" s="47" t="str">
        <f>IF(A214="","","□ "&amp;A214)</f>
        <v/>
      </c>
    </row>
    <row r="215" spans="1:3">
      <c r="A215" s="47" t="str">
        <f>IFERROR(INDEX($A$204:$A$210,MATCH(3,$C$204:$C$210,0)),"")</f>
        <v/>
      </c>
      <c r="B215" s="47" t="str">
        <f>IF(A215="","","□ "&amp;A215)</f>
        <v/>
      </c>
    </row>
    <row r="216" spans="1:3">
      <c r="A216" s="47" t="str">
        <f>IFERROR(INDEX($A$204:$A$210,MATCH(4,$C$204:$C$210,0)),"")</f>
        <v/>
      </c>
      <c r="B216" s="47" t="str">
        <f>IF(A216="","","□ "&amp;A216)</f>
        <v/>
      </c>
    </row>
    <row r="217" spans="1:3">
      <c r="A217" s="47" t="str">
        <f>IFERROR(INDEX($A$204:$A$210,MATCH(5,$C$204:$C$210,0)),"")</f>
        <v/>
      </c>
      <c r="B217" s="47" t="str">
        <f>IF(A217="","","□ "&amp;A217)</f>
        <v/>
      </c>
    </row>
    <row r="218" spans="1:3">
      <c r="A218" s="47" t="str">
        <f>IFERROR(INDEX($A$204:$A$210,MATCH(6,$C$204:$C$210,0)),"")</f>
        <v/>
      </c>
      <c r="B218" s="47" t="str">
        <f>IF(A218="","","□ "&amp;A218)</f>
        <v/>
      </c>
    </row>
    <row r="219" spans="1:3">
      <c r="A219" s="47" t="str">
        <f>IFERROR(INDEX($A$204:$A$210,MATCH(7,$C$204:$C$210,0)),"")</f>
        <v/>
      </c>
      <c r="B219" s="47" t="str">
        <f>IF(A219="","","□ "&amp;A219)</f>
        <v/>
      </c>
    </row>
    <row r="220" spans="1:3">
      <c r="A220" s="47" t="str">
        <f>IFERROR(INDEX($A$204:$A$210,MATCH(8,$C$204:$C$210,0)),"")</f>
        <v/>
      </c>
      <c r="B220" s="47" t="str">
        <f>IF(A220="","","□ "&amp;A220)</f>
        <v/>
      </c>
    </row>
  </sheetData>
  <sheetProtection sheet="1" objects="1" scenarios="1"/>
  <phoneticPr fontId="46"/>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BFBFBF"/>
  </sheetPr>
  <dimension ref="A1:C87"/>
  <sheetViews>
    <sheetView zoomScaleNormal="100" workbookViewId="0">
      <pane ySplit="4" topLeftCell="A5" activePane="bottomLeft" state="frozen"/>
      <selection pane="bottomLeft"/>
    </sheetView>
  </sheetViews>
  <sheetFormatPr defaultColWidth="8.5546875" defaultRowHeight="13.2"/>
  <cols>
    <col min="1" max="1" width="12" customWidth="1"/>
    <col min="2" max="2" width="22" customWidth="1"/>
    <col min="3" max="3" width="90" customWidth="1"/>
  </cols>
  <sheetData>
    <row r="1" spans="1:3" ht="17.399999999999999">
      <c r="A1" s="151" t="s">
        <v>1564</v>
      </c>
    </row>
    <row r="2" spans="1:3">
      <c r="A2" s="50" t="s">
        <v>1565</v>
      </c>
    </row>
    <row r="4" spans="1:3">
      <c r="A4" s="152" t="s">
        <v>1566</v>
      </c>
      <c r="B4" s="152" t="s">
        <v>1567</v>
      </c>
      <c r="C4" s="152" t="s">
        <v>1187</v>
      </c>
    </row>
    <row r="5" spans="1:3">
      <c r="A5" s="53" t="s">
        <v>1568</v>
      </c>
      <c r="B5" s="135" t="s">
        <v>1569</v>
      </c>
      <c r="C5" s="17" t="str">
        <f>IF(計算過程!$B$165&gt;=1000,INT(計算過程!$B$165/1000),"")</f>
        <v/>
      </c>
    </row>
    <row r="6" spans="1:3">
      <c r="A6" s="53" t="s">
        <v>1568</v>
      </c>
      <c r="B6" s="135" t="s">
        <v>1570</v>
      </c>
      <c r="C6" s="17">
        <f>IF(計算過程!$B$165&gt;=100,MOD(INT(計算過程!$B$165/100),10),"")</f>
        <v>1</v>
      </c>
    </row>
    <row r="7" spans="1:3">
      <c r="A7" s="53" t="s">
        <v>1568</v>
      </c>
      <c r="B7" s="135" t="s">
        <v>1571</v>
      </c>
      <c r="C7" s="17">
        <f>IF(計算過程!$B$165&gt;=10,MOD(INT(計算過程!$B$165/10),10),"")</f>
        <v>5</v>
      </c>
    </row>
    <row r="8" spans="1:3">
      <c r="A8" s="53" t="s">
        <v>1568</v>
      </c>
      <c r="B8" s="135" t="s">
        <v>1572</v>
      </c>
      <c r="C8" s="17">
        <f>IF(計算過程!$B$165&gt;=1,MOD(計算過程!$B$165,10),"")</f>
        <v>0</v>
      </c>
    </row>
    <row r="9" spans="1:3">
      <c r="A9" s="53" t="s">
        <v>1568</v>
      </c>
      <c r="B9" s="135" t="s">
        <v>1573</v>
      </c>
      <c r="C9" s="17" t="str">
        <f>IF(申込シミュレーション!$C$7="","",申込シミュレーション!$C$7)</f>
        <v>○○局○○課</v>
      </c>
    </row>
    <row r="10" spans="1:3">
      <c r="A10" s="53" t="s">
        <v>1568</v>
      </c>
      <c r="B10" s="135" t="s">
        <v>1574</v>
      </c>
      <c r="C10" s="17" t="str">
        <f>IF(申込シミュレーション!$C$25="","",申込シミュレーション!$C$25)</f>
        <v>広島市中区○○町1-1</v>
      </c>
    </row>
    <row r="11" spans="1:3">
      <c r="A11" s="53" t="s">
        <v>1568</v>
      </c>
      <c r="B11" s="135" t="s">
        <v>1575</v>
      </c>
      <c r="C11" s="17" t="str">
        <f>IF(OR(計算過程!$B$12="住宅貸付",計算過程!$B$12="災害貸付"),"○","　")</f>
        <v>　</v>
      </c>
    </row>
    <row r="12" spans="1:3">
      <c r="A12" s="53" t="s">
        <v>1568</v>
      </c>
      <c r="B12" s="135" t="s">
        <v>1576</v>
      </c>
      <c r="C12" s="17" t="str">
        <f>IF(AND(計算過程!$B$31=1,N(申込シミュレーション!$C$23)&gt;0),"○","　")</f>
        <v>　</v>
      </c>
    </row>
    <row r="13" spans="1:3">
      <c r="A13" s="53" t="s">
        <v>1568</v>
      </c>
      <c r="B13" s="135" t="s">
        <v>1577</v>
      </c>
      <c r="C13" s="17" t="str">
        <f>IF(OR(計算過程!$B$12="普通貸付",計算過程!$B$12="特別貸付"),"○","　")</f>
        <v>○</v>
      </c>
    </row>
    <row r="14" spans="1:3">
      <c r="A14" s="53" t="s">
        <v>1568</v>
      </c>
      <c r="B14" s="135" t="s">
        <v>1578</v>
      </c>
      <c r="C14" s="17" t="str">
        <f>計算過程!$B$162</f>
        <v>１．２６</v>
      </c>
    </row>
    <row r="15" spans="1:3">
      <c r="A15" s="53" t="s">
        <v>1568</v>
      </c>
      <c r="B15" s="135" t="s">
        <v>1579</v>
      </c>
      <c r="C15" s="17" t="str">
        <f>計算過程!$B$163</f>
        <v>０．９３</v>
      </c>
    </row>
    <row r="16" spans="1:3">
      <c r="A16" s="53" t="s">
        <v>1568</v>
      </c>
      <c r="B16" s="135" t="s">
        <v>1580</v>
      </c>
      <c r="C16" s="17" t="str">
        <f>計算過程!$B$164</f>
        <v>１．００</v>
      </c>
    </row>
    <row r="17" spans="1:3">
      <c r="A17" s="53" t="s">
        <v>1581</v>
      </c>
      <c r="B17" s="135" t="s">
        <v>1582</v>
      </c>
      <c r="C17" s="17" t="str">
        <f ca="1">"令和"&amp;(YEAR(TODAY())-2018)&amp;"年"&amp;MONTH(TODAY())&amp;"月"&amp;DAY(TODAY())&amp;"日"</f>
        <v>令和8年10月22日</v>
      </c>
    </row>
    <row r="18" spans="1:3">
      <c r="A18" s="53" t="s">
        <v>1581</v>
      </c>
      <c r="B18" s="135" t="s">
        <v>1583</v>
      </c>
      <c r="C18" s="17" t="str">
        <f>IF(申込シミュレーション!$C$7="","（所属名）",申込シミュレーション!$C$7)&amp;"　"&amp;IF(申込シミュレーション!$C$8="","（氏名）",申込シミュレーション!$C$8)&amp;"　様"</f>
        <v>○○局○○課　広島 太郎　様</v>
      </c>
    </row>
    <row r="19" spans="1:3">
      <c r="A19" s="53" t="s">
        <v>1581</v>
      </c>
      <c r="B19" s="135" t="s">
        <v>1584</v>
      </c>
      <c r="C19" s="17" t="str">
        <f>"貸付申込書類の送付について（"&amp;申込シミュレーション!$C$9&amp;"）"</f>
        <v>貸付申込書類の送付について（普通貸付:自動車購入）</v>
      </c>
    </row>
    <row r="20" spans="1:3">
      <c r="A20" s="53" t="s">
        <v>1581</v>
      </c>
      <c r="B20" s="135" t="s">
        <v>1585</v>
      </c>
      <c r="C20" s="17" t="str">
        <f>申込シミュレーション!$C$9</f>
        <v>普通貸付:自動車購入</v>
      </c>
    </row>
    <row r="21" spans="1:3">
      <c r="A21" s="53" t="s">
        <v>1581</v>
      </c>
      <c r="B21" s="135" t="s">
        <v>1586</v>
      </c>
      <c r="C21" s="17" t="str">
        <f>TEXT(計算過程!$B$65,"#,##0")&amp;"円"</f>
        <v>1,500,000円</v>
      </c>
    </row>
    <row r="22" spans="1:3">
      <c r="A22" s="53" t="s">
        <v>1581</v>
      </c>
      <c r="B22" s="135" t="s">
        <v>1587</v>
      </c>
      <c r="C22" s="17" t="str">
        <f>TEXT(計算過程!$B$32,"0.00%")&amp;"（変動利率）"</f>
        <v>1.26%（変動利率）</v>
      </c>
    </row>
    <row r="23" spans="1:3">
      <c r="A23" s="53" t="s">
        <v>1581</v>
      </c>
      <c r="B23" s="135" t="s">
        <v>1588</v>
      </c>
      <c r="C23" s="17" t="str">
        <f>計算過程!$B$71&amp;"回（"&amp;計算過程!$B$100&amp;"）"</f>
        <v>60回（5年0か月）</v>
      </c>
    </row>
    <row r="24" spans="1:3">
      <c r="A24" s="53" t="s">
        <v>1581</v>
      </c>
      <c r="B24" s="135" t="s">
        <v>1589</v>
      </c>
      <c r="C24" s="17" t="str">
        <f>TEXT(計算過程!$B$78,"#,##0")&amp;"円"&amp;IF(計算過程!$B$81&gt;0,"　ボーナス償還額（1回）"&amp;TEXT(計算過程!$B$81,"#,##0")&amp;"円","")</f>
        <v>25,809円</v>
      </c>
    </row>
    <row r="25" spans="1:3">
      <c r="A25" s="53" t="s">
        <v>1581</v>
      </c>
      <c r="B25" s="135" t="s">
        <v>1590</v>
      </c>
      <c r="C25" s="17" t="str">
        <f>IF(計算過程!$B$98="","","令和"&amp;(YEAR(計算過程!$B$98)-2018)&amp;"年"&amp;MONTH(計算過程!$B$98)&amp;"月分の給与から")</f>
        <v>令和8年12月分の給与から</v>
      </c>
    </row>
    <row r="26" spans="1:3">
      <c r="A26" s="53" t="s">
        <v>1581</v>
      </c>
      <c r="B26" s="135" t="s">
        <v>1591</v>
      </c>
      <c r="C26" s="17" t="str">
        <f>IF(計算過程!$B$96="","","令和"&amp;(YEAR(計算過程!$B$96)-2018)&amp;"年"&amp;MONTH(計算過程!$B$96)&amp;"月"&amp;DAY(計算過程!$B$96)&amp;"日")</f>
        <v>令和8年11月5日</v>
      </c>
    </row>
    <row r="27" spans="1:3">
      <c r="A27" s="53" t="s">
        <v>1581</v>
      </c>
      <c r="B27" s="135" t="s">
        <v>1592</v>
      </c>
      <c r="C27" s="17" t="str">
        <f>IFERROR(INDEX(マスタ!$B$85:$B$87,MATCH(申込シミュレーション!$C$6,マスタ!$A$85:$A$87,0)),"")</f>
        <v>共済組合(庶務係)へ直接提出してください。</v>
      </c>
    </row>
    <row r="28" spans="1:3">
      <c r="A28" s="53" t="s">
        <v>1581</v>
      </c>
      <c r="B28" s="135" t="s">
        <v>1593</v>
      </c>
      <c r="C28" s="17" t="str">
        <f>IF(計算過程!$B$97="","","令和"&amp;(YEAR(計算過程!$B$97)-2018)&amp;"年"&amp;MONTH(計算過程!$B$97)&amp;"月"&amp;DAY(計算過程!$B$97)&amp;"日")</f>
        <v>令和8年11月30日</v>
      </c>
    </row>
    <row r="29" spans="1:3" ht="72">
      <c r="A29" s="53" t="s">
        <v>1581</v>
      </c>
      <c r="B29" s="135" t="s">
        <v>1594</v>
      </c>
      <c r="C29" s="17" t="str">
        <f>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spans="1:3">
      <c r="A30" s="53" t="s">
        <v>1581</v>
      </c>
      <c r="B30" s="135" t="s">
        <v>1595</v>
      </c>
      <c r="C30" s="17" t="str">
        <f>計算過程!$B$213&amp;IF(計算過程!$B$214="","",CHAR(10)&amp;計算過程!$B$214)&amp;IF(計算過程!$B$215="","",CHAR(10)&amp;計算過程!$B$215)&amp;IF(計算過程!$B$216="","",CHAR(10)&amp;計算過程!$B$216)&amp;IF(計算過程!$B$217="","",CHAR(10)&amp;計算過程!$B$217)&amp;IF(計算過程!$B$218="","",CHAR(10)&amp;計算過程!$B$218)&amp;IF(計算過程!$B$219="","",CHAR(10)&amp;計算過程!$B$219)&amp;IF(計算過程!$B$220="","",CHAR(10)&amp;計算過程!$B$220)</f>
        <v>□ 完了届(自動車検査証(写)及び自動車検査証記録事項(写)を添付)</v>
      </c>
    </row>
    <row r="31" spans="1:3">
      <c r="A31" s="53" t="s">
        <v>1581</v>
      </c>
      <c r="B31" s="135" t="s">
        <v>1596</v>
      </c>
      <c r="C31" s="17" t="str">
        <f>IF(計算過程!$B$104="","","（提出期限：令和"&amp;(YEAR(計算過程!$B$104)-2018)&amp;"年"&amp;MONTH(計算過程!$B$104)&amp;"月"&amp;DAY(計算過程!$B$104)&amp;"日まで）")</f>
        <v>（提出期限：令和9年1月30日まで）</v>
      </c>
    </row>
    <row r="32" spans="1:3">
      <c r="A32" s="53" t="s">
        <v>1150</v>
      </c>
      <c r="B32" s="135" t="s">
        <v>1570</v>
      </c>
      <c r="C32" s="17">
        <f>IF(計算過程!$B$165&gt;=100,MOD(INT(計算過程!$B$165/100),10),"")</f>
        <v>1</v>
      </c>
    </row>
    <row r="33" spans="1:3">
      <c r="A33" s="53" t="s">
        <v>1150</v>
      </c>
      <c r="B33" s="135" t="s">
        <v>1571</v>
      </c>
      <c r="C33" s="17">
        <f>IF(計算過程!$B$165&gt;=10,MOD(INT(計算過程!$B$165/10),10),"")</f>
        <v>5</v>
      </c>
    </row>
    <row r="34" spans="1:3">
      <c r="A34" s="53" t="s">
        <v>1150</v>
      </c>
      <c r="B34" s="135" t="s">
        <v>1572</v>
      </c>
      <c r="C34" s="17">
        <f>IF(計算過程!$B$165&gt;=1,MOD(計算過程!$B$165,10),"")</f>
        <v>0</v>
      </c>
    </row>
    <row r="35" spans="1:3">
      <c r="A35" s="53" t="s">
        <v>1150</v>
      </c>
      <c r="B35" s="135" t="s">
        <v>1597</v>
      </c>
      <c r="C35" s="153">
        <f>IF(AND(N(申込シミュレーション!$C$18)=0,N(申込シミュレーション!$C$19)&gt;0),"",計算過程!$B$71)</f>
        <v>60</v>
      </c>
    </row>
    <row r="36" spans="1:3">
      <c r="A36" s="53" t="s">
        <v>1150</v>
      </c>
      <c r="B36" s="135" t="s">
        <v>1598</v>
      </c>
      <c r="C36" s="17" t="str">
        <f>IF(AND(N(申込シミュレーション!$C$18)=0,N(申込シミュレーション!$C$19)&gt;0),TEXT(計算過程!$B$78,"#,##0"),"")</f>
        <v/>
      </c>
    </row>
    <row r="37" spans="1:3">
      <c r="A37" s="53" t="s">
        <v>1150</v>
      </c>
      <c r="B37" s="135" t="s">
        <v>1599</v>
      </c>
      <c r="C37" s="17" t="str">
        <f>IF(申込シミュレーション!$C$9="普通貸付:自動車購入","○","　")</f>
        <v>○</v>
      </c>
    </row>
    <row r="38" spans="1:3">
      <c r="A38" s="53" t="s">
        <v>1150</v>
      </c>
      <c r="B38" s="135" t="s">
        <v>1600</v>
      </c>
      <c r="C38" s="17" t="str">
        <f>IF(申込シミュレーション!$C$9="普通貸付:出産","○","　")</f>
        <v>　</v>
      </c>
    </row>
    <row r="39" spans="1:3">
      <c r="A39" s="53" t="s">
        <v>1150</v>
      </c>
      <c r="B39" s="135" t="s">
        <v>1601</v>
      </c>
      <c r="C39" s="17" t="str">
        <f>IF(申込シミュレーション!$C$9="特別貸付:医療","○","　")</f>
        <v>　</v>
      </c>
    </row>
    <row r="40" spans="1:3">
      <c r="A40" s="53" t="s">
        <v>1150</v>
      </c>
      <c r="B40" s="135" t="s">
        <v>1602</v>
      </c>
      <c r="C40" s="17" t="str">
        <f>IF(OR(申込シミュレーション!$C$9="特別貸付:入学(大学等)",申込シミュレーション!$C$9="特別貸付:入学(高校)"),"○","　")</f>
        <v>　</v>
      </c>
    </row>
    <row r="41" spans="1:3">
      <c r="A41" s="53" t="s">
        <v>1150</v>
      </c>
      <c r="B41" s="135" t="s">
        <v>1603</v>
      </c>
      <c r="C41" s="17" t="str">
        <f>IF(申込シミュレーション!$C$9="特別貸付:結婚","○","　")</f>
        <v>　</v>
      </c>
    </row>
    <row r="42" spans="1:3">
      <c r="A42" s="53" t="s">
        <v>1150</v>
      </c>
      <c r="B42" s="135" t="s">
        <v>1604</v>
      </c>
      <c r="C42" s="17" t="str">
        <f>IF(申込シミュレーション!$C$9="特別貸付:葬祭","○","　")</f>
        <v>　</v>
      </c>
    </row>
    <row r="43" spans="1:3">
      <c r="A43" s="53" t="s">
        <v>1150</v>
      </c>
      <c r="B43" s="135" t="s">
        <v>1605</v>
      </c>
      <c r="C43" s="17" t="str">
        <f>IF(申込シミュレーション!$C$9="特別貸付:修学","○","　")</f>
        <v>　</v>
      </c>
    </row>
    <row r="44" spans="1:3">
      <c r="A44" s="53" t="s">
        <v>1150</v>
      </c>
      <c r="B44" s="135" t="s">
        <v>1606</v>
      </c>
      <c r="C44" s="17" t="str">
        <f>IF(AND(申込シミュレーション!$C$9="普通貸付:自動車購入",申込シミュレーション!$C$13&lt;&gt;""),"令和"&amp;(YEAR(申込シミュレーション!$C$13)-2018)&amp;"年"&amp;MONTH(申込シミュレーション!$C$13)&amp;"月"&amp;DAY(申込シミュレーション!$C$13)&amp;"日","　　　　　　　　")</f>
        <v>　　　　　　　　</v>
      </c>
    </row>
    <row r="45" spans="1:3">
      <c r="A45" s="53" t="s">
        <v>1150</v>
      </c>
      <c r="B45" s="135" t="s">
        <v>1607</v>
      </c>
      <c r="C45" s="17" t="str">
        <f>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spans="1:3">
      <c r="A46" s="53" t="s">
        <v>1150</v>
      </c>
      <c r="B46" s="135" t="s">
        <v>1573</v>
      </c>
      <c r="C46" s="17" t="str">
        <f>IF(申込シミュレーション!$C$7="","",申込シミュレーション!$C$7)</f>
        <v>○○局○○課</v>
      </c>
    </row>
    <row r="47" spans="1:3">
      <c r="A47" s="53" t="s">
        <v>1150</v>
      </c>
      <c r="B47" s="135" t="s">
        <v>1608</v>
      </c>
      <c r="C47" s="17" t="str">
        <f>IF(申込書追加入力!$C$8="","",申込書追加入力!$C$8)</f>
        <v>082-000-0000</v>
      </c>
    </row>
    <row r="48" spans="1:3">
      <c r="A48" s="53" t="s">
        <v>1150</v>
      </c>
      <c r="B48" s="135" t="s">
        <v>1609</v>
      </c>
      <c r="C48" s="17" t="str">
        <f>IF(申込書追加入力!$C$5="","",申込書追加入力!$C$5)</f>
        <v>主事</v>
      </c>
    </row>
    <row r="49" spans="1:3">
      <c r="A49" s="53" t="s">
        <v>1150</v>
      </c>
      <c r="B49" s="135" t="s">
        <v>1610</v>
      </c>
      <c r="C49" s="17" t="str">
        <f>MID(""&amp;申込書追加入力!$C$6,1,1)</f>
        <v>1</v>
      </c>
    </row>
    <row r="50" spans="1:3">
      <c r="A50" s="53" t="s">
        <v>1150</v>
      </c>
      <c r="B50" s="135" t="s">
        <v>1611</v>
      </c>
      <c r="C50" s="17" t="str">
        <f>MID(""&amp;申込書追加入力!$C$6,2,1)</f>
        <v>2</v>
      </c>
    </row>
    <row r="51" spans="1:3">
      <c r="A51" s="53" t="s">
        <v>1150</v>
      </c>
      <c r="B51" s="135" t="s">
        <v>1612</v>
      </c>
      <c r="C51" s="17" t="str">
        <f>MID(""&amp;申込書追加入力!$C$6,3,1)</f>
        <v>3</v>
      </c>
    </row>
    <row r="52" spans="1:3">
      <c r="A52" s="53" t="s">
        <v>1150</v>
      </c>
      <c r="B52" s="135" t="s">
        <v>1613</v>
      </c>
      <c r="C52" s="17" t="str">
        <f>MID(""&amp;申込書追加入力!$C$6,4,1)</f>
        <v>4</v>
      </c>
    </row>
    <row r="53" spans="1:3">
      <c r="A53" s="53" t="s">
        <v>1150</v>
      </c>
      <c r="B53" s="135" t="s">
        <v>1614</v>
      </c>
      <c r="C53" s="17" t="str">
        <f>MID(""&amp;申込書追加入力!$C$6,5,1)</f>
        <v>5</v>
      </c>
    </row>
    <row r="54" spans="1:3">
      <c r="A54" s="53" t="s">
        <v>1150</v>
      </c>
      <c r="B54" s="135" t="s">
        <v>1615</v>
      </c>
      <c r="C54" s="17" t="str">
        <f>MID(""&amp;申込書追加入力!$C$6,6,1)</f>
        <v>6</v>
      </c>
    </row>
    <row r="55" spans="1:3">
      <c r="A55" s="53" t="s">
        <v>1150</v>
      </c>
      <c r="B55" s="135" t="s">
        <v>1616</v>
      </c>
      <c r="C55" s="17" t="str">
        <f>MID(""&amp;申込書追加入力!$C$6,7,1)</f>
        <v>7</v>
      </c>
    </row>
    <row r="56" spans="1:3">
      <c r="A56" s="53" t="s">
        <v>1150</v>
      </c>
      <c r="B56" s="135" t="s">
        <v>1617</v>
      </c>
      <c r="C56" s="17" t="str">
        <f>IF(申込書追加入力!$C$4="","",申込書追加入力!$C$4)</f>
        <v>ひろしま たろう</v>
      </c>
    </row>
    <row r="57" spans="1:3">
      <c r="A57" s="53" t="s">
        <v>1150</v>
      </c>
      <c r="B57" s="135" t="s">
        <v>1618</v>
      </c>
      <c r="C57" s="17" t="str">
        <f>IF(申込シミュレーション!$C$8="","",申込シミュレーション!$C$8)</f>
        <v>広島 太郎</v>
      </c>
    </row>
    <row r="58" spans="1:3">
      <c r="A58" s="53" t="s">
        <v>1150</v>
      </c>
      <c r="B58" s="135" t="s">
        <v>1619</v>
      </c>
      <c r="C58" s="17" t="str">
        <f>IF(AND(申込書追加入力!$C$7&lt;&gt;"",申込書追加入力!$C$7&lt;DATE(1989,1,8)),"○","　")</f>
        <v>　</v>
      </c>
    </row>
    <row r="59" spans="1:3">
      <c r="A59" s="53" t="s">
        <v>1150</v>
      </c>
      <c r="B59" s="135" t="s">
        <v>1620</v>
      </c>
      <c r="C59" s="17" t="str">
        <f>IF(AND(申込書追加入力!$C$7&gt;=DATE(1989,1,8),申込書追加入力!$C$7&lt;DATE(2019,5,1)),"○","　")</f>
        <v>○</v>
      </c>
    </row>
    <row r="60" spans="1:3">
      <c r="A60" s="53" t="s">
        <v>1150</v>
      </c>
      <c r="B60" s="135" t="s">
        <v>1621</v>
      </c>
      <c r="C60" s="17" t="str">
        <f>IF(申込書追加入力!$C$7="","",IF(申込書追加入力!$C$7&lt;DATE(1989,1,8),YEAR(申込書追加入力!$C$7)-1925,IF(申込書追加入力!$C$7&lt;DATE(2019,5,1),YEAR(申込書追加入力!$C$7)-1988,YEAR(申込書追加入力!$C$7)-2018))&amp;"年"&amp;MONTH(申込書追加入力!$C$7)&amp;"月"&amp;DAY(申込書追加入力!$C$7)&amp;"日")</f>
        <v>2年4月1日</v>
      </c>
    </row>
    <row r="61" spans="1:3">
      <c r="A61" s="53" t="s">
        <v>1150</v>
      </c>
      <c r="B61" s="135" t="s">
        <v>1622</v>
      </c>
      <c r="C61" s="17" t="str">
        <f>IF(AND(申込シミュレーション!$C$11&lt;&gt;"",申込シミュレーション!$C$11&lt;DATE(1989,1,8)),"○","　")</f>
        <v>　</v>
      </c>
    </row>
    <row r="62" spans="1:3">
      <c r="A62" s="53" t="s">
        <v>1150</v>
      </c>
      <c r="B62" s="135" t="s">
        <v>1623</v>
      </c>
      <c r="C62" s="17" t="str">
        <f>IF(AND(申込シミュレーション!$C$11&gt;=DATE(1989,1,8),申込シミュレーション!$C$11&lt;DATE(2019,5,1)),"○","　")</f>
        <v>○</v>
      </c>
    </row>
    <row r="63" spans="1:3">
      <c r="A63" s="53" t="s">
        <v>1150</v>
      </c>
      <c r="B63" s="135" t="s">
        <v>1624</v>
      </c>
      <c r="C63" s="17" t="str">
        <f>IF(申込シミュレーション!$C$11&gt;=DATE(2019,5,1),"○","　")</f>
        <v>　</v>
      </c>
    </row>
    <row r="64" spans="1:3">
      <c r="A64" s="53" t="s">
        <v>1150</v>
      </c>
      <c r="B64" s="135" t="s">
        <v>1625</v>
      </c>
      <c r="C64" s="17" t="str">
        <f>IF(申込シミュレーション!$C$11="","",IF(申込シミュレーション!$C$11&lt;DATE(1989,1,8),YEAR(申込シミュレーション!$C$11)-1925,IF(申込シミュレーション!$C$11&lt;DATE(2019,5,1),YEAR(申込シミュレーション!$C$11)-1988,YEAR(申込シミュレーション!$C$11)-2018))&amp;"年"&amp;MONTH(申込シミュレーション!$C$11)&amp;"月")</f>
        <v>24年4月</v>
      </c>
    </row>
    <row r="65" spans="1:3">
      <c r="A65" s="53" t="s">
        <v>1150</v>
      </c>
      <c r="B65" s="135" t="s">
        <v>1626</v>
      </c>
      <c r="C65" s="17" t="str">
        <f>IF(N(申込シミュレーション!$C$12)&gt;0,TEXT(申込シミュレーション!$C$12,"#,##0"),"")</f>
        <v>290,000</v>
      </c>
    </row>
    <row r="66" spans="1:3">
      <c r="A66" s="53" t="s">
        <v>1150</v>
      </c>
      <c r="B66" s="135" t="s">
        <v>1574</v>
      </c>
      <c r="C66" s="17" t="str">
        <f>IF(申込シミュレーション!$C$25="","",申込シミュレーション!$C$25)</f>
        <v>広島市中区○○町1-1</v>
      </c>
    </row>
    <row r="67" spans="1:3">
      <c r="A67" s="53" t="s">
        <v>1150</v>
      </c>
      <c r="B67" s="135" t="s">
        <v>1627</v>
      </c>
      <c r="C67" s="17" t="str">
        <f>IF(申込書追加入力!$C$9="","",申込書追加入力!$C$9)</f>
        <v>090-0000-0000</v>
      </c>
    </row>
    <row r="68" spans="1:3">
      <c r="A68" s="53" t="s">
        <v>1150</v>
      </c>
      <c r="B68" s="135" t="s">
        <v>1628</v>
      </c>
      <c r="C68" s="17" t="str">
        <f>IF(申込書追加入力!$C$10="","",申込書追加入力!$C$10)</f>
        <v>○○銀行</v>
      </c>
    </row>
    <row r="69" spans="1:3">
      <c r="A69" s="53" t="s">
        <v>1150</v>
      </c>
      <c r="B69" s="135" t="s">
        <v>1629</v>
      </c>
      <c r="C69" s="17" t="str">
        <f>IF(申込書追加入力!$C$11="","",申込書追加入力!$C$11)</f>
        <v>広島</v>
      </c>
    </row>
    <row r="70" spans="1:3">
      <c r="A70" s="53" t="s">
        <v>1150</v>
      </c>
      <c r="B70" s="135" t="s">
        <v>1630</v>
      </c>
      <c r="C70" s="17" t="str">
        <f>MID(""&amp;申込書追加入力!$C$12,1,1)</f>
        <v>1</v>
      </c>
    </row>
    <row r="71" spans="1:3">
      <c r="A71" s="53" t="s">
        <v>1150</v>
      </c>
      <c r="B71" s="135" t="s">
        <v>1631</v>
      </c>
      <c r="C71" s="17" t="str">
        <f>MID(""&amp;申込書追加入力!$C$12,2,1)</f>
        <v>2</v>
      </c>
    </row>
    <row r="72" spans="1:3">
      <c r="A72" s="53" t="s">
        <v>1150</v>
      </c>
      <c r="B72" s="135" t="s">
        <v>1632</v>
      </c>
      <c r="C72" s="17" t="str">
        <f>MID(""&amp;申込書追加入力!$C$12,3,1)</f>
        <v>3</v>
      </c>
    </row>
    <row r="73" spans="1:3">
      <c r="A73" s="53" t="s">
        <v>1150</v>
      </c>
      <c r="B73" s="135" t="s">
        <v>1633</v>
      </c>
      <c r="C73" s="17" t="str">
        <f>MID(""&amp;申込書追加入力!$C$12,4,1)</f>
        <v>4</v>
      </c>
    </row>
    <row r="74" spans="1:3">
      <c r="A74" s="53" t="s">
        <v>1150</v>
      </c>
      <c r="B74" s="135" t="s">
        <v>1634</v>
      </c>
      <c r="C74" s="17" t="str">
        <f>MID(""&amp;申込書追加入力!$C$12,5,1)</f>
        <v>5</v>
      </c>
    </row>
    <row r="75" spans="1:3">
      <c r="A75" s="53" t="s">
        <v>1150</v>
      </c>
      <c r="B75" s="135" t="s">
        <v>1635</v>
      </c>
      <c r="C75" s="17" t="str">
        <f>MID(""&amp;申込書追加入力!$C$12,6,1)</f>
        <v>6</v>
      </c>
    </row>
    <row r="76" spans="1:3">
      <c r="A76" s="53" t="s">
        <v>1150</v>
      </c>
      <c r="B76" s="135" t="s">
        <v>1636</v>
      </c>
      <c r="C76" s="17" t="str">
        <f>MID(""&amp;申込書追加入力!$C$12,7,1)</f>
        <v>7</v>
      </c>
    </row>
    <row r="77" spans="1:3">
      <c r="A77" s="53" t="s">
        <v>1150</v>
      </c>
      <c r="B77" s="135" t="s">
        <v>1637</v>
      </c>
      <c r="C77" s="17" t="str">
        <f>IF(申込書追加入力!$C$17="○","○","　")</f>
        <v>　</v>
      </c>
    </row>
    <row r="78" spans="1:3">
      <c r="A78" s="53" t="s">
        <v>1150</v>
      </c>
      <c r="B78" s="135" t="s">
        <v>1638</v>
      </c>
      <c r="C78" s="17" t="str">
        <f>IF(申込書追加入力!$C$18="○","○","　")</f>
        <v>　</v>
      </c>
    </row>
    <row r="79" spans="1:3">
      <c r="A79" s="53" t="s">
        <v>1150</v>
      </c>
      <c r="B79" s="135" t="s">
        <v>1639</v>
      </c>
      <c r="C79" s="17" t="str">
        <f>IF(申込書追加入力!$C$19="○","○","　")</f>
        <v>○</v>
      </c>
    </row>
    <row r="80" spans="1:3">
      <c r="A80" s="53" t="s">
        <v>1150</v>
      </c>
      <c r="B80" s="135" t="s">
        <v>1640</v>
      </c>
      <c r="C80" s="17" t="str">
        <f>IF(申込書追加入力!$C$20="○","○","　")</f>
        <v>　</v>
      </c>
    </row>
    <row r="81" spans="1:3">
      <c r="A81" s="53" t="s">
        <v>1150</v>
      </c>
      <c r="B81" s="135" t="s">
        <v>1641</v>
      </c>
      <c r="C81" s="17" t="str">
        <f>IF(申込書追加入力!$C$21="○","○","　")</f>
        <v>　</v>
      </c>
    </row>
    <row r="82" spans="1:3">
      <c r="A82" s="53" t="s">
        <v>1150</v>
      </c>
      <c r="B82" s="135" t="s">
        <v>1642</v>
      </c>
      <c r="C82" s="17" t="str">
        <f>IF(申込書追加入力!$D$17="○","○","　")</f>
        <v>　</v>
      </c>
    </row>
    <row r="83" spans="1:3">
      <c r="A83" s="53" t="s">
        <v>1150</v>
      </c>
      <c r="B83" s="135" t="s">
        <v>1643</v>
      </c>
      <c r="C83" s="17" t="str">
        <f>IF(申込書追加入力!$D$18="○","○","　")</f>
        <v>　</v>
      </c>
    </row>
    <row r="84" spans="1:3">
      <c r="A84" s="53" t="s">
        <v>1150</v>
      </c>
      <c r="B84" s="135" t="s">
        <v>1644</v>
      </c>
      <c r="C84" s="17" t="str">
        <f>IF(申込書追加入力!$D$19="○","○","　")</f>
        <v>　</v>
      </c>
    </row>
    <row r="85" spans="1:3">
      <c r="A85" s="53" t="s">
        <v>1150</v>
      </c>
      <c r="B85" s="135" t="s">
        <v>1645</v>
      </c>
      <c r="C85" s="17" t="str">
        <f>IF(申込書追加入力!$D$20="○","○","　")</f>
        <v>　</v>
      </c>
    </row>
    <row r="86" spans="1:3">
      <c r="A86" s="53" t="s">
        <v>1150</v>
      </c>
      <c r="B86" s="135" t="s">
        <v>1646</v>
      </c>
      <c r="C86" s="17" t="str">
        <f>IF(申込書追加入力!$D$21="○","○","　")</f>
        <v>○</v>
      </c>
    </row>
    <row r="87" spans="1:3">
      <c r="A87" s="53" t="s">
        <v>1150</v>
      </c>
      <c r="B87" s="135" t="s">
        <v>1647</v>
      </c>
      <c r="C87" s="17" t="str">
        <f>IF(申込シミュレーション!$C$10="","令和　　年　　月　　日","令和"&amp;(YEAR(申込シミュレーション!$C$10)-2018)&amp;"年"&amp;MONTH(申込シミュレーション!$C$10)&amp;"月"&amp;DAY(申込シミュレーション!$C$10)&amp;"日")</f>
        <v>令和8年11月2日</v>
      </c>
    </row>
  </sheetData>
  <sheetProtection sheet="1" objects="1" scenarios="1"/>
  <phoneticPr fontId="46"/>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236</vt:i4>
      </vt:variant>
    </vt:vector>
  </HeadingPairs>
  <TitlesOfParts>
    <vt:vector size="247" baseType="lpstr">
      <vt:lpstr>使い方</vt:lpstr>
      <vt:lpstr>申込シミュレーション</vt:lpstr>
      <vt:lpstr>申込書追加入力</vt:lpstr>
      <vt:lpstr>借入状況等申告書</vt:lpstr>
      <vt:lpstr>償還表</vt:lpstr>
      <vt:lpstr>早見表</vt:lpstr>
      <vt:lpstr>福利課用</vt:lpstr>
      <vt:lpstr>保守ガイド</vt:lpstr>
      <vt:lpstr>マスタ</vt:lpstr>
      <vt:lpstr>計算過程</vt:lpstr>
      <vt:lpstr>Word差込データ</vt:lpstr>
      <vt:lpstr>dat_last</vt:lpstr>
      <vt:lpstr>借入状況等申告書!Print_Area</vt:lpstr>
      <vt:lpstr>借入状況等申告書!Z_338E83D0_03CE_4458_BC47_8585BA3B6E9A__wvu_PrintArea</vt:lpstr>
      <vt:lpstr>区分表_回数上限</vt:lpstr>
      <vt:lpstr>区分表_基準日名</vt:lpstr>
      <vt:lpstr>区分表_期限起算</vt:lpstr>
      <vt:lpstr>区分表_給料月数</vt:lpstr>
      <vt:lpstr>区分表_区分群</vt:lpstr>
      <vt:lpstr>区分表_決定目安</vt:lpstr>
      <vt:lpstr>区分表_限度額方式</vt:lpstr>
      <vt:lpstr>区分表_後月数</vt:lpstr>
      <vt:lpstr>区分表_交付後期限月</vt:lpstr>
      <vt:lpstr>区分表_交付後書類</vt:lpstr>
      <vt:lpstr>区分表_事由書類</vt:lpstr>
      <vt:lpstr>区分表_住宅書類列</vt:lpstr>
      <vt:lpstr>区分表_上限万円</vt:lpstr>
      <vt:lpstr>区分表_申込時期</vt:lpstr>
      <vt:lpstr>区分表_前月数</vt:lpstr>
      <vt:lpstr>区分表_単位万円</vt:lpstr>
      <vt:lpstr>区分表_締切日</vt:lpstr>
      <vt:lpstr>区分表_名称</vt:lpstr>
      <vt:lpstr>区分表_利率種別</vt:lpstr>
      <vt:lpstr>計算_D上限</vt:lpstr>
      <vt:lpstr>計算_E上限</vt:lpstr>
      <vt:lpstr>計算_E毎月償還計</vt:lpstr>
      <vt:lpstr>計算_J賞与償還計</vt:lpstr>
      <vt:lpstr>計算_K給料月額</vt:lpstr>
      <vt:lpstr>計算_L年間償還額</vt:lpstr>
      <vt:lpstr>計算_M年収額</vt:lpstr>
      <vt:lpstr>計算_下限円</vt:lpstr>
      <vt:lpstr>計算_回数_月額から逆算</vt:lpstr>
      <vt:lpstr>計算_回数上限</vt:lpstr>
      <vt:lpstr>計算_基準日名</vt:lpstr>
      <vt:lpstr>計算_期限起算</vt:lpstr>
      <vt:lpstr>計算_給料月数</vt:lpstr>
      <vt:lpstr>計算_共済既貸付償還計</vt:lpstr>
      <vt:lpstr>計算_区分群</vt:lpstr>
      <vt:lpstr>計算_区分行</vt:lpstr>
      <vt:lpstr>計算_決定目安</vt:lpstr>
      <vt:lpstr>計算_決定要因</vt:lpstr>
      <vt:lpstr>計算_月額_基本</vt:lpstr>
      <vt:lpstr>計算_月額_基本整数</vt:lpstr>
      <vt:lpstr>計算_月額_在宅介護</vt:lpstr>
      <vt:lpstr>計算_月額_在宅介護整数</vt:lpstr>
      <vt:lpstr>計算_月額割合</vt:lpstr>
      <vt:lpstr>計算_月額端数番号</vt:lpstr>
      <vt:lpstr>計算_月数表位置</vt:lpstr>
      <vt:lpstr>計算_限度額_基本</vt:lpstr>
      <vt:lpstr>計算_限度額_月数方式</vt:lpstr>
      <vt:lpstr>計算_限度額_合計</vt:lpstr>
      <vt:lpstr>計算_限度額_再貸付方式</vt:lpstr>
      <vt:lpstr>計算_限度額_修学方式</vt:lpstr>
      <vt:lpstr>計算_限度額_住宅方式</vt:lpstr>
      <vt:lpstr>計算_限度額内訳</vt:lpstr>
      <vt:lpstr>計算_限度額方式</vt:lpstr>
      <vt:lpstr>計算_後月数</vt:lpstr>
      <vt:lpstr>計算_交付後期限</vt:lpstr>
      <vt:lpstr>計算_交付後期限_交付日起算</vt:lpstr>
      <vt:lpstr>計算_交付後期限_事由日起算</vt:lpstr>
      <vt:lpstr>計算_交付後期限_入学</vt:lpstr>
      <vt:lpstr>計算_交付後期限月</vt:lpstr>
      <vt:lpstr>計算_交付後書類</vt:lpstr>
      <vt:lpstr>計算_交付日</vt:lpstr>
      <vt:lpstr>計算_今月締切</vt:lpstr>
      <vt:lpstr>計算_最終回償還額</vt:lpstr>
      <vt:lpstr>計算_最低保障_災害万円</vt:lpstr>
      <vt:lpstr>計算_最低保障_住宅万円</vt:lpstr>
      <vt:lpstr>計算_最低保障位置</vt:lpstr>
      <vt:lpstr>計算_在宅介護加算</vt:lpstr>
      <vt:lpstr>計算_試算回数</vt:lpstr>
      <vt:lpstr>計算_事由書類</vt:lpstr>
      <vt:lpstr>計算_借用証書金額万円</vt:lpstr>
      <vt:lpstr>計算_住宅系</vt:lpstr>
      <vt:lpstr>計算_住宅月数</vt:lpstr>
      <vt:lpstr>計算_住宅書類列</vt:lpstr>
      <vt:lpstr>計算_住宅書類列適用</vt:lpstr>
      <vt:lpstr>計算_償還回数</vt:lpstr>
      <vt:lpstr>計算_償還開始</vt:lpstr>
      <vt:lpstr>計算_償還期間表示</vt:lpstr>
      <vt:lpstr>計算_償還終了</vt:lpstr>
      <vt:lpstr>計算_賞与回数</vt:lpstr>
      <vt:lpstr>計算_賞与額_円未満</vt:lpstr>
      <vt:lpstr>計算_賞与期間利率</vt:lpstr>
      <vt:lpstr>計算_賞与元金</vt:lpstr>
      <vt:lpstr>計算_賞与償還額</vt:lpstr>
      <vt:lpstr>計算_上限額万円_現回数</vt:lpstr>
      <vt:lpstr>計算_上限万円</vt:lpstr>
      <vt:lpstr>計算_申込可能_小さい方</vt:lpstr>
      <vt:lpstr>計算_申込可能_切捨て後</vt:lpstr>
      <vt:lpstr>計算_申込可能開始</vt:lpstr>
      <vt:lpstr>計算_申込可能額</vt:lpstr>
      <vt:lpstr>計算_申込可能終了</vt:lpstr>
      <vt:lpstr>計算_申込額</vt:lpstr>
      <vt:lpstr>計算_申込額_基本</vt:lpstr>
      <vt:lpstr>計算_申込額_在宅介護</vt:lpstr>
      <vt:lpstr>計算_申込時期</vt:lpstr>
      <vt:lpstr>計算_申込締切日</vt:lpstr>
      <vt:lpstr>計算_前月数</vt:lpstr>
      <vt:lpstr>計算_全角利率_災害</vt:lpstr>
      <vt:lpstr>計算_全角利率_在宅介護</vt:lpstr>
      <vt:lpstr>計算_全角利率_普通特別</vt:lpstr>
      <vt:lpstr>計算_組合員期間表示</vt:lpstr>
      <vt:lpstr>計算_組合員月数</vt:lpstr>
      <vt:lpstr>計算_他機関償還計</vt:lpstr>
      <vt:lpstr>計算_他借入月額</vt:lpstr>
      <vt:lpstr>計算_他借入賞与</vt:lpstr>
      <vt:lpstr>計算_単位円</vt:lpstr>
      <vt:lpstr>計算_単位万円</vt:lpstr>
      <vt:lpstr>計算_締切日の日</vt:lpstr>
      <vt:lpstr>計算_年額割合</vt:lpstr>
      <vt:lpstr>計算_必要回数</vt:lpstr>
      <vt:lpstr>計算_返済総額</vt:lpstr>
      <vt:lpstr>計算_返済能力上限</vt:lpstr>
      <vt:lpstr>計算_返済能力内訳</vt:lpstr>
      <vt:lpstr>計算_毎月償還額</vt:lpstr>
      <vt:lpstr>計算_翌月締切</vt:lpstr>
      <vt:lpstr>計算_利息総額</vt:lpstr>
      <vt:lpstr>計算_利息端数番号</vt:lpstr>
      <vt:lpstr>計算_利率</vt:lpstr>
      <vt:lpstr>計算_利率_在宅介護</vt:lpstr>
      <vt:lpstr>計算_利率種別</vt:lpstr>
      <vt:lpstr>申告_A他機関既借入_月額</vt:lpstr>
      <vt:lpstr>申告_B他機関新規_月額</vt:lpstr>
      <vt:lpstr>申告_C共済既貸付_月額</vt:lpstr>
      <vt:lpstr>申告_F他機関既借入_賞与</vt:lpstr>
      <vt:lpstr>申告_G他機関新規_賞与</vt:lpstr>
      <vt:lpstr>申告_H共済既貸付_賞与</vt:lpstr>
      <vt:lpstr>設定_ボーナス回数上限</vt:lpstr>
      <vt:lpstr>設定_ボーナス償還下限万円</vt:lpstr>
      <vt:lpstr>設定_ボーナス償還上限割合</vt:lpstr>
      <vt:lpstr>設定_ボーナス単位万円</vt:lpstr>
      <vt:lpstr>設定_ボーナス併用申込下限万円</vt:lpstr>
      <vt:lpstr>設定_月額端数方式</vt:lpstr>
      <vt:lpstr>設定_在宅介護加算上限万円</vt:lpstr>
      <vt:lpstr>設定_修学月額万円</vt:lpstr>
      <vt:lpstr>設定_住宅必要組合員月数</vt:lpstr>
      <vt:lpstr>設定_償還割合上限</vt:lpstr>
      <vt:lpstr>設定_申込下限万円</vt:lpstr>
      <vt:lpstr>設定_年収算定ボーナス月数</vt:lpstr>
      <vt:lpstr>設定_利息端数方式</vt:lpstr>
      <vt:lpstr>設定_利率_災害</vt:lpstr>
      <vt:lpstr>設定_利率_住宅</vt:lpstr>
      <vt:lpstr>設定_利率_普通特別</vt:lpstr>
      <vt:lpstr>設定_利率差_在宅介護</vt:lpstr>
      <vt:lpstr>設定_利率適用日</vt:lpstr>
      <vt:lpstr>追加_ふりがな</vt:lpstr>
      <vt:lpstr>追加_金融機関</vt:lpstr>
      <vt:lpstr>追加_口座番号</vt:lpstr>
      <vt:lpstr>追加_支店</vt:lpstr>
      <vt:lpstr>追加_住所電話</vt:lpstr>
      <vt:lpstr>追加_所属電話</vt:lpstr>
      <vt:lpstr>追加_職員番号</vt:lpstr>
      <vt:lpstr>追加_職名</vt:lpstr>
      <vt:lpstr>追加_生年月日</vt:lpstr>
      <vt:lpstr>定数_誤差</vt:lpstr>
      <vt:lpstr>定数_年月数</vt:lpstr>
      <vt:lpstr>定数_年賞与回数</vt:lpstr>
      <vt:lpstr>定数_半年月数</vt:lpstr>
      <vt:lpstr>定数_万円</vt:lpstr>
      <vt:lpstr>入力_ボーナス回数</vt:lpstr>
      <vt:lpstr>入力_ボーナス元金万円</vt:lpstr>
      <vt:lpstr>入力_ボーナス併用</vt:lpstr>
      <vt:lpstr>入力_希望月額</vt:lpstr>
      <vt:lpstr>入力_給料月額</vt:lpstr>
      <vt:lpstr>入力_共済既貸付有無</vt:lpstr>
      <vt:lpstr>入力_差押さえ等</vt:lpstr>
      <vt:lpstr>入力_在宅介護加算万円</vt:lpstr>
      <vt:lpstr>入力_氏名</vt:lpstr>
      <vt:lpstr>入力_資格取得日</vt:lpstr>
      <vt:lpstr>入力_事由発生日</vt:lpstr>
      <vt:lpstr>入力_修学月数</vt:lpstr>
      <vt:lpstr>入力_住所</vt:lpstr>
      <vt:lpstr>入力_住宅書類区分</vt:lpstr>
      <vt:lpstr>入力_所属区分</vt:lpstr>
      <vt:lpstr>入力_所属名</vt:lpstr>
      <vt:lpstr>入力_償還回数</vt:lpstr>
      <vt:lpstr>入力_申込希望額万円</vt:lpstr>
      <vt:lpstr>入力_申込予定日</vt:lpstr>
      <vt:lpstr>入力_他借入有無</vt:lpstr>
      <vt:lpstr>入力_貸付区分</vt:lpstr>
      <vt:lpstr>入力_無給休職</vt:lpstr>
      <vt:lpstr>判定_NG件数</vt:lpstr>
      <vt:lpstr>判定_ボーナス条件1</vt:lpstr>
      <vt:lpstr>判定_ボーナス条件2</vt:lpstr>
      <vt:lpstr>判定_ボーナス条件3</vt:lpstr>
      <vt:lpstr>判定_ボーナス条件4</vt:lpstr>
      <vt:lpstr>判定_ボーナス条件5</vt:lpstr>
      <vt:lpstr>判定_ボーナス条件6</vt:lpstr>
      <vt:lpstr>判定_ボーナス条件7</vt:lpstr>
      <vt:lpstr>判定_ボーナス条件8</vt:lpstr>
      <vt:lpstr>判定_ボーナス条件9</vt:lpstr>
      <vt:lpstr>判定_ボーナス併用</vt:lpstr>
      <vt:lpstr>判定_ボーナス併用_説明</vt:lpstr>
      <vt:lpstr>判定_給料月額</vt:lpstr>
      <vt:lpstr>判定_給料月額_説明</vt:lpstr>
      <vt:lpstr>判定_月額割合</vt:lpstr>
      <vt:lpstr>判定_月額割合_説明</vt:lpstr>
      <vt:lpstr>判定_限度額</vt:lpstr>
      <vt:lpstr>判定_限度額_説明</vt:lpstr>
      <vt:lpstr>判定_差押さえ</vt:lpstr>
      <vt:lpstr>判定_差押さえ_説明</vt:lpstr>
      <vt:lpstr>判定_在宅介護</vt:lpstr>
      <vt:lpstr>判定_在宅介護_説明</vt:lpstr>
      <vt:lpstr>判定_借入状況</vt:lpstr>
      <vt:lpstr>判定_借入状況_説明</vt:lpstr>
      <vt:lpstr>判定_修学月数</vt:lpstr>
      <vt:lpstr>判定_修学月数_説明</vt:lpstr>
      <vt:lpstr>判定_住宅書類区分</vt:lpstr>
      <vt:lpstr>判定_住宅書類区分_説明</vt:lpstr>
      <vt:lpstr>判定_償還回数</vt:lpstr>
      <vt:lpstr>判定_償還回数_説明</vt:lpstr>
      <vt:lpstr>判定_申込額下限単位</vt:lpstr>
      <vt:lpstr>判定_申込額下限単位_説明</vt:lpstr>
      <vt:lpstr>判定_申込時期</vt:lpstr>
      <vt:lpstr>判定_申込時期_説明</vt:lpstr>
      <vt:lpstr>判定_組合員期間</vt:lpstr>
      <vt:lpstr>判定_組合員期間_説明</vt:lpstr>
      <vt:lpstr>判定_総合</vt:lpstr>
      <vt:lpstr>判定_貸付区分</vt:lpstr>
      <vt:lpstr>判定_貸付区分_説明</vt:lpstr>
      <vt:lpstr>判定_年額割合</vt:lpstr>
      <vt:lpstr>判定_年額割合_説明</vt:lpstr>
      <vt:lpstr>判定_不足項目</vt:lpstr>
      <vt:lpstr>判定_不足項目_素</vt:lpstr>
      <vt:lpstr>判定_無給休職</vt:lpstr>
      <vt:lpstr>判定_無給休職_説明</vt:lpstr>
      <vt:lpstr>判定_要確認件数</vt:lpstr>
      <vt:lpstr>表_月数_下限</vt:lpstr>
      <vt:lpstr>表_月数_月数</vt:lpstr>
      <vt:lpstr>表_最低保障_下限</vt:lpstr>
      <vt:lpstr>表_最低保障_災害万円</vt:lpstr>
      <vt:lpstr>表_最低保障_住宅万円</vt:lpstr>
      <vt:lpstr>表_住宅書類_見出し</vt:lpstr>
      <vt:lpstr>表_祝日</vt:lpstr>
      <vt:lpstr>表_所属区分</vt:lpstr>
      <vt:lpstr>表_提出先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瀧澤  繁樹</dc:creator>
  <dc:description/>
  <cp:lastModifiedBy>木本 拓志</cp:lastModifiedBy>
  <cp:revision>0</cp:revision>
  <cp:lastPrinted>2014-12-26T01:49:52Z</cp:lastPrinted>
  <dcterms:created xsi:type="dcterms:W3CDTF">2006-03-28T01:47:06Z</dcterms:created>
  <dcterms:modified xsi:type="dcterms:W3CDTF">2026-10-22T01:46:35Z</dcterms:modified>
  <dc:language>en-US</dc:language>
</cp:coreProperties>
</file>