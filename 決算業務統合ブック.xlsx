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comments10.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入力" sheetId="2" state="visible" r:id="rId4"/>
    <sheet name="検算" sheetId="3" state="visible" r:id="rId5"/>
    <sheet name="決算精算表" sheetId="4" state="visible" r:id="rId6"/>
    <sheet name="財務諸表" sheetId="5" state="visible" r:id="rId7"/>
    <sheet name="附属明細表" sheetId="6" state="visible" r:id="rId8"/>
    <sheet name="業務経理P18" sheetId="7" state="visible" r:id="rId9"/>
    <sheet name="業務経理P19" sheetId="8" state="visible" r:id="rId10"/>
    <sheet name="〇総括　6～7（メモなし）" sheetId="9" state="visible" r:id="rId11"/>
    <sheet name="総括　6～7（メモあり）" sheetId="10" state="visible" r:id="rId12"/>
  </sheets>
  <definedNames>
    <definedName function="false" hidden="false" localSheetId="6" name="_xlnm.Print_Area" vbProcedure="false">業務経理P18!$A$1:$BG$32</definedName>
    <definedName function="false" hidden="false" localSheetId="7" name="_xlnm.Print_Area" vbProcedure="false">業務経理P19!$A$1:$BE$31</definedName>
    <definedName function="false" hidden="false" localSheetId="3" name="_xlnm.Print_Area" vbProcedure="false">決算精算表!$A$1:$G$54</definedName>
    <definedName function="false" hidden="false" localSheetId="9" name="_xlnm.Print_Area" vbProcedure="false">'総括　6～7（メモあり）'!$A$1:$V$58</definedName>
    <definedName function="false" hidden="false" localSheetId="5" name="_xlnm.Print_Area" vbProcedure="false">附属明細表!$A$1:$X$140</definedName>
  </definedNames>
  <calcPr iterateCount="100" refMode="A1" iterate="false" iterateDelta="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F14" authorId="0">
      <text>
        <r>
          <rPr>
            <sz val="10"/>
            <rFont val="WenQuanYi Zen Hei"/>
            <family val="2"/>
          </rPr>
          <t xml:space="preserve">立替金含む未払金の合計</t>
        </r>
      </text>
    </comment>
    <comment ref="F19" authorId="0">
      <text>
        <r>
          <rPr>
            <sz val="10"/>
            <rFont val="WenQuanYi Zen Hei"/>
            <family val="2"/>
          </rPr>
          <t xml:space="preserve">当期利益金の２倍（当期損失の場合は損失額を控除）。当期損益は </t>
        </r>
        <r>
          <rPr>
            <sz val="10"/>
            <rFont val="Arial"/>
            <family val="2"/>
          </rPr>
          <t xml:space="preserve">B38/F46 </t>
        </r>
        <r>
          <rPr>
            <sz val="10"/>
            <rFont val="WenQuanYi Zen Hei"/>
            <family val="2"/>
          </rPr>
          <t xml:space="preserve">が収益−費用で自動計算。</t>
        </r>
      </text>
    </comment>
    <comment ref="F39" authorId="0">
      <text>
        <r>
          <rPr>
            <sz val="10"/>
            <rFont val="WenQuanYi Zen Hei"/>
            <family val="2"/>
          </rPr>
          <t xml:space="preserve">未収金</t>
        </r>
      </text>
    </comment>
    <comment ref="F44" authorId="0">
      <text>
        <r>
          <rPr>
            <sz val="10"/>
            <rFont val="WenQuanYi Zen Hei"/>
            <family val="2"/>
          </rPr>
          <t xml:space="preserve">未収金</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V138" authorId="0">
      <text>
        <r>
          <rPr>
            <sz val="10"/>
            <rFont val="WenQuanYi Zen Hei"/>
            <family val="2"/>
          </rPr>
          <t xml:space="preserve">非表示あり
</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Y7" authorId="0">
      <text>
        <r>
          <rPr>
            <sz val="10"/>
            <rFont val="WenQuanYi Zen Hei"/>
            <family val="2"/>
          </rPr>
          <t xml:space="preserve">【Ｒ６】</t>
        </r>
        <r>
          <rPr>
            <sz val="10"/>
            <rFont val="Arial"/>
            <family val="2"/>
          </rPr>
          <t xml:space="preserve">(A)+</t>
        </r>
        <r>
          <rPr>
            <sz val="10"/>
            <rFont val="WenQuanYi Zen Hei"/>
            <family val="2"/>
          </rPr>
          <t xml:space="preserve">　長期事務費決算額</t>
        </r>
        <r>
          <rPr>
            <sz val="10"/>
            <rFont val="Arial"/>
            <family val="2"/>
          </rPr>
          <t xml:space="preserve">÷</t>
        </r>
        <r>
          <rPr>
            <sz val="10"/>
            <rFont val="WenQuanYi Zen Hei"/>
            <family val="2"/>
          </rPr>
          <t xml:space="preserve">平均組合員（統計システム確定分）
　　</t>
        </r>
        <r>
          <rPr>
            <sz val="10"/>
            <rFont val="Arial"/>
            <family val="2"/>
          </rPr>
          <t xml:space="preserve">47,222,000</t>
        </r>
        <r>
          <rPr>
            <sz val="10"/>
            <rFont val="WenQuanYi Zen Hei"/>
            <family val="2"/>
          </rPr>
          <t xml:space="preserve">円　　 </t>
        </r>
        <r>
          <rPr>
            <sz val="10"/>
            <rFont val="Arial"/>
            <family val="2"/>
          </rPr>
          <t xml:space="preserve">÷12,899</t>
        </r>
        <r>
          <rPr>
            <sz val="10"/>
            <rFont val="WenQuanYi Zen Hei"/>
            <family val="2"/>
          </rPr>
          <t xml:space="preserve">人　　</t>
        </r>
        <r>
          <rPr>
            <sz val="10"/>
            <rFont val="Arial"/>
            <family val="2"/>
          </rPr>
          <t xml:space="preserve">=</t>
        </r>
        <r>
          <rPr>
            <sz val="10"/>
            <rFont val="WenQuanYi Zen Hei"/>
            <family val="2"/>
          </rPr>
          <t xml:space="preserve">　　</t>
        </r>
        <r>
          <rPr>
            <sz val="10"/>
            <rFont val="Arial"/>
            <family val="2"/>
          </rPr>
          <t xml:space="preserve">3,661</t>
        </r>
        <r>
          <rPr>
            <sz val="10"/>
            <rFont val="WenQuanYi Zen Hei"/>
            <family val="2"/>
          </rPr>
          <t xml:space="preserve">円</t>
        </r>
        <r>
          <rPr>
            <sz val="10"/>
            <rFont val="Arial"/>
            <family val="2"/>
          </rPr>
          <t xml:space="preserve">+1,847=5,508</t>
        </r>
        <r>
          <rPr>
            <sz val="10"/>
            <rFont val="WenQuanYi Zen Hei"/>
            <family val="2"/>
          </rPr>
          <t xml:space="preserve">円</t>
        </r>
      </text>
    </comment>
    <comment ref="Y8" authorId="0">
      <text>
        <r>
          <rPr>
            <sz val="10"/>
            <rFont val="WenQuanYi Zen Hei"/>
            <family val="2"/>
          </rPr>
          <t xml:space="preserve">　（Ｒ</t>
        </r>
        <r>
          <rPr>
            <sz val="10"/>
            <rFont val="Arial"/>
            <family val="2"/>
          </rPr>
          <t xml:space="preserve">6</t>
        </r>
        <r>
          <rPr>
            <sz val="10"/>
            <rFont val="WenQuanYi Zen Hei"/>
            <family val="2"/>
          </rPr>
          <t xml:space="preserve">）短期事務費決算額</t>
        </r>
        <r>
          <rPr>
            <sz val="10"/>
            <rFont val="Arial"/>
            <family val="2"/>
          </rPr>
          <t xml:space="preserve">÷</t>
        </r>
        <r>
          <rPr>
            <sz val="10"/>
            <rFont val="WenQuanYi Zen Hei"/>
            <family val="2"/>
          </rPr>
          <t xml:space="preserve">平均組合員（統計システム確定分）
　</t>
        </r>
        <r>
          <rPr>
            <sz val="10"/>
            <rFont val="Arial"/>
            <family val="2"/>
          </rPr>
          <t xml:space="preserve">34,945,559</t>
        </r>
        <r>
          <rPr>
            <sz val="10"/>
            <rFont val="WenQuanYi Zen Hei"/>
            <family val="2"/>
          </rPr>
          <t xml:space="preserve">円　　 </t>
        </r>
        <r>
          <rPr>
            <sz val="10"/>
            <rFont val="Arial"/>
            <family val="2"/>
          </rPr>
          <t xml:space="preserve">÷18,919</t>
        </r>
        <r>
          <rPr>
            <sz val="10"/>
            <rFont val="WenQuanYi Zen Hei"/>
            <family val="2"/>
          </rPr>
          <t xml:space="preserve">人　　</t>
        </r>
        <r>
          <rPr>
            <sz val="10"/>
            <rFont val="Arial"/>
            <family val="2"/>
          </rPr>
          <t xml:space="preserve">=</t>
        </r>
        <r>
          <rPr>
            <sz val="10"/>
            <rFont val="WenQuanYi Zen Hei"/>
            <family val="2"/>
          </rPr>
          <t xml:space="preserve">　</t>
        </r>
        <r>
          <rPr>
            <sz val="10"/>
            <rFont val="Arial"/>
            <family val="2"/>
          </rPr>
          <t xml:space="preserve">1,847</t>
        </r>
        <r>
          <rPr>
            <sz val="10"/>
            <rFont val="WenQuanYi Zen Hei"/>
            <family val="2"/>
          </rPr>
          <t xml:space="preserve">円</t>
        </r>
      </text>
    </comment>
    <comment ref="Y9" authorId="0">
      <text>
        <r>
          <rPr>
            <sz val="10"/>
            <rFont val="WenQuanYi Zen Hei"/>
            <family val="2"/>
          </rPr>
          <t xml:space="preserve">定款第</t>
        </r>
        <r>
          <rPr>
            <sz val="10"/>
            <rFont val="Arial"/>
            <family val="2"/>
          </rPr>
          <t xml:space="preserve">35</t>
        </r>
        <r>
          <rPr>
            <sz val="10"/>
            <rFont val="WenQuanYi Zen Hei"/>
            <family val="2"/>
          </rPr>
          <t xml:space="preserve">条の</t>
        </r>
        <r>
          <rPr>
            <sz val="10"/>
            <rFont val="Arial"/>
            <family val="2"/>
          </rPr>
          <t xml:space="preserve">2</t>
        </r>
        <r>
          <rPr>
            <sz val="10"/>
            <rFont val="WenQuanYi Zen Hei"/>
            <family val="2"/>
          </rPr>
          <t xml:space="preserve">に規定する組合員</t>
        </r>
        <r>
          <rPr>
            <sz val="10"/>
            <rFont val="Arial"/>
            <family val="2"/>
          </rPr>
          <t xml:space="preserve">1</t>
        </r>
        <r>
          <rPr>
            <sz val="10"/>
            <rFont val="WenQuanYi Zen Hei"/>
            <family val="2"/>
          </rPr>
          <t xml:space="preserve">人当たりの繰入額</t>
        </r>
      </text>
    </comment>
    <comment ref="Y10" authorId="0">
      <text>
        <r>
          <rPr>
            <sz val="10"/>
            <rFont val="WenQuanYi Zen Hei"/>
            <family val="2"/>
          </rPr>
          <t xml:space="preserve">　（Ｒ６）連合会交付金額</t>
        </r>
        <r>
          <rPr>
            <sz val="10"/>
            <rFont val="Arial"/>
            <family val="2"/>
          </rPr>
          <t xml:space="preserve">÷</t>
        </r>
        <r>
          <rPr>
            <sz val="10"/>
            <rFont val="WenQuanYi Zen Hei"/>
            <family val="2"/>
          </rPr>
          <t xml:space="preserve">平均組合員（統計システム確定分）
　　</t>
        </r>
        <r>
          <rPr>
            <sz val="10"/>
            <rFont val="Arial"/>
            <family val="2"/>
          </rPr>
          <t xml:space="preserve">18,913,967</t>
        </r>
        <r>
          <rPr>
            <sz val="10"/>
            <rFont val="WenQuanYi Zen Hei"/>
            <family val="2"/>
          </rPr>
          <t xml:space="preserve">円　　 </t>
        </r>
        <r>
          <rPr>
            <sz val="10"/>
            <rFont val="Arial"/>
            <family val="2"/>
          </rPr>
          <t xml:space="preserve">÷12,899</t>
        </r>
        <r>
          <rPr>
            <sz val="10"/>
            <rFont val="WenQuanYi Zen Hei"/>
            <family val="2"/>
          </rPr>
          <t xml:space="preserve">人　　</t>
        </r>
        <r>
          <rPr>
            <sz val="10"/>
            <rFont val="Arial"/>
            <family val="2"/>
          </rPr>
          <t xml:space="preserve">=</t>
        </r>
        <r>
          <rPr>
            <sz val="10"/>
            <rFont val="WenQuanYi Zen Hei"/>
            <family val="2"/>
          </rPr>
          <t xml:space="preserve">　</t>
        </r>
        <r>
          <rPr>
            <sz val="10"/>
            <rFont val="Arial"/>
            <family val="2"/>
          </rPr>
          <t xml:space="preserve">1,466</t>
        </r>
        <r>
          <rPr>
            <sz val="10"/>
            <rFont val="WenQuanYi Zen Hei"/>
            <family val="2"/>
          </rPr>
          <t xml:space="preserve">円</t>
        </r>
      </text>
    </comment>
    <comment ref="Y11" authorId="0">
      <text>
        <r>
          <rPr>
            <sz val="10"/>
            <rFont val="WenQuanYi Zen Hei"/>
            <family val="2"/>
          </rPr>
          <t xml:space="preserve">　（Ｒ６）当期損失金</t>
        </r>
        <r>
          <rPr>
            <sz val="10"/>
            <rFont val="Arial"/>
            <family val="2"/>
          </rPr>
          <t xml:space="preserve">÷</t>
        </r>
        <r>
          <rPr>
            <sz val="10"/>
            <rFont val="WenQuanYi Zen Hei"/>
            <family val="2"/>
          </rPr>
          <t xml:space="preserve">平均組合員（統計システム確定分）
　　〇〇〇〇円　　 </t>
        </r>
        <r>
          <rPr>
            <sz val="10"/>
            <rFont val="Arial"/>
            <family val="2"/>
          </rPr>
          <t xml:space="preserve">÷</t>
        </r>
        <r>
          <rPr>
            <sz val="10"/>
            <rFont val="WenQuanYi Zen Hei"/>
            <family val="2"/>
          </rPr>
          <t xml:space="preserve">　〇〇〇〇人　　</t>
        </r>
        <r>
          <rPr>
            <sz val="10"/>
            <rFont val="Arial"/>
            <family val="2"/>
          </rPr>
          <t xml:space="preserve">=</t>
        </r>
        <r>
          <rPr>
            <sz val="10"/>
            <rFont val="WenQuanYi Zen Hei"/>
            <family val="2"/>
          </rPr>
          <t xml:space="preserve">　〇〇円</t>
        </r>
      </text>
    </comment>
    <comment ref="Y21" authorId="0">
      <text>
        <r>
          <rPr>
            <sz val="10"/>
            <rFont val="WenQuanYi Zen Hei"/>
            <family val="2"/>
          </rPr>
          <t xml:space="preserve">（Ｒ６）連合会交付金額（退職等年金分）</t>
        </r>
        <r>
          <rPr>
            <sz val="10"/>
            <rFont val="Arial"/>
            <family val="2"/>
          </rPr>
          <t xml:space="preserve">÷</t>
        </r>
        <r>
          <rPr>
            <sz val="10"/>
            <rFont val="WenQuanYi Zen Hei"/>
            <family val="2"/>
          </rPr>
          <t xml:space="preserve">平均組合員数（統計システム確定分）
　　  　</t>
        </r>
        <r>
          <rPr>
            <sz val="10"/>
            <rFont val="Arial"/>
            <family val="2"/>
          </rPr>
          <t xml:space="preserve">1,942,627</t>
        </r>
        <r>
          <rPr>
            <sz val="10"/>
            <rFont val="WenQuanYi Zen Hei"/>
            <family val="2"/>
          </rPr>
          <t xml:space="preserve">円　　 </t>
        </r>
        <r>
          <rPr>
            <sz val="10"/>
            <rFont val="Arial"/>
            <family val="2"/>
          </rPr>
          <t xml:space="preserve">÷12,899</t>
        </r>
        <r>
          <rPr>
            <sz val="10"/>
            <rFont val="WenQuanYi Zen Hei"/>
            <family val="2"/>
          </rPr>
          <t xml:space="preserve">人　　</t>
        </r>
        <r>
          <rPr>
            <sz val="10"/>
            <rFont val="Arial"/>
            <family val="2"/>
          </rPr>
          <t xml:space="preserve">=</t>
        </r>
        <r>
          <rPr>
            <sz val="10"/>
            <rFont val="WenQuanYi Zen Hei"/>
            <family val="2"/>
          </rPr>
          <t xml:space="preserve">　  </t>
        </r>
        <r>
          <rPr>
            <sz val="10"/>
            <rFont val="Arial"/>
            <family val="2"/>
          </rPr>
          <t xml:space="preserve">151</t>
        </r>
        <r>
          <rPr>
            <sz val="10"/>
            <rFont val="WenQuanYi Zen Hei"/>
            <family val="2"/>
          </rPr>
          <t xml:space="preserve">円　　　　</t>
        </r>
      </text>
    </comment>
    <comment ref="AJ7" authorId="0">
      <text>
        <r>
          <rPr>
            <sz val="10"/>
            <rFont val="WenQuanYi Zen Hei"/>
            <family val="2"/>
          </rPr>
          <t xml:space="preserve">【Ｒ７】</t>
        </r>
        <r>
          <rPr>
            <sz val="10"/>
            <rFont val="Arial"/>
            <family val="2"/>
          </rPr>
          <t xml:space="preserve">(A)+</t>
        </r>
        <r>
          <rPr>
            <sz val="10"/>
            <rFont val="WenQuanYi Zen Hei"/>
            <family val="2"/>
          </rPr>
          <t xml:space="preserve">　長期事務費決算額</t>
        </r>
        <r>
          <rPr>
            <sz val="10"/>
            <rFont val="Arial"/>
            <family val="2"/>
          </rPr>
          <t xml:space="preserve">÷</t>
        </r>
        <r>
          <rPr>
            <sz val="10"/>
            <rFont val="WenQuanYi Zen Hei"/>
            <family val="2"/>
          </rPr>
          <t xml:space="preserve">平均組合員（統計システム確定分）
　</t>
        </r>
        <r>
          <rPr>
            <sz val="10"/>
            <rFont val="Arial"/>
            <family val="2"/>
          </rPr>
          <t xml:space="preserve">54,153,000</t>
        </r>
        <r>
          <rPr>
            <sz val="10"/>
            <rFont val="WenQuanYi Zen Hei"/>
            <family val="2"/>
          </rPr>
          <t xml:space="preserve">円　　 </t>
        </r>
        <r>
          <rPr>
            <sz val="10"/>
            <rFont val="Arial"/>
            <family val="2"/>
          </rPr>
          <t xml:space="preserve">÷12,972</t>
        </r>
        <r>
          <rPr>
            <sz val="10"/>
            <rFont val="WenQuanYi Zen Hei"/>
            <family val="2"/>
          </rPr>
          <t xml:space="preserve">人　　</t>
        </r>
        <r>
          <rPr>
            <sz val="10"/>
            <rFont val="Arial"/>
            <family val="2"/>
          </rPr>
          <t xml:space="preserve">=</t>
        </r>
        <r>
          <rPr>
            <sz val="10"/>
            <rFont val="WenQuanYi Zen Hei"/>
            <family val="2"/>
          </rPr>
          <t xml:space="preserve">　　</t>
        </r>
        <r>
          <rPr>
            <sz val="10"/>
            <rFont val="Arial"/>
            <family val="2"/>
          </rPr>
          <t xml:space="preserve">4,175</t>
        </r>
        <r>
          <rPr>
            <sz val="10"/>
            <rFont val="WenQuanYi Zen Hei"/>
            <family val="2"/>
          </rPr>
          <t xml:space="preserve">円</t>
        </r>
        <r>
          <rPr>
            <sz val="10"/>
            <rFont val="Arial"/>
            <family val="2"/>
          </rPr>
          <t xml:space="preserve">+1,863=6,038</t>
        </r>
        <r>
          <rPr>
            <sz val="10"/>
            <rFont val="WenQuanYi Zen Hei"/>
            <family val="2"/>
          </rPr>
          <t xml:space="preserve">円</t>
        </r>
      </text>
    </comment>
    <comment ref="AJ8" authorId="0">
      <text>
        <r>
          <rPr>
            <sz val="10"/>
            <rFont val="WenQuanYi Zen Hei"/>
            <family val="2"/>
          </rPr>
          <t xml:space="preserve">　（Ｒ７）短期事務費決算額</t>
        </r>
        <r>
          <rPr>
            <sz val="10"/>
            <rFont val="Arial"/>
            <family val="2"/>
          </rPr>
          <t xml:space="preserve">÷</t>
        </r>
        <r>
          <rPr>
            <sz val="10"/>
            <rFont val="WenQuanYi Zen Hei"/>
            <family val="2"/>
          </rPr>
          <t xml:space="preserve">平均組合員（統計システム確定分）
　</t>
        </r>
        <r>
          <rPr>
            <sz val="10"/>
            <rFont val="Arial"/>
            <family val="2"/>
          </rPr>
          <t xml:space="preserve">35,502,843</t>
        </r>
        <r>
          <rPr>
            <sz val="10"/>
            <rFont val="WenQuanYi Zen Hei"/>
            <family val="2"/>
          </rPr>
          <t xml:space="preserve">円　　 </t>
        </r>
        <r>
          <rPr>
            <sz val="10"/>
            <rFont val="Arial"/>
            <family val="2"/>
          </rPr>
          <t xml:space="preserve">÷19,060</t>
        </r>
        <r>
          <rPr>
            <sz val="10"/>
            <rFont val="WenQuanYi Zen Hei"/>
            <family val="2"/>
          </rPr>
          <t xml:space="preserve">人　　</t>
        </r>
        <r>
          <rPr>
            <sz val="10"/>
            <rFont val="Arial"/>
            <family val="2"/>
          </rPr>
          <t xml:space="preserve">=</t>
        </r>
        <r>
          <rPr>
            <sz val="10"/>
            <rFont val="WenQuanYi Zen Hei"/>
            <family val="2"/>
          </rPr>
          <t xml:space="preserve">　</t>
        </r>
        <r>
          <rPr>
            <sz val="10"/>
            <rFont val="Arial"/>
            <family val="2"/>
          </rPr>
          <t xml:space="preserve">1,863</t>
        </r>
        <r>
          <rPr>
            <sz val="10"/>
            <rFont val="WenQuanYi Zen Hei"/>
            <family val="2"/>
          </rPr>
          <t xml:space="preserve">円</t>
        </r>
      </text>
    </comment>
    <comment ref="AJ9" authorId="0">
      <text>
        <r>
          <rPr>
            <sz val="10"/>
            <rFont val="WenQuanYi Zen Hei"/>
            <family val="2"/>
          </rPr>
          <t xml:space="preserve">定款第</t>
        </r>
        <r>
          <rPr>
            <sz val="10"/>
            <rFont val="Arial"/>
            <family val="2"/>
          </rPr>
          <t xml:space="preserve">35</t>
        </r>
        <r>
          <rPr>
            <sz val="10"/>
            <rFont val="WenQuanYi Zen Hei"/>
            <family val="2"/>
          </rPr>
          <t xml:space="preserve">条の</t>
        </r>
        <r>
          <rPr>
            <sz val="10"/>
            <rFont val="Arial"/>
            <family val="2"/>
          </rPr>
          <t xml:space="preserve">2</t>
        </r>
        <r>
          <rPr>
            <sz val="10"/>
            <rFont val="WenQuanYi Zen Hei"/>
            <family val="2"/>
          </rPr>
          <t xml:space="preserve">に規定する組合員</t>
        </r>
        <r>
          <rPr>
            <sz val="10"/>
            <rFont val="Arial"/>
            <family val="2"/>
          </rPr>
          <t xml:space="preserve">1</t>
        </r>
        <r>
          <rPr>
            <sz val="10"/>
            <rFont val="WenQuanYi Zen Hei"/>
            <family val="2"/>
          </rPr>
          <t xml:space="preserve">人当たりの繰入額</t>
        </r>
      </text>
    </comment>
    <comment ref="AJ10" authorId="0">
      <text>
        <r>
          <rPr>
            <sz val="10"/>
            <rFont val="WenQuanYi Zen Hei"/>
            <family val="2"/>
          </rPr>
          <t xml:space="preserve">　（Ｒ７）連合会交付金額</t>
        </r>
        <r>
          <rPr>
            <sz val="10"/>
            <rFont val="Arial"/>
            <family val="2"/>
          </rPr>
          <t xml:space="preserve">÷</t>
        </r>
        <r>
          <rPr>
            <sz val="10"/>
            <rFont val="WenQuanYi Zen Hei"/>
            <family val="2"/>
          </rPr>
          <t xml:space="preserve">平均組合員（統計システム確定分）
　　</t>
        </r>
        <r>
          <rPr>
            <sz val="10"/>
            <rFont val="Arial"/>
            <family val="2"/>
          </rPr>
          <t xml:space="preserve">20,957,084</t>
        </r>
        <r>
          <rPr>
            <sz val="10"/>
            <rFont val="WenQuanYi Zen Hei"/>
            <family val="2"/>
          </rPr>
          <t xml:space="preserve">円　　 </t>
        </r>
        <r>
          <rPr>
            <sz val="10"/>
            <rFont val="Arial"/>
            <family val="2"/>
          </rPr>
          <t xml:space="preserve">÷12,972</t>
        </r>
        <r>
          <rPr>
            <sz val="10"/>
            <rFont val="WenQuanYi Zen Hei"/>
            <family val="2"/>
          </rPr>
          <t xml:space="preserve">人　　</t>
        </r>
        <r>
          <rPr>
            <sz val="10"/>
            <rFont val="Arial"/>
            <family val="2"/>
          </rPr>
          <t xml:space="preserve">=</t>
        </r>
        <r>
          <rPr>
            <sz val="10"/>
            <rFont val="WenQuanYi Zen Hei"/>
            <family val="2"/>
          </rPr>
          <t xml:space="preserve">　</t>
        </r>
        <r>
          <rPr>
            <sz val="10"/>
            <rFont val="Arial"/>
            <family val="2"/>
          </rPr>
          <t xml:space="preserve">1,616</t>
        </r>
        <r>
          <rPr>
            <sz val="10"/>
            <rFont val="WenQuanYi Zen Hei"/>
            <family val="2"/>
          </rPr>
          <t xml:space="preserve">円</t>
        </r>
      </text>
    </comment>
    <comment ref="AJ11" authorId="0">
      <text>
        <r>
          <rPr>
            <sz val="10"/>
            <rFont val="WenQuanYi Zen Hei"/>
            <family val="2"/>
          </rPr>
          <t xml:space="preserve">　（Ｒ７）当期損失金</t>
        </r>
        <r>
          <rPr>
            <sz val="10"/>
            <rFont val="Arial"/>
            <family val="2"/>
          </rPr>
          <t xml:space="preserve">÷</t>
        </r>
        <r>
          <rPr>
            <sz val="10"/>
            <rFont val="WenQuanYi Zen Hei"/>
            <family val="2"/>
          </rPr>
          <t xml:space="preserve">平均組合員（統計システム確定分）
　　〇〇〇〇円　　 </t>
        </r>
        <r>
          <rPr>
            <sz val="10"/>
            <rFont val="Arial"/>
            <family val="2"/>
          </rPr>
          <t xml:space="preserve">÷</t>
        </r>
        <r>
          <rPr>
            <sz val="10"/>
            <rFont val="WenQuanYi Zen Hei"/>
            <family val="2"/>
          </rPr>
          <t xml:space="preserve">　〇〇〇〇人　　</t>
        </r>
        <r>
          <rPr>
            <sz val="10"/>
            <rFont val="Arial"/>
            <family val="2"/>
          </rPr>
          <t xml:space="preserve">=</t>
        </r>
        <r>
          <rPr>
            <sz val="10"/>
            <rFont val="WenQuanYi Zen Hei"/>
            <family val="2"/>
          </rPr>
          <t xml:space="preserve">　〇〇円</t>
        </r>
      </text>
    </comment>
    <comment ref="AJ21" authorId="0">
      <text>
        <r>
          <rPr>
            <sz val="10"/>
            <rFont val="WenQuanYi Zen Hei"/>
            <family val="2"/>
          </rPr>
          <t xml:space="preserve">（Ｒ７）連合会交付金額（退職等年金分）</t>
        </r>
        <r>
          <rPr>
            <sz val="10"/>
            <rFont val="Arial"/>
            <family val="2"/>
          </rPr>
          <t xml:space="preserve">÷</t>
        </r>
        <r>
          <rPr>
            <sz val="10"/>
            <rFont val="WenQuanYi Zen Hei"/>
            <family val="2"/>
          </rPr>
          <t xml:space="preserve">平均組合員数（統計システム確定分）
　　 　 </t>
        </r>
        <r>
          <rPr>
            <sz val="10"/>
            <rFont val="Arial"/>
            <family val="2"/>
          </rPr>
          <t xml:space="preserve">2,202,654</t>
        </r>
        <r>
          <rPr>
            <sz val="10"/>
            <rFont val="WenQuanYi Zen Hei"/>
            <family val="2"/>
          </rPr>
          <t xml:space="preserve">円　　 </t>
        </r>
        <r>
          <rPr>
            <sz val="10"/>
            <rFont val="Arial"/>
            <family val="2"/>
          </rPr>
          <t xml:space="preserve">÷12,972</t>
        </r>
        <r>
          <rPr>
            <sz val="10"/>
            <rFont val="WenQuanYi Zen Hei"/>
            <family val="2"/>
          </rPr>
          <t xml:space="preserve">人　　</t>
        </r>
        <r>
          <rPr>
            <sz val="10"/>
            <rFont val="Arial"/>
            <family val="2"/>
          </rPr>
          <t xml:space="preserve">=</t>
        </r>
        <r>
          <rPr>
            <sz val="10"/>
            <rFont val="WenQuanYi Zen Hei"/>
            <family val="2"/>
          </rPr>
          <t xml:space="preserve">　  </t>
        </r>
        <r>
          <rPr>
            <sz val="10"/>
            <rFont val="Arial"/>
            <family val="2"/>
          </rPr>
          <t xml:space="preserve">170</t>
        </r>
        <r>
          <rPr>
            <sz val="10"/>
            <rFont val="WenQuanYi Zen Hei"/>
            <family val="2"/>
          </rPr>
          <t xml:space="preserve">円　　　　</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D7" authorId="0">
      <text>
        <r>
          <rPr>
            <sz val="10"/>
            <rFont val="WenQuanYi Zen Hei"/>
            <family val="2"/>
          </rPr>
          <t xml:space="preserve">短期＋公的＋介護＋調整</t>
        </r>
      </text>
    </comment>
    <comment ref="D8" authorId="0">
      <text>
        <r>
          <rPr>
            <sz val="10"/>
            <rFont val="WenQuanYi Zen Hei"/>
            <family val="2"/>
          </rPr>
          <t xml:space="preserve">短期＋介護＋任継（短期、介護）</t>
        </r>
      </text>
    </comment>
    <comment ref="D11" authorId="0">
      <text>
        <r>
          <rPr>
            <sz val="10"/>
            <rFont val="WenQuanYi Zen Hei"/>
            <family val="2"/>
          </rPr>
          <t xml:space="preserve">育介手当の原資</t>
        </r>
      </text>
    </comment>
    <comment ref="D26" authorId="0">
      <text>
        <r>
          <rPr>
            <sz val="10"/>
            <rFont val="WenQuanYi Zen Hei"/>
            <family val="2"/>
          </rPr>
          <t xml:space="preserve">資格喪失の返戻金</t>
        </r>
      </text>
    </comment>
    <comment ref="D34" authorId="0">
      <text>
        <r>
          <rPr>
            <sz val="10"/>
            <rFont val="WenQuanYi Zen Hei"/>
            <family val="2"/>
          </rPr>
          <t xml:space="preserve">　老人保健拠出金、退職者給付拠出金、
　前期高齢者納付金、後期高齢者支援金、
　病床転換支援金、介護納付金、
　特別調整拠出金、育介休業手当金拠出金</t>
        </r>
      </text>
    </comment>
    <comment ref="D41" authorId="0">
      <text>
        <r>
          <rPr>
            <sz val="10"/>
            <rFont val="WenQuanYi Zen Hei"/>
            <family val="2"/>
          </rPr>
          <t xml:space="preserve">共同事業（災害支援、掛金の高い組合の支援）</t>
        </r>
      </text>
    </comment>
    <comment ref="D42" authorId="0">
      <text>
        <r>
          <rPr>
            <sz val="10"/>
            <rFont val="WenQuanYi Zen Hei"/>
            <family val="2"/>
          </rPr>
          <t xml:space="preserve">人件費や消耗品の</t>
        </r>
        <r>
          <rPr>
            <sz val="10"/>
            <rFont val="Arial"/>
            <family val="2"/>
          </rPr>
          <t xml:space="preserve">25</t>
        </r>
        <r>
          <rPr>
            <sz val="10"/>
            <rFont val="WenQuanYi Zen Hei"/>
            <family val="2"/>
          </rPr>
          <t xml:space="preserve">％</t>
        </r>
      </text>
    </comment>
    <comment ref="E14" authorId="0">
      <text>
        <r>
          <rPr>
            <sz val="10"/>
            <rFont val="WenQuanYi Zen Hei"/>
            <family val="2"/>
          </rPr>
          <t xml:space="preserve">　　年度内の医療行為に対する賠償が無かったため、保険会社等
　からの賠償金については、前期損益修正益へ。　</t>
        </r>
      </text>
    </comment>
    <comment ref="F14" authorId="0">
      <text>
        <r>
          <rPr>
            <sz val="10"/>
            <rFont val="WenQuanYi Zen Hei"/>
            <family val="2"/>
          </rPr>
          <t xml:space="preserve">　　年度内の医療行為に対する賠償が無かったため、保険会社等
　からの賠償金については、前期損益修正益へ。　</t>
        </r>
      </text>
    </comment>
    <comment ref="G7" authorId="0">
      <text>
        <r>
          <rPr>
            <sz val="10"/>
            <rFont val="WenQuanYi Zen Hei"/>
            <family val="2"/>
          </rPr>
          <t xml:space="preserve">　財源率改定による減　【負担金】
  　・短期分　　　</t>
        </r>
        <r>
          <rPr>
            <sz val="10"/>
            <rFont val="Arial"/>
            <family val="2"/>
          </rPr>
          <t xml:space="preserve">H29: 39.61‰ → H30: 38.42‰
</t>
        </r>
        <r>
          <rPr>
            <sz val="10"/>
            <rFont val="WenQuanYi Zen Hei"/>
            <family val="2"/>
          </rPr>
          <t xml:space="preserve">　　・介護分　　　</t>
        </r>
        <r>
          <rPr>
            <sz val="10"/>
            <rFont val="Arial"/>
            <family val="2"/>
          </rPr>
          <t xml:space="preserve">H29:  5.7‰ →  H30:  6.5‰
</t>
        </r>
        <r>
          <rPr>
            <sz val="10"/>
            <rFont val="WenQuanYi Zen Hei"/>
            <family val="2"/>
          </rPr>
          <t xml:space="preserve">　　・調整負担金　</t>
        </r>
        <r>
          <rPr>
            <sz val="10"/>
            <rFont val="Arial"/>
            <family val="2"/>
          </rPr>
          <t xml:space="preserve">H29:  0.2 ‰ → H30:  0.2 ‰
</t>
        </r>
        <r>
          <rPr>
            <sz val="10"/>
            <rFont val="WenQuanYi Zen Hei"/>
            <family val="2"/>
          </rPr>
          <t xml:space="preserve">　　・公的負担金　</t>
        </r>
        <r>
          <rPr>
            <sz val="10"/>
            <rFont val="Arial"/>
            <family val="2"/>
          </rPr>
          <t xml:space="preserve">H29:  0.06‰ → H30:  0.05‰</t>
        </r>
      </text>
    </comment>
    <comment ref="G8" authorId="0">
      <text>
        <r>
          <rPr>
            <sz val="10"/>
            <rFont val="WenQuanYi Zen Hei"/>
            <family val="2"/>
          </rPr>
          <t xml:space="preserve">　財源率改定による減　【掛金】
  　・短期分　</t>
        </r>
        <r>
          <rPr>
            <sz val="10"/>
            <rFont val="Arial"/>
            <family val="2"/>
          </rPr>
          <t xml:space="preserve">H29: 39.61‰ → H30: 38.42‰
</t>
        </r>
        <r>
          <rPr>
            <sz val="10"/>
            <rFont val="WenQuanYi Zen Hei"/>
            <family val="2"/>
          </rPr>
          <t xml:space="preserve">　　・介護分　</t>
        </r>
        <r>
          <rPr>
            <sz val="10"/>
            <rFont val="Arial"/>
            <family val="2"/>
          </rPr>
          <t xml:space="preserve">H29:   5.7 ‰ → H30:   6.5‰</t>
        </r>
      </text>
    </comment>
    <comment ref="G11" authorId="0">
      <text>
        <r>
          <rPr>
            <sz val="10"/>
            <rFont val="WenQuanYi Zen Hei"/>
            <family val="2"/>
          </rPr>
          <t xml:space="preserve"> 休業日数の減等に伴う交付額の増
   育児休業手当金 </t>
        </r>
        <r>
          <rPr>
            <sz val="10"/>
            <rFont val="Arial"/>
            <family val="2"/>
          </rPr>
          <t xml:space="preserve">H29:38,272</t>
        </r>
        <r>
          <rPr>
            <sz val="10"/>
            <rFont val="WenQuanYi Zen Hei"/>
            <family val="2"/>
          </rPr>
          <t xml:space="preserve">日 → </t>
        </r>
        <r>
          <rPr>
            <sz val="10"/>
            <rFont val="Arial"/>
            <family val="2"/>
          </rPr>
          <t xml:space="preserve">H30:40,776</t>
        </r>
        <r>
          <rPr>
            <sz val="10"/>
            <rFont val="WenQuanYi Zen Hei"/>
            <family val="2"/>
          </rPr>
          <t xml:space="preserve">日</t>
        </r>
        <r>
          <rPr>
            <sz val="10"/>
            <rFont val="Arial"/>
            <family val="2"/>
          </rPr>
          <t xml:space="preserve">(</t>
        </r>
        <r>
          <rPr>
            <sz val="10"/>
            <rFont val="WenQuanYi Zen Hei"/>
            <family val="2"/>
          </rPr>
          <t xml:space="preserve">＋</t>
        </r>
        <r>
          <rPr>
            <sz val="10"/>
            <rFont val="Arial"/>
            <family val="2"/>
          </rPr>
          <t xml:space="preserve">2,504</t>
        </r>
        <r>
          <rPr>
            <sz val="10"/>
            <rFont val="WenQuanYi Zen Hei"/>
            <family val="2"/>
          </rPr>
          <t xml:space="preserve">日</t>
        </r>
        <r>
          <rPr>
            <sz val="10"/>
            <rFont val="Arial"/>
            <family val="2"/>
          </rPr>
          <t xml:space="preserve">)
   </t>
        </r>
        <r>
          <rPr>
            <sz val="10"/>
            <rFont val="WenQuanYi Zen Hei"/>
            <family val="2"/>
          </rPr>
          <t xml:space="preserve">介護休業手当金 </t>
        </r>
        <r>
          <rPr>
            <sz val="10"/>
            <rFont val="Arial"/>
            <family val="2"/>
          </rPr>
          <t xml:space="preserve">H29:   116</t>
        </r>
        <r>
          <rPr>
            <sz val="10"/>
            <rFont val="WenQuanYi Zen Hei"/>
            <family val="2"/>
          </rPr>
          <t xml:space="preserve">日 → </t>
        </r>
        <r>
          <rPr>
            <sz val="10"/>
            <rFont val="Arial"/>
            <family val="2"/>
          </rPr>
          <t xml:space="preserve">H30:   247</t>
        </r>
        <r>
          <rPr>
            <sz val="10"/>
            <rFont val="WenQuanYi Zen Hei"/>
            <family val="2"/>
          </rPr>
          <t xml:space="preserve">日</t>
        </r>
        <r>
          <rPr>
            <sz val="10"/>
            <rFont val="Arial"/>
            <family val="2"/>
          </rPr>
          <t xml:space="preserve">(</t>
        </r>
        <r>
          <rPr>
            <sz val="10"/>
            <rFont val="WenQuanYi Zen Hei"/>
            <family val="2"/>
          </rPr>
          <t xml:space="preserve">＋　</t>
        </r>
        <r>
          <rPr>
            <sz val="10"/>
            <rFont val="Arial"/>
            <family val="2"/>
          </rPr>
          <t xml:space="preserve">131</t>
        </r>
        <r>
          <rPr>
            <sz val="10"/>
            <rFont val="WenQuanYi Zen Hei"/>
            <family val="2"/>
          </rPr>
          <t xml:space="preserve">日</t>
        </r>
        <r>
          <rPr>
            <sz val="10"/>
            <rFont val="Arial"/>
            <family val="2"/>
          </rPr>
          <t xml:space="preserve">)</t>
        </r>
      </text>
    </comment>
    <comment ref="G12" authorId="0">
      <text>
        <r>
          <rPr>
            <sz val="10"/>
            <rFont val="WenQuanYi Zen Hei"/>
            <family val="2"/>
          </rPr>
          <t xml:space="preserve">該当件数の増に伴う交付額の増</t>
        </r>
      </text>
    </comment>
    <comment ref="G23" authorId="0">
      <text>
        <r>
          <rPr>
            <sz val="10"/>
            <rFont val="WenQuanYi Zen Hei"/>
            <family val="2"/>
          </rPr>
          <t xml:space="preserve">高齢者医療円滑化等補助金</t>
        </r>
      </text>
    </comment>
    <comment ref="G29" authorId="0">
      <text>
        <r>
          <rPr>
            <sz val="10"/>
            <rFont val="WenQuanYi Zen Hei"/>
            <family val="2"/>
          </rPr>
          <t xml:space="preserve">　・療養の給付・家族療養の給付の増  </t>
        </r>
        <r>
          <rPr>
            <sz val="10"/>
            <rFont val="Arial"/>
            <family val="2"/>
          </rPr>
          <t xml:space="preserve">103,630</t>
        </r>
        <r>
          <rPr>
            <sz val="10"/>
            <rFont val="WenQuanYi Zen Hei"/>
            <family val="2"/>
          </rPr>
          <t xml:space="preserve">千円
　・高額療養の給付の増              </t>
        </r>
        <r>
          <rPr>
            <sz val="10"/>
            <rFont val="Arial"/>
            <family val="2"/>
          </rPr>
          <t xml:space="preserve">32,288</t>
        </r>
        <r>
          <rPr>
            <sz val="10"/>
            <rFont val="WenQuanYi Zen Hei"/>
            <family val="2"/>
          </rPr>
          <t xml:space="preserve">千円
　・出産費の増　　　　　　　　　　　 </t>
        </r>
        <r>
          <rPr>
            <sz val="10"/>
            <rFont val="Arial"/>
            <family val="2"/>
          </rPr>
          <t xml:space="preserve">15,187</t>
        </r>
        <r>
          <rPr>
            <sz val="10"/>
            <rFont val="WenQuanYi Zen Hei"/>
            <family val="2"/>
          </rPr>
          <t xml:space="preserve">千円
　・薬剤支給の減　　　　　　　　　 △</t>
        </r>
        <r>
          <rPr>
            <sz val="10"/>
            <rFont val="Arial"/>
            <family val="2"/>
          </rPr>
          <t xml:space="preserve">18,566</t>
        </r>
        <r>
          <rPr>
            <sz val="10"/>
            <rFont val="WenQuanYi Zen Hei"/>
            <family val="2"/>
          </rPr>
          <t xml:space="preserve">千円</t>
        </r>
      </text>
    </comment>
    <comment ref="G30" authorId="0">
      <text>
        <r>
          <rPr>
            <sz val="10"/>
            <rFont val="WenQuanYi Zen Hei"/>
            <family val="2"/>
          </rPr>
          <t xml:space="preserve">　・傷病手当金の増              </t>
        </r>
        <r>
          <rPr>
            <sz val="10"/>
            <rFont val="Arial"/>
            <family val="2"/>
          </rPr>
          <t xml:space="preserve">6,801</t>
        </r>
        <r>
          <rPr>
            <sz val="10"/>
            <rFont val="WenQuanYi Zen Hei"/>
            <family val="2"/>
          </rPr>
          <t xml:space="preserve">千円
　・育児休業手当金の増　　　　　</t>
        </r>
        <r>
          <rPr>
            <sz val="10"/>
            <rFont val="Arial"/>
            <family val="2"/>
          </rPr>
          <t xml:space="preserve">23,683</t>
        </r>
        <r>
          <rPr>
            <sz val="10"/>
            <rFont val="WenQuanYi Zen Hei"/>
            <family val="2"/>
          </rPr>
          <t xml:space="preserve">千円
　・介護休業手当金の増　　　　　 </t>
        </r>
        <r>
          <rPr>
            <sz val="10"/>
            <rFont val="Arial"/>
            <family val="2"/>
          </rPr>
          <t xml:space="preserve">1,686</t>
        </r>
        <r>
          <rPr>
            <sz val="10"/>
            <rFont val="WenQuanYi Zen Hei"/>
            <family val="2"/>
          </rPr>
          <t xml:space="preserve">千円</t>
        </r>
      </text>
    </comment>
    <comment ref="G31" authorId="0">
      <text>
        <r>
          <rPr>
            <sz val="10"/>
            <rFont val="WenQuanYi Zen Hei"/>
            <family val="2"/>
          </rPr>
          <t xml:space="preserve">災害見舞金</t>
        </r>
      </text>
    </comment>
    <comment ref="G32" authorId="0">
      <text>
        <r>
          <rPr>
            <sz val="10"/>
            <rFont val="WenQuanYi Zen Hei"/>
            <family val="2"/>
          </rPr>
          <t xml:space="preserve">　・家族療養費附加金の増          　</t>
        </r>
        <r>
          <rPr>
            <sz val="10"/>
            <rFont val="Arial"/>
            <family val="2"/>
          </rPr>
          <t xml:space="preserve">2,265</t>
        </r>
        <r>
          <rPr>
            <sz val="10"/>
            <rFont val="WenQuanYi Zen Hei"/>
            <family val="2"/>
          </rPr>
          <t xml:space="preserve">千円
　・出産費附加の増　　　          　</t>
        </r>
        <r>
          <rPr>
            <sz val="10"/>
            <rFont val="Arial"/>
            <family val="2"/>
          </rPr>
          <t xml:space="preserve">2,668</t>
        </r>
        <r>
          <rPr>
            <sz val="10"/>
            <rFont val="WenQuanYi Zen Hei"/>
            <family val="2"/>
          </rPr>
          <t xml:space="preserve">千円
　・傷病手当附加金の減            △</t>
        </r>
        <r>
          <rPr>
            <sz val="10"/>
            <rFont val="Arial"/>
            <family val="2"/>
          </rPr>
          <t xml:space="preserve">8,312</t>
        </r>
        <r>
          <rPr>
            <sz val="10"/>
            <rFont val="WenQuanYi Zen Hei"/>
            <family val="2"/>
          </rPr>
          <t xml:space="preserve">千円</t>
        </r>
      </text>
    </comment>
    <comment ref="G34" authorId="0">
      <text>
        <r>
          <rPr>
            <sz val="10"/>
            <rFont val="WenQuanYi Zen Hei"/>
            <family val="2"/>
          </rPr>
          <t xml:space="preserve">　・後期高齢者支援金の減              △</t>
        </r>
        <r>
          <rPr>
            <sz val="10"/>
            <rFont val="Arial"/>
            <family val="2"/>
          </rPr>
          <t xml:space="preserve">52,252</t>
        </r>
        <r>
          <rPr>
            <sz val="10"/>
            <rFont val="WenQuanYi Zen Hei"/>
            <family val="2"/>
          </rPr>
          <t xml:space="preserve">千円
　・退職者給付拠出金の減              △</t>
        </r>
        <r>
          <rPr>
            <sz val="10"/>
            <rFont val="Arial"/>
            <family val="2"/>
          </rPr>
          <t xml:space="preserve">84,187</t>
        </r>
        <r>
          <rPr>
            <sz val="10"/>
            <rFont val="WenQuanYi Zen Hei"/>
            <family val="2"/>
          </rPr>
          <t xml:space="preserve">千円
　・前期高齢者納付金の増           　  </t>
        </r>
        <r>
          <rPr>
            <sz val="10"/>
            <rFont val="Arial"/>
            <family val="2"/>
          </rPr>
          <t xml:space="preserve">211,401</t>
        </r>
        <r>
          <rPr>
            <sz val="10"/>
            <rFont val="WenQuanYi Zen Hei"/>
            <family val="2"/>
          </rPr>
          <t xml:space="preserve">千円
　・育児介護休業手当金拠出金の減       △</t>
        </r>
        <r>
          <rPr>
            <sz val="10"/>
            <rFont val="Arial"/>
            <family val="2"/>
          </rPr>
          <t xml:space="preserve">65,987</t>
        </r>
        <r>
          <rPr>
            <sz val="10"/>
            <rFont val="WenQuanYi Zen Hei"/>
            <family val="2"/>
          </rPr>
          <t xml:space="preserve">千円</t>
        </r>
      </text>
    </comment>
    <comment ref="M7" authorId="0">
      <text>
        <r>
          <rPr>
            <sz val="10"/>
            <rFont val="WenQuanYi Zen Hei"/>
            <family val="2"/>
          </rPr>
          <t xml:space="preserve">事業費用の増による事務費負担金の増加</t>
        </r>
      </text>
    </comment>
    <comment ref="M44" authorId="0">
      <text>
        <r>
          <rPr>
            <sz val="10"/>
            <rFont val="WenQuanYi Zen Hei"/>
            <family val="2"/>
          </rPr>
          <t xml:space="preserve">　・事務費負担金払込金の増     </t>
        </r>
        <r>
          <rPr>
            <sz val="10"/>
            <rFont val="Arial"/>
            <family val="2"/>
          </rPr>
          <t xml:space="preserve">22,267</t>
        </r>
        <r>
          <rPr>
            <sz val="10"/>
            <rFont val="WenQuanYi Zen Hei"/>
            <family val="2"/>
          </rPr>
          <t xml:space="preserve">千円
　・委託費の増                 </t>
        </r>
        <r>
          <rPr>
            <sz val="10"/>
            <rFont val="Arial"/>
            <family val="2"/>
          </rPr>
          <t xml:space="preserve">3,680</t>
        </r>
        <r>
          <rPr>
            <sz val="10"/>
            <rFont val="WenQuanYi Zen Hei"/>
            <family val="2"/>
          </rPr>
          <t xml:space="preserve">千円
　・普及費の減               △</t>
        </r>
        <r>
          <rPr>
            <sz val="10"/>
            <rFont val="Arial"/>
            <family val="2"/>
          </rPr>
          <t xml:space="preserve">1,782</t>
        </r>
        <r>
          <rPr>
            <sz val="10"/>
            <rFont val="WenQuanYi Zen Hei"/>
            <family val="2"/>
          </rPr>
          <t xml:space="preserve">千円
　・事務費の増                   </t>
        </r>
        <r>
          <rPr>
            <sz val="10"/>
            <rFont val="Arial"/>
            <family val="2"/>
          </rPr>
          <t xml:space="preserve">774</t>
        </r>
        <r>
          <rPr>
            <sz val="10"/>
            <rFont val="WenQuanYi Zen Hei"/>
            <family val="2"/>
          </rPr>
          <t xml:space="preserve">千円
　・連合会分担金の増   　         </t>
        </r>
        <r>
          <rPr>
            <sz val="10"/>
            <rFont val="Arial"/>
            <family val="2"/>
          </rPr>
          <t xml:space="preserve">570</t>
        </r>
        <r>
          <rPr>
            <sz val="10"/>
            <rFont val="WenQuanYi Zen Hei"/>
            <family val="2"/>
          </rPr>
          <t xml:space="preserve">千円
　　　短期分に係る組合員１人当たり事務費単価
 　 　（連合会通知額）の増に伴う増
 　  </t>
        </r>
        <r>
          <rPr>
            <sz val="10"/>
            <rFont val="Arial"/>
            <family val="2"/>
          </rPr>
          <t xml:space="preserve">H29</t>
        </r>
        <r>
          <rPr>
            <sz val="10"/>
            <rFont val="WenQuanYi Zen Hei"/>
            <family val="2"/>
          </rPr>
          <t xml:space="preserve">　</t>
        </r>
        <r>
          <rPr>
            <sz val="10"/>
            <rFont val="Arial"/>
            <family val="2"/>
          </rPr>
          <t xml:space="preserve">@1,932</t>
        </r>
        <r>
          <rPr>
            <sz val="10"/>
            <rFont val="WenQuanYi Zen Hei"/>
            <family val="2"/>
          </rPr>
          <t xml:space="preserve">円</t>
        </r>
        <r>
          <rPr>
            <sz val="10"/>
            <rFont val="Arial"/>
            <family val="2"/>
          </rPr>
          <t xml:space="preserve">×11,921</t>
        </r>
        <r>
          <rPr>
            <sz val="10"/>
            <rFont val="WenQuanYi Zen Hei"/>
            <family val="2"/>
          </rPr>
          <t xml:space="preserve">人＝</t>
        </r>
        <r>
          <rPr>
            <sz val="10"/>
            <rFont val="Arial"/>
            <family val="2"/>
          </rPr>
          <t xml:space="preserve">23,031,372</t>
        </r>
        <r>
          <rPr>
            <sz val="10"/>
            <rFont val="WenQuanYi Zen Hei"/>
            <family val="2"/>
          </rPr>
          <t xml:space="preserve">円
 　  </t>
        </r>
        <r>
          <rPr>
            <sz val="10"/>
            <rFont val="Arial"/>
            <family val="2"/>
          </rPr>
          <t xml:space="preserve">H30</t>
        </r>
        <r>
          <rPr>
            <sz val="10"/>
            <rFont val="WenQuanYi Zen Hei"/>
            <family val="2"/>
          </rPr>
          <t xml:space="preserve">　</t>
        </r>
        <r>
          <rPr>
            <sz val="10"/>
            <rFont val="Arial"/>
            <family val="2"/>
          </rPr>
          <t xml:space="preserve">@1,980</t>
        </r>
        <r>
          <rPr>
            <sz val="10"/>
            <rFont val="WenQuanYi Zen Hei"/>
            <family val="2"/>
          </rPr>
          <t xml:space="preserve">円</t>
        </r>
        <r>
          <rPr>
            <sz val="10"/>
            <rFont val="Arial"/>
            <family val="2"/>
          </rPr>
          <t xml:space="preserve">×11,920</t>
        </r>
        <r>
          <rPr>
            <sz val="10"/>
            <rFont val="WenQuanYi Zen Hei"/>
            <family val="2"/>
          </rPr>
          <t xml:space="preserve">人＝</t>
        </r>
        <r>
          <rPr>
            <sz val="10"/>
            <rFont val="Arial"/>
            <family val="2"/>
          </rPr>
          <t xml:space="preserve">23,601,600</t>
        </r>
        <r>
          <rPr>
            <sz val="10"/>
            <rFont val="WenQuanYi Zen Hei"/>
            <family val="2"/>
          </rPr>
          <t xml:space="preserve">円</t>
        </r>
      </text>
    </comment>
    <comment ref="P7" authorId="0">
      <text>
        <r>
          <rPr>
            <sz val="10"/>
            <rFont val="WenQuanYi Zen Hei"/>
            <family val="2"/>
          </rPr>
          <t xml:space="preserve">　　掛金との差は、法定健診等負担金との差
　　（人間ドック代用事業主負担）</t>
        </r>
      </text>
    </comment>
    <comment ref="P9" authorId="0">
      <text>
        <r>
          <rPr>
            <sz val="10"/>
            <rFont val="WenQuanYi Zen Hei"/>
            <family val="2"/>
          </rPr>
          <t xml:space="preserve">　　金銭信託増額による配当金の増</t>
        </r>
      </text>
    </comment>
    <comment ref="P17" authorId="0">
      <text>
        <r>
          <rPr>
            <sz val="10"/>
            <rFont val="WenQuanYi Zen Hei"/>
            <family val="2"/>
          </rPr>
          <t xml:space="preserve">　　利用者減による収入の減
　　　</t>
        </r>
        <r>
          <rPr>
            <sz val="10"/>
            <rFont val="Arial"/>
            <family val="2"/>
          </rPr>
          <t xml:space="preserve">H29: 1,453</t>
        </r>
        <r>
          <rPr>
            <sz val="10"/>
            <rFont val="WenQuanYi Zen Hei"/>
            <family val="2"/>
          </rPr>
          <t xml:space="preserve">人　→　</t>
        </r>
        <r>
          <rPr>
            <sz val="10"/>
            <rFont val="Arial"/>
            <family val="2"/>
          </rPr>
          <t xml:space="preserve">H30: 1,348</t>
        </r>
        <r>
          <rPr>
            <sz val="10"/>
            <rFont val="WenQuanYi Zen Hei"/>
            <family val="2"/>
          </rPr>
          <t xml:space="preserve">人</t>
        </r>
      </text>
    </comment>
    <comment ref="P43" authorId="0">
      <text>
        <r>
          <rPr>
            <sz val="10"/>
            <rFont val="WenQuanYi Zen Hei"/>
            <family val="2"/>
          </rPr>
          <t xml:space="preserve">給与改定による増
（看護師、健康相談員）</t>
        </r>
      </text>
    </comment>
    <comment ref="P44" authorId="0">
      <text>
        <r>
          <rPr>
            <sz val="10"/>
            <rFont val="WenQuanYi Zen Hei"/>
            <family val="2"/>
          </rPr>
          <t xml:space="preserve">　・組合員人間ドックの減 　　　　　　　△</t>
        </r>
        <r>
          <rPr>
            <sz val="10"/>
            <rFont val="Arial"/>
            <family val="2"/>
          </rPr>
          <t xml:space="preserve">2,526</t>
        </r>
        <r>
          <rPr>
            <sz val="10"/>
            <rFont val="WenQuanYi Zen Hei"/>
            <family val="2"/>
          </rPr>
          <t xml:space="preserve">千円
　・被扶養者ドックの減   　　　　　　　△</t>
        </r>
        <r>
          <rPr>
            <sz val="10"/>
            <rFont val="Arial"/>
            <family val="2"/>
          </rPr>
          <t xml:space="preserve">2,464</t>
        </r>
        <r>
          <rPr>
            <sz val="10"/>
            <rFont val="WenQuanYi Zen Hei"/>
            <family val="2"/>
          </rPr>
          <t xml:space="preserve">千円
　・データヘルス計画に係る委託料の減 　△</t>
        </r>
        <r>
          <rPr>
            <sz val="10"/>
            <rFont val="Arial"/>
            <family val="2"/>
          </rPr>
          <t xml:space="preserve">1,269</t>
        </r>
        <r>
          <rPr>
            <sz val="10"/>
            <rFont val="WenQuanYi Zen Hei"/>
            <family val="2"/>
          </rPr>
          <t xml:space="preserve">千円　
　・コテージ管理運営に係る修繕費等の減 △</t>
        </r>
        <r>
          <rPr>
            <sz val="10"/>
            <rFont val="Arial"/>
            <family val="2"/>
          </rPr>
          <t xml:space="preserve">1,263</t>
        </r>
        <r>
          <rPr>
            <sz val="10"/>
            <rFont val="WenQuanYi Zen Hei"/>
            <family val="2"/>
          </rPr>
          <t xml:space="preserve">千円
  ・婦人科検診の増　　　　　　　　　　　　 </t>
        </r>
        <r>
          <rPr>
            <sz val="10"/>
            <rFont val="Arial"/>
            <family val="2"/>
          </rPr>
          <t xml:space="preserve">500</t>
        </r>
        <r>
          <rPr>
            <sz val="10"/>
            <rFont val="WenQuanYi Zen Hei"/>
            <family val="2"/>
          </rPr>
          <t xml:space="preserve">千円</t>
        </r>
      </text>
    </comment>
    <comment ref="S22" authorId="0">
      <text>
        <r>
          <rPr>
            <sz val="10"/>
            <rFont val="WenQuanYi Zen Hei"/>
            <family val="2"/>
          </rPr>
          <t xml:space="preserve">　貸付利率の減等（</t>
        </r>
        <r>
          <rPr>
            <sz val="10"/>
            <rFont val="Arial"/>
            <family val="2"/>
          </rPr>
          <t xml:space="preserve">H30.1</t>
        </r>
        <r>
          <rPr>
            <sz val="10"/>
            <rFont val="WenQuanYi Zen Hei"/>
            <family val="2"/>
          </rPr>
          <t xml:space="preserve">月～）に伴う組合員貸付金利息の減
     △</t>
        </r>
        <r>
          <rPr>
            <sz val="10"/>
            <rFont val="Arial"/>
            <family val="2"/>
          </rPr>
          <t xml:space="preserve">42,889</t>
        </r>
        <r>
          <rPr>
            <sz val="10"/>
            <rFont val="WenQuanYi Zen Hei"/>
            <family val="2"/>
          </rPr>
          <t xml:space="preserve">千円
　</t>
        </r>
        <r>
          <rPr>
            <sz val="10"/>
            <rFont val="Arial"/>
            <family val="2"/>
          </rPr>
          <t xml:space="preserve">H29: 77,369</t>
        </r>
        <r>
          <rPr>
            <sz val="10"/>
            <rFont val="WenQuanYi Zen Hei"/>
            <family val="2"/>
          </rPr>
          <t xml:space="preserve">千円 → </t>
        </r>
        <r>
          <rPr>
            <sz val="10"/>
            <rFont val="Arial"/>
            <family val="2"/>
          </rPr>
          <t xml:space="preserve">H30: 34,479</t>
        </r>
        <r>
          <rPr>
            <sz val="10"/>
            <rFont val="WenQuanYi Zen Hei"/>
            <family val="2"/>
          </rPr>
          <t xml:space="preserve">千円
（利率：年</t>
        </r>
        <r>
          <rPr>
            <sz val="10"/>
            <rFont val="Arial"/>
            <family val="2"/>
          </rPr>
          <t xml:space="preserve">2.66%</t>
        </r>
        <r>
          <rPr>
            <sz val="10"/>
            <rFont val="WenQuanYi Zen Hei"/>
            <family val="2"/>
          </rPr>
          <t xml:space="preserve">　</t>
        </r>
        <r>
          <rPr>
            <sz val="10"/>
            <rFont val="Arial"/>
            <family val="2"/>
          </rPr>
          <t xml:space="preserve">H30.1</t>
        </r>
        <r>
          <rPr>
            <sz val="10"/>
            <rFont val="WenQuanYi Zen Hei"/>
            <family val="2"/>
          </rPr>
          <t xml:space="preserve">月～年</t>
        </r>
        <r>
          <rPr>
            <sz val="10"/>
            <rFont val="Arial"/>
            <family val="2"/>
          </rPr>
          <t xml:space="preserve">1.26%</t>
        </r>
        <r>
          <rPr>
            <sz val="10"/>
            <rFont val="WenQuanYi Zen Hei"/>
            <family val="2"/>
          </rPr>
          <t xml:space="preserve">）
</t>
        </r>
      </text>
    </comment>
    <comment ref="S41" authorId="0">
      <text>
        <r>
          <rPr>
            <sz val="10"/>
            <rFont val="WenQuanYi Zen Hei"/>
            <family val="2"/>
          </rPr>
          <t xml:space="preserve">　組合払込金率の減等に伴う連合会払込金の減
　　△</t>
        </r>
        <r>
          <rPr>
            <sz val="10"/>
            <rFont val="Arial"/>
            <family val="2"/>
          </rPr>
          <t xml:space="preserve">1,113</t>
        </r>
        <r>
          <rPr>
            <sz val="10"/>
            <rFont val="WenQuanYi Zen Hei"/>
            <family val="2"/>
          </rPr>
          <t xml:space="preserve">千円
　　</t>
        </r>
        <r>
          <rPr>
            <sz val="10"/>
            <rFont val="Arial"/>
            <family val="2"/>
          </rPr>
          <t xml:space="preserve">H29: 5,946</t>
        </r>
        <r>
          <rPr>
            <sz val="10"/>
            <rFont val="WenQuanYi Zen Hei"/>
            <family val="2"/>
          </rPr>
          <t xml:space="preserve">千円 → </t>
        </r>
        <r>
          <rPr>
            <sz val="10"/>
            <rFont val="Arial"/>
            <family val="2"/>
          </rPr>
          <t xml:space="preserve">H30:4,833</t>
        </r>
        <r>
          <rPr>
            <sz val="10"/>
            <rFont val="WenQuanYi Zen Hei"/>
            <family val="2"/>
          </rPr>
          <t xml:space="preserve">千円
　　組合払込金率の減について
　　●一般貸付組合払込金率
     ・平成</t>
        </r>
        <r>
          <rPr>
            <sz val="10"/>
            <rFont val="Arial"/>
            <family val="2"/>
          </rPr>
          <t xml:space="preserve">26</t>
        </r>
        <r>
          <rPr>
            <sz val="10"/>
            <rFont val="WenQuanYi Zen Hei"/>
            <family val="2"/>
          </rPr>
          <t xml:space="preserve">年</t>
        </r>
        <r>
          <rPr>
            <sz val="10"/>
            <rFont val="Arial"/>
            <family val="2"/>
          </rPr>
          <t xml:space="preserve">12</t>
        </r>
        <r>
          <rPr>
            <sz val="10"/>
            <rFont val="WenQuanYi Zen Hei"/>
            <family val="2"/>
          </rPr>
          <t xml:space="preserve">月</t>
        </r>
        <r>
          <rPr>
            <sz val="10"/>
            <rFont val="Arial"/>
            <family val="2"/>
          </rPr>
          <t xml:space="preserve">1</t>
        </r>
        <r>
          <rPr>
            <sz val="10"/>
            <rFont val="WenQuanYi Zen Hei"/>
            <family val="2"/>
          </rPr>
          <t xml:space="preserve">日以降における率
　　    </t>
        </r>
        <r>
          <rPr>
            <sz val="10"/>
            <rFont val="Arial"/>
            <family val="2"/>
          </rPr>
          <t xml:space="preserve">H29: 100/100</t>
        </r>
        <r>
          <rPr>
            <sz val="10"/>
            <rFont val="WenQuanYi Zen Hei"/>
            <family val="2"/>
          </rPr>
          <t xml:space="preserve">万 → </t>
        </r>
        <r>
          <rPr>
            <sz val="10"/>
            <rFont val="Arial"/>
            <family val="2"/>
          </rPr>
          <t xml:space="preserve">H30:  85/100</t>
        </r>
        <r>
          <rPr>
            <sz val="10"/>
            <rFont val="WenQuanYi Zen Hei"/>
            <family val="2"/>
          </rPr>
          <t xml:space="preserve">万
　　 ・平成</t>
        </r>
        <r>
          <rPr>
            <sz val="10"/>
            <rFont val="Arial"/>
            <family val="2"/>
          </rPr>
          <t xml:space="preserve">26</t>
        </r>
        <r>
          <rPr>
            <sz val="10"/>
            <rFont val="WenQuanYi Zen Hei"/>
            <family val="2"/>
          </rPr>
          <t xml:space="preserve">年</t>
        </r>
        <r>
          <rPr>
            <sz val="10"/>
            <rFont val="Arial"/>
            <family val="2"/>
          </rPr>
          <t xml:space="preserve">12</t>
        </r>
        <r>
          <rPr>
            <sz val="10"/>
            <rFont val="WenQuanYi Zen Hei"/>
            <family val="2"/>
          </rPr>
          <t xml:space="preserve">月</t>
        </r>
        <r>
          <rPr>
            <sz val="10"/>
            <rFont val="Arial"/>
            <family val="2"/>
          </rPr>
          <t xml:space="preserve">1</t>
        </r>
        <r>
          <rPr>
            <sz val="10"/>
            <rFont val="WenQuanYi Zen Hei"/>
            <family val="2"/>
          </rPr>
          <t xml:space="preserve">日前における率
　　    </t>
        </r>
        <r>
          <rPr>
            <sz val="10"/>
            <rFont val="Arial"/>
            <family val="2"/>
          </rPr>
          <t xml:space="preserve">H29: 174/100</t>
        </r>
        <r>
          <rPr>
            <sz val="10"/>
            <rFont val="WenQuanYi Zen Hei"/>
            <family val="2"/>
          </rPr>
          <t xml:space="preserve">万 → </t>
        </r>
        <r>
          <rPr>
            <sz val="10"/>
            <rFont val="Arial"/>
            <family val="2"/>
          </rPr>
          <t xml:space="preserve">H30: 149/100</t>
        </r>
        <r>
          <rPr>
            <sz val="10"/>
            <rFont val="WenQuanYi Zen Hei"/>
            <family val="2"/>
          </rPr>
          <t xml:space="preserve">万
　　●住宅貸付組合払込金率
     ・平成</t>
        </r>
        <r>
          <rPr>
            <sz val="10"/>
            <rFont val="Arial"/>
            <family val="2"/>
          </rPr>
          <t xml:space="preserve">26</t>
        </r>
        <r>
          <rPr>
            <sz val="10"/>
            <rFont val="WenQuanYi Zen Hei"/>
            <family val="2"/>
          </rPr>
          <t xml:space="preserve">年</t>
        </r>
        <r>
          <rPr>
            <sz val="10"/>
            <rFont val="Arial"/>
            <family val="2"/>
          </rPr>
          <t xml:space="preserve">12</t>
        </r>
        <r>
          <rPr>
            <sz val="10"/>
            <rFont val="WenQuanYi Zen Hei"/>
            <family val="2"/>
          </rPr>
          <t xml:space="preserve">月</t>
        </r>
        <r>
          <rPr>
            <sz val="10"/>
            <rFont val="Arial"/>
            <family val="2"/>
          </rPr>
          <t xml:space="preserve">1</t>
        </r>
        <r>
          <rPr>
            <sz val="10"/>
            <rFont val="WenQuanYi Zen Hei"/>
            <family val="2"/>
          </rPr>
          <t xml:space="preserve">日以降における率
　　　　</t>
        </r>
        <r>
          <rPr>
            <sz val="10"/>
            <rFont val="Arial"/>
            <family val="2"/>
          </rPr>
          <t xml:space="preserve">H29:  86/100</t>
        </r>
        <r>
          <rPr>
            <sz val="10"/>
            <rFont val="WenQuanYi Zen Hei"/>
            <family val="2"/>
          </rPr>
          <t xml:space="preserve">万　→ </t>
        </r>
        <r>
          <rPr>
            <sz val="10"/>
            <rFont val="Arial"/>
            <family val="2"/>
          </rPr>
          <t xml:space="preserve">H30:  92/100</t>
        </r>
        <r>
          <rPr>
            <sz val="10"/>
            <rFont val="WenQuanYi Zen Hei"/>
            <family val="2"/>
          </rPr>
          <t xml:space="preserve">万
     ・平成</t>
        </r>
        <r>
          <rPr>
            <sz val="10"/>
            <rFont val="Arial"/>
            <family val="2"/>
          </rPr>
          <t xml:space="preserve">26</t>
        </r>
        <r>
          <rPr>
            <sz val="10"/>
            <rFont val="WenQuanYi Zen Hei"/>
            <family val="2"/>
          </rPr>
          <t xml:space="preserve">年</t>
        </r>
        <r>
          <rPr>
            <sz val="10"/>
            <rFont val="Arial"/>
            <family val="2"/>
          </rPr>
          <t xml:space="preserve">12</t>
        </r>
        <r>
          <rPr>
            <sz val="10"/>
            <rFont val="WenQuanYi Zen Hei"/>
            <family val="2"/>
          </rPr>
          <t xml:space="preserve">月</t>
        </r>
        <r>
          <rPr>
            <sz val="10"/>
            <rFont val="Arial"/>
            <family val="2"/>
          </rPr>
          <t xml:space="preserve">1</t>
        </r>
        <r>
          <rPr>
            <sz val="10"/>
            <rFont val="WenQuanYi Zen Hei"/>
            <family val="2"/>
          </rPr>
          <t xml:space="preserve">日前における率
　　　　</t>
        </r>
        <r>
          <rPr>
            <sz val="10"/>
            <rFont val="Arial"/>
            <family val="2"/>
          </rPr>
          <t xml:space="preserve">H29: 151/100</t>
        </r>
        <r>
          <rPr>
            <sz val="10"/>
            <rFont val="WenQuanYi Zen Hei"/>
            <family val="2"/>
          </rPr>
          <t xml:space="preserve">万  → </t>
        </r>
        <r>
          <rPr>
            <sz val="10"/>
            <rFont val="Arial"/>
            <family val="2"/>
          </rPr>
          <t xml:space="preserve">H30: 161/100</t>
        </r>
        <r>
          <rPr>
            <sz val="10"/>
            <rFont val="WenQuanYi Zen Hei"/>
            <family val="2"/>
          </rPr>
          <t xml:space="preserve">万</t>
        </r>
      </text>
    </comment>
    <comment ref="S44" authorId="0">
      <text>
        <r>
          <rPr>
            <sz val="10"/>
            <rFont val="WenQuanYi Zen Hei"/>
            <family val="2"/>
          </rPr>
          <t xml:space="preserve">　借入利率及び借入元本残高の減に伴う支払利息の減    △</t>
        </r>
        <r>
          <rPr>
            <sz val="10"/>
            <rFont val="Arial"/>
            <family val="2"/>
          </rPr>
          <t xml:space="preserve">24,344</t>
        </r>
        <r>
          <rPr>
            <sz val="10"/>
            <rFont val="WenQuanYi Zen Hei"/>
            <family val="2"/>
          </rPr>
          <t xml:space="preserve">千円
　　　</t>
        </r>
        <r>
          <rPr>
            <sz val="10"/>
            <rFont val="Arial"/>
            <family val="2"/>
          </rPr>
          <t xml:space="preserve">H29: 36,089</t>
        </r>
        <r>
          <rPr>
            <sz val="10"/>
            <rFont val="WenQuanYi Zen Hei"/>
            <family val="2"/>
          </rPr>
          <t xml:space="preserve">千円 → </t>
        </r>
        <r>
          <rPr>
            <sz val="10"/>
            <rFont val="Arial"/>
            <family val="2"/>
          </rPr>
          <t xml:space="preserve">H30: 11,745</t>
        </r>
        <r>
          <rPr>
            <sz val="10"/>
            <rFont val="WenQuanYi Zen Hei"/>
            <family val="2"/>
          </rPr>
          <t xml:space="preserve">千円
　　○借入利率の減
　　　利率（～</t>
        </r>
        <r>
          <rPr>
            <sz val="10"/>
            <rFont val="Arial"/>
            <family val="2"/>
          </rPr>
          <t xml:space="preserve">H29.12</t>
        </r>
        <r>
          <rPr>
            <sz val="10"/>
            <rFont val="WenQuanYi Zen Hei"/>
            <family val="2"/>
          </rPr>
          <t xml:space="preserve">月）：年</t>
        </r>
        <r>
          <rPr>
            <sz val="10"/>
            <rFont val="Arial"/>
            <family val="2"/>
          </rPr>
          <t xml:space="preserve">2.4%</t>
        </r>
        <r>
          <rPr>
            <sz val="10"/>
            <rFont val="WenQuanYi Zen Hei"/>
            <family val="2"/>
          </rPr>
          <t xml:space="preserve">　→　利率（</t>
        </r>
        <r>
          <rPr>
            <sz val="10"/>
            <rFont val="Arial"/>
            <family val="2"/>
          </rPr>
          <t xml:space="preserve">H30.1</t>
        </r>
        <r>
          <rPr>
            <sz val="10"/>
            <rFont val="WenQuanYi Zen Hei"/>
            <family val="2"/>
          </rPr>
          <t xml:space="preserve">月～）：年</t>
        </r>
        <r>
          <rPr>
            <sz val="10"/>
            <rFont val="Arial"/>
            <family val="2"/>
          </rPr>
          <t xml:space="preserve">1.0%
</t>
        </r>
        <r>
          <rPr>
            <sz val="10"/>
            <rFont val="WenQuanYi Zen Hei"/>
            <family val="2"/>
          </rPr>
          <t xml:space="preserve">　　○償還に伴う借入元本の減
　  　・</t>
        </r>
        <r>
          <rPr>
            <sz val="10"/>
            <rFont val="Arial"/>
            <family val="2"/>
          </rPr>
          <t xml:space="preserve">H30.4</t>
        </r>
        <r>
          <rPr>
            <sz val="10"/>
            <rFont val="WenQuanYi Zen Hei"/>
            <family val="2"/>
          </rPr>
          <t xml:space="preserve">月末　借入元本残高　</t>
        </r>
        <r>
          <rPr>
            <sz val="10"/>
            <rFont val="Arial"/>
            <family val="2"/>
          </rPr>
          <t xml:space="preserve">1,420,000</t>
        </r>
        <r>
          <rPr>
            <sz val="10"/>
            <rFont val="WenQuanYi Zen Hei"/>
            <family val="2"/>
          </rPr>
          <t xml:space="preserve">千円
　　  ・</t>
        </r>
        <r>
          <rPr>
            <sz val="10"/>
            <rFont val="Arial"/>
            <family val="2"/>
          </rPr>
          <t xml:space="preserve">H30.6</t>
        </r>
        <r>
          <rPr>
            <sz val="10"/>
            <rFont val="WenQuanYi Zen Hei"/>
            <family val="2"/>
          </rPr>
          <t xml:space="preserve">月末　借入元本残高　</t>
        </r>
        <r>
          <rPr>
            <sz val="10"/>
            <rFont val="Arial"/>
            <family val="2"/>
          </rPr>
          <t xml:space="preserve">1,120,000</t>
        </r>
        <r>
          <rPr>
            <sz val="10"/>
            <rFont val="WenQuanYi Zen Hei"/>
            <family val="2"/>
          </rPr>
          <t xml:space="preserve">千円
　  　・</t>
        </r>
        <r>
          <rPr>
            <sz val="10"/>
            <rFont val="Arial"/>
            <family val="2"/>
          </rPr>
          <t xml:space="preserve">H31.3</t>
        </r>
        <r>
          <rPr>
            <sz val="10"/>
            <rFont val="WenQuanYi Zen Hei"/>
            <family val="2"/>
          </rPr>
          <t xml:space="preserve">月末　借入元本残高　</t>
        </r>
        <r>
          <rPr>
            <sz val="10"/>
            <rFont val="Arial"/>
            <family val="2"/>
          </rPr>
          <t xml:space="preserve">1,105,000</t>
        </r>
        <r>
          <rPr>
            <sz val="10"/>
            <rFont val="WenQuanYi Zen Hei"/>
            <family val="2"/>
          </rPr>
          <t xml:space="preserve">千円</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D7" authorId="0">
      <text>
        <r>
          <rPr>
            <sz val="10"/>
            <rFont val="WenQuanYi Zen Hei"/>
            <family val="2"/>
          </rPr>
          <t xml:space="preserve">短期＋公的＋介護＋調整</t>
        </r>
      </text>
    </comment>
    <comment ref="D8" authorId="0">
      <text>
        <r>
          <rPr>
            <sz val="10"/>
            <rFont val="WenQuanYi Zen Hei"/>
            <family val="2"/>
          </rPr>
          <t xml:space="preserve">短期＋介護＋任継（短期、介護）</t>
        </r>
      </text>
    </comment>
    <comment ref="D11" authorId="0">
      <text>
        <r>
          <rPr>
            <sz val="10"/>
            <rFont val="WenQuanYi Zen Hei"/>
            <family val="2"/>
          </rPr>
          <t xml:space="preserve">育介手当の原資</t>
        </r>
      </text>
    </comment>
    <comment ref="D26" authorId="0">
      <text>
        <r>
          <rPr>
            <sz val="10"/>
            <rFont val="WenQuanYi Zen Hei"/>
            <family val="2"/>
          </rPr>
          <t xml:space="preserve">資格喪失の返戻金</t>
        </r>
      </text>
    </comment>
    <comment ref="D34" authorId="0">
      <text>
        <r>
          <rPr>
            <sz val="10"/>
            <rFont val="WenQuanYi Zen Hei"/>
            <family val="2"/>
          </rPr>
          <t xml:space="preserve">　退職者給付拠出金、
　前期高齢者納付金、後期高齢者支援金、
　病床転換支援金、介護納付金、
　特別調整拠出金、育介休業手当金拠出金
　出産関連事務費拠出金
　流行初期医療確保拠出金</t>
        </r>
      </text>
    </comment>
    <comment ref="D41" authorId="0">
      <text>
        <r>
          <rPr>
            <sz val="10"/>
            <rFont val="WenQuanYi Zen Hei"/>
            <family val="2"/>
          </rPr>
          <t xml:space="preserve">共同事業（災害支援、掛金の高い組合の支援）</t>
        </r>
      </text>
    </comment>
    <comment ref="D42" authorId="0">
      <text>
        <r>
          <rPr>
            <sz val="10"/>
            <rFont val="WenQuanYi Zen Hei"/>
            <family val="2"/>
          </rPr>
          <t xml:space="preserve">人件費や消耗品の</t>
        </r>
        <r>
          <rPr>
            <sz val="10"/>
            <rFont val="Arial"/>
            <family val="2"/>
          </rPr>
          <t xml:space="preserve">25</t>
        </r>
        <r>
          <rPr>
            <sz val="10"/>
            <rFont val="WenQuanYi Zen Hei"/>
            <family val="2"/>
          </rPr>
          <t xml:space="preserve">％</t>
        </r>
      </text>
    </comment>
    <comment ref="E16" authorId="0">
      <text>
        <r>
          <rPr>
            <sz val="10"/>
            <rFont val="Arial"/>
            <family val="2"/>
          </rPr>
          <t xml:space="preserve">R6</t>
        </r>
        <r>
          <rPr>
            <sz val="10"/>
            <rFont val="WenQuanYi Zen Hei"/>
            <family val="2"/>
          </rPr>
          <t xml:space="preserve">年度新設</t>
        </r>
      </text>
    </comment>
    <comment ref="E18" authorId="0">
      <text>
        <r>
          <rPr>
            <sz val="10"/>
            <rFont val="WenQuanYi Zen Hei"/>
            <family val="2"/>
          </rPr>
          <t xml:space="preserve"> 雑収入（療養給付費等拠出金還付</t>
        </r>
        <r>
          <rPr>
            <sz val="10"/>
            <rFont val="Arial"/>
            <family val="2"/>
          </rPr>
          <t xml:space="preserve">(</t>
        </r>
        <r>
          <rPr>
            <sz val="10"/>
            <rFont val="WenQuanYi Zen Hei"/>
            <family val="2"/>
          </rPr>
          <t xml:space="preserve">基金</t>
        </r>
        <r>
          <rPr>
            <sz val="10"/>
            <rFont val="Arial"/>
            <family val="2"/>
          </rPr>
          <t xml:space="preserve">)</t>
        </r>
        <r>
          <rPr>
            <sz val="10"/>
            <rFont val="WenQuanYi Zen Hei"/>
            <family val="2"/>
          </rPr>
          <t xml:space="preserve">）</t>
        </r>
      </text>
    </comment>
    <comment ref="E50" authorId="0">
      <text>
        <r>
          <rPr>
            <sz val="10"/>
            <rFont val="WenQuanYi Zen Hei"/>
            <family val="2"/>
          </rPr>
          <t xml:space="preserve">【当期収支差額の内訳】
　短期経理：　 　　　　 </t>
        </r>
        <r>
          <rPr>
            <sz val="10"/>
            <rFont val="Arial"/>
            <family val="2"/>
          </rPr>
          <t xml:space="preserve">7</t>
        </r>
        <r>
          <rPr>
            <sz val="10"/>
            <rFont val="WenQuanYi Zen Hei"/>
            <family val="2"/>
          </rPr>
          <t xml:space="preserve">億</t>
        </r>
        <r>
          <rPr>
            <sz val="10"/>
            <rFont val="Arial"/>
            <family val="2"/>
          </rPr>
          <t xml:space="preserve">3,665</t>
        </r>
        <r>
          <rPr>
            <sz val="10"/>
            <rFont val="WenQuanYi Zen Hei"/>
            <family val="2"/>
          </rPr>
          <t xml:space="preserve">万</t>
        </r>
        <r>
          <rPr>
            <sz val="10"/>
            <rFont val="Arial"/>
            <family val="2"/>
          </rPr>
          <t xml:space="preserve">1,003</t>
        </r>
        <r>
          <rPr>
            <sz val="10"/>
            <rFont val="WenQuanYi Zen Hei"/>
            <family val="2"/>
          </rPr>
          <t xml:space="preserve">円　
　介護経理：　      　　 　</t>
        </r>
        <r>
          <rPr>
            <sz val="10"/>
            <rFont val="Arial"/>
            <family val="2"/>
          </rPr>
          <t xml:space="preserve">8,752</t>
        </r>
        <r>
          <rPr>
            <sz val="10"/>
            <rFont val="WenQuanYi Zen Hei"/>
            <family val="2"/>
          </rPr>
          <t xml:space="preserve">万</t>
        </r>
        <r>
          <rPr>
            <sz val="10"/>
            <rFont val="Arial"/>
            <family val="2"/>
          </rPr>
          <t xml:space="preserve">9,507</t>
        </r>
        <r>
          <rPr>
            <sz val="10"/>
            <rFont val="WenQuanYi Zen Hei"/>
            <family val="2"/>
          </rPr>
          <t xml:space="preserve">円
【次期繰越額の内訳】
　欠損金補てん積立金：　</t>
        </r>
        <r>
          <rPr>
            <sz val="10"/>
            <rFont val="Arial"/>
            <family val="2"/>
          </rPr>
          <t xml:space="preserve">4</t>
        </r>
        <r>
          <rPr>
            <sz val="10"/>
            <rFont val="WenQuanYi Zen Hei"/>
            <family val="2"/>
          </rPr>
          <t xml:space="preserve">億</t>
        </r>
        <r>
          <rPr>
            <sz val="10"/>
            <rFont val="Arial"/>
            <family val="2"/>
          </rPr>
          <t xml:space="preserve">8,028</t>
        </r>
        <r>
          <rPr>
            <sz val="10"/>
            <rFont val="WenQuanYi Zen Hei"/>
            <family val="2"/>
          </rPr>
          <t xml:space="preserve">万</t>
        </r>
        <r>
          <rPr>
            <sz val="10"/>
            <rFont val="Arial"/>
            <family val="2"/>
          </rPr>
          <t xml:space="preserve">7,584</t>
        </r>
        <r>
          <rPr>
            <sz val="10"/>
            <rFont val="WenQuanYi Zen Hei"/>
            <family val="2"/>
          </rPr>
          <t xml:space="preserve">円
　短期積立金：　　　　 </t>
        </r>
        <r>
          <rPr>
            <sz val="10"/>
            <rFont val="Arial"/>
            <family val="2"/>
          </rPr>
          <t xml:space="preserve">16</t>
        </r>
        <r>
          <rPr>
            <sz val="10"/>
            <rFont val="WenQuanYi Zen Hei"/>
            <family val="2"/>
          </rPr>
          <t xml:space="preserve">億</t>
        </r>
        <r>
          <rPr>
            <sz val="10"/>
            <rFont val="Arial"/>
            <family val="2"/>
          </rPr>
          <t xml:space="preserve">4,603</t>
        </r>
        <r>
          <rPr>
            <sz val="10"/>
            <rFont val="WenQuanYi Zen Hei"/>
            <family val="2"/>
          </rPr>
          <t xml:space="preserve">万</t>
        </r>
        <r>
          <rPr>
            <sz val="10"/>
            <rFont val="Arial"/>
            <family val="2"/>
          </rPr>
          <t xml:space="preserve">8,250</t>
        </r>
        <r>
          <rPr>
            <sz val="10"/>
            <rFont val="WenQuanYi Zen Hei"/>
            <family val="2"/>
          </rPr>
          <t xml:space="preserve">円　
　介護積立金：       　 </t>
        </r>
        <r>
          <rPr>
            <sz val="10"/>
            <rFont val="Arial"/>
            <family val="2"/>
          </rPr>
          <t xml:space="preserve">1</t>
        </r>
        <r>
          <rPr>
            <sz val="10"/>
            <rFont val="WenQuanYi Zen Hei"/>
            <family val="2"/>
          </rPr>
          <t xml:space="preserve">億</t>
        </r>
        <r>
          <rPr>
            <sz val="10"/>
            <rFont val="Arial"/>
            <family val="2"/>
          </rPr>
          <t xml:space="preserve">1,103</t>
        </r>
        <r>
          <rPr>
            <sz val="10"/>
            <rFont val="WenQuanYi Zen Hei"/>
            <family val="2"/>
          </rPr>
          <t xml:space="preserve">万</t>
        </r>
        <r>
          <rPr>
            <sz val="10"/>
            <rFont val="Arial"/>
            <family val="2"/>
          </rPr>
          <t xml:space="preserve">9,759</t>
        </r>
        <r>
          <rPr>
            <sz val="10"/>
            <rFont val="WenQuanYi Zen Hei"/>
            <family val="2"/>
          </rPr>
          <t xml:space="preserve">円</t>
        </r>
      </text>
    </comment>
    <comment ref="F23" authorId="0">
      <text>
        <r>
          <rPr>
            <sz val="10"/>
            <rFont val="WenQuanYi Zen Hei"/>
            <family val="2"/>
          </rPr>
          <t xml:space="preserve">高齢者医療円滑化事業費助成金
</t>
        </r>
      </text>
    </comment>
    <comment ref="G7" authorId="0">
      <text>
        <r>
          <rPr>
            <sz val="10"/>
            <rFont val="WenQuanYi Zen Hei"/>
            <family val="2"/>
          </rPr>
          <t xml:space="preserve"> ・財源率の改定
 ・（参考）財源率は短期分・介護分・公的負担金が改定あり　　
　　【負担金】
  　・短期分　　　 </t>
        </r>
        <r>
          <rPr>
            <sz val="10"/>
            <rFont val="Arial"/>
            <family val="2"/>
          </rPr>
          <t xml:space="preserve">R5: 44.51‰ → R6: 52.91‰ 
</t>
        </r>
        <r>
          <rPr>
            <sz val="10"/>
            <rFont val="WenQuanYi Zen Hei"/>
            <family val="2"/>
          </rPr>
          <t xml:space="preserve">　　・介護分　　　 </t>
        </r>
        <r>
          <rPr>
            <sz val="10"/>
            <rFont val="Arial"/>
            <family val="2"/>
          </rPr>
          <t xml:space="preserve">R5:  8.9 ‰ → R6:  8.4 ‰  
</t>
        </r>
        <r>
          <rPr>
            <sz val="10"/>
            <rFont val="WenQuanYi Zen Hei"/>
            <family val="2"/>
          </rPr>
          <t xml:space="preserve">　　・調整負担金　 </t>
        </r>
        <r>
          <rPr>
            <sz val="10"/>
            <rFont val="Arial"/>
            <family val="2"/>
          </rPr>
          <t xml:space="preserve">R5:  0.1 ‰ → R6:  0.1 ‰
</t>
        </r>
        <r>
          <rPr>
            <sz val="10"/>
            <rFont val="WenQuanYi Zen Hei"/>
            <family val="2"/>
          </rPr>
          <t xml:space="preserve">　　・公的負担金　 </t>
        </r>
        <r>
          <rPr>
            <sz val="10"/>
            <rFont val="Arial"/>
            <family val="2"/>
          </rPr>
          <t xml:space="preserve">R5:  0.08‰ → R6:  0.74‰</t>
        </r>
      </text>
    </comment>
    <comment ref="G8" authorId="0">
      <text>
        <r>
          <rPr>
            <sz val="10"/>
            <rFont val="WenQuanYi Zen Hei"/>
            <family val="2"/>
          </rPr>
          <t xml:space="preserve">　 ・財源率の改定
　（参考）財源率は短期分・介護分改定あり　【掛金】
  　・短期分　</t>
        </r>
        <r>
          <rPr>
            <sz val="10"/>
            <rFont val="Arial"/>
            <family val="2"/>
          </rPr>
          <t xml:space="preserve">R5</t>
        </r>
        <r>
          <rPr>
            <sz val="10"/>
            <rFont val="WenQuanYi Zen Hei"/>
            <family val="2"/>
          </rPr>
          <t xml:space="preserve">：  </t>
        </r>
        <r>
          <rPr>
            <sz val="10"/>
            <rFont val="Arial"/>
            <family val="2"/>
          </rPr>
          <t xml:space="preserve">44.51‰ → R6: 52.91‰ 
</t>
        </r>
        <r>
          <rPr>
            <sz val="10"/>
            <rFont val="WenQuanYi Zen Hei"/>
            <family val="2"/>
          </rPr>
          <t xml:space="preserve">　　・介護分　</t>
        </r>
        <r>
          <rPr>
            <sz val="10"/>
            <rFont val="Arial"/>
            <family val="2"/>
          </rPr>
          <t xml:space="preserve">R5</t>
        </r>
        <r>
          <rPr>
            <sz val="10"/>
            <rFont val="WenQuanYi Zen Hei"/>
            <family val="2"/>
          </rPr>
          <t xml:space="preserve">：     </t>
        </r>
        <r>
          <rPr>
            <sz val="10"/>
            <rFont val="Arial"/>
            <family val="2"/>
          </rPr>
          <t xml:space="preserve">8.9 ‰ → R6:  8.4 ‰ </t>
        </r>
      </text>
    </comment>
    <comment ref="G11" authorId="0">
      <text>
        <r>
          <rPr>
            <sz val="10"/>
            <rFont val="WenQuanYi Zen Hei"/>
            <family val="2"/>
          </rPr>
          <t xml:space="preserve">　・育児休業手当金交付金の増　</t>
        </r>
        <r>
          <rPr>
            <sz val="10"/>
            <rFont val="Arial"/>
            <family val="2"/>
          </rPr>
          <t xml:space="preserve">14,304</t>
        </r>
        <r>
          <rPr>
            <sz val="10"/>
            <rFont val="WenQuanYi Zen Hei"/>
            <family val="2"/>
          </rPr>
          <t xml:space="preserve">千円
　・介護休業手当金交付金の減　　 </t>
        </r>
        <r>
          <rPr>
            <sz val="10"/>
            <rFont val="Arial"/>
            <family val="2"/>
          </rPr>
          <t xml:space="preserve">573</t>
        </r>
        <r>
          <rPr>
            <sz val="10"/>
            <rFont val="WenQuanYi Zen Hei"/>
            <family val="2"/>
          </rPr>
          <t xml:space="preserve">千円</t>
        </r>
      </text>
    </comment>
    <comment ref="G29" authorId="0">
      <text>
        <r>
          <rPr>
            <sz val="10"/>
            <rFont val="WenQuanYi Zen Hei"/>
            <family val="2"/>
          </rPr>
          <t xml:space="preserve">　・療養の給付の減　　　　 ▲</t>
        </r>
        <r>
          <rPr>
            <sz val="10"/>
            <rFont val="Arial"/>
            <family val="2"/>
          </rPr>
          <t xml:space="preserve">9,024</t>
        </r>
        <r>
          <rPr>
            <sz val="10"/>
            <rFont val="WenQuanYi Zen Hei"/>
            <family val="2"/>
          </rPr>
          <t xml:space="preserve">千円
　・家族療養の給付の減  　▲</t>
        </r>
        <r>
          <rPr>
            <sz val="10"/>
            <rFont val="Arial"/>
            <family val="2"/>
          </rPr>
          <t xml:space="preserve">65,988</t>
        </r>
        <r>
          <rPr>
            <sz val="10"/>
            <rFont val="WenQuanYi Zen Hei"/>
            <family val="2"/>
          </rPr>
          <t xml:space="preserve">千円
　・高額療養の給付の減　　▲</t>
        </r>
        <r>
          <rPr>
            <sz val="10"/>
            <rFont val="Arial"/>
            <family val="2"/>
          </rPr>
          <t xml:space="preserve">10,034</t>
        </r>
        <r>
          <rPr>
            <sz val="10"/>
            <rFont val="WenQuanYi Zen Hei"/>
            <family val="2"/>
          </rPr>
          <t xml:space="preserve">千円
　・高額療養費の減　　　   ▲</t>
        </r>
        <r>
          <rPr>
            <sz val="10"/>
            <rFont val="Arial"/>
            <family val="2"/>
          </rPr>
          <t xml:space="preserve">8,450</t>
        </r>
        <r>
          <rPr>
            <sz val="10"/>
            <rFont val="WenQuanYi Zen Hei"/>
            <family val="2"/>
          </rPr>
          <t xml:space="preserve">千円</t>
        </r>
      </text>
    </comment>
    <comment ref="G30" authorId="0">
      <text>
        <r>
          <rPr>
            <sz val="10"/>
            <rFont val="WenQuanYi Zen Hei"/>
            <family val="2"/>
          </rPr>
          <t xml:space="preserve">　・育児休業手当金の増　　 </t>
        </r>
        <r>
          <rPr>
            <sz val="10"/>
            <rFont val="Arial"/>
            <family val="2"/>
          </rPr>
          <t xml:space="preserve">14,304</t>
        </r>
        <r>
          <rPr>
            <sz val="10"/>
            <rFont val="WenQuanYi Zen Hei"/>
            <family val="2"/>
          </rPr>
          <t xml:space="preserve">千円
　・傷病手当金の増　　　　　</t>
        </r>
        <r>
          <rPr>
            <sz val="10"/>
            <rFont val="Arial"/>
            <family val="2"/>
          </rPr>
          <t xml:space="preserve">6,213</t>
        </r>
        <r>
          <rPr>
            <sz val="10"/>
            <rFont val="WenQuanYi Zen Hei"/>
            <family val="2"/>
          </rPr>
          <t xml:space="preserve">千円</t>
        </r>
      </text>
    </comment>
    <comment ref="G32" authorId="0">
      <text>
        <r>
          <rPr>
            <sz val="10"/>
            <rFont val="WenQuanYi Zen Hei"/>
            <family val="2"/>
          </rPr>
          <t xml:space="preserve">　・家族療養費付加金の減      ▲</t>
        </r>
        <r>
          <rPr>
            <sz val="10"/>
            <rFont val="Arial"/>
            <family val="2"/>
          </rPr>
          <t xml:space="preserve">732</t>
        </r>
        <r>
          <rPr>
            <sz val="10"/>
            <rFont val="WenQuanYi Zen Hei"/>
            <family val="2"/>
          </rPr>
          <t xml:space="preserve">千円
　・出産費付加金の減　　　　▲</t>
        </r>
        <r>
          <rPr>
            <sz val="10"/>
            <rFont val="Arial"/>
            <family val="2"/>
          </rPr>
          <t xml:space="preserve">2,128</t>
        </r>
        <r>
          <rPr>
            <sz val="10"/>
            <rFont val="WenQuanYi Zen Hei"/>
            <family val="2"/>
          </rPr>
          <t xml:space="preserve">千円
　・家族出産費附加金の減　    ▲</t>
        </r>
        <r>
          <rPr>
            <sz val="10"/>
            <rFont val="Arial"/>
            <family val="2"/>
          </rPr>
          <t xml:space="preserve">996</t>
        </r>
        <r>
          <rPr>
            <sz val="10"/>
            <rFont val="WenQuanYi Zen Hei"/>
            <family val="2"/>
          </rPr>
          <t xml:space="preserve">千円</t>
        </r>
      </text>
    </comment>
    <comment ref="G34" authorId="0">
      <text>
        <r>
          <rPr>
            <sz val="10"/>
            <rFont val="WenQuanYi Zen Hei"/>
            <family val="2"/>
          </rPr>
          <t xml:space="preserve">　・前期高齢者納付金の増　　　　　 </t>
        </r>
        <r>
          <rPr>
            <sz val="10"/>
            <rFont val="Arial"/>
            <family val="2"/>
          </rPr>
          <t xml:space="preserve">1,064,346</t>
        </r>
        <r>
          <rPr>
            <sz val="10"/>
            <rFont val="WenQuanYi Zen Hei"/>
            <family val="2"/>
          </rPr>
          <t xml:space="preserve">千円　
　・後期高齢者支援金の増　　　　   　 </t>
        </r>
        <r>
          <rPr>
            <sz val="10"/>
            <rFont val="Arial"/>
            <family val="2"/>
          </rPr>
          <t xml:space="preserve">34,519</t>
        </r>
        <r>
          <rPr>
            <sz val="10"/>
            <rFont val="WenQuanYi Zen Hei"/>
            <family val="2"/>
          </rPr>
          <t xml:space="preserve">千円
　・介護納付金の減　　　　　　　　  ▲</t>
        </r>
        <r>
          <rPr>
            <sz val="10"/>
            <rFont val="Arial"/>
            <family val="2"/>
          </rPr>
          <t xml:space="preserve">86,004</t>
        </r>
        <r>
          <rPr>
            <sz val="10"/>
            <rFont val="WenQuanYi Zen Hei"/>
            <family val="2"/>
          </rPr>
          <t xml:space="preserve">千円
　・育児介護休業手当金拠出金の増  　  </t>
        </r>
        <r>
          <rPr>
            <sz val="10"/>
            <rFont val="Arial"/>
            <family val="2"/>
          </rPr>
          <t xml:space="preserve">33,915</t>
        </r>
        <r>
          <rPr>
            <sz val="10"/>
            <rFont val="WenQuanYi Zen Hei"/>
            <family val="2"/>
          </rPr>
          <t xml:space="preserve">千円</t>
        </r>
      </text>
    </comment>
    <comment ref="G41" authorId="0">
      <text>
        <r>
          <rPr>
            <sz val="10"/>
            <rFont val="WenQuanYi Zen Hei"/>
            <family val="2"/>
          </rPr>
          <t xml:space="preserve">　・災害給付払込金の増　          </t>
        </r>
        <r>
          <rPr>
            <sz val="10"/>
            <rFont val="Arial"/>
            <family val="2"/>
          </rPr>
          <t xml:space="preserve">950</t>
        </r>
        <r>
          <rPr>
            <sz val="10"/>
            <rFont val="WenQuanYi Zen Hei"/>
            <family val="2"/>
          </rPr>
          <t xml:space="preserve">千円
　・財政調整払込金の増　        </t>
        </r>
        <r>
          <rPr>
            <sz val="10"/>
            <rFont val="Arial"/>
            <family val="2"/>
          </rPr>
          <t xml:space="preserve">5,222</t>
        </r>
        <r>
          <rPr>
            <sz val="10"/>
            <rFont val="WenQuanYi Zen Hei"/>
            <family val="2"/>
          </rPr>
          <t xml:space="preserve">千円</t>
        </r>
      </text>
    </comment>
    <comment ref="M7" authorId="0">
      <text>
        <r>
          <rPr>
            <sz val="10"/>
            <rFont val="WenQuanYi Zen Hei"/>
            <family val="2"/>
          </rPr>
          <t xml:space="preserve">事業費用の増による事務費負担金の増</t>
        </r>
      </text>
    </comment>
    <comment ref="M19" authorId="0">
      <text>
        <r>
          <rPr>
            <sz val="10"/>
            <rFont val="WenQuanYi Zen Hei"/>
            <family val="2"/>
          </rPr>
          <t xml:space="preserve">事業費用の増による事務費負担金の増</t>
        </r>
      </text>
    </comment>
    <comment ref="M23" authorId="0">
      <text>
        <r>
          <rPr>
            <sz val="10"/>
            <rFont val="WenQuanYi Zen Hei"/>
            <family val="2"/>
          </rPr>
          <t xml:space="preserve">社会保障・税番号制度システム整備費等補助金の増</t>
        </r>
      </text>
    </comment>
    <comment ref="M44" authorId="0">
      <text>
        <r>
          <rPr>
            <sz val="10"/>
            <rFont val="WenQuanYi Zen Hei"/>
            <family val="2"/>
          </rPr>
          <t xml:space="preserve">　・委託費の増　　　　　　　　　 </t>
        </r>
        <r>
          <rPr>
            <sz val="10"/>
            <rFont val="Arial"/>
            <family val="2"/>
          </rPr>
          <t xml:space="preserve">11,396</t>
        </r>
        <r>
          <rPr>
            <sz val="10"/>
            <rFont val="WenQuanYi Zen Hei"/>
            <family val="2"/>
          </rPr>
          <t xml:space="preserve">千円
　・事務費負担金払込金の増　　　　</t>
        </r>
        <r>
          <rPr>
            <sz val="10"/>
            <rFont val="Arial"/>
            <family val="2"/>
          </rPr>
          <t xml:space="preserve">4,582</t>
        </r>
        <r>
          <rPr>
            <sz val="10"/>
            <rFont val="WenQuanYi Zen Hei"/>
            <family val="2"/>
          </rPr>
          <t xml:space="preserve">千円
　・職員給与の増　　　　　　　　　</t>
        </r>
        <r>
          <rPr>
            <sz val="10"/>
            <rFont val="Arial"/>
            <family val="2"/>
          </rPr>
          <t xml:space="preserve">1,666</t>
        </r>
        <r>
          <rPr>
            <sz val="10"/>
            <rFont val="WenQuanYi Zen Hei"/>
            <family val="2"/>
          </rPr>
          <t xml:space="preserve">千円
　・賃借料の増　　　　　　　　　　</t>
        </r>
        <r>
          <rPr>
            <sz val="10"/>
            <rFont val="Arial"/>
            <family val="2"/>
          </rPr>
          <t xml:space="preserve">1,409</t>
        </r>
        <r>
          <rPr>
            <sz val="10"/>
            <rFont val="WenQuanYi Zen Hei"/>
            <family val="2"/>
          </rPr>
          <t xml:space="preserve">千円
　・事務費の増　　　　　　　　　　　</t>
        </r>
        <r>
          <rPr>
            <sz val="10"/>
            <rFont val="Arial"/>
            <family val="2"/>
          </rPr>
          <t xml:space="preserve">805</t>
        </r>
        <r>
          <rPr>
            <sz val="10"/>
            <rFont val="WenQuanYi Zen Hei"/>
            <family val="2"/>
          </rPr>
          <t xml:space="preserve">千円
　・連合会分担金の増   　    　  　</t>
        </r>
        <r>
          <rPr>
            <sz val="10"/>
            <rFont val="Arial"/>
            <family val="2"/>
          </rPr>
          <t xml:space="preserve">521</t>
        </r>
        <r>
          <rPr>
            <sz val="10"/>
            <rFont val="WenQuanYi Zen Hei"/>
            <family val="2"/>
          </rPr>
          <t xml:space="preserve">千円
 　 </t>
        </r>
        <r>
          <rPr>
            <sz val="10"/>
            <rFont val="Arial"/>
            <family val="2"/>
          </rPr>
          <t xml:space="preserve">R5</t>
        </r>
        <r>
          <rPr>
            <sz val="10"/>
            <rFont val="WenQuanYi Zen Hei"/>
            <family val="2"/>
          </rPr>
          <t xml:space="preserve">　   </t>
        </r>
        <r>
          <rPr>
            <sz val="10"/>
            <rFont val="Arial"/>
            <family val="2"/>
          </rPr>
          <t xml:space="preserve">@475</t>
        </r>
        <r>
          <rPr>
            <sz val="10"/>
            <rFont val="WenQuanYi Zen Hei"/>
            <family val="2"/>
          </rPr>
          <t xml:space="preserve">円</t>
        </r>
        <r>
          <rPr>
            <sz val="10"/>
            <rFont val="Arial"/>
            <family val="2"/>
          </rPr>
          <t xml:space="preserve">×18,555</t>
        </r>
        <r>
          <rPr>
            <sz val="10"/>
            <rFont val="WenQuanYi Zen Hei"/>
            <family val="2"/>
          </rPr>
          <t xml:space="preserve">人＝</t>
        </r>
        <r>
          <rPr>
            <sz val="10"/>
            <rFont val="Arial"/>
            <family val="2"/>
          </rPr>
          <t xml:space="preserve">8,813,625</t>
        </r>
        <r>
          <rPr>
            <sz val="10"/>
            <rFont val="WenQuanYi Zen Hei"/>
            <family val="2"/>
          </rPr>
          <t xml:space="preserve">円
 　 </t>
        </r>
        <r>
          <rPr>
            <sz val="10"/>
            <rFont val="Arial"/>
            <family val="2"/>
          </rPr>
          <t xml:space="preserve">R6</t>
        </r>
        <r>
          <rPr>
            <sz val="10"/>
            <rFont val="WenQuanYi Zen Hei"/>
            <family val="2"/>
          </rPr>
          <t xml:space="preserve">　   </t>
        </r>
        <r>
          <rPr>
            <sz val="10"/>
            <rFont val="Arial"/>
            <family val="2"/>
          </rPr>
          <t xml:space="preserve">@497</t>
        </r>
        <r>
          <rPr>
            <sz val="10"/>
            <rFont val="WenQuanYi Zen Hei"/>
            <family val="2"/>
          </rPr>
          <t xml:space="preserve">円</t>
        </r>
        <r>
          <rPr>
            <sz val="10"/>
            <rFont val="Arial"/>
            <family val="2"/>
          </rPr>
          <t xml:space="preserve">×18,781</t>
        </r>
        <r>
          <rPr>
            <sz val="10"/>
            <rFont val="WenQuanYi Zen Hei"/>
            <family val="2"/>
          </rPr>
          <t xml:space="preserve">人＝</t>
        </r>
        <r>
          <rPr>
            <sz val="10"/>
            <rFont val="Arial"/>
            <family val="2"/>
          </rPr>
          <t xml:space="preserve">9,334,157</t>
        </r>
        <r>
          <rPr>
            <sz val="10"/>
            <rFont val="WenQuanYi Zen Hei"/>
            <family val="2"/>
          </rPr>
          <t xml:space="preserve">円</t>
        </r>
      </text>
    </comment>
    <comment ref="N17" authorId="0">
      <text>
        <r>
          <rPr>
            <sz val="10"/>
            <rFont val="Arial"/>
            <family val="2"/>
          </rPr>
          <t xml:space="preserve">R6</t>
        </r>
        <r>
          <rPr>
            <sz val="10"/>
            <rFont val="WenQuanYi Zen Hei"/>
            <family val="2"/>
          </rPr>
          <t xml:space="preserve">年度施設廃止</t>
        </r>
      </text>
    </comment>
    <comment ref="P7" authorId="0">
      <text>
        <r>
          <rPr>
            <sz val="10"/>
            <rFont val="WenQuanYi Zen Hei"/>
            <family val="2"/>
          </rPr>
          <t xml:space="preserve">　掛金との差は、法定健診等負担金との差
　　（人間ドック代用事業主負担等）</t>
        </r>
      </text>
    </comment>
    <comment ref="P44" authorId="0">
      <text>
        <r>
          <rPr>
            <sz val="10"/>
            <rFont val="WenQuanYi Zen Hei"/>
            <family val="2"/>
          </rPr>
          <t xml:space="preserve">　・人間ドックの増     　　　 </t>
        </r>
        <r>
          <rPr>
            <sz val="10"/>
            <rFont val="Arial"/>
            <family val="2"/>
          </rPr>
          <t xml:space="preserve">22,688</t>
        </r>
        <r>
          <rPr>
            <sz val="10"/>
            <rFont val="WenQuanYi Zen Hei"/>
            <family val="2"/>
          </rPr>
          <t xml:space="preserve">千円
　・特定健康診査の増　　　　　　 </t>
        </r>
        <r>
          <rPr>
            <sz val="10"/>
            <rFont val="Arial"/>
            <family val="2"/>
          </rPr>
          <t xml:space="preserve">555</t>
        </r>
        <r>
          <rPr>
            <sz val="10"/>
            <rFont val="WenQuanYi Zen Hei"/>
            <family val="2"/>
          </rPr>
          <t xml:space="preserve">千円
　・特定保健指導の減　　 　  ▲</t>
        </r>
        <r>
          <rPr>
            <sz val="10"/>
            <rFont val="Arial"/>
            <family val="2"/>
          </rPr>
          <t xml:space="preserve">4,805</t>
        </r>
        <r>
          <rPr>
            <sz val="10"/>
            <rFont val="WenQuanYi Zen Hei"/>
            <family val="2"/>
          </rPr>
          <t xml:space="preserve">千円
　・会員制福利厚生制度の増　　　 </t>
        </r>
        <r>
          <rPr>
            <sz val="10"/>
            <rFont val="Arial"/>
            <family val="2"/>
          </rPr>
          <t xml:space="preserve">313</t>
        </r>
        <r>
          <rPr>
            <sz val="10"/>
            <rFont val="WenQuanYi Zen Hei"/>
            <family val="2"/>
          </rPr>
          <t xml:space="preserve">千円
　・婦人科健診の増　　　　　　 </t>
        </r>
        <r>
          <rPr>
            <sz val="10"/>
            <rFont val="Arial"/>
            <family val="2"/>
          </rPr>
          <t xml:space="preserve">2,060</t>
        </r>
        <r>
          <rPr>
            <sz val="10"/>
            <rFont val="WenQuanYi Zen Hei"/>
            <family val="2"/>
          </rPr>
          <t xml:space="preserve">千円
　・コテージの増</t>
        </r>
        <r>
          <rPr>
            <sz val="10"/>
            <rFont val="Arial"/>
            <family val="2"/>
          </rPr>
          <t xml:space="preserve">(</t>
        </r>
        <r>
          <rPr>
            <sz val="10"/>
            <rFont val="WenQuanYi Zen Hei"/>
            <family val="2"/>
          </rPr>
          <t xml:space="preserve">解体</t>
        </r>
        <r>
          <rPr>
            <sz val="10"/>
            <rFont val="Arial"/>
            <family val="2"/>
          </rPr>
          <t xml:space="preserve">) </t>
        </r>
        <r>
          <rPr>
            <sz val="10"/>
            <rFont val="WenQuanYi Zen Hei"/>
            <family val="2"/>
          </rPr>
          <t xml:space="preserve">　　　 </t>
        </r>
        <r>
          <rPr>
            <sz val="10"/>
            <rFont val="Arial"/>
            <family val="2"/>
          </rPr>
          <t xml:space="preserve">13,026</t>
        </r>
        <r>
          <rPr>
            <sz val="10"/>
            <rFont val="WenQuanYi Zen Hei"/>
            <family val="2"/>
          </rPr>
          <t xml:space="preserve">千円
　・データヘルス計画の減　　 ▲</t>
        </r>
        <r>
          <rPr>
            <sz val="10"/>
            <rFont val="Arial"/>
            <family val="2"/>
          </rPr>
          <t xml:space="preserve">3,401</t>
        </r>
        <r>
          <rPr>
            <sz val="10"/>
            <rFont val="WenQuanYi Zen Hei"/>
            <family val="2"/>
          </rPr>
          <t xml:space="preserve">千円</t>
        </r>
      </text>
    </comment>
    <comment ref="S22" authorId="0">
      <text>
        <r>
          <rPr>
            <sz val="10"/>
            <rFont val="WenQuanYi Zen Hei"/>
            <family val="2"/>
          </rPr>
          <t xml:space="preserve">　貸付金残高の減
　　　令和</t>
        </r>
        <r>
          <rPr>
            <sz val="10"/>
            <rFont val="Arial"/>
            <family val="2"/>
          </rPr>
          <t xml:space="preserve">6</t>
        </r>
        <r>
          <rPr>
            <sz val="10"/>
            <rFont val="WenQuanYi Zen Hei"/>
            <family val="2"/>
          </rPr>
          <t xml:space="preserve">年</t>
        </r>
        <r>
          <rPr>
            <sz val="10"/>
            <rFont val="Arial"/>
            <family val="2"/>
          </rPr>
          <t xml:space="preserve">3</t>
        </r>
        <r>
          <rPr>
            <sz val="10"/>
            <rFont val="WenQuanYi Zen Hei"/>
            <family val="2"/>
          </rPr>
          <t xml:space="preserve">月末　</t>
        </r>
        <r>
          <rPr>
            <sz val="10"/>
            <rFont val="Arial"/>
            <family val="2"/>
          </rPr>
          <t xml:space="preserve">1,074,558,509</t>
        </r>
        <r>
          <rPr>
            <sz val="10"/>
            <rFont val="WenQuanYi Zen Hei"/>
            <family val="2"/>
          </rPr>
          <t xml:space="preserve">円
　  　令和</t>
        </r>
        <r>
          <rPr>
            <sz val="10"/>
            <rFont val="Arial"/>
            <family val="2"/>
          </rPr>
          <t xml:space="preserve">7</t>
        </r>
        <r>
          <rPr>
            <sz val="10"/>
            <rFont val="WenQuanYi Zen Hei"/>
            <family val="2"/>
          </rPr>
          <t xml:space="preserve">年</t>
        </r>
        <r>
          <rPr>
            <sz val="10"/>
            <rFont val="Arial"/>
            <family val="2"/>
          </rPr>
          <t xml:space="preserve">3</t>
        </r>
        <r>
          <rPr>
            <sz val="10"/>
            <rFont val="WenQuanYi Zen Hei"/>
            <family val="2"/>
          </rPr>
          <t xml:space="preserve">月末　　</t>
        </r>
        <r>
          <rPr>
            <sz val="10"/>
            <rFont val="Arial"/>
            <family val="2"/>
          </rPr>
          <t xml:space="preserve">957,879,024</t>
        </r>
        <r>
          <rPr>
            <sz val="10"/>
            <rFont val="WenQuanYi Zen Hei"/>
            <family val="2"/>
          </rPr>
          <t xml:space="preserve">円
　　　　　　 　　　△ </t>
        </r>
        <r>
          <rPr>
            <sz val="10"/>
            <rFont val="Arial"/>
            <family val="2"/>
          </rPr>
          <t xml:space="preserve">116,679,485</t>
        </r>
        <r>
          <rPr>
            <sz val="10"/>
            <rFont val="WenQuanYi Zen Hei"/>
            <family val="2"/>
          </rPr>
          <t xml:space="preserve">円　
　※利率　年</t>
        </r>
        <r>
          <rPr>
            <sz val="10"/>
            <rFont val="Arial"/>
            <family val="2"/>
          </rPr>
          <t xml:space="preserve">1.26</t>
        </r>
      </text>
    </comment>
    <comment ref="S41" authorId="0">
      <text>
        <r>
          <rPr>
            <sz val="10"/>
            <rFont val="WenQuanYi Zen Hei"/>
            <family val="2"/>
          </rPr>
          <t xml:space="preserve">　連合会貸付債権共同保全事業</t>
        </r>
        <r>
          <rPr>
            <sz val="10"/>
            <rFont val="Arial"/>
            <family val="2"/>
          </rPr>
          <t xml:space="preserve">(※1)</t>
        </r>
        <r>
          <rPr>
            <sz val="10"/>
            <rFont val="WenQuanYi Zen Hei"/>
            <family val="2"/>
          </rPr>
          <t xml:space="preserve">における連合会払込金の減（令和６年度から令和８年度の間は連合会への払い込みは要しない）
</t>
        </r>
        <r>
          <rPr>
            <sz val="10"/>
            <rFont val="Arial"/>
            <family val="2"/>
          </rPr>
          <t xml:space="preserve">(※1)</t>
        </r>
        <r>
          <rPr>
            <sz val="10"/>
            <rFont val="WenQuanYi Zen Hei"/>
            <family val="2"/>
          </rPr>
          <t xml:space="preserve">　組合員が破産等により償還不能となり貸付経理に損失が出た場合に、その損失額を補てんすることにより貸付債権の保全を図るもの。 </t>
        </r>
      </text>
    </comment>
    <comment ref="S44" authorId="0">
      <text>
        <r>
          <rPr>
            <sz val="10"/>
            <rFont val="WenQuanYi Zen Hei"/>
            <family val="2"/>
          </rPr>
          <t xml:space="preserve">・委託費の増　　</t>
        </r>
        <r>
          <rPr>
            <sz val="10"/>
            <rFont val="Arial"/>
            <family val="2"/>
          </rPr>
          <t xml:space="preserve">3,503</t>
        </r>
        <r>
          <rPr>
            <sz val="10"/>
            <rFont val="WenQuanYi Zen Hei"/>
            <family val="2"/>
          </rPr>
          <t xml:space="preserve">千円</t>
        </r>
      </text>
    </comment>
  </commentList>
</comments>
</file>

<file path=xl/sharedStrings.xml><?xml version="1.0" encoding="utf-8"?>
<sst xmlns="http://schemas.openxmlformats.org/spreadsheetml/2006/main" count="779" uniqueCount="432">
  <si>
    <t xml:space="preserve">決算業務（年次決算）統合ブック　使い方</t>
  </si>
  <si>
    <r>
      <rPr>
        <sz val="10"/>
        <rFont val="WenQuanYi Zen Hei"/>
        <family val="2"/>
      </rPr>
      <t xml:space="preserve">基幹システムの数字を「入力」シートに貼るだけで、決算精算表・財務諸表・附属明細表・決算書</t>
    </r>
    <r>
      <rPr>
        <sz val="10"/>
        <rFont val="MS ゴシック"/>
        <family val="0"/>
        <charset val="1"/>
      </rPr>
      <t xml:space="preserve">P18-19</t>
    </r>
    <r>
      <rPr>
        <sz val="10"/>
        <rFont val="WenQuanYi Zen Hei"/>
        <family val="2"/>
      </rPr>
      <t xml:space="preserve">・決算総括表まで自動で反映されます。</t>
    </r>
  </si>
  <si>
    <t xml:space="preserve">◆毎年の手順</t>
  </si>
  <si>
    <t xml:space="preserve">①入力シート</t>
  </si>
  <si>
    <r>
      <rPr>
        <sz val="10"/>
        <rFont val="WenQuanYi Zen Hei"/>
        <family val="2"/>
      </rPr>
      <t xml:space="preserve">「会計年度」「審査日」「氏名」「統計システム確定値」を入力。基幹システムの試算表（</t>
    </r>
    <r>
      <rPr>
        <sz val="10"/>
        <rFont val="MS ゴシック"/>
        <family val="0"/>
        <charset val="1"/>
      </rPr>
      <t xml:space="preserve">3</t>
    </r>
    <r>
      <rPr>
        <sz val="10"/>
        <rFont val="WenQuanYi Zen Hei"/>
        <family val="2"/>
      </rPr>
      <t xml:space="preserve">月分残高）を勘定科目・借方・貸方の</t>
    </r>
    <r>
      <rPr>
        <sz val="10"/>
        <rFont val="MS ゴシック"/>
        <family val="0"/>
        <charset val="1"/>
      </rPr>
      <t xml:space="preserve">3</t>
    </r>
    <r>
      <rPr>
        <sz val="10"/>
        <rFont val="WenQuanYi Zen Hei"/>
        <family val="2"/>
      </rPr>
      <t xml:space="preserve">列で貼り付け。</t>
    </r>
  </si>
  <si>
    <t xml:space="preserve">②附属明細表</t>
  </si>
  <si>
    <t xml:space="preserve">未払金・未収金・未払費用などの明細（相手先・摘要・金額）を入力。この金額が決算精算表の「修正増減」に自動で入ります。</t>
  </si>
  <si>
    <t xml:space="preserve">③予算額・前年度決算額</t>
  </si>
  <si>
    <r>
      <rPr>
        <sz val="10"/>
        <rFont val="WenQuanYi Zen Hei"/>
        <family val="2"/>
      </rPr>
      <t xml:space="preserve">決算書</t>
    </r>
    <r>
      <rPr>
        <sz val="10"/>
        <rFont val="MS ゴシック"/>
        <family val="0"/>
        <charset val="1"/>
      </rPr>
      <t xml:space="preserve">P18</t>
    </r>
    <r>
      <rPr>
        <sz val="10"/>
        <rFont val="WenQuanYi Zen Hei"/>
        <family val="2"/>
      </rPr>
      <t xml:space="preserve">・</t>
    </r>
    <r>
      <rPr>
        <sz val="10"/>
        <rFont val="MS ゴシック"/>
        <family val="0"/>
        <charset val="1"/>
      </rPr>
      <t xml:space="preserve">P19</t>
    </r>
    <r>
      <rPr>
        <sz val="10"/>
        <rFont val="WenQuanYi Zen Hei"/>
        <family val="2"/>
      </rPr>
      <t xml:space="preserve">の「事業計画額」「前年度決算額」、総括表の前年度列は、これまでどおり手入力（前年の数字を貼り付け）です。</t>
    </r>
  </si>
  <si>
    <t xml:space="preserve">④検算シート</t>
  </si>
  <si>
    <r>
      <rPr>
        <sz val="10"/>
        <rFont val="WenQuanYi Zen Hei"/>
        <family val="2"/>
      </rPr>
      <t xml:space="preserve">「すべて</t>
    </r>
    <r>
      <rPr>
        <sz val="10"/>
        <rFont val="MS ゴシック"/>
        <family val="0"/>
        <charset val="1"/>
      </rPr>
      <t xml:space="preserve">OK</t>
    </r>
    <r>
      <rPr>
        <sz val="10"/>
        <rFont val="WenQuanYi Zen Hei"/>
        <family val="2"/>
      </rPr>
      <t xml:space="preserve">」になるまで差の出た項目を確認。基幹の貼り付け漏れ、明細の入力ミス、科目名の不一致を検出します。</t>
    </r>
  </si>
  <si>
    <t xml:space="preserve">⑤印刷・提出</t>
  </si>
  <si>
    <r>
      <rPr>
        <sz val="10"/>
        <rFont val="WenQuanYi Zen Hei"/>
        <family val="2"/>
      </rPr>
      <t xml:space="preserve">決算精算表・財務諸表・附属明細表・決算書</t>
    </r>
    <r>
      <rPr>
        <sz val="10"/>
        <rFont val="MS ゴシック"/>
        <family val="0"/>
        <charset val="1"/>
      </rPr>
      <t xml:space="preserve">P18-19</t>
    </r>
    <r>
      <rPr>
        <sz val="10"/>
        <rFont val="WenQuanYi Zen Hei"/>
        <family val="2"/>
      </rPr>
      <t xml:space="preserve">・総括表（メモなし／メモあり）を印刷。</t>
    </r>
  </si>
  <si>
    <t xml:space="preserve">◆数字の流れ</t>
  </si>
  <si>
    <t xml:space="preserve">入力 → 決算精算表</t>
  </si>
  <si>
    <r>
      <rPr>
        <sz val="10"/>
        <rFont val="MS ゴシック"/>
        <family val="0"/>
        <charset val="1"/>
      </rPr>
      <t xml:space="preserve">3</t>
    </r>
    <r>
      <rPr>
        <sz val="10"/>
        <rFont val="WenQuanYi Zen Hei"/>
        <family val="2"/>
      </rPr>
      <t xml:space="preserve">月分残高（借方</t>
    </r>
    <r>
      <rPr>
        <sz val="10"/>
        <rFont val="MS ゴシック"/>
        <family val="0"/>
        <charset val="1"/>
      </rPr>
      <t xml:space="preserve">C</t>
    </r>
    <r>
      <rPr>
        <sz val="10"/>
        <rFont val="WenQuanYi Zen Hei"/>
        <family val="2"/>
      </rPr>
      <t xml:space="preserve">列／貸方</t>
    </r>
    <r>
      <rPr>
        <sz val="10"/>
        <rFont val="MS ゴシック"/>
        <family val="0"/>
        <charset val="1"/>
      </rPr>
      <t xml:space="preserve">E</t>
    </r>
    <r>
      <rPr>
        <sz val="10"/>
        <rFont val="WenQuanYi Zen Hei"/>
        <family val="2"/>
      </rPr>
      <t xml:space="preserve">列）：科目名で自動照合（空白・全角空白は無視）。並び順が変わっても、科目名が同じなら取り込めます。</t>
    </r>
  </si>
  <si>
    <t xml:space="preserve">附属明細表 → 決算精算表</t>
  </si>
  <si>
    <r>
      <rPr>
        <sz val="10"/>
        <rFont val="WenQuanYi Zen Hei"/>
        <family val="2"/>
      </rPr>
      <t xml:space="preserve">修正増減（</t>
    </r>
    <r>
      <rPr>
        <sz val="10"/>
        <rFont val="MS ゴシック"/>
        <family val="0"/>
        <charset val="1"/>
      </rPr>
      <t xml:space="preserve">B</t>
    </r>
    <r>
      <rPr>
        <sz val="10"/>
        <rFont val="WenQuanYi Zen Hei"/>
        <family val="2"/>
      </rPr>
      <t xml:space="preserve">列／</t>
    </r>
    <r>
      <rPr>
        <sz val="10"/>
        <rFont val="MS ゴシック"/>
        <family val="0"/>
        <charset val="1"/>
      </rPr>
      <t xml:space="preserve">F</t>
    </r>
    <r>
      <rPr>
        <sz val="10"/>
        <rFont val="WenQuanYi Zen Hei"/>
        <family val="2"/>
      </rPr>
      <t xml:space="preserve">列）：未払金・未収金・未払費用・減価償却費の明細から。当期利益金（</t>
    </r>
    <r>
      <rPr>
        <sz val="10"/>
        <rFont val="MS ゴシック"/>
        <family val="0"/>
        <charset val="1"/>
      </rPr>
      <t xml:space="preserve">B38</t>
    </r>
    <r>
      <rPr>
        <sz val="10"/>
        <rFont val="WenQuanYi Zen Hei"/>
        <family val="2"/>
      </rPr>
      <t xml:space="preserve">）は 収益−費用 で自動計算。</t>
    </r>
  </si>
  <si>
    <t xml:space="preserve">決算精算表 → 財務諸表</t>
  </si>
  <si>
    <t xml:space="preserve">貸借対照表・損益計算書の全金額を決算精算表の差引残高から引用。注記の減価償却累計額も附属明細表から自動。</t>
  </si>
  <si>
    <t xml:space="preserve">決算精算表 → 附属明細表</t>
  </si>
  <si>
    <t xml:space="preserve">積立金明細・利益剰余金計算書・支出実績表（支出済額・未済額）・固定資産の当期償却額を連動。</t>
  </si>
  <si>
    <r>
      <rPr>
        <b val="true"/>
        <sz val="10"/>
        <rFont val="WenQuanYi Zen Hei"/>
        <family val="2"/>
      </rPr>
      <t xml:space="preserve">決算精算表 → 決算書</t>
    </r>
    <r>
      <rPr>
        <b val="true"/>
        <sz val="10"/>
        <rFont val="MS ゴシック"/>
        <family val="0"/>
        <charset val="1"/>
      </rPr>
      <t xml:space="preserve">P18</t>
    </r>
    <r>
      <rPr>
        <b val="true"/>
        <sz val="10"/>
        <rFont val="WenQuanYi Zen Hei"/>
        <family val="2"/>
      </rPr>
      <t xml:space="preserve">／</t>
    </r>
    <r>
      <rPr>
        <b val="true"/>
        <sz val="10"/>
        <rFont val="MS ゴシック"/>
        <family val="0"/>
        <charset val="1"/>
      </rPr>
      <t xml:space="preserve">P19</t>
    </r>
  </si>
  <si>
    <r>
      <rPr>
        <sz val="10"/>
        <rFont val="WenQuanYi Zen Hei"/>
        <family val="2"/>
      </rPr>
      <t xml:space="preserve">収入・支出の決算額、「利益剰余金の処分」の文章（万円表記）、組合員</t>
    </r>
    <r>
      <rPr>
        <sz val="10"/>
        <rFont val="MS ゴシック"/>
        <family val="0"/>
        <charset val="1"/>
      </rPr>
      <t xml:space="preserve">1</t>
    </r>
    <r>
      <rPr>
        <sz val="10"/>
        <rFont val="WenQuanYi Zen Hei"/>
        <family val="2"/>
      </rPr>
      <t xml:space="preserve">人当たりの額（平均組合員数で自動計算）。</t>
    </r>
  </si>
  <si>
    <t xml:space="preserve">決算精算表 → 総括表</t>
  </si>
  <si>
    <r>
      <rPr>
        <sz val="10"/>
        <rFont val="WenQuanYi Zen Hei"/>
        <family val="2"/>
      </rPr>
      <t xml:space="preserve">業務経理の令和○年度列（</t>
    </r>
    <r>
      <rPr>
        <sz val="10"/>
        <rFont val="MS ゴシック"/>
        <family val="0"/>
        <charset val="1"/>
      </rPr>
      <t xml:space="preserve">K</t>
    </r>
    <r>
      <rPr>
        <sz val="10"/>
        <rFont val="WenQuanYi Zen Hei"/>
        <family val="2"/>
      </rPr>
      <t xml:space="preserve">列）に自動反映。メモあり版は、メモなし版の数字を参照するようにしたので二重入力は不要です。</t>
    </r>
  </si>
  <si>
    <t xml:space="preserve">◆このブックでは対象外・手作業のままの箇所</t>
  </si>
  <si>
    <t xml:space="preserve">他の経理</t>
  </si>
  <si>
    <t xml:space="preserve">短期・長期・保健・貸付経理の総括表の列は、各経理の決算データがないため従来どおり手入力です。業務経理のシート群（入力〜決算書）を各経理分コピーし、総括表の該当列に同じ要領でリンクすると同様に自動化できます。</t>
  </si>
  <si>
    <t xml:space="preserve">セルコメント</t>
  </si>
  <si>
    <r>
      <rPr>
        <sz val="10"/>
        <rFont val="WenQuanYi Zen Hei"/>
        <family val="2"/>
      </rPr>
      <t xml:space="preserve">決算書</t>
    </r>
    <r>
      <rPr>
        <sz val="10"/>
        <rFont val="MS ゴシック"/>
        <family val="0"/>
        <charset val="1"/>
      </rPr>
      <t xml:space="preserve">P18</t>
    </r>
    <r>
      <rPr>
        <sz val="10"/>
        <rFont val="WenQuanYi Zen Hei"/>
        <family val="2"/>
      </rPr>
      <t xml:space="preserve">のコメント（「</t>
    </r>
    <r>
      <rPr>
        <sz val="10"/>
        <rFont val="MS ゴシック"/>
        <family val="0"/>
        <charset val="1"/>
      </rPr>
      <t xml:space="preserve">35,502,843</t>
    </r>
    <r>
      <rPr>
        <sz val="10"/>
        <rFont val="WenQuanYi Zen Hei"/>
        <family val="2"/>
      </rPr>
      <t xml:space="preserve">円</t>
    </r>
    <r>
      <rPr>
        <sz val="10"/>
        <rFont val="MS ゴシック"/>
        <family val="0"/>
        <charset val="1"/>
      </rPr>
      <t xml:space="preserve">÷19,060</t>
    </r>
    <r>
      <rPr>
        <sz val="10"/>
        <rFont val="WenQuanYi Zen Hei"/>
        <family val="2"/>
      </rPr>
      <t xml:space="preserve">人」等）や総括表の増減理由メモは文章のため自動更新されません。年度ごとに書き換えてください。</t>
    </r>
  </si>
  <si>
    <t xml:space="preserve">過去年度の総括シート</t>
  </si>
  <si>
    <r>
      <rPr>
        <sz val="10"/>
        <rFont val="WenQuanYi Zen Hei"/>
        <family val="2"/>
      </rPr>
      <t xml:space="preserve">元の総括ファイルにあった令和元年以前の年度別シート（</t>
    </r>
    <r>
      <rPr>
        <sz val="10"/>
        <rFont val="MS ゴシック"/>
        <family val="0"/>
        <charset val="1"/>
      </rPr>
      <t xml:space="preserve">26</t>
    </r>
    <r>
      <rPr>
        <sz val="10"/>
        <rFont val="WenQuanYi Zen Hei"/>
        <family val="2"/>
      </rPr>
      <t xml:space="preserve">枚）は容量・見やすさのためこのブックに入れていません（元ファイルに残っています）。</t>
    </r>
  </si>
  <si>
    <t xml:space="preserve">当期損失の場合</t>
  </si>
  <si>
    <r>
      <rPr>
        <sz val="10"/>
        <rFont val="WenQuanYi Zen Hei"/>
        <family val="2"/>
      </rPr>
      <t xml:space="preserve">当期損失金の場合も決算精算表は自動で損失側に計算します。ただし決算書</t>
    </r>
    <r>
      <rPr>
        <sz val="10"/>
        <rFont val="MS ゴシック"/>
        <family val="0"/>
        <charset val="1"/>
      </rPr>
      <t xml:space="preserve">P19</t>
    </r>
    <r>
      <rPr>
        <sz val="10"/>
        <rFont val="WenQuanYi Zen Hei"/>
        <family val="2"/>
      </rPr>
      <t xml:space="preserve">の文章は当期利益金の例文のままなので、損失用の例文（</t>
    </r>
    <r>
      <rPr>
        <sz val="10"/>
        <rFont val="MS ゴシック"/>
        <family val="0"/>
        <charset val="1"/>
      </rPr>
      <t xml:space="preserve">P19</t>
    </r>
    <r>
      <rPr>
        <sz val="10"/>
        <rFont val="WenQuanYi Zen Hei"/>
        <family val="2"/>
      </rPr>
      <t xml:space="preserve">下部）を使ってください。</t>
    </r>
  </si>
  <si>
    <t xml:space="preserve">前払費用・固定資産除却損・補助金</t>
  </si>
  <si>
    <r>
      <rPr>
        <sz val="10"/>
        <rFont val="WenQuanYi Zen Hei"/>
        <family val="2"/>
      </rPr>
      <t xml:space="preserve">財務諸表の様式に行がないため、金額が出た場合は検算シートが </t>
    </r>
    <r>
      <rPr>
        <sz val="10"/>
        <rFont val="MS ゴシック"/>
        <family val="0"/>
        <charset val="1"/>
      </rPr>
      <t xml:space="preserve">NG </t>
    </r>
    <r>
      <rPr>
        <sz val="10"/>
        <rFont val="WenQuanYi Zen Hei"/>
        <family val="2"/>
      </rPr>
      <t xml:space="preserve">になります。様式に行を追加してリンクしてください。</t>
    </r>
  </si>
  <si>
    <t xml:space="preserve">入力欄の見分け方</t>
  </si>
  <si>
    <r>
      <rPr>
        <sz val="10"/>
        <rFont val="WenQuanYi Zen Hei"/>
        <family val="2"/>
      </rPr>
      <t xml:space="preserve">入力シートの黄色セル、附属明細表の明細欄、決算書の予算額・前年度決算額・定款繰入額</t>
    </r>
    <r>
      <rPr>
        <sz val="10"/>
        <rFont val="MS ゴシック"/>
        <family val="0"/>
        <charset val="1"/>
      </rPr>
      <t xml:space="preserve">(AJ9)</t>
    </r>
    <r>
      <rPr>
        <sz val="10"/>
        <rFont val="WenQuanYi Zen Hei"/>
        <family val="2"/>
      </rPr>
      <t xml:space="preserve">が人手で入れる欄です。それ以外は数式です。</t>
    </r>
  </si>
  <si>
    <t xml:space="preserve">入力シート（決算データはここだけに入力・貼り付けします）</t>
  </si>
  <si>
    <t xml:space="preserve">黄色のセルが入力欄です。ほかのシートの数字は、ここと「附属明細表」の明細欄から自動計算されます。</t>
  </si>
  <si>
    <r>
      <rPr>
        <b val="true"/>
        <sz val="10"/>
        <rFont val="MS ゴシック"/>
        <family val="0"/>
        <charset val="1"/>
      </rPr>
      <t xml:space="preserve">■1 </t>
    </r>
    <r>
      <rPr>
        <b val="true"/>
        <sz val="10"/>
        <rFont val="WenQuanYi Zen Hei"/>
        <family val="2"/>
      </rPr>
      <t xml:space="preserve">基本情報</t>
    </r>
  </si>
  <si>
    <t xml:space="preserve">会計年度（令和○年度の数字）</t>
  </si>
  <si>
    <r>
      <rPr>
        <sz val="10"/>
        <rFont val="WenQuanYi Zen Hei"/>
        <family val="2"/>
      </rPr>
      <t xml:space="preserve">← 令和７年度なら </t>
    </r>
    <r>
      <rPr>
        <sz val="10"/>
        <rFont val="MS ゴシック"/>
        <family val="0"/>
        <charset val="1"/>
      </rPr>
      <t xml:space="preserve">7</t>
    </r>
    <r>
      <rPr>
        <sz val="10"/>
        <rFont val="WenQuanYi Zen Hei"/>
        <family val="2"/>
      </rPr>
      <t xml:space="preserve">。年度表記・決算日・総括表の見出しに反映</t>
    </r>
  </si>
  <si>
    <t xml:space="preserve">決算精算表の審査日（例：令和８年４月２２日）</t>
  </si>
  <si>
    <t xml:space="preserve">令和８年４月２２日</t>
  </si>
  <si>
    <t xml:space="preserve">出納主任（氏名）</t>
  </si>
  <si>
    <t xml:space="preserve">村　井　慶　子</t>
  </si>
  <si>
    <t xml:space="preserve">出納役（氏名）</t>
  </si>
  <si>
    <t xml:space="preserve">榎　本　聡　子</t>
  </si>
  <si>
    <r>
      <rPr>
        <b val="true"/>
        <sz val="10"/>
        <rFont val="MS ゴシック"/>
        <family val="0"/>
        <charset val="1"/>
      </rPr>
      <t xml:space="preserve">■2 </t>
    </r>
    <r>
      <rPr>
        <b val="true"/>
        <sz val="10"/>
        <rFont val="WenQuanYi Zen Hei"/>
        <family val="2"/>
      </rPr>
      <t xml:space="preserve">統計システム確定値（決算書</t>
    </r>
    <r>
      <rPr>
        <b val="true"/>
        <sz val="10"/>
        <rFont val="MS ゴシック"/>
        <family val="0"/>
        <charset val="1"/>
      </rPr>
      <t xml:space="preserve">P18</t>
    </r>
    <r>
      <rPr>
        <b val="true"/>
        <sz val="10"/>
        <rFont val="WenQuanYi Zen Hei"/>
        <family val="2"/>
      </rPr>
      <t xml:space="preserve">「組合員</t>
    </r>
    <r>
      <rPr>
        <b val="true"/>
        <sz val="10"/>
        <rFont val="MS ゴシック"/>
        <family val="0"/>
        <charset val="1"/>
      </rPr>
      <t xml:space="preserve">1</t>
    </r>
    <r>
      <rPr>
        <b val="true"/>
        <sz val="10"/>
        <rFont val="WenQuanYi Zen Hei"/>
        <family val="2"/>
      </rPr>
      <t xml:space="preserve">人当たりの額」の計算に使用）</t>
    </r>
  </si>
  <si>
    <t xml:space="preserve">平均組合員数（短期）</t>
  </si>
  <si>
    <r>
      <rPr>
        <sz val="10"/>
        <rFont val="WenQuanYi Zen Hei"/>
        <family val="2"/>
      </rPr>
      <t xml:space="preserve">出典：</t>
    </r>
    <r>
      <rPr>
        <sz val="10"/>
        <rFont val="MS ゴシック"/>
        <family val="0"/>
        <charset val="1"/>
      </rPr>
      <t xml:space="preserve">P18</t>
    </r>
    <r>
      <rPr>
        <sz val="10"/>
        <rFont val="WenQuanYi Zen Hei"/>
        <family val="2"/>
      </rPr>
      <t xml:space="preserve">セルコメント（統計システム確定分）</t>
    </r>
  </si>
  <si>
    <t xml:space="preserve">平均組合員数（長期・業務・退職等年金）</t>
  </si>
  <si>
    <t xml:space="preserve">短期事務費決算額（円）</t>
  </si>
  <si>
    <t xml:space="preserve">連合会交付金のうち退職等年金分（円）</t>
  </si>
  <si>
    <r>
      <rPr>
        <b val="true"/>
        <sz val="10"/>
        <rFont val="MS ゴシック"/>
        <family val="0"/>
        <charset val="1"/>
      </rPr>
      <t xml:space="preserve">■3 </t>
    </r>
    <r>
      <rPr>
        <b val="true"/>
        <sz val="10"/>
        <rFont val="WenQuanYi Zen Hei"/>
        <family val="2"/>
      </rPr>
      <t xml:space="preserve">基幹システム出力（試算表）貼り付け欄 ― 勘定科目・借方残高・貸方残高</t>
    </r>
  </si>
  <si>
    <t xml:space="preserve">合計</t>
  </si>
  <si>
    <r>
      <rPr>
        <sz val="10"/>
        <rFont val="WenQuanYi Zen Hei"/>
        <family val="2"/>
      </rPr>
      <t xml:space="preserve">※基幹システムの</t>
    </r>
    <r>
      <rPr>
        <sz val="10"/>
        <rFont val="MS ゴシック"/>
        <family val="0"/>
        <charset val="1"/>
      </rPr>
      <t xml:space="preserve">3</t>
    </r>
    <r>
      <rPr>
        <sz val="10"/>
        <rFont val="WenQuanYi Zen Hei"/>
        <family val="2"/>
      </rPr>
      <t xml:space="preserve">月分残高（修正前）を貼り付けます。科目の並び順は問いません。</t>
    </r>
  </si>
  <si>
    <t xml:space="preserve">勘定科目</t>
  </si>
  <si>
    <t xml:space="preserve">借方残高（円）</t>
  </si>
  <si>
    <t xml:space="preserve">貸方残高（円）</t>
  </si>
  <si>
    <t xml:space="preserve">精算表への取込判定</t>
  </si>
  <si>
    <t xml:space="preserve">普通預金</t>
  </si>
  <si>
    <t xml:space="preserve">立替金</t>
  </si>
  <si>
    <t xml:space="preserve">器具及び備品</t>
  </si>
  <si>
    <t xml:space="preserve">役員報酬</t>
  </si>
  <si>
    <t xml:space="preserve">職員給与</t>
  </si>
  <si>
    <t xml:space="preserve">厚生費</t>
  </si>
  <si>
    <t xml:space="preserve">旅    費</t>
  </si>
  <si>
    <t xml:space="preserve">事務費</t>
  </si>
  <si>
    <t xml:space="preserve">賃金</t>
  </si>
  <si>
    <t xml:space="preserve">委託費</t>
  </si>
  <si>
    <t xml:space="preserve">光熱水料</t>
  </si>
  <si>
    <t xml:space="preserve">修繕費</t>
  </si>
  <si>
    <t xml:space="preserve">賃借料</t>
  </si>
  <si>
    <t xml:space="preserve">普及費</t>
  </si>
  <si>
    <t xml:space="preserve">負担金</t>
  </si>
  <si>
    <t xml:space="preserve">連合会分担金</t>
  </si>
  <si>
    <t xml:space="preserve">事務費負担金払込金</t>
  </si>
  <si>
    <t xml:space="preserve">預り金</t>
  </si>
  <si>
    <t xml:space="preserve">受入保証金</t>
  </si>
  <si>
    <t xml:space="preserve">利益剰余金</t>
  </si>
  <si>
    <t xml:space="preserve">雑収入</t>
  </si>
  <si>
    <t xml:space="preserve">連合会交付金</t>
  </si>
  <si>
    <t xml:space="preserve">検算シート（入力・転記ミスのチェック）</t>
  </si>
  <si>
    <t xml:space="preserve">No</t>
  </si>
  <si>
    <t xml:space="preserve">チェック内容</t>
  </si>
  <si>
    <t xml:space="preserve">値１</t>
  </si>
  <si>
    <t xml:space="preserve">値２</t>
  </si>
  <si>
    <t xml:space="preserve">差</t>
  </si>
  <si>
    <t xml:space="preserve">判定</t>
  </si>
  <si>
    <r>
      <rPr>
        <sz val="10"/>
        <rFont val="WenQuanYi Zen Hei"/>
        <family val="2"/>
      </rPr>
      <t xml:space="preserve">基幹取込の借方合計 ＝ 決算精算表の</t>
    </r>
    <r>
      <rPr>
        <sz val="10"/>
        <rFont val="MS ゴシック"/>
        <family val="0"/>
        <charset val="1"/>
      </rPr>
      <t xml:space="preserve">3</t>
    </r>
    <r>
      <rPr>
        <sz val="10"/>
        <rFont val="WenQuanYi Zen Hei"/>
        <family val="2"/>
      </rPr>
      <t xml:space="preserve">月分残高（借方）  ※差があれば精算表に無い科目あり</t>
    </r>
  </si>
  <si>
    <r>
      <rPr>
        <sz val="10"/>
        <rFont val="WenQuanYi Zen Hei"/>
        <family val="2"/>
      </rPr>
      <t xml:space="preserve">基幹取込の貸方合計 ＝ 決算精算表の</t>
    </r>
    <r>
      <rPr>
        <sz val="10"/>
        <rFont val="MS ゴシック"/>
        <family val="0"/>
        <charset val="1"/>
      </rPr>
      <t xml:space="preserve">3</t>
    </r>
    <r>
      <rPr>
        <sz val="10"/>
        <rFont val="WenQuanYi Zen Hei"/>
        <family val="2"/>
      </rPr>
      <t xml:space="preserve">月分残高（貸方）</t>
    </r>
  </si>
  <si>
    <t xml:space="preserve">決算精算表 差引残高：借方合計 ＝ 貸方合計</t>
  </si>
  <si>
    <t xml:space="preserve">貸借対照表：資産合計 ＝ 負債・純資産合計</t>
  </si>
  <si>
    <t xml:space="preserve">損益計算書：損失側合計 ＝ 利益側合計</t>
  </si>
  <si>
    <t xml:space="preserve">貸借対照表の資産合計 ＝ 決算精算表の資産合計（前払費用等の未反映を検出）</t>
  </si>
  <si>
    <t xml:space="preserve">損益計算書の費用 ＝ 決算精算表の費用（固定資産除却損等の未反映を検出）</t>
  </si>
  <si>
    <t xml:space="preserve">損益計算書の収益 ＝ 決算精算表の収益（補助金等の未反映を検出）</t>
  </si>
  <si>
    <t xml:space="preserve">預金明細表の合計 ＝ 基幹の普通預金残高</t>
  </si>
  <si>
    <t xml:space="preserve">立替金明細表の合計 ＝ 基幹の立替金残高（修正後）</t>
  </si>
  <si>
    <t xml:space="preserve">預り金明細表の合計 ＝ 基幹の預り金残高</t>
  </si>
  <si>
    <t xml:space="preserve">受入保証金明細表の合計 ＝ 基幹の受入保証金残高</t>
  </si>
  <si>
    <t xml:space="preserve">固定資産明細表の差引期末残高 ＝ 貸借対照表の器具及び備品</t>
  </si>
  <si>
    <t xml:space="preserve">積立金明細表の貸借対照表計上額 ＝ 貸借対照表の積立金</t>
  </si>
  <si>
    <t xml:space="preserve">利益剰余金計算書の積立金（期末） ＝ 貸借対照表の積立金</t>
  </si>
  <si>
    <r>
      <rPr>
        <sz val="10"/>
        <rFont val="WenQuanYi Zen Hei"/>
        <family val="2"/>
      </rPr>
      <t xml:space="preserve">決算書</t>
    </r>
    <r>
      <rPr>
        <sz val="10"/>
        <rFont val="MS ゴシック"/>
        <family val="0"/>
        <charset val="1"/>
      </rPr>
      <t xml:space="preserve">P19 </t>
    </r>
    <r>
      <rPr>
        <sz val="10"/>
        <rFont val="WenQuanYi Zen Hei"/>
        <family val="2"/>
      </rPr>
      <t xml:space="preserve">支出合計 ＝ 決算精算表の費用合計</t>
    </r>
  </si>
  <si>
    <r>
      <rPr>
        <sz val="10"/>
        <rFont val="WenQuanYi Zen Hei"/>
        <family val="2"/>
      </rPr>
      <t xml:space="preserve">決算書</t>
    </r>
    <r>
      <rPr>
        <sz val="10"/>
        <rFont val="MS ゴシック"/>
        <family val="0"/>
        <charset val="1"/>
      </rPr>
      <t xml:space="preserve">P18 </t>
    </r>
    <r>
      <rPr>
        <sz val="10"/>
        <rFont val="WenQuanYi Zen Hei"/>
        <family val="2"/>
      </rPr>
      <t xml:space="preserve">収入合計 ＝ 決算精算表の収益合計（損益除く）</t>
    </r>
  </si>
  <si>
    <t xml:space="preserve">総括表（業務経理）当期収支差額 ＝ 当期利益金−当期損失金</t>
  </si>
  <si>
    <t xml:space="preserve">総括表（業務経理）次期繰越額 ＝ 貸借対照表の積立金</t>
  </si>
  <si>
    <t xml:space="preserve">総括表 前期繰越額（前年度シートから引継） ＝ 基幹の前期繰越積立金</t>
  </si>
  <si>
    <t xml:space="preserve">総括表メモあり版の次期繰越額 ＝ メモなし版</t>
  </si>
  <si>
    <t xml:space="preserve">総括表メモあり版の当期収入合計 ＝ メモなし版</t>
  </si>
  <si>
    <t xml:space="preserve">決算精算表</t>
  </si>
  <si>
    <t xml:space="preserve">広島市職員共済組合業務経理決算精算表</t>
  </si>
  <si>
    <t xml:space="preserve">借                 方</t>
  </si>
  <si>
    <t xml:space="preserve">勘  定  科  目</t>
  </si>
  <si>
    <t xml:space="preserve">貸                 方</t>
  </si>
  <si>
    <t xml:space="preserve">差引残高</t>
  </si>
  <si>
    <t xml:space="preserve">修正増減</t>
  </si>
  <si>
    <t xml:space="preserve">３月分残高</t>
  </si>
  <si>
    <t xml:space="preserve">円</t>
  </si>
  <si>
    <t xml:space="preserve">普通預金 </t>
  </si>
  <si>
    <t xml:space="preserve">前払費用</t>
  </si>
  <si>
    <t xml:space="preserve">未収金</t>
  </si>
  <si>
    <t xml:space="preserve"> </t>
  </si>
  <si>
    <t xml:space="preserve">未払金</t>
  </si>
  <si>
    <t xml:space="preserve">未払費用</t>
  </si>
  <si>
    <t xml:space="preserve">資本剰余金</t>
  </si>
  <si>
    <t xml:space="preserve">小          計</t>
  </si>
  <si>
    <t xml:space="preserve">減価償却費</t>
  </si>
  <si>
    <t xml:space="preserve">固定資産除却損</t>
  </si>
  <si>
    <t xml:space="preserve">前期損益修正損</t>
  </si>
  <si>
    <t xml:space="preserve">当期利益金</t>
  </si>
  <si>
    <t xml:space="preserve">補助金</t>
  </si>
  <si>
    <t xml:space="preserve">利息及び配当金</t>
  </si>
  <si>
    <t xml:space="preserve">短期経理より繰入</t>
  </si>
  <si>
    <t xml:space="preserve">前期損益修正益</t>
  </si>
  <si>
    <t xml:space="preserve">当期損失金</t>
  </si>
  <si>
    <t xml:space="preserve">合          計</t>
  </si>
  <si>
    <t xml:space="preserve">  この決算精算表を審査したところ事実に相違ないことを証明する。</t>
  </si>
  <si>
    <t xml:space="preserve">業務経理</t>
  </si>
  <si>
    <t xml:space="preserve">貸借対照表</t>
  </si>
  <si>
    <t xml:space="preserve">借                  方</t>
  </si>
  <si>
    <t xml:space="preserve">金        額</t>
  </si>
  <si>
    <t xml:space="preserve">貸                   方</t>
  </si>
  <si>
    <t xml:space="preserve">流 動 資 産</t>
  </si>
  <si>
    <t xml:space="preserve">流 動 負 債</t>
  </si>
  <si>
    <t xml:space="preserve">固 定 資 産</t>
  </si>
  <si>
    <t xml:space="preserve">負債合計</t>
  </si>
  <si>
    <t xml:space="preserve">有形固定資産</t>
  </si>
  <si>
    <t xml:space="preserve">剰  余  金</t>
  </si>
  <si>
    <t xml:space="preserve">積 立 金</t>
  </si>
  <si>
    <t xml:space="preserve">純資産合計</t>
  </si>
  <si>
    <t xml:space="preserve">資     産     合     計</t>
  </si>
  <si>
    <t xml:space="preserve">負 債  ・  純 資 産 合 計</t>
  </si>
  <si>
    <t xml:space="preserve">  別途積立金は、地方公務員等共済組合法施行規程第86条に基づき、計上している。</t>
  </si>
  <si>
    <t xml:space="preserve">損益計算書</t>
  </si>
  <si>
    <t xml:space="preserve">損                    失</t>
  </si>
  <si>
    <t xml:space="preserve">利                    益</t>
  </si>
  <si>
    <t xml:space="preserve">経 常 費 用</t>
  </si>
  <si>
    <t xml:space="preserve">経 常 収 益</t>
  </si>
  <si>
    <t xml:space="preserve">事  業  費  用</t>
  </si>
  <si>
    <t xml:space="preserve">事業収益</t>
  </si>
  <si>
    <t xml:space="preserve">補助金等収入</t>
  </si>
  <si>
    <t xml:space="preserve">事 務 費</t>
  </si>
  <si>
    <t xml:space="preserve">事業外収益</t>
  </si>
  <si>
    <t xml:space="preserve">委 託 費</t>
  </si>
  <si>
    <t xml:space="preserve">  利息及び配当金</t>
  </si>
  <si>
    <t xml:space="preserve">繰  入  金</t>
  </si>
  <si>
    <t xml:space="preserve">賃 借 料</t>
  </si>
  <si>
    <t xml:space="preserve">普 及 費</t>
  </si>
  <si>
    <t xml:space="preserve">負 担 金</t>
  </si>
  <si>
    <t xml:space="preserve">特 別 利 益</t>
  </si>
  <si>
    <t xml:space="preserve"> 前期損益修正益</t>
  </si>
  <si>
    <t xml:space="preserve">　 事務費負担金払込金</t>
  </si>
  <si>
    <t xml:space="preserve">特 別 損 失</t>
  </si>
  <si>
    <t xml:space="preserve"> 当期損失金</t>
  </si>
  <si>
    <t xml:space="preserve">  当期利益金</t>
  </si>
  <si>
    <t xml:space="preserve">  合                    計</t>
  </si>
  <si>
    <t xml:space="preserve">合                    計</t>
  </si>
  <si>
    <t xml:space="preserve">預金明細表</t>
  </si>
  <si>
    <t xml:space="preserve">取引金融機関等の名称</t>
  </si>
  <si>
    <t xml:space="preserve">区                分</t>
  </si>
  <si>
    <t xml:space="preserve">金                額</t>
  </si>
  <si>
    <t xml:space="preserve">摘                要</t>
  </si>
  <si>
    <t xml:space="preserve">広島銀行広島市役所支店</t>
  </si>
  <si>
    <t xml:space="preserve">普    通    預    金</t>
  </si>
  <si>
    <t xml:space="preserve">№０８００４６５</t>
  </si>
  <si>
    <t xml:space="preserve">合                計</t>
  </si>
  <si>
    <t xml:space="preserve">立替金明細表</t>
  </si>
  <si>
    <t xml:space="preserve">種                別</t>
  </si>
  <si>
    <t xml:space="preserve">氏                名</t>
  </si>
  <si>
    <t xml:space="preserve">全国市町村職員共済組合連合会　</t>
  </si>
  <si>
    <t xml:space="preserve">年金過払金等返還金の払込料金（4月～3月分）　</t>
  </si>
  <si>
    <t xml:space="preserve">過払金等返還金</t>
  </si>
  <si>
    <t xml:space="preserve">組合員１名分</t>
  </si>
  <si>
    <t xml:space="preserve">他の経理立替分</t>
  </si>
  <si>
    <t xml:space="preserve">前払費用明細表</t>
  </si>
  <si>
    <t xml:space="preserve">科　　目</t>
  </si>
  <si>
    <t xml:space="preserve">摘　　　　　　　要</t>
  </si>
  <si>
    <t xml:space="preserve">支　　　　　払</t>
  </si>
  <si>
    <t xml:space="preserve">貸借対照表
計　上　額</t>
  </si>
  <si>
    <t xml:space="preserve">備　　考</t>
  </si>
  <si>
    <t xml:space="preserve">年 月 日</t>
  </si>
  <si>
    <t xml:space="preserve">伝票番号</t>
  </si>
  <si>
    <t xml:space="preserve">金　　額</t>
  </si>
  <si>
    <t xml:space="preserve">賃　借　料</t>
  </si>
  <si>
    <t xml:space="preserve">合　　　　　　　　計</t>
  </si>
  <si>
    <t xml:space="preserve">未収金明細表</t>
  </si>
  <si>
    <t xml:space="preserve">保健経理より</t>
  </si>
  <si>
    <t xml:space="preserve">事務費負担金精算返納分
（特定健康診査等負担金）</t>
  </si>
  <si>
    <t xml:space="preserve">広島市福利課</t>
  </si>
  <si>
    <t xml:space="preserve">事務費負担金の精算による追加交付</t>
  </si>
  <si>
    <t xml:space="preserve">短期経理より</t>
  </si>
  <si>
    <t xml:space="preserve">組合事務費短期分２５％</t>
  </si>
  <si>
    <t xml:space="preserve">未払金明細表</t>
  </si>
  <si>
    <t xml:space="preserve">ゆうちょ銀行</t>
  </si>
  <si>
    <t xml:space="preserve">年金過払金等返還金の払込料金立替払（10月～3月分）</t>
  </si>
  <si>
    <r>
      <rPr>
        <sz val="7"/>
        <rFont val="ＭＳ 明朝"/>
        <family val="1"/>
        <charset val="128"/>
      </rPr>
      <t xml:space="preserve">(</t>
    </r>
    <r>
      <rPr>
        <sz val="7"/>
        <rFont val="WenQuanYi Zen Hei"/>
        <family val="2"/>
      </rPr>
      <t xml:space="preserve">一財</t>
    </r>
    <r>
      <rPr>
        <sz val="7"/>
        <rFont val="ＭＳ 明朝"/>
        <family val="1"/>
        <charset val="128"/>
      </rPr>
      <t xml:space="preserve">)</t>
    </r>
    <r>
      <rPr>
        <sz val="7"/>
        <rFont val="WenQuanYi Zen Hei"/>
        <family val="2"/>
      </rPr>
      <t xml:space="preserve">広島市職員互助会　外</t>
    </r>
  </si>
  <si>
    <t xml:space="preserve">コピー用紙等消耗品購入代分担金等</t>
  </si>
  <si>
    <t xml:space="preserve">みずほリサーチ＆テクノロジーズ（株）外</t>
  </si>
  <si>
    <t xml:space="preserve">個別番号管理システム運営及び保守費用　外</t>
  </si>
  <si>
    <t xml:space="preserve">広島市総務課</t>
  </si>
  <si>
    <t xml:space="preserve">電気・ガス・水道料金等10月～3月分</t>
  </si>
  <si>
    <r>
      <rPr>
        <sz val="9"/>
        <rFont val="ＭＳ 明朝"/>
        <family val="1"/>
        <charset val="128"/>
      </rPr>
      <t xml:space="preserve">J</t>
    </r>
    <r>
      <rPr>
        <sz val="9"/>
        <rFont val="WenQuanYi Zen Hei"/>
        <family val="2"/>
      </rPr>
      <t xml:space="preserve">　</t>
    </r>
    <r>
      <rPr>
        <sz val="9"/>
        <rFont val="ＭＳ 明朝"/>
        <family val="1"/>
        <charset val="128"/>
      </rPr>
      <t xml:space="preserve">E</t>
    </r>
    <r>
      <rPr>
        <sz val="9"/>
        <rFont val="WenQuanYi Zen Hei"/>
        <family val="2"/>
      </rPr>
      <t xml:space="preserve">　</t>
    </r>
    <r>
      <rPr>
        <sz val="9"/>
        <rFont val="ＭＳ 明朝"/>
        <family val="1"/>
        <charset val="128"/>
      </rPr>
      <t xml:space="preserve">C</t>
    </r>
    <r>
      <rPr>
        <sz val="9"/>
        <rFont val="WenQuanYi Zen Hei"/>
        <family val="2"/>
      </rPr>
      <t xml:space="preserve">　</t>
    </r>
    <r>
      <rPr>
        <sz val="9"/>
        <rFont val="ＭＳ 明朝"/>
        <family val="1"/>
        <charset val="128"/>
      </rPr>
      <t xml:space="preserve">C</t>
    </r>
    <r>
      <rPr>
        <sz val="9"/>
        <rFont val="WenQuanYi Zen Hei"/>
        <family val="2"/>
      </rPr>
      <t xml:space="preserve">㈱　外</t>
    </r>
  </si>
  <si>
    <t xml:space="preserve">基幹システム用機器等賃貸借料　外</t>
  </si>
  <si>
    <r>
      <rPr>
        <sz val="9"/>
        <rFont val="ＭＳ 明朝"/>
        <family val="1"/>
        <charset val="128"/>
      </rPr>
      <t xml:space="preserve">(</t>
    </r>
    <r>
      <rPr>
        <sz val="9"/>
        <rFont val="WenQuanYi Zen Hei"/>
        <family val="2"/>
      </rPr>
      <t xml:space="preserve">一財</t>
    </r>
    <r>
      <rPr>
        <sz val="9"/>
        <rFont val="ＭＳ 明朝"/>
        <family val="1"/>
        <charset val="128"/>
      </rPr>
      <t xml:space="preserve">)</t>
    </r>
    <r>
      <rPr>
        <sz val="9"/>
        <rFont val="WenQuanYi Zen Hei"/>
        <family val="2"/>
      </rPr>
      <t xml:space="preserve">広島市職員互助会</t>
    </r>
  </si>
  <si>
    <t xml:space="preserve">厚生だより印刷代分担金</t>
  </si>
  <si>
    <t xml:space="preserve">厚生労働省　年金局</t>
  </si>
  <si>
    <t xml:space="preserve">３月分厚生年金保険料等</t>
  </si>
  <si>
    <t xml:space="preserve">広島市福利課　外</t>
  </si>
  <si>
    <t xml:space="preserve">事務費負担金の精算による返還　外</t>
  </si>
  <si>
    <t xml:space="preserve">未払費用明細表</t>
  </si>
  <si>
    <t xml:space="preserve">非常勤職員手当</t>
  </si>
  <si>
    <t xml:space="preserve">非常勤職員１名</t>
  </si>
  <si>
    <t xml:space="preserve">時間外手当３月分</t>
  </si>
  <si>
    <t xml:space="preserve">臨時職員２名</t>
  </si>
  <si>
    <t xml:space="preserve">３月分賃金</t>
  </si>
  <si>
    <t xml:space="preserve">預り金明細表</t>
  </si>
  <si>
    <t xml:space="preserve">雇用保険保険料</t>
  </si>
  <si>
    <t xml:space="preserve">広島労働局</t>
  </si>
  <si>
    <t xml:space="preserve">組合職員給与より控除分</t>
  </si>
  <si>
    <t xml:space="preserve">厚生年金保険料</t>
  </si>
  <si>
    <t xml:space="preserve">受入保証金明細表</t>
  </si>
  <si>
    <t xml:space="preserve">ガリバーインターナショナル㈱</t>
  </si>
  <si>
    <t xml:space="preserve">療養費支給申請書に係る内容点検及び入力業務</t>
  </si>
  <si>
    <t xml:space="preserve">固定資産明細表</t>
  </si>
  <si>
    <t xml:space="preserve">資産の種類</t>
  </si>
  <si>
    <t xml:space="preserve">期首残高</t>
  </si>
  <si>
    <t xml:space="preserve">当期増加額</t>
  </si>
  <si>
    <t xml:space="preserve">当期減少額</t>
  </si>
  <si>
    <t xml:space="preserve">期末残高</t>
  </si>
  <si>
    <t xml:space="preserve">当期償却額</t>
  </si>
  <si>
    <t xml:space="preserve">差引期末残高</t>
  </si>
  <si>
    <t xml:space="preserve">適　　用</t>
  </si>
  <si>
    <t xml:space="preserve">　</t>
  </si>
  <si>
    <t xml:space="preserve">合　計</t>
  </si>
  <si>
    <t xml:space="preserve">減価償却費明細表</t>
  </si>
  <si>
    <t xml:space="preserve">耐用年数</t>
  </si>
  <si>
    <t xml:space="preserve">取得原価</t>
  </si>
  <si>
    <t xml:space="preserve">償却累計額</t>
  </si>
  <si>
    <t xml:space="preserve">当期末残高</t>
  </si>
  <si>
    <t xml:space="preserve">償却累計率</t>
  </si>
  <si>
    <t xml:space="preserve">適　　     用</t>
  </si>
  <si>
    <t xml:space="preserve">％</t>
  </si>
  <si>
    <t xml:space="preserve">５年</t>
  </si>
  <si>
    <t xml:space="preserve">カードプリンタ　　
令和４年７月２９日取得</t>
  </si>
  <si>
    <t xml:space="preserve">〃</t>
  </si>
  <si>
    <t xml:space="preserve">４年</t>
  </si>
  <si>
    <t xml:space="preserve">個人番号管理システム
シンクライアント端末
令和５年２月７日取得</t>
  </si>
  <si>
    <t xml:space="preserve">積立金明細表</t>
  </si>
  <si>
    <t xml:space="preserve">区        分</t>
  </si>
  <si>
    <t xml:space="preserve">前期繰越額</t>
  </si>
  <si>
    <t xml:space="preserve">貸借対照表計上額</t>
  </si>
  <si>
    <t xml:space="preserve">摘        要</t>
  </si>
  <si>
    <t xml:space="preserve">積立金</t>
  </si>
  <si>
    <t xml:space="preserve">合        計</t>
  </si>
  <si>
    <t xml:space="preserve">摘                                  要</t>
  </si>
  <si>
    <t xml:space="preserve">年</t>
  </si>
  <si>
    <t xml:space="preserve">パーソナルコンピューター  １台  平成１１年５月２６日取得</t>
  </si>
  <si>
    <t xml:space="preserve">６</t>
  </si>
  <si>
    <t xml:space="preserve">電話加入権</t>
  </si>
  <si>
    <t xml:space="preserve">－</t>
  </si>
  <si>
    <t xml:space="preserve">平成１１年５月２４日取得</t>
  </si>
  <si>
    <t xml:space="preserve">合      計</t>
  </si>
  <si>
    <t xml:space="preserve">減価償却累計額明細表</t>
  </si>
  <si>
    <t xml:space="preserve">減価償却累計額</t>
  </si>
  <si>
    <t xml:space="preserve">器具及び備品の
減価償却費</t>
  </si>
  <si>
    <t xml:space="preserve">支出実績表</t>
  </si>
  <si>
    <t xml:space="preserve">科        目</t>
  </si>
  <si>
    <t xml:space="preserve">予 算 額</t>
  </si>
  <si>
    <t xml:space="preserve">支出済額</t>
  </si>
  <si>
    <t xml:space="preserve">支出未済額</t>
  </si>
  <si>
    <t xml:space="preserve">不     用     額</t>
  </si>
  <si>
    <t xml:space="preserve">旅費</t>
  </si>
  <si>
    <t xml:space="preserve">(A)</t>
  </si>
  <si>
    <t xml:space="preserve">(B)</t>
  </si>
  <si>
    <t xml:space="preserve">利益剰余金計算書</t>
  </si>
  <si>
    <t xml:space="preserve">１</t>
  </si>
  <si>
    <t xml:space="preserve">２</t>
  </si>
  <si>
    <t xml:space="preserve">３</t>
  </si>
  <si>
    <t xml:space="preserve">当期処分額</t>
  </si>
  <si>
    <t xml:space="preserve">別途積立金取り崩し</t>
  </si>
  <si>
    <t xml:space="preserve">積立金取り崩し</t>
  </si>
  <si>
    <t xml:space="preserve">【参考】R3事務費（旅費＋事務費）</t>
  </si>
  <si>
    <t xml:space="preserve">　予算額（最高限度額）</t>
  </si>
  <si>
    <t xml:space="preserve">①</t>
  </si>
  <si>
    <t xml:space="preserve">　支出済額</t>
  </si>
  <si>
    <t xml:space="preserve">②</t>
  </si>
  <si>
    <t xml:space="preserve">　不用額</t>
  </si>
  <si>
    <t xml:space="preserve">①－②</t>
  </si>
  <si>
    <t xml:space="preserve">(A)+(B)</t>
  </si>
  <si>
    <t xml:space="preserve">〔７〕  業務経理</t>
  </si>
  <si>
    <t xml:space="preserve">１．組合の事務に要する費用に充てるため地方公共団体が負担する金額について</t>
  </si>
  <si>
    <t xml:space="preserve">（短期、厚生年金保険及び経過的長期分）</t>
  </si>
  <si>
    <t xml:space="preserve">　組合員１人当たりの額</t>
  </si>
  <si>
    <t xml:space="preserve">（単位：円）</t>
  </si>
  <si>
    <t xml:space="preserve">区　　　　　　　　　分</t>
  </si>
  <si>
    <t xml:space="preserve">比　較　増　△　減</t>
  </si>
  <si>
    <t xml:space="preserve">事務費 （ Ａ + B + C + D )</t>
  </si>
  <si>
    <t xml:space="preserve">内　　　訳</t>
  </si>
  <si>
    <t xml:space="preserve">地方公共団体負担金（総額）</t>
  </si>
  <si>
    <t xml:space="preserve">地方公共団体負担金のうち短期分</t>
  </si>
  <si>
    <t xml:space="preserve">( A )</t>
  </si>
  <si>
    <t xml:space="preserve">( B )</t>
  </si>
  <si>
    <r>
      <rPr>
        <sz val="10"/>
        <rFont val="ＭＳ Ｐ明朝"/>
        <family val="1"/>
        <charset val="128"/>
      </rPr>
      <t xml:space="preserve">( </t>
    </r>
    <r>
      <rPr>
        <sz val="10"/>
        <rFont val="WenQuanYi Zen Hei"/>
        <family val="2"/>
      </rPr>
      <t xml:space="preserve">Ｃ </t>
    </r>
    <r>
      <rPr>
        <sz val="10"/>
        <rFont val="ＭＳ Ｐ明朝"/>
        <family val="1"/>
        <charset val="128"/>
      </rPr>
      <t xml:space="preserve">)</t>
    </r>
  </si>
  <si>
    <t xml:space="preserve">その他</t>
  </si>
  <si>
    <r>
      <rPr>
        <sz val="10"/>
        <rFont val="ＭＳ Ｐ明朝"/>
        <family val="1"/>
        <charset val="128"/>
      </rPr>
      <t xml:space="preserve">( </t>
    </r>
    <r>
      <rPr>
        <sz val="10"/>
        <rFont val="WenQuanYi Zen Hei"/>
        <family val="2"/>
      </rPr>
      <t xml:space="preserve">Ｄ </t>
    </r>
    <r>
      <rPr>
        <sz val="10"/>
        <rFont val="ＭＳ Ｐ明朝"/>
        <family val="1"/>
        <charset val="128"/>
      </rPr>
      <t xml:space="preserve">)</t>
    </r>
  </si>
  <si>
    <r>
      <rPr>
        <sz val="10"/>
        <rFont val="ＭＳ Ｐ明朝"/>
        <family val="1"/>
        <charset val="128"/>
      </rPr>
      <t xml:space="preserve">(</t>
    </r>
    <r>
      <rPr>
        <sz val="10"/>
        <rFont val="WenQuanYi Zen Hei"/>
        <family val="2"/>
      </rPr>
      <t xml:space="preserve">注</t>
    </r>
    <r>
      <rPr>
        <sz val="10"/>
        <rFont val="ＭＳ Ｐ明朝"/>
        <family val="1"/>
        <charset val="128"/>
      </rPr>
      <t xml:space="preserve">)</t>
    </r>
  </si>
  <si>
    <t xml:space="preserve">１　「短期経理より繰入（Ｂ）」の欄は、定款で定める組合員１人あたりの繰入額</t>
  </si>
  <si>
    <t xml:space="preserve">２　「連合会交付金（Ｃ）」の欄は、厚生年金保険及び経過的長期給付事務費に係る連合会交付金の額を</t>
  </si>
  <si>
    <t xml:space="preserve">　 平均組合員数で割った組合員１人当たりの額</t>
  </si>
  <si>
    <t xml:space="preserve">３    　「その他(D)」の欄は、業務経理の剰余金を取り崩す場合における取崩額を平均組合員数で割った組合員1人</t>
  </si>
  <si>
    <t xml:space="preserve">　　当たりの額</t>
  </si>
  <si>
    <t xml:space="preserve">１－２．退職等年金給付に係る事務費について</t>
  </si>
  <si>
    <t xml:space="preserve">区　　　　　　分</t>
  </si>
  <si>
    <t xml:space="preserve">比較増△減</t>
  </si>
  <si>
    <t xml:space="preserve">事務費（連合会交付金）</t>
  </si>
  <si>
    <t xml:space="preserve">　　　年度</t>
  </si>
  <si>
    <t xml:space="preserve">表中の数値は、退職等年金給付事務費に係る連合会交付金の額を平均組合員数で割った組合員１人当たりの額</t>
  </si>
  <si>
    <t xml:space="preserve">内訳</t>
  </si>
  <si>
    <t xml:space="preserve">２．収入について</t>
  </si>
  <si>
    <t xml:space="preserve">（注）</t>
  </si>
  <si>
    <t xml:space="preserve">　退職等年金給付事務費に係る連合会交付金の額を平均組合員数で割った組合員</t>
  </si>
  <si>
    <t xml:space="preserve">区　　　分 </t>
  </si>
  <si>
    <t xml:space="preserve">事 業 計 画 額</t>
  </si>
  <si>
    <t xml:space="preserve">決　　算　　額</t>
  </si>
  <si>
    <t xml:space="preserve">比 較 増 △ 減</t>
  </si>
  <si>
    <t xml:space="preserve">前 年 度 決 算 額 と の 比 較 </t>
  </si>
  <si>
    <t xml:space="preserve">１人当たりの額を記入すること。</t>
  </si>
  <si>
    <t xml:space="preserve"> 科　　　目</t>
  </si>
  <si>
    <t xml:space="preserve">前年度決算額</t>
  </si>
  <si>
    <t xml:space="preserve">３．支出について</t>
  </si>
  <si>
    <t xml:space="preserve">前 年 度 決 算 額 と の 比 較</t>
  </si>
  <si>
    <t xml:space="preserve">会議費</t>
  </si>
  <si>
    <t xml:space="preserve">諸謝金</t>
  </si>
  <si>
    <t xml:space="preserve">食糧費</t>
  </si>
  <si>
    <t xml:space="preserve">雑費</t>
  </si>
  <si>
    <t xml:space="preserve">合　　　　　　　計</t>
  </si>
  <si>
    <t xml:space="preserve">４．利益剰余金の処分について</t>
  </si>
  <si>
    <t xml:space="preserve">当期利益金バージョン</t>
  </si>
  <si>
    <t xml:space="preserve">　　本年度における収支決算を行った結果、当期利益金として　　円を生じた。</t>
  </si>
  <si>
    <t xml:space="preserve">　　この利益金に前年度より繰り越した積立金　　円を合わせ、翌年度へ繰り越す積立金は、</t>
  </si>
  <si>
    <t xml:space="preserve">　　　円となる。</t>
  </si>
  <si>
    <t xml:space="preserve">５.利益剰余金の処分について</t>
  </si>
  <si>
    <t xml:space="preserve">　本年度における収支決算を行った結果、当期利益金として　　　　　円を生じたが、こ</t>
  </si>
  <si>
    <t xml:space="preserve">れを次のとおり処分した。</t>
  </si>
  <si>
    <t xml:space="preserve">　当期処分額</t>
  </si>
  <si>
    <t xml:space="preserve">○○積立金へ積立</t>
  </si>
  <si>
    <t xml:space="preserve">　したがって、前年度より繰り越した積立金　　　　　円と当期利益金　　　　　円から</t>
  </si>
  <si>
    <t xml:space="preserve">当期処分額　　　　　円を差し引いた額　　　　　円を合わせ、翌年度へ繰り越す積立金</t>
  </si>
  <si>
    <t xml:space="preserve">は、　　　　　円となる。</t>
  </si>
  <si>
    <t xml:space="preserve">　本年度における収支決算を行った結果、当期損失金として　　　　　円を生じたが、前</t>
  </si>
  <si>
    <t xml:space="preserve">年度より繰り越した積立金　　　　円を取り崩して補てんした。なお、翌年度へ繰り越す</t>
  </si>
  <si>
    <t xml:space="preserve">積立金は、　　　　円となる。</t>
  </si>
  <si>
    <t xml:space="preserve">６．欠損金の処分について</t>
  </si>
  <si>
    <t xml:space="preserve">　本年度における収支決算を行った結果、当期損失金として　　　　　円を生じ、前年度</t>
  </si>
  <si>
    <t xml:space="preserve">より繰り越した積立金　　　　円を取り崩して補てんしたが、なお足りず、翌年度へ繰り</t>
  </si>
  <si>
    <t xml:space="preserve">越す繰越欠損金は、　　　　円となる。</t>
  </si>
  <si>
    <t xml:space="preserve">より繰り越した繰越欠損金　　　　円と合わせ、翌年度へ繰り越す繰越欠損金は、　　円　　　</t>
  </si>
  <si>
    <t xml:space="preserve">となる。</t>
  </si>
  <si>
    <t xml:space="preserve">科目</t>
  </si>
  <si>
    <t xml:space="preserve">短期経理</t>
  </si>
  <si>
    <t xml:space="preserve">長期経理</t>
  </si>
  <si>
    <t xml:space="preserve">保健経理</t>
  </si>
  <si>
    <t xml:space="preserve">貸付経理</t>
  </si>
  <si>
    <t xml:space="preserve">比較増減</t>
  </si>
  <si>
    <t xml:space="preserve">前期繰越額（A）</t>
  </si>
  <si>
    <t xml:space="preserve">収入の部</t>
  </si>
  <si>
    <t xml:space="preserve">掛金</t>
  </si>
  <si>
    <t xml:space="preserve">償還差益</t>
  </si>
  <si>
    <t xml:space="preserve">育児介護休業手当金
交付金</t>
  </si>
  <si>
    <t xml:space="preserve">高額医療交付金</t>
  </si>
  <si>
    <t xml:space="preserve">災害給付交付金</t>
  </si>
  <si>
    <t xml:space="preserve">賠償金</t>
  </si>
  <si>
    <t xml:space="preserve">退職一時金等返還金</t>
  </si>
  <si>
    <t xml:space="preserve">出産育児交付金</t>
  </si>
  <si>
    <t xml:space="preserve">施設収入</t>
  </si>
  <si>
    <t xml:space="preserve">雑収入他</t>
  </si>
  <si>
    <t xml:space="preserve">長期経理より繰入</t>
  </si>
  <si>
    <t xml:space="preserve">組合員貸付金利息</t>
  </si>
  <si>
    <t xml:space="preserve">寄附金</t>
  </si>
  <si>
    <t xml:space="preserve">基礎年金国庫金</t>
  </si>
  <si>
    <t xml:space="preserve">前年度繰越支払準備金</t>
  </si>
  <si>
    <t xml:space="preserve">当期収入合計
           （B）</t>
  </si>
  <si>
    <t xml:space="preserve">支出の部</t>
  </si>
  <si>
    <t xml:space="preserve">保健給付</t>
  </si>
  <si>
    <t xml:space="preserve">休業給付</t>
  </si>
  <si>
    <t xml:space="preserve">災害給付</t>
  </si>
  <si>
    <t xml:space="preserve">附加給付</t>
  </si>
  <si>
    <t xml:space="preserve">一部負担金払戻金</t>
  </si>
  <si>
    <t xml:space="preserve">拠出金・納付金</t>
  </si>
  <si>
    <t xml:space="preserve">任意継続掛金還付金</t>
  </si>
  <si>
    <t xml:space="preserve">退職給付</t>
  </si>
  <si>
    <t xml:space="preserve">障害給付</t>
  </si>
  <si>
    <t xml:space="preserve">遺族給付</t>
  </si>
  <si>
    <t xml:space="preserve">基礎年金拠出金負担金</t>
  </si>
  <si>
    <t xml:space="preserve">連合会払込金</t>
  </si>
  <si>
    <t xml:space="preserve">業務経理へ繰入</t>
  </si>
  <si>
    <t xml:space="preserve">事業費用</t>
  </si>
  <si>
    <t xml:space="preserve">基礎年金</t>
  </si>
  <si>
    <t xml:space="preserve">基礎年金返還金</t>
  </si>
  <si>
    <t xml:space="preserve">次年度繰越支払準備金</t>
  </si>
  <si>
    <t xml:space="preserve">当期支出合計
          （C）</t>
  </si>
  <si>
    <t xml:space="preserve">当期収支差額
             (B)-(C)</t>
  </si>
  <si>
    <t xml:space="preserve">次期繰越額  
    (A)+(B)-(C)</t>
  </si>
  <si>
    <t xml:space="preserve">経常費用</t>
  </si>
  <si>
    <t xml:space="preserve">長期</t>
  </si>
  <si>
    <t xml:space="preserve">事務局長・次長のみが持つ資料にはコメントを印刷する。それ以外の人に渡すものにはそのコメントは印刷しない。</t>
  </si>
  <si>
    <t xml:space="preserve">業務</t>
  </si>
</sst>
</file>

<file path=xl/styles.xml><?xml version="1.0" encoding="utf-8"?>
<styleSheet xmlns="http://schemas.openxmlformats.org/spreadsheetml/2006/main">
  <numFmts count="12">
    <numFmt numFmtId="164" formatCode="General"/>
    <numFmt numFmtId="165" formatCode="0"/>
    <numFmt numFmtId="166" formatCode="#,##0"/>
    <numFmt numFmtId="167" formatCode="#,##0;&quot;△ &quot;#,##0;0"/>
    <numFmt numFmtId="168" formatCode="#,##0;&quot;△ &quot;#,##0"/>
    <numFmt numFmtId="169" formatCode="#,##0;&quot;△ &quot;#,##0;;"/>
    <numFmt numFmtId="170" formatCode="@"/>
    <numFmt numFmtId="171" formatCode="[$-409]#,##0_);[RED]\(#,##0\)"/>
    <numFmt numFmtId="172" formatCode="[$-1030411]ge\.m\.d;@"/>
    <numFmt numFmtId="173" formatCode="0.0_ "/>
    <numFmt numFmtId="174" formatCode="#,##0.0;&quot;△ &quot;#,##0.0"/>
    <numFmt numFmtId="175" formatCode="#,##0_ "/>
  </numFmts>
  <fonts count="84">
    <font>
      <sz val="11"/>
      <name val="ＭＳ Ｐゴシック"/>
      <family val="3"/>
      <charset val="128"/>
    </font>
    <font>
      <sz val="10"/>
      <name val="Arial"/>
      <family val="0"/>
    </font>
    <font>
      <sz val="10"/>
      <name val="Arial"/>
      <family val="0"/>
    </font>
    <font>
      <sz val="10"/>
      <name val="Arial"/>
      <family val="0"/>
    </font>
    <font>
      <b val="true"/>
      <sz val="14"/>
      <name val="WenQuanYi Zen Hei"/>
      <family val="2"/>
    </font>
    <font>
      <sz val="10"/>
      <name val="WenQuanYi Zen Hei"/>
      <family val="2"/>
    </font>
    <font>
      <sz val="10"/>
      <name val="MS ゴシック"/>
      <family val="0"/>
      <charset val="1"/>
    </font>
    <font>
      <b val="true"/>
      <sz val="12"/>
      <name val="WenQuanYi Zen Hei"/>
      <family val="2"/>
    </font>
    <font>
      <b val="true"/>
      <sz val="10"/>
      <name val="WenQuanYi Zen Hei"/>
      <family val="2"/>
    </font>
    <font>
      <b val="true"/>
      <sz val="10"/>
      <name val="MS ゴシック"/>
      <family val="0"/>
      <charset val="1"/>
    </font>
    <font>
      <sz val="10"/>
      <color rgb="FF0000FF"/>
      <name val="MS ゴシック"/>
      <family val="0"/>
      <charset val="1"/>
    </font>
    <font>
      <sz val="10"/>
      <color rgb="FF0000FF"/>
      <name val="WenQuanYi Zen Hei"/>
      <family val="2"/>
    </font>
    <font>
      <b val="true"/>
      <sz val="10"/>
      <color rgb="FFFFFFFF"/>
      <name val="WenQuanYi Zen Hei"/>
      <family val="2"/>
    </font>
    <font>
      <b val="true"/>
      <sz val="10"/>
      <color rgb="FFFFFFFF"/>
      <name val="MS ゴシック"/>
      <family val="0"/>
      <charset val="1"/>
    </font>
    <font>
      <sz val="11"/>
      <name val="ＭＳ 明朝"/>
      <family val="1"/>
      <charset val="128"/>
    </font>
    <font>
      <b val="true"/>
      <sz val="16"/>
      <name val="WenQuanYi Zen Hei"/>
      <family val="2"/>
      <charset val="1"/>
    </font>
    <font>
      <u val="single"/>
      <sz val="16"/>
      <name val="ＭＳ 明朝"/>
      <family val="1"/>
      <charset val="128"/>
    </font>
    <font>
      <sz val="11"/>
      <name val="WenQuanYi Zen Hei"/>
      <family val="2"/>
      <charset val="1"/>
    </font>
    <font>
      <sz val="11"/>
      <color rgb="FF000000"/>
      <name val="WenQuanYi Zen Hei"/>
      <family val="2"/>
      <charset val="1"/>
    </font>
    <font>
      <sz val="10"/>
      <name val="WenQuanYi Zen Hei"/>
      <family val="2"/>
      <charset val="1"/>
    </font>
    <font>
      <sz val="9"/>
      <name val="WenQuanYi Zen Hei"/>
      <family val="2"/>
      <charset val="1"/>
    </font>
    <font>
      <sz val="10"/>
      <name val="ＭＳ 明朝"/>
      <family val="1"/>
      <charset val="128"/>
    </font>
    <font>
      <sz val="9"/>
      <color rgb="FF0000FF"/>
      <name val="ＭＳ 明朝"/>
      <family val="1"/>
      <charset val="128"/>
    </font>
    <font>
      <sz val="9"/>
      <name val="ＭＳ 明朝"/>
      <family val="1"/>
      <charset val="128"/>
    </font>
    <font>
      <sz val="9"/>
      <color rgb="FFFF0000"/>
      <name val="ＭＳ 明朝"/>
      <family val="1"/>
      <charset val="128"/>
    </font>
    <font>
      <sz val="9"/>
      <color rgb="FFFFFFFF"/>
      <name val="ＭＳ 明朝"/>
      <family val="1"/>
      <charset val="128"/>
    </font>
    <font>
      <sz val="9"/>
      <color rgb="FF000000"/>
      <name val="WenQuanYi Zen Hei"/>
      <family val="2"/>
      <charset val="1"/>
    </font>
    <font>
      <sz val="10"/>
      <color rgb="FF000000"/>
      <name val="WenQuanYi Zen Hei"/>
      <family val="2"/>
      <charset val="1"/>
    </font>
    <font>
      <sz val="10"/>
      <color rgb="FF000000"/>
      <name val="ＭＳ 明朝"/>
      <family val="1"/>
      <charset val="128"/>
    </font>
    <font>
      <sz val="10"/>
      <name val="Arial"/>
      <family val="2"/>
    </font>
    <font>
      <sz val="8"/>
      <name val="ＭＳ 明朝"/>
      <family val="1"/>
      <charset val="128"/>
    </font>
    <font>
      <b val="true"/>
      <u val="single"/>
      <sz val="16"/>
      <name val="ＭＳ 明朝"/>
      <family val="1"/>
      <charset val="128"/>
    </font>
    <font>
      <b val="true"/>
      <sz val="16"/>
      <name val="ＭＳ 明朝"/>
      <family val="1"/>
      <charset val="128"/>
    </font>
    <font>
      <b val="true"/>
      <u val="single"/>
      <sz val="8"/>
      <name val="ＭＳ 明朝"/>
      <family val="1"/>
      <charset val="128"/>
    </font>
    <font>
      <sz val="8"/>
      <name val="WenQuanYi Zen Hei"/>
      <family val="2"/>
      <charset val="1"/>
    </font>
    <font>
      <b val="true"/>
      <u val="single"/>
      <sz val="8"/>
      <name val="WenQuanYi Zen Hei"/>
      <family val="2"/>
      <charset val="1"/>
    </font>
    <font>
      <sz val="8"/>
      <color rgb="FF0000FF"/>
      <name val="ＭＳ 明朝"/>
      <family val="1"/>
      <charset val="128"/>
    </font>
    <font>
      <sz val="8"/>
      <color rgb="FFFF0000"/>
      <name val="ＭＳ 明朝"/>
      <family val="1"/>
      <charset val="128"/>
    </font>
    <font>
      <b val="true"/>
      <sz val="8"/>
      <name val="WenQuanYi Zen Hei"/>
      <family val="2"/>
      <charset val="1"/>
    </font>
    <font>
      <sz val="8"/>
      <color rgb="FFFF0000"/>
      <name val="WenQuanYi Zen Hei"/>
      <family val="2"/>
      <charset val="1"/>
    </font>
    <font>
      <sz val="7"/>
      <name val="WenQuanYi Zen Hei"/>
      <family val="2"/>
      <charset val="1"/>
    </font>
    <font>
      <sz val="6"/>
      <name val="WenQuanYi Zen Hei"/>
      <family val="2"/>
      <charset val="1"/>
    </font>
    <font>
      <sz val="5"/>
      <name val="WenQuanYi Zen Hei"/>
      <family val="2"/>
      <charset val="1"/>
    </font>
    <font>
      <sz val="7"/>
      <name val="ＭＳ 明朝"/>
      <family val="1"/>
      <charset val="128"/>
    </font>
    <font>
      <b val="true"/>
      <u val="single"/>
      <sz val="8"/>
      <name val="ＭＳ ゴシック"/>
      <family val="3"/>
      <charset val="128"/>
    </font>
    <font>
      <u val="single"/>
      <sz val="14"/>
      <name val="ＭＳ 明朝"/>
      <family val="1"/>
      <charset val="128"/>
    </font>
    <font>
      <sz val="14"/>
      <name val="ＭＳ 明朝"/>
      <family val="1"/>
      <charset val="128"/>
    </font>
    <font>
      <sz val="10"/>
      <color rgb="FF0000FF"/>
      <name val="ＭＳ 明朝"/>
      <family val="1"/>
      <charset val="128"/>
    </font>
    <font>
      <sz val="7"/>
      <name val="WenQuanYi Zen Hei"/>
      <family val="2"/>
    </font>
    <font>
      <sz val="7.5"/>
      <name val="WenQuanYi Zen Hei"/>
      <family val="2"/>
      <charset val="1"/>
    </font>
    <font>
      <sz val="9"/>
      <name val="WenQuanYi Zen Hei"/>
      <family val="2"/>
    </font>
    <font>
      <sz val="10"/>
      <color rgb="FF008000"/>
      <name val="ＭＳ 明朝"/>
      <family val="1"/>
      <charset val="128"/>
    </font>
    <font>
      <sz val="10"/>
      <color rgb="FFFF0000"/>
      <name val="ＭＳ 明朝"/>
      <family val="1"/>
      <charset val="128"/>
    </font>
    <font>
      <sz val="11"/>
      <color rgb="FF000000"/>
      <name val="ＭＳ 明朝"/>
      <family val="1"/>
      <charset val="128"/>
    </font>
    <font>
      <b val="true"/>
      <sz val="16"/>
      <color rgb="FF000000"/>
      <name val="WenQuanYi Zen Hei"/>
      <family val="2"/>
      <charset val="1"/>
    </font>
    <font>
      <b val="true"/>
      <sz val="16"/>
      <color rgb="FF000000"/>
      <name val="ＭＳ 明朝"/>
      <family val="1"/>
      <charset val="128"/>
    </font>
    <font>
      <u val="single"/>
      <sz val="14"/>
      <color rgb="FF000000"/>
      <name val="ＭＳ 明朝"/>
      <family val="1"/>
      <charset val="128"/>
    </font>
    <font>
      <sz val="14"/>
      <color rgb="FF000000"/>
      <name val="ＭＳ 明朝"/>
      <family val="1"/>
      <charset val="128"/>
    </font>
    <font>
      <sz val="8"/>
      <color rgb="FF000000"/>
      <name val="WenQuanYi Zen Hei"/>
      <family val="2"/>
      <charset val="1"/>
    </font>
    <font>
      <sz val="10"/>
      <color rgb="FF0000FF"/>
      <name val="WenQuanYi Zen Hei"/>
      <family val="2"/>
      <charset val="1"/>
    </font>
    <font>
      <b val="true"/>
      <sz val="14"/>
      <name val="WenQuanYi Zen Hei"/>
      <family val="2"/>
      <charset val="1"/>
    </font>
    <font>
      <b val="true"/>
      <sz val="14"/>
      <name val="ＭＳ 明朝"/>
      <family val="1"/>
      <charset val="128"/>
    </font>
    <font>
      <sz val="18"/>
      <name val="WenQuanYi Zen Hei"/>
      <family val="2"/>
      <charset val="1"/>
    </font>
    <font>
      <sz val="10"/>
      <name val="ＭＳ Ｐ明朝"/>
      <family val="1"/>
      <charset val="128"/>
    </font>
    <font>
      <sz val="10"/>
      <color rgb="FF0000FF"/>
      <name val="ＭＳ Ｐ明朝"/>
      <family val="1"/>
      <charset val="128"/>
    </font>
    <font>
      <sz val="11"/>
      <name val="ＭＳ Ｐ明朝"/>
      <family val="1"/>
      <charset val="128"/>
    </font>
    <font>
      <sz val="10"/>
      <color rgb="FF003366"/>
      <name val="ＭＳ Ｐ明朝"/>
      <family val="1"/>
      <charset val="128"/>
    </font>
    <font>
      <sz val="9.5"/>
      <name val="WenQuanYi Zen Hei"/>
      <family val="2"/>
      <charset val="1"/>
    </font>
    <font>
      <sz val="10"/>
      <color rgb="FFFF0000"/>
      <name val="ＭＳ Ｐ明朝"/>
      <family val="1"/>
      <charset val="128"/>
    </font>
    <font>
      <b val="true"/>
      <sz val="11"/>
      <name val="WenQuanYi Zen Hei"/>
      <family val="2"/>
      <charset val="1"/>
    </font>
    <font>
      <sz val="11"/>
      <color rgb="FFFF0000"/>
      <name val="WenQuanYi Zen Hei"/>
      <family val="2"/>
      <charset val="1"/>
    </font>
    <font>
      <b val="true"/>
      <u val="single"/>
      <sz val="18"/>
      <name val="WenQuanYi Zen Hei"/>
      <family val="2"/>
      <charset val="1"/>
    </font>
    <font>
      <b val="true"/>
      <u val="single"/>
      <sz val="18"/>
      <name val="ＭＳ ゴシック"/>
      <family val="3"/>
      <charset val="128"/>
    </font>
    <font>
      <sz val="18"/>
      <name val="ＭＳ ゴシック"/>
      <family val="3"/>
      <charset val="128"/>
    </font>
    <font>
      <sz val="10"/>
      <name val="ＭＳ ゴシック"/>
      <family val="3"/>
      <charset val="128"/>
    </font>
    <font>
      <sz val="11"/>
      <color rgb="FF0000FF"/>
      <name val="WenQuanYi Zen Hei"/>
      <family val="2"/>
    </font>
    <font>
      <sz val="11"/>
      <color rgb="FF0000FF"/>
      <name val="ＭＳ ゴシック"/>
      <family val="3"/>
      <charset val="128"/>
    </font>
    <font>
      <sz val="11"/>
      <color rgb="FFFF0000"/>
      <name val="ＭＳ ゴシック"/>
      <family val="3"/>
      <charset val="128"/>
    </font>
    <font>
      <sz val="11"/>
      <name val="ＭＳ ゴシック"/>
      <family val="3"/>
      <charset val="128"/>
    </font>
    <font>
      <sz val="11"/>
      <color rgb="FF000000"/>
      <name val="ＭＳ ゴシック"/>
      <family val="3"/>
      <charset val="128"/>
    </font>
    <font>
      <u val="single"/>
      <sz val="10"/>
      <color rgb="FF000000"/>
      <name val="ＭＳ ゴシック"/>
      <family val="3"/>
      <charset val="128"/>
    </font>
    <font>
      <b val="true"/>
      <u val="single"/>
      <sz val="18"/>
      <name val="WenQuanYi Zen Hei"/>
      <family val="2"/>
    </font>
    <font>
      <sz val="10"/>
      <color rgb="FF0000FF"/>
      <name val="ＭＳ ゴシック"/>
      <family val="3"/>
      <charset val="128"/>
    </font>
    <font>
      <sz val="10"/>
      <color rgb="FFFF0000"/>
      <name val="ＭＳ ゴシック"/>
      <family val="3"/>
      <charset val="128"/>
    </font>
  </fonts>
  <fills count="7">
    <fill>
      <patternFill patternType="none"/>
    </fill>
    <fill>
      <patternFill patternType="gray125"/>
    </fill>
    <fill>
      <patternFill patternType="solid">
        <fgColor rgb="FFDDEBF7"/>
        <bgColor rgb="FFCCFFFF"/>
      </patternFill>
    </fill>
    <fill>
      <patternFill patternType="solid">
        <fgColor rgb="FFFFF2CC"/>
        <bgColor rgb="FFFFFFFF"/>
      </patternFill>
    </fill>
    <fill>
      <patternFill patternType="solid">
        <fgColor rgb="FF1F4E78"/>
        <bgColor rgb="FF003366"/>
      </patternFill>
    </fill>
    <fill>
      <patternFill patternType="solid">
        <fgColor rgb="FFFFFFFF"/>
        <bgColor rgb="FFFFF2CC"/>
      </patternFill>
    </fill>
    <fill>
      <patternFill patternType="solid">
        <fgColor rgb="FFFFFF00"/>
        <bgColor rgb="FFFFFF00"/>
      </patternFill>
    </fill>
  </fills>
  <borders count="13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right/>
      <top/>
      <bottom style="double"/>
      <diagonal/>
    </border>
    <border diagonalUp="false" diagonalDown="false">
      <left style="medium"/>
      <right/>
      <top style="medium"/>
      <bottom/>
      <diagonal/>
    </border>
    <border diagonalUp="false" diagonalDown="false">
      <left/>
      <right/>
      <top style="medium"/>
      <bottom/>
      <diagonal/>
    </border>
    <border diagonalUp="false" diagonalDown="false">
      <left/>
      <right/>
      <top style="medium"/>
      <bottom style="thin"/>
      <diagonal/>
    </border>
    <border diagonalUp="false" diagonalDown="false">
      <left/>
      <right style="medium"/>
      <top style="medium"/>
      <bottom/>
      <diagonal/>
    </border>
    <border diagonalUp="false" diagonalDown="false">
      <left style="medium"/>
      <right/>
      <top/>
      <bottom/>
      <diagonal/>
    </border>
    <border diagonalUp="false" diagonalDown="false">
      <left/>
      <right/>
      <top style="thin"/>
      <bottom style="double"/>
      <diagonal/>
    </border>
    <border diagonalUp="false" diagonalDown="false">
      <left/>
      <right style="medium"/>
      <top/>
      <bottom/>
      <diagonal/>
    </border>
    <border diagonalUp="false" diagonalDown="false">
      <left style="medium"/>
      <right/>
      <top/>
      <bottom style="thin"/>
      <diagonal/>
    </border>
    <border diagonalUp="false" diagonalDown="false">
      <left style="medium"/>
      <right/>
      <top style="thin"/>
      <bottom/>
      <diagonal/>
    </border>
    <border diagonalUp="false" diagonalDown="false">
      <left style="double"/>
      <right style="double"/>
      <top style="thin"/>
      <bottom style="thin"/>
      <diagonal/>
    </border>
    <border diagonalUp="false" diagonalDown="false">
      <left/>
      <right style="medium"/>
      <top style="thin"/>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medium"/>
      <top style="thin"/>
      <bottom style="thin"/>
      <diagonal/>
    </border>
    <border diagonalUp="false" diagonalDown="false">
      <left style="thin"/>
      <right style="thin"/>
      <top style="thin"/>
      <bottom/>
      <diagonal/>
    </border>
    <border diagonalUp="false" diagonalDown="false">
      <left/>
      <right/>
      <top style="thin"/>
      <bottom/>
      <diagonal/>
    </border>
    <border diagonalUp="false" diagonalDown="false">
      <left style="double"/>
      <right style="double"/>
      <top style="thin"/>
      <bottom/>
      <diagonal/>
    </border>
    <border diagonalUp="false" diagonalDown="false">
      <left style="thin"/>
      <right style="medium"/>
      <top style="thin"/>
      <botto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style="double"/>
      <right style="double"/>
      <top/>
      <bottom style="thin"/>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double"/>
      <right style="double"/>
      <top style="medium"/>
      <bottom style="medium"/>
      <diagonal/>
    </border>
    <border diagonalUp="false" diagonalDown="false">
      <left/>
      <right style="thin"/>
      <top style="medium"/>
      <bottom style="medium"/>
      <diagonal/>
    </border>
    <border diagonalUp="false" diagonalDown="false">
      <left style="thin"/>
      <right style="medium"/>
      <top style="medium"/>
      <bottom style="medium"/>
      <diagonal/>
    </border>
    <border diagonalUp="false" diagonalDown="false">
      <left/>
      <right/>
      <top style="thin"/>
      <bottom style="thin"/>
      <diagonal/>
    </border>
    <border diagonalUp="false" diagonalDown="false">
      <left/>
      <right/>
      <top/>
      <bottom style="thin"/>
      <diagonal/>
    </border>
    <border diagonalUp="false" diagonalDown="false">
      <left/>
      <right style="medium"/>
      <top/>
      <bottom style="thin"/>
      <diagonal/>
    </border>
    <border diagonalUp="false" diagonalDown="false">
      <left style="medium"/>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style="thin"/>
      <diagonal/>
    </border>
    <border diagonalUp="false" diagonalDown="false">
      <left style="medium"/>
      <right style="double"/>
      <top style="medium"/>
      <bottom style="thin"/>
      <diagonal/>
    </border>
    <border diagonalUp="false" diagonalDown="false">
      <left/>
      <right style="medium"/>
      <top style="medium"/>
      <bottom style="thin"/>
      <diagonal/>
    </border>
    <border diagonalUp="false" diagonalDown="false">
      <left style="medium"/>
      <right style="thin"/>
      <top/>
      <bottom/>
      <diagonal/>
    </border>
    <border diagonalUp="false" diagonalDown="false">
      <left style="thin"/>
      <right style="thin"/>
      <top/>
      <bottom/>
      <diagonal/>
    </border>
    <border diagonalUp="false" diagonalDown="false">
      <left style="thin"/>
      <right style="medium"/>
      <top/>
      <bottom/>
      <diagonal/>
    </border>
    <border diagonalUp="false" diagonalDown="false">
      <left style="medium"/>
      <right style="double"/>
      <top/>
      <bottom/>
      <diagonal/>
    </border>
    <border diagonalUp="false" diagonalDown="false">
      <left/>
      <right style="thin"/>
      <top/>
      <bottom/>
      <diagonal/>
    </border>
    <border diagonalUp="false" diagonalDown="false">
      <left style="medium"/>
      <right style="medium"/>
      <top style="thin"/>
      <bottom/>
      <diagonal/>
    </border>
    <border diagonalUp="false" diagonalDown="false">
      <left style="thin"/>
      <right/>
      <top/>
      <bottom/>
      <diagonal/>
    </border>
    <border diagonalUp="false" diagonalDown="false">
      <left style="medium"/>
      <right style="medium"/>
      <top style="thin"/>
      <bottom style="medium"/>
      <diagonal/>
    </border>
    <border diagonalUp="false" diagonalDown="false">
      <left style="medium"/>
      <right style="double"/>
      <top style="thin"/>
      <bottom style="medium"/>
      <diagonal/>
    </border>
    <border diagonalUp="false" diagonalDown="false">
      <left/>
      <right style="medium"/>
      <top style="thin"/>
      <bottom style="medium"/>
      <diagonal/>
    </border>
    <border diagonalUp="false" diagonalDown="false">
      <left style="medium"/>
      <right/>
      <top style="medium"/>
      <bottom style="thin"/>
      <diagonal/>
    </border>
    <border diagonalUp="false" diagonalDown="false">
      <left style="medium"/>
      <right style="double"/>
      <top/>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right style="thin"/>
      <top style="thin"/>
      <bottom/>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style="thin"/>
      <top style="thin"/>
      <bottom style="medium"/>
      <diagonal/>
    </border>
    <border diagonalUp="true" diagonalDown="false">
      <left style="thin"/>
      <right style="thin"/>
      <top style="thin"/>
      <bottom style="medium"/>
      <diagonal style="thin"/>
    </border>
    <border diagonalUp="false" diagonalDown="false">
      <left style="thin"/>
      <right/>
      <top style="thin"/>
      <bottom style="medium"/>
      <diagonal/>
    </border>
    <border diagonalUp="false" diagonalDown="false">
      <left/>
      <right style="thin"/>
      <top style="thin"/>
      <bottom style="medium"/>
      <diagonal/>
    </border>
    <border diagonalUp="true" diagonalDown="false">
      <left style="thin"/>
      <right style="medium"/>
      <top style="thin"/>
      <bottom style="medium"/>
      <diagonal style="thin"/>
    </border>
    <border diagonalUp="false" diagonalDown="false">
      <left/>
      <right style="thin"/>
      <top/>
      <bottom style="medium"/>
      <diagonal/>
    </border>
    <border diagonalUp="false" diagonalDown="false">
      <left style="thin"/>
      <right/>
      <top style="medium"/>
      <bottom style="thin"/>
      <diagonal/>
    </border>
    <border diagonalUp="false" diagonalDown="false">
      <left style="thin"/>
      <right style="medium"/>
      <top style="thin"/>
      <bottom style="medium"/>
      <diagonal/>
    </border>
    <border diagonalUp="false" diagonalDown="false">
      <left style="thin"/>
      <right/>
      <top/>
      <bottom style="medium"/>
      <diagonal/>
    </border>
    <border diagonalUp="true" diagonalDown="false">
      <left style="thin"/>
      <right style="thin"/>
      <top/>
      <bottom style="medium"/>
      <diagonal style="thin"/>
    </border>
    <border diagonalUp="true" diagonalDown="false">
      <left style="thin"/>
      <right style="medium"/>
      <top/>
      <bottom style="medium"/>
      <diagonal style="thin"/>
    </border>
    <border diagonalUp="false" diagonalDown="false">
      <left style="thin"/>
      <right style="thin"/>
      <top style="thin"/>
      <bottom style="medium"/>
      <diagonal/>
    </border>
    <border diagonalUp="false" diagonalDown="false">
      <left style="thin"/>
      <right style="thin"/>
      <top/>
      <bottom style="medium"/>
      <diagonal/>
    </border>
    <border diagonalUp="false" diagonalDown="false">
      <left style="medium"/>
      <right style="thin"/>
      <top/>
      <bottom style="hair"/>
      <diagonal/>
    </border>
    <border diagonalUp="false" diagonalDown="false">
      <left style="thin"/>
      <right style="thin"/>
      <top/>
      <bottom style="hair"/>
      <diagonal/>
    </border>
    <border diagonalUp="false" diagonalDown="false">
      <left style="thin"/>
      <right style="medium"/>
      <top/>
      <bottom style="hair"/>
      <diagonal/>
    </border>
    <border diagonalUp="false" diagonalDown="false">
      <left style="medium"/>
      <right style="thin"/>
      <top style="thin"/>
      <botto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dashed"/>
      <right/>
      <top style="dashed"/>
      <bottom style="thin"/>
      <diagonal/>
    </border>
    <border diagonalUp="false" diagonalDown="false">
      <left/>
      <right/>
      <top style="dashed"/>
      <bottom style="thin"/>
      <diagonal/>
    </border>
    <border diagonalUp="false" diagonalDown="false">
      <left/>
      <right style="thin"/>
      <top style="dashed"/>
      <bottom style="thin"/>
      <diagonal/>
    </border>
    <border diagonalUp="false" diagonalDown="false">
      <left style="thin"/>
      <right style="thin"/>
      <top style="dashed"/>
      <bottom style="thin"/>
      <diagonal/>
    </border>
    <border diagonalUp="false" diagonalDown="false">
      <left style="medium"/>
      <right/>
      <top style="medium"/>
      <bottom style="double"/>
      <diagonal/>
    </border>
    <border diagonalUp="false" diagonalDown="false">
      <left style="double"/>
      <right style="double"/>
      <top style="medium"/>
      <bottom style="thin"/>
      <diagonal/>
    </border>
    <border diagonalUp="false" diagonalDown="false">
      <left style="double"/>
      <right style="double"/>
      <top style="medium"/>
      <bottom/>
      <diagonal/>
    </border>
    <border diagonalUp="false" diagonalDown="false">
      <left style="double"/>
      <right style="medium"/>
      <top style="medium"/>
      <bottom/>
      <diagonal/>
    </border>
    <border diagonalUp="false" diagonalDown="false">
      <left style="double"/>
      <right style="thin"/>
      <top style="thin"/>
      <bottom style="double"/>
      <diagonal/>
    </border>
    <border diagonalUp="false" diagonalDown="false">
      <left/>
      <right style="thin"/>
      <top style="thin"/>
      <bottom style="double"/>
      <diagonal/>
    </border>
    <border diagonalUp="false" diagonalDown="false">
      <left style="thin"/>
      <right style="double"/>
      <top style="thin"/>
      <bottom style="double"/>
      <diagonal/>
    </border>
    <border diagonalUp="false" diagonalDown="false">
      <left style="thin"/>
      <right style="thin"/>
      <top style="thin"/>
      <bottom style="double"/>
      <diagonal/>
    </border>
    <border diagonalUp="false" diagonalDown="false">
      <left style="thin"/>
      <right style="medium"/>
      <top style="thin"/>
      <bottom style="double"/>
      <diagonal/>
    </border>
    <border diagonalUp="false" diagonalDown="false">
      <left style="medium"/>
      <right/>
      <top style="double"/>
      <bottom style="double"/>
      <diagonal/>
    </border>
    <border diagonalUp="false" diagonalDown="false">
      <left style="double"/>
      <right/>
      <top style="double"/>
      <bottom style="double"/>
      <diagonal/>
    </border>
    <border diagonalUp="false" diagonalDown="false">
      <left style="thin"/>
      <right style="thin"/>
      <top style="double"/>
      <bottom style="double"/>
      <diagonal/>
    </border>
    <border diagonalUp="false" diagonalDown="false">
      <left style="thin"/>
      <right style="double"/>
      <top style="double"/>
      <bottom style="double"/>
      <diagonal/>
    </border>
    <border diagonalUp="false" diagonalDown="false">
      <left style="double"/>
      <right style="thin"/>
      <top style="double"/>
      <bottom style="double"/>
      <diagonal/>
    </border>
    <border diagonalUp="false" diagonalDown="false">
      <left/>
      <right style="thin"/>
      <top style="double"/>
      <bottom style="double"/>
      <diagonal/>
    </border>
    <border diagonalUp="false" diagonalDown="false">
      <left style="thin"/>
      <right style="medium"/>
      <top style="double"/>
      <bottom style="double"/>
      <diagonal/>
    </border>
    <border diagonalUp="false" diagonalDown="false">
      <left style="medium"/>
      <right style="thin"/>
      <top style="double"/>
      <bottom style="double"/>
      <diagonal/>
    </border>
    <border diagonalUp="false" diagonalDown="false">
      <left style="double"/>
      <right style="thin"/>
      <top style="double"/>
      <bottom style="thin"/>
      <diagonal/>
    </border>
    <border diagonalUp="false" diagonalDown="false">
      <left/>
      <right style="thin"/>
      <top style="double"/>
      <bottom style="thin"/>
      <diagonal/>
    </border>
    <border diagonalUp="false" diagonalDown="false">
      <left style="thin"/>
      <right style="double"/>
      <top/>
      <bottom style="thin"/>
      <diagonal/>
    </border>
    <border diagonalUp="false" diagonalDown="false">
      <left style="double"/>
      <right/>
      <top/>
      <bottom style="thin"/>
      <diagonal/>
    </border>
    <border diagonalUp="false" diagonalDown="false">
      <left style="thin"/>
      <right style="thin"/>
      <top style="double"/>
      <bottom style="thin"/>
      <diagonal/>
    </border>
    <border diagonalUp="false" diagonalDown="false">
      <left style="double"/>
      <right/>
      <top style="double"/>
      <bottom style="thin"/>
      <diagonal/>
    </border>
    <border diagonalUp="false" diagonalDown="false">
      <left style="thin"/>
      <right style="double"/>
      <top style="double"/>
      <bottom style="thin"/>
      <diagonal/>
    </border>
    <border diagonalUp="false" diagonalDown="false">
      <left style="double"/>
      <right style="thin"/>
      <top style="thin"/>
      <bottom style="thin"/>
      <diagonal/>
    </border>
    <border diagonalUp="false" diagonalDown="false">
      <left style="thin"/>
      <right style="double"/>
      <top style="thin"/>
      <bottom style="thin"/>
      <diagonal/>
    </border>
    <border diagonalUp="false" diagonalDown="false">
      <left style="double"/>
      <right/>
      <top style="thin"/>
      <bottom style="thin"/>
      <diagonal/>
    </border>
    <border diagonalUp="false" diagonalDown="false">
      <left style="thin"/>
      <right style="double"/>
      <top/>
      <bottom/>
      <diagonal/>
    </border>
    <border diagonalUp="false" diagonalDown="false">
      <left style="double"/>
      <right style="thin"/>
      <top style="thin"/>
      <bottom/>
      <diagonal/>
    </border>
    <border diagonalUp="false" diagonalDown="false">
      <left style="double"/>
      <right/>
      <top style="thin"/>
      <bottom/>
      <diagonal/>
    </border>
    <border diagonalUp="false" diagonalDown="false">
      <left style="thin"/>
      <right style="double"/>
      <top style="thin"/>
      <bottom/>
      <diagonal/>
    </border>
    <border diagonalUp="false" diagonalDown="false">
      <left style="double"/>
      <right/>
      <top style="thin"/>
      <bottom style="double"/>
      <diagonal/>
    </border>
    <border diagonalUp="false" diagonalDown="false">
      <left style="double"/>
      <right/>
      <top style="double"/>
      <bottom/>
      <diagonal/>
    </border>
    <border diagonalUp="false" diagonalDown="false">
      <left style="thin"/>
      <right style="thin"/>
      <top style="double"/>
      <bottom/>
      <diagonal/>
    </border>
    <border diagonalUp="false" diagonalDown="false">
      <left style="double"/>
      <right style="thin"/>
      <top/>
      <bottom style="thin"/>
      <diagonal/>
    </border>
    <border diagonalUp="false" diagonalDown="false">
      <left style="double"/>
      <right/>
      <top/>
      <bottom/>
      <diagonal/>
    </border>
    <border diagonalUp="false" diagonalDown="false">
      <left style="double"/>
      <right/>
      <top/>
      <bottom style="double"/>
      <diagonal/>
    </border>
    <border diagonalUp="false" diagonalDown="false">
      <left style="thin"/>
      <right style="thin"/>
      <top/>
      <bottom style="double"/>
      <diagonal/>
    </border>
    <border diagonalUp="false" diagonalDown="false">
      <left style="medium"/>
      <right style="double"/>
      <top style="double"/>
      <bottom style="double"/>
      <diagonal/>
    </border>
    <border diagonalUp="false" diagonalDown="false">
      <left/>
      <right/>
      <top style="double"/>
      <bottom style="double"/>
      <diagonal/>
    </border>
    <border diagonalUp="false" diagonalDown="false">
      <left style="medium"/>
      <right/>
      <top style="thin"/>
      <bottom style="medium"/>
      <diagonal/>
    </border>
    <border diagonalUp="false" diagonalDown="false">
      <left style="double"/>
      <right/>
      <top style="thin"/>
      <bottom style="medium"/>
      <diagonal/>
    </border>
    <border diagonalUp="false" diagonalDown="false">
      <left style="thin"/>
      <right style="double"/>
      <top style="thin"/>
      <bottom style="medium"/>
      <diagonal/>
    </border>
    <border diagonalUp="false" diagonalDown="false">
      <left style="double"/>
      <right style="thin"/>
      <top style="thin"/>
      <bottom style="medium"/>
      <diagonal/>
    </border>
    <border diagonalUp="false" diagonalDown="false">
      <left/>
      <right/>
      <top style="thin"/>
      <bottom style="medium"/>
      <diagonal/>
    </border>
    <border diagonalUp="false" diagonalDown="false">
      <left/>
      <right/>
      <top style="double"/>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center" vertical="bottom" textRotation="0" wrapText="false" indent="0" shrinkToFit="false"/>
      <protection locked="true" hidden="false"/>
    </xf>
    <xf numFmtId="164" fontId="12" fillId="4"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8" fontId="14" fillId="0" borderId="0" xfId="0" applyFont="true" applyBorder="false" applyAlignment="true" applyProtection="false">
      <alignment horizontal="general" vertical="center" textRotation="0" wrapText="false" indent="0" shrinkToFit="false"/>
      <protection locked="true" hidden="false"/>
    </xf>
    <xf numFmtId="168" fontId="15" fillId="0" borderId="2" xfId="0" applyFont="true" applyBorder="true" applyAlignment="true" applyProtection="false">
      <alignment horizontal="distributed" vertical="bottom" textRotation="0" wrapText="false" indent="0" shrinkToFit="false"/>
      <protection locked="true" hidden="false"/>
    </xf>
    <xf numFmtId="168" fontId="16" fillId="0" borderId="0" xfId="0" applyFont="true" applyBorder="false" applyAlignment="true" applyProtection="false">
      <alignment horizontal="center" vertical="center" textRotation="0" wrapText="false" indent="0" shrinkToFit="false"/>
      <protection locked="true" hidden="false"/>
    </xf>
    <xf numFmtId="168" fontId="14" fillId="0" borderId="0" xfId="0" applyFont="true" applyBorder="false" applyAlignment="true" applyProtection="false">
      <alignment horizontal="center" vertical="center" textRotation="0" wrapText="false" indent="0" shrinkToFit="false"/>
      <protection locked="true" hidden="false"/>
    </xf>
    <xf numFmtId="168" fontId="14" fillId="0" borderId="3" xfId="0" applyFont="true" applyBorder="true" applyAlignment="true" applyProtection="false">
      <alignment horizontal="general" vertical="center"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8" fontId="17" fillId="0" borderId="5" xfId="0" applyFont="true" applyBorder="true" applyAlignment="true" applyProtection="false">
      <alignment horizontal="distributed" vertical="bottom" textRotation="0" wrapText="false" indent="0" shrinkToFit="false"/>
      <protection locked="true" hidden="false"/>
    </xf>
    <xf numFmtId="168" fontId="14" fillId="0" borderId="4" xfId="0" applyFont="true" applyBorder="true" applyAlignment="true" applyProtection="false">
      <alignment horizontal="center" vertical="center" textRotation="0" wrapText="false" indent="0" shrinkToFit="false"/>
      <protection locked="true" hidden="false"/>
    </xf>
    <xf numFmtId="168" fontId="14" fillId="0" borderId="6" xfId="0" applyFont="true" applyBorder="true" applyAlignment="true" applyProtection="false">
      <alignment horizontal="general" vertical="center" textRotation="0" wrapText="false" indent="0" shrinkToFit="false"/>
      <protection locked="true" hidden="false"/>
    </xf>
    <xf numFmtId="168" fontId="14" fillId="0" borderId="7" xfId="0" applyFont="true" applyBorder="true" applyAlignment="true" applyProtection="false">
      <alignment horizontal="general" vertical="center" textRotation="0" wrapText="false" indent="0" shrinkToFit="false"/>
      <protection locked="true" hidden="false"/>
    </xf>
    <xf numFmtId="168" fontId="14" fillId="0" borderId="0" xfId="0" applyFont="true" applyBorder="false" applyAlignment="true" applyProtection="false">
      <alignment horizontal="distributed" vertical="bottom" textRotation="0" wrapText="false" indent="0" shrinkToFit="false"/>
      <protection locked="true" hidden="false"/>
    </xf>
    <xf numFmtId="168" fontId="18" fillId="0" borderId="8" xfId="0" applyFont="true" applyBorder="true" applyAlignment="true" applyProtection="false">
      <alignment horizontal="distributed" vertical="bottom" textRotation="0" wrapText="false" indent="0" shrinkToFit="false"/>
      <protection locked="true" hidden="false"/>
    </xf>
    <xf numFmtId="168" fontId="14" fillId="0" borderId="9" xfId="0" applyFont="true" applyBorder="true" applyAlignment="true" applyProtection="false">
      <alignment horizontal="general" vertical="center" textRotation="0" wrapText="false" indent="0" shrinkToFit="false"/>
      <protection locked="true" hidden="false"/>
    </xf>
    <xf numFmtId="164" fontId="0" fillId="0" borderId="10" xfId="0" applyFont="false" applyBorder="true" applyAlignment="true" applyProtection="false">
      <alignment horizontal="general" vertical="bottom" textRotation="0" wrapText="false" indent="0" shrinkToFit="false"/>
      <protection locked="true" hidden="false"/>
    </xf>
    <xf numFmtId="168" fontId="14" fillId="0" borderId="9" xfId="0" applyFont="true" applyBorder="true" applyAlignment="true" applyProtection="false">
      <alignment horizontal="center" vertical="center" textRotation="0" wrapText="false" indent="0" shrinkToFit="false"/>
      <protection locked="true" hidden="false"/>
    </xf>
    <xf numFmtId="168" fontId="19" fillId="0" borderId="11" xfId="0" applyFont="true" applyBorder="true" applyAlignment="true" applyProtection="false">
      <alignment horizontal="center" vertical="center" textRotation="0" wrapText="false" indent="0" shrinkToFit="false"/>
      <protection locked="true" hidden="false"/>
    </xf>
    <xf numFmtId="168" fontId="19" fillId="0" borderId="12" xfId="0" applyFont="true" applyBorder="true" applyAlignment="true" applyProtection="false">
      <alignment horizontal="center" vertical="center" textRotation="0" wrapText="false" indent="0" shrinkToFit="false"/>
      <protection locked="true" hidden="false"/>
    </xf>
    <xf numFmtId="168" fontId="19" fillId="0" borderId="13" xfId="0" applyFont="true" applyBorder="true" applyAlignment="true" applyProtection="false">
      <alignment horizontal="center" vertical="center" textRotation="0" wrapText="false" indent="0" shrinkToFit="false"/>
      <protection locked="true" hidden="false"/>
    </xf>
    <xf numFmtId="168" fontId="19" fillId="0" borderId="14" xfId="0" applyFont="true" applyBorder="true" applyAlignment="true" applyProtection="false">
      <alignment horizontal="distributed" vertical="center" textRotation="0" wrapText="false" indent="0" shrinkToFit="false"/>
      <protection locked="true" hidden="false"/>
    </xf>
    <xf numFmtId="168" fontId="19" fillId="0" borderId="15" xfId="0" applyFont="true" applyBorder="true" applyAlignment="true" applyProtection="false">
      <alignment horizontal="distributed" vertical="center" textRotation="0" wrapText="false" indent="0" shrinkToFit="false"/>
      <protection locked="true" hidden="false"/>
    </xf>
    <xf numFmtId="168" fontId="19" fillId="0" borderId="16" xfId="0" applyFont="true" applyBorder="true" applyAlignment="true" applyProtection="false">
      <alignment horizontal="distributed" vertical="center" textRotation="0" wrapText="false" indent="0" shrinkToFit="false"/>
      <protection locked="true" hidden="false"/>
    </xf>
    <xf numFmtId="168" fontId="19" fillId="0" borderId="17" xfId="0" applyFont="true" applyBorder="true" applyAlignment="true" applyProtection="false">
      <alignment horizontal="distributed" vertical="center" textRotation="0" wrapText="false" indent="0" shrinkToFit="false"/>
      <protection locked="true" hidden="false"/>
    </xf>
    <xf numFmtId="168" fontId="19" fillId="0" borderId="18" xfId="0" applyFont="true" applyBorder="true" applyAlignment="true" applyProtection="false">
      <alignment horizontal="distributed" vertical="center" textRotation="0" wrapText="false" indent="0" shrinkToFit="false"/>
      <protection locked="true" hidden="false"/>
    </xf>
    <xf numFmtId="168" fontId="20" fillId="0" borderId="11" xfId="0" applyFont="true" applyBorder="true" applyAlignment="true" applyProtection="false">
      <alignment horizontal="right" vertical="center" textRotation="0" wrapText="false" indent="0" shrinkToFit="false"/>
      <protection locked="true" hidden="false"/>
    </xf>
    <xf numFmtId="168" fontId="20" fillId="0" borderId="19" xfId="0" applyFont="true" applyBorder="true" applyAlignment="true" applyProtection="false">
      <alignment horizontal="right" vertical="center" textRotation="0" wrapText="false" indent="0" shrinkToFit="false"/>
      <protection locked="true" hidden="false"/>
    </xf>
    <xf numFmtId="168" fontId="20" fillId="0" borderId="20" xfId="0" applyFont="true" applyBorder="true" applyAlignment="true" applyProtection="false">
      <alignment horizontal="right" vertical="center" textRotation="0" wrapText="false" indent="0" shrinkToFit="false"/>
      <protection locked="true" hidden="false"/>
    </xf>
    <xf numFmtId="168" fontId="21" fillId="0" borderId="21" xfId="0" applyFont="true" applyBorder="true" applyAlignment="true" applyProtection="false">
      <alignment horizontal="center" vertical="center" textRotation="0" wrapText="false" indent="0" shrinkToFit="false"/>
      <protection locked="true" hidden="false"/>
    </xf>
    <xf numFmtId="168" fontId="20" fillId="0" borderId="22" xfId="0" applyFont="true" applyBorder="true" applyAlignment="true" applyProtection="false">
      <alignment horizontal="right" vertical="center" textRotation="0" wrapText="false" indent="0" shrinkToFit="false"/>
      <protection locked="true" hidden="false"/>
    </xf>
    <xf numFmtId="168" fontId="22" fillId="0" borderId="23" xfId="0" applyFont="true" applyBorder="true" applyAlignment="true" applyProtection="false">
      <alignment horizontal="general" vertical="center" textRotation="0" wrapText="false" indent="0" shrinkToFit="false"/>
      <protection locked="true" hidden="false"/>
    </xf>
    <xf numFmtId="168" fontId="23" fillId="0" borderId="24" xfId="0" applyFont="true" applyBorder="true" applyAlignment="true" applyProtection="false">
      <alignment horizontal="general" vertical="center" textRotation="0" wrapText="false" indent="0" shrinkToFit="false"/>
      <protection locked="true" hidden="false"/>
    </xf>
    <xf numFmtId="169" fontId="23" fillId="0" borderId="25" xfId="0" applyFont="true" applyBorder="true" applyAlignment="true" applyProtection="false">
      <alignment horizontal="general" vertical="center" textRotation="0" wrapText="false" indent="0" shrinkToFit="false"/>
      <protection locked="true" hidden="false"/>
    </xf>
    <xf numFmtId="168" fontId="19" fillId="0" borderId="26" xfId="0" applyFont="true" applyBorder="true" applyAlignment="true" applyProtection="false">
      <alignment horizontal="distributed" vertical="center" textRotation="0" wrapText="false" indent="0" shrinkToFit="false"/>
      <protection locked="true" hidden="false"/>
    </xf>
    <xf numFmtId="168" fontId="24" fillId="0" borderId="27" xfId="0" applyFont="true" applyBorder="true" applyAlignment="true" applyProtection="false">
      <alignment horizontal="general" vertical="center" textRotation="0" wrapText="false" indent="0" shrinkToFit="false"/>
      <protection locked="true" hidden="false"/>
    </xf>
    <xf numFmtId="168" fontId="24" fillId="0" borderId="24" xfId="0" applyFont="true" applyBorder="true" applyAlignment="true" applyProtection="false">
      <alignment horizontal="general" vertical="center" textRotation="0" wrapText="false" indent="0" shrinkToFit="false"/>
      <protection locked="true" hidden="false"/>
    </xf>
    <xf numFmtId="168" fontId="23" fillId="0" borderId="28" xfId="0" applyFont="true" applyBorder="true" applyAlignment="true" applyProtection="false">
      <alignment horizontal="general" vertical="center" textRotation="0" wrapText="false" indent="0" shrinkToFit="false"/>
      <protection locked="true" hidden="false"/>
    </xf>
    <xf numFmtId="169" fontId="23" fillId="0" borderId="15" xfId="0" applyFont="true" applyBorder="true" applyAlignment="true" applyProtection="false">
      <alignment horizontal="general" vertical="center" textRotation="0" wrapText="false" indent="0" shrinkToFit="false"/>
      <protection locked="true" hidden="false"/>
    </xf>
    <xf numFmtId="169" fontId="23" fillId="0" borderId="16" xfId="0" applyFont="true" applyBorder="true" applyAlignment="true" applyProtection="false">
      <alignment horizontal="general" vertical="center" textRotation="0" wrapText="false" indent="0" shrinkToFit="false"/>
      <protection locked="true" hidden="false"/>
    </xf>
    <xf numFmtId="168" fontId="19" fillId="0" borderId="12" xfId="0" applyFont="true" applyBorder="true" applyAlignment="true" applyProtection="false">
      <alignment horizontal="distributed" vertical="center" textRotation="0" wrapText="false" indent="0" shrinkToFit="false"/>
      <protection locked="true" hidden="false"/>
    </xf>
    <xf numFmtId="168" fontId="24" fillId="0" borderId="17" xfId="0" applyFont="true" applyBorder="true" applyAlignment="true" applyProtection="false">
      <alignment horizontal="general" vertical="center" textRotation="0" wrapText="false" indent="0" shrinkToFit="false"/>
      <protection locked="true" hidden="false"/>
    </xf>
    <xf numFmtId="168" fontId="24" fillId="0" borderId="15" xfId="0" applyFont="true" applyBorder="true" applyAlignment="true" applyProtection="false">
      <alignment horizontal="general" vertical="center" textRotation="0" wrapText="false" indent="0" shrinkToFit="false"/>
      <protection locked="true" hidden="false"/>
    </xf>
    <xf numFmtId="168" fontId="23" fillId="0" borderId="18" xfId="0" applyFont="true" applyBorder="true" applyAlignment="true" applyProtection="false">
      <alignment horizontal="general" vertical="center" textRotation="0" wrapText="false" indent="0" shrinkToFit="false"/>
      <protection locked="true" hidden="false"/>
    </xf>
    <xf numFmtId="168" fontId="23" fillId="0" borderId="15" xfId="0" applyFont="true" applyBorder="true" applyAlignment="true" applyProtection="false">
      <alignment horizontal="general" vertical="center" textRotation="0" wrapText="false" indent="0" shrinkToFit="false"/>
      <protection locked="true" hidden="false"/>
    </xf>
    <xf numFmtId="168" fontId="23" fillId="0" borderId="17" xfId="0" applyFont="true" applyBorder="true" applyAlignment="true" applyProtection="false">
      <alignment horizontal="general" vertical="center" textRotation="0" wrapText="false" indent="0" shrinkToFit="false"/>
      <protection locked="true" hidden="false"/>
    </xf>
    <xf numFmtId="168" fontId="22" fillId="0" borderId="18" xfId="0" applyFont="true" applyBorder="true" applyAlignment="true" applyProtection="false">
      <alignment horizontal="general" vertical="center" textRotation="0" wrapText="false" indent="0" shrinkToFit="false"/>
      <protection locked="true" hidden="false"/>
    </xf>
    <xf numFmtId="168" fontId="23" fillId="0" borderId="14" xfId="0" applyFont="true" applyBorder="true" applyAlignment="true" applyProtection="false">
      <alignment horizontal="general" vertical="center" textRotation="0" wrapText="false" indent="0" shrinkToFit="false"/>
      <protection locked="true" hidden="false"/>
    </xf>
    <xf numFmtId="168" fontId="23" fillId="0" borderId="16" xfId="0" applyFont="true" applyBorder="true" applyAlignment="true" applyProtection="false">
      <alignment horizontal="general" vertical="center" textRotation="0" wrapText="false" indent="0" shrinkToFit="false"/>
      <protection locked="true" hidden="false"/>
    </xf>
    <xf numFmtId="169" fontId="23" fillId="0" borderId="17" xfId="0" applyFont="true" applyBorder="true" applyAlignment="true" applyProtection="false">
      <alignment horizontal="general" vertical="center" textRotation="0" wrapText="false" indent="0" shrinkToFit="false"/>
      <protection locked="true" hidden="false"/>
    </xf>
    <xf numFmtId="168" fontId="22" fillId="0" borderId="15" xfId="0" applyFont="true" applyBorder="true" applyAlignment="true" applyProtection="false">
      <alignment horizontal="general" vertical="center" textRotation="0" wrapText="false" indent="0" shrinkToFit="false"/>
      <protection locked="true" hidden="false"/>
    </xf>
    <xf numFmtId="168" fontId="20" fillId="0" borderId="12" xfId="0" applyFont="true" applyBorder="true" applyAlignment="true" applyProtection="false">
      <alignment horizontal="distributed" vertical="center" textRotation="0" wrapText="false" indent="0" shrinkToFit="false"/>
      <protection locked="true" hidden="false"/>
    </xf>
    <xf numFmtId="168" fontId="22" fillId="0" borderId="29" xfId="0" applyFont="true" applyBorder="true" applyAlignment="true" applyProtection="false">
      <alignment horizontal="general" vertical="center" textRotation="0" wrapText="false" indent="0" shrinkToFit="false"/>
      <protection locked="true" hidden="false"/>
    </xf>
    <xf numFmtId="168" fontId="22" fillId="0" borderId="30" xfId="0" applyFont="true" applyBorder="true" applyAlignment="true" applyProtection="false">
      <alignment horizontal="general" vertical="center" textRotation="0" wrapText="false" indent="0" shrinkToFit="false"/>
      <protection locked="true" hidden="false"/>
    </xf>
    <xf numFmtId="168" fontId="22" fillId="0" borderId="31" xfId="0" applyFont="true" applyBorder="true" applyAlignment="true" applyProtection="false">
      <alignment horizontal="general" vertical="center" textRotation="0" wrapText="false" indent="0" shrinkToFit="false"/>
      <protection locked="true" hidden="false"/>
    </xf>
    <xf numFmtId="168" fontId="19" fillId="0" borderId="32" xfId="0" applyFont="true" applyBorder="true" applyAlignment="true" applyProtection="false">
      <alignment horizontal="center" vertical="center" textRotation="0" wrapText="false" indent="0" shrinkToFit="false"/>
      <protection locked="true" hidden="false"/>
    </xf>
    <xf numFmtId="168" fontId="22" fillId="0" borderId="33" xfId="0" applyFont="true" applyBorder="true" applyAlignment="true" applyProtection="false">
      <alignment horizontal="general" vertical="center" textRotation="0" wrapText="false" indent="0" shrinkToFit="false"/>
      <protection locked="true" hidden="false"/>
    </xf>
    <xf numFmtId="168" fontId="22" fillId="0" borderId="34" xfId="0" applyFont="true" applyBorder="true" applyAlignment="true" applyProtection="false">
      <alignment horizontal="general" vertical="center" textRotation="0" wrapText="false" indent="0" shrinkToFit="false"/>
      <protection locked="true" hidden="false"/>
    </xf>
    <xf numFmtId="168" fontId="22" fillId="0" borderId="14" xfId="0" applyFont="true" applyBorder="true" applyAlignment="true" applyProtection="false">
      <alignment horizontal="general" vertical="center" textRotation="0" wrapText="false" indent="0" shrinkToFit="false"/>
      <protection locked="true" hidden="false"/>
    </xf>
    <xf numFmtId="168" fontId="24" fillId="0" borderId="19" xfId="0" applyFont="true" applyBorder="true" applyAlignment="true" applyProtection="false">
      <alignment horizontal="general" vertical="center" textRotation="0" wrapText="false" indent="0" shrinkToFit="false"/>
      <protection locked="true" hidden="false"/>
    </xf>
    <xf numFmtId="168" fontId="25" fillId="0" borderId="14" xfId="0" applyFont="true" applyBorder="true" applyAlignment="true" applyProtection="false">
      <alignment horizontal="general" vertical="center" textRotation="0" wrapText="false" indent="0" shrinkToFit="false"/>
      <protection locked="true" hidden="false"/>
    </xf>
    <xf numFmtId="168" fontId="25" fillId="0" borderId="15" xfId="0" applyFont="true" applyBorder="true" applyAlignment="true" applyProtection="false">
      <alignment horizontal="general" vertical="center" textRotation="0" wrapText="false" indent="0" shrinkToFit="false"/>
      <protection locked="true" hidden="false"/>
    </xf>
    <xf numFmtId="169" fontId="25" fillId="0" borderId="16" xfId="0" applyFont="true" applyBorder="true" applyAlignment="true" applyProtection="false">
      <alignment horizontal="general" vertical="center" textRotation="0" wrapText="false" indent="0" shrinkToFit="false"/>
      <protection locked="true" hidden="false"/>
    </xf>
    <xf numFmtId="168" fontId="24" fillId="0" borderId="19" xfId="0" applyFont="true" applyBorder="true" applyAlignment="true" applyProtection="false">
      <alignment horizontal="right" vertical="center" textRotation="0" wrapText="false" indent="0" shrinkToFit="false"/>
      <protection locked="true" hidden="false"/>
    </xf>
    <xf numFmtId="168" fontId="24" fillId="0" borderId="15" xfId="0" applyFont="true" applyBorder="true" applyAlignment="true" applyProtection="false">
      <alignment horizontal="right" vertical="center" textRotation="0" wrapText="false" indent="0" shrinkToFit="false"/>
      <protection locked="true" hidden="false"/>
    </xf>
    <xf numFmtId="168" fontId="26" fillId="5" borderId="12" xfId="0" applyFont="true" applyBorder="true" applyAlignment="true" applyProtection="false">
      <alignment horizontal="distributed" vertical="center" textRotation="0" wrapText="false" indent="0" shrinkToFit="false"/>
      <protection locked="true" hidden="false"/>
    </xf>
    <xf numFmtId="168" fontId="24" fillId="0" borderId="16" xfId="0" applyFont="true" applyBorder="true" applyAlignment="true" applyProtection="false">
      <alignment horizontal="general" vertical="center" textRotation="0" wrapText="false" indent="0" shrinkToFit="false"/>
      <protection locked="true" hidden="false"/>
    </xf>
    <xf numFmtId="168" fontId="24" fillId="0" borderId="35" xfId="0" applyFont="true" applyBorder="true" applyAlignment="true" applyProtection="false">
      <alignment horizontal="general" vertical="center" textRotation="0" wrapText="false" indent="0" shrinkToFit="false"/>
      <protection locked="true" hidden="false"/>
    </xf>
    <xf numFmtId="168" fontId="21" fillId="0" borderId="3" xfId="0" applyFont="true" applyBorder="true" applyAlignment="true" applyProtection="false">
      <alignment horizontal="general" vertical="center" textRotation="0" wrapText="false" indent="0" shrinkToFit="false"/>
      <protection locked="true" hidden="false"/>
    </xf>
    <xf numFmtId="168" fontId="21" fillId="0" borderId="4" xfId="0" applyFont="true" applyBorder="true" applyAlignment="true" applyProtection="false">
      <alignment horizontal="general" vertical="center" textRotation="0" wrapText="false" indent="0" shrinkToFit="false"/>
      <protection locked="true" hidden="false"/>
    </xf>
    <xf numFmtId="168" fontId="21" fillId="0" borderId="0" xfId="0" applyFont="true" applyBorder="false" applyAlignment="true" applyProtection="false">
      <alignment horizontal="general" vertical="center" textRotation="0" wrapText="false" indent="0" shrinkToFit="false"/>
      <protection locked="true" hidden="false"/>
    </xf>
    <xf numFmtId="168" fontId="21" fillId="0" borderId="0" xfId="0" applyFont="true" applyBorder="false" applyAlignment="true" applyProtection="false">
      <alignment horizontal="distributed" vertical="center" textRotation="0" wrapText="false" indent="0" shrinkToFit="false"/>
      <protection locked="true" hidden="false"/>
    </xf>
    <xf numFmtId="168" fontId="21" fillId="0" borderId="9" xfId="0" applyFont="true" applyBorder="true" applyAlignment="true" applyProtection="false">
      <alignment horizontal="general" vertical="center" textRotation="0" wrapText="false" indent="0" shrinkToFit="false"/>
      <protection locked="true" hidden="false"/>
    </xf>
    <xf numFmtId="170" fontId="27" fillId="0" borderId="10" xfId="0" applyFont="true" applyBorder="true" applyAlignment="true" applyProtection="false">
      <alignment horizontal="center" vertical="top" textRotation="0" wrapText="false" indent="0" shrinkToFit="false"/>
      <protection locked="true" hidden="false"/>
    </xf>
    <xf numFmtId="168" fontId="28" fillId="0" borderId="36" xfId="0" applyFont="true" applyBorder="true" applyAlignment="true" applyProtection="false">
      <alignment horizontal="general" vertical="top" textRotation="0" wrapText="false" indent="0" shrinkToFit="false"/>
      <protection locked="true" hidden="false"/>
    </xf>
    <xf numFmtId="168" fontId="27" fillId="0" borderId="36" xfId="0" applyFont="true" applyBorder="true" applyAlignment="true" applyProtection="false">
      <alignment horizontal="left" vertical="top" textRotation="0" wrapText="false" indent="0" shrinkToFit="false"/>
      <protection locked="true" hidden="false"/>
    </xf>
    <xf numFmtId="168" fontId="21" fillId="0" borderId="37" xfId="0" applyFont="true" applyBorder="true" applyAlignment="true" applyProtection="false">
      <alignment horizontal="left" vertical="top" textRotation="0" wrapText="false" indent="0" shrinkToFit="false"/>
      <protection locked="true" hidden="false"/>
    </xf>
    <xf numFmtId="168" fontId="1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8" fontId="21" fillId="0" borderId="7" xfId="0" applyFont="true" applyBorder="true" applyAlignment="true" applyProtection="false">
      <alignment horizontal="general" vertical="center" textRotation="0" wrapText="false" indent="0" shrinkToFit="false"/>
      <protection locked="true" hidden="false"/>
    </xf>
    <xf numFmtId="168" fontId="19" fillId="0" borderId="38" xfId="0" applyFont="true" applyBorder="true" applyAlignment="true" applyProtection="false">
      <alignment horizontal="left" vertical="center" textRotation="0" wrapText="false" indent="0" shrinkToFit="false"/>
      <protection locked="true" hidden="false"/>
    </xf>
    <xf numFmtId="170" fontId="27" fillId="0" borderId="7" xfId="0" applyFont="true" applyBorder="true" applyAlignment="true" applyProtection="false">
      <alignment horizontal="center" vertical="center" textRotation="0" wrapText="false" indent="0" shrinkToFit="false"/>
      <protection locked="true" hidden="false"/>
    </xf>
    <xf numFmtId="168" fontId="28" fillId="0" borderId="0" xfId="0" applyFont="true" applyBorder="false" applyAlignment="true" applyProtection="false">
      <alignment horizontal="general" vertical="center" textRotation="0" wrapText="false" indent="0" shrinkToFit="false"/>
      <protection locked="true" hidden="false"/>
    </xf>
    <xf numFmtId="168" fontId="28" fillId="0" borderId="9" xfId="0" applyFont="true" applyBorder="true" applyAlignment="true" applyProtection="false">
      <alignment horizontal="general" vertical="center" textRotation="0" wrapText="false" indent="0" shrinkToFit="false"/>
      <protection locked="true" hidden="false"/>
    </xf>
    <xf numFmtId="168" fontId="28" fillId="0" borderId="39" xfId="0" applyFont="true" applyBorder="true" applyAlignment="true" applyProtection="false">
      <alignment horizontal="general" vertical="top" textRotation="0" wrapText="false" indent="0" shrinkToFit="false"/>
      <protection locked="true" hidden="false"/>
    </xf>
    <xf numFmtId="168" fontId="28" fillId="0" borderId="40" xfId="0" applyFont="true" applyBorder="true" applyAlignment="true" applyProtection="false">
      <alignment horizontal="general" vertical="top" textRotation="0" wrapText="false" indent="0" shrinkToFit="false"/>
      <protection locked="true" hidden="false"/>
    </xf>
    <xf numFmtId="168" fontId="27" fillId="0" borderId="41" xfId="0" applyFont="true" applyBorder="true" applyAlignment="true" applyProtection="false">
      <alignment horizontal="left" vertical="top"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64" fontId="15" fillId="0" borderId="36" xfId="0" applyFont="true" applyBorder="true" applyAlignment="true" applyProtection="false">
      <alignment horizontal="distributed" vertical="bottom" textRotation="0" wrapText="false" indent="0" shrinkToFit="false"/>
      <protection locked="true" hidden="false"/>
    </xf>
    <xf numFmtId="164" fontId="32" fillId="0" borderId="0" xfId="0" applyFont="true" applyBorder="false" applyAlignment="true" applyProtection="false">
      <alignment horizontal="distributed" vertical="bottom" textRotation="0" wrapText="false" indent="0" shrinkToFit="false"/>
      <protection locked="true" hidden="false"/>
    </xf>
    <xf numFmtId="164" fontId="15" fillId="0" borderId="8" xfId="0" applyFont="true" applyBorder="true" applyAlignment="true" applyProtection="false">
      <alignment horizontal="distributed" vertical="bottom"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34" fillId="0" borderId="40" xfId="0" applyFont="true" applyBorder="true" applyAlignment="true" applyProtection="false">
      <alignment horizontal="right" vertical="center" textRotation="0" wrapText="false" indent="0" shrinkToFit="false"/>
      <protection locked="true" hidden="false"/>
    </xf>
    <xf numFmtId="164" fontId="34" fillId="0" borderId="42" xfId="0" applyFont="true" applyBorder="true" applyAlignment="true" applyProtection="false">
      <alignment horizontal="center" vertical="center" textRotation="0" wrapText="false" indent="0" shrinkToFit="false"/>
      <protection locked="true" hidden="false"/>
    </xf>
    <xf numFmtId="164" fontId="34" fillId="0" borderId="43" xfId="0" applyFont="true" applyBorder="true" applyAlignment="true" applyProtection="false">
      <alignment horizontal="center" vertical="center" textRotation="0" wrapText="false" indent="0" shrinkToFit="false"/>
      <protection locked="true" hidden="false"/>
    </xf>
    <xf numFmtId="164" fontId="34" fillId="0" borderId="44"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center" vertical="center" textRotation="0" wrapText="false" indent="0" shrinkToFit="false"/>
      <protection locked="true" hidden="false"/>
    </xf>
    <xf numFmtId="164" fontId="30" fillId="0" borderId="45" xfId="0" applyFont="true" applyBorder="true" applyAlignment="true" applyProtection="false">
      <alignment horizontal="center" vertical="center" textRotation="0" wrapText="false" indent="0" shrinkToFit="false"/>
      <protection locked="true" hidden="false"/>
    </xf>
    <xf numFmtId="164" fontId="34" fillId="0" borderId="46" xfId="0" applyFont="true" applyBorder="true" applyAlignment="true" applyProtection="false">
      <alignment horizontal="right" vertical="center" textRotation="0" wrapText="false" indent="0" shrinkToFit="false"/>
      <protection locked="true" hidden="false"/>
    </xf>
    <xf numFmtId="164" fontId="34" fillId="0" borderId="47" xfId="0" applyFont="true" applyBorder="true" applyAlignment="true" applyProtection="false">
      <alignment horizontal="right" vertical="center" textRotation="0" wrapText="false" indent="0" shrinkToFit="false"/>
      <protection locked="true" hidden="false"/>
    </xf>
    <xf numFmtId="164" fontId="34" fillId="0" borderId="48" xfId="0" applyFont="true" applyBorder="true" applyAlignment="true" applyProtection="false">
      <alignment horizontal="right" vertical="center" textRotation="0" wrapText="false" indent="0" shrinkToFit="false"/>
      <protection locked="true" hidden="false"/>
    </xf>
    <xf numFmtId="164" fontId="30" fillId="0" borderId="49" xfId="0" applyFont="true" applyBorder="true" applyAlignment="true" applyProtection="false">
      <alignment horizontal="center" vertical="center" textRotation="0" wrapText="false" indent="0" shrinkToFit="false"/>
      <protection locked="true" hidden="false"/>
    </xf>
    <xf numFmtId="164" fontId="34" fillId="0" borderId="50" xfId="0" applyFont="true" applyBorder="true" applyAlignment="true" applyProtection="false">
      <alignment horizontal="right" vertical="center" textRotation="0" wrapText="false" indent="0" shrinkToFit="false"/>
      <protection locked="true" hidden="false"/>
    </xf>
    <xf numFmtId="164" fontId="35" fillId="0" borderId="45" xfId="0" applyFont="true" applyBorder="true" applyAlignment="true" applyProtection="false">
      <alignment horizontal="left" vertical="center" textRotation="0" wrapText="false" indent="0" shrinkToFit="false"/>
      <protection locked="true" hidden="false"/>
    </xf>
    <xf numFmtId="164" fontId="30" fillId="0" borderId="46" xfId="0" applyFont="true" applyBorder="true" applyAlignment="true" applyProtection="false">
      <alignment horizontal="center" vertical="center" textRotation="0" wrapText="false" indent="0" shrinkToFit="false"/>
      <protection locked="true" hidden="false"/>
    </xf>
    <xf numFmtId="164" fontId="30" fillId="0" borderId="47" xfId="0" applyFont="true" applyBorder="true" applyAlignment="true" applyProtection="false">
      <alignment horizontal="center" vertical="center" textRotation="0" wrapText="false" indent="0" shrinkToFit="false"/>
      <protection locked="true" hidden="false"/>
    </xf>
    <xf numFmtId="168" fontId="36" fillId="0" borderId="48" xfId="0" applyFont="true" applyBorder="true" applyAlignment="true" applyProtection="false">
      <alignment horizontal="right" vertical="center" textRotation="0" wrapText="false" indent="0" shrinkToFit="false"/>
      <protection locked="true" hidden="false"/>
    </xf>
    <xf numFmtId="164" fontId="35" fillId="0" borderId="49" xfId="0" applyFont="true" applyBorder="true" applyAlignment="true" applyProtection="false">
      <alignment horizontal="left" vertical="center" textRotation="0" wrapText="false" indent="0" shrinkToFit="false"/>
      <protection locked="true" hidden="false"/>
    </xf>
    <xf numFmtId="168" fontId="30" fillId="0" borderId="46" xfId="0" applyFont="true" applyBorder="true" applyAlignment="true" applyProtection="false">
      <alignment horizontal="general" vertical="center" textRotation="0" wrapText="false" indent="0" shrinkToFit="false"/>
      <protection locked="true" hidden="false"/>
    </xf>
    <xf numFmtId="168" fontId="30" fillId="0" borderId="51" xfId="0" applyFont="true" applyBorder="true" applyAlignment="true" applyProtection="false">
      <alignment horizontal="general" vertical="center" textRotation="0" wrapText="false" indent="0" shrinkToFit="false"/>
      <protection locked="true" hidden="false"/>
    </xf>
    <xf numFmtId="168" fontId="36" fillId="0" borderId="38" xfId="0" applyFont="true" applyBorder="true" applyAlignment="true" applyProtection="false">
      <alignment horizontal="general" vertical="center" textRotation="0" wrapText="false" indent="0" shrinkToFit="false"/>
      <protection locked="true" hidden="false"/>
    </xf>
    <xf numFmtId="164" fontId="34" fillId="0" borderId="45" xfId="0" applyFont="true" applyBorder="true" applyAlignment="true" applyProtection="false">
      <alignment horizontal="left" vertical="center" textRotation="0" wrapText="false" indent="1" shrinkToFit="false"/>
      <protection locked="true" hidden="false"/>
    </xf>
    <xf numFmtId="168" fontId="30" fillId="0" borderId="47" xfId="0" applyFont="true" applyBorder="true" applyAlignment="true" applyProtection="false">
      <alignment horizontal="right" vertical="center" textRotation="0" wrapText="false" indent="0" shrinkToFit="false"/>
      <protection locked="true" hidden="false"/>
    </xf>
    <xf numFmtId="168" fontId="30" fillId="0" borderId="48" xfId="0" applyFont="true" applyBorder="true" applyAlignment="true" applyProtection="false">
      <alignment horizontal="right" vertical="center" textRotation="0" wrapText="false" indent="0" shrinkToFit="false"/>
      <protection locked="true" hidden="false"/>
    </xf>
    <xf numFmtId="164" fontId="34" fillId="0" borderId="49" xfId="0" applyFont="true" applyBorder="true" applyAlignment="true" applyProtection="false">
      <alignment horizontal="left" vertical="center" textRotation="0" wrapText="false" indent="1" shrinkToFit="false"/>
      <protection locked="true" hidden="false"/>
    </xf>
    <xf numFmtId="168" fontId="30" fillId="0" borderId="38" xfId="0" applyFont="true" applyBorder="true" applyAlignment="true" applyProtection="false">
      <alignment horizontal="general" vertical="center" textRotation="0" wrapText="false" indent="0" shrinkToFit="false"/>
      <protection locked="true" hidden="false"/>
    </xf>
    <xf numFmtId="168" fontId="30" fillId="0" borderId="48" xfId="0" applyFont="true" applyBorder="true" applyAlignment="true" applyProtection="false">
      <alignment horizontal="general" vertical="center" textRotation="0" wrapText="false" indent="0" shrinkToFit="false"/>
      <protection locked="true" hidden="false"/>
    </xf>
    <xf numFmtId="164" fontId="30" fillId="0" borderId="45" xfId="0" applyFont="true" applyBorder="true" applyAlignment="tru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general" vertical="center" textRotation="0" wrapText="false" indent="0" shrinkToFit="false"/>
      <protection locked="true" hidden="false"/>
    </xf>
    <xf numFmtId="168" fontId="37" fillId="0" borderId="47" xfId="0" applyFont="true" applyBorder="true" applyAlignment="true" applyProtection="false">
      <alignment horizontal="right" vertical="center" textRotation="0" wrapText="false" indent="0" shrinkToFit="false"/>
      <protection locked="true" hidden="false"/>
    </xf>
    <xf numFmtId="168" fontId="30" fillId="0" borderId="47" xfId="0" applyFont="true" applyBorder="true" applyAlignment="true" applyProtection="false">
      <alignment horizontal="general" vertical="center" textRotation="0" wrapText="false" indent="0" shrinkToFit="false"/>
      <protection locked="true" hidden="false"/>
    </xf>
    <xf numFmtId="168" fontId="36" fillId="0" borderId="48" xfId="0" applyFont="true" applyBorder="true" applyAlignment="true" applyProtection="false">
      <alignment horizontal="general" vertical="center" textRotation="0" wrapText="false" indent="0" shrinkToFit="false"/>
      <protection locked="true" hidden="false"/>
    </xf>
    <xf numFmtId="164" fontId="38" fillId="0" borderId="49" xfId="0" applyFont="true" applyBorder="true" applyAlignment="true" applyProtection="false">
      <alignment horizontal="distributed" vertical="center" textRotation="0" wrapText="false" indent="0" shrinkToFit="false"/>
      <protection locked="true" hidden="false"/>
    </xf>
    <xf numFmtId="164" fontId="34" fillId="0" borderId="45" xfId="0" applyFont="true" applyBorder="true" applyAlignment="true" applyProtection="false">
      <alignment horizontal="distributed" vertical="center" textRotation="0" wrapText="false" indent="0" shrinkToFit="false"/>
      <protection locked="true" hidden="false"/>
    </xf>
    <xf numFmtId="168" fontId="36" fillId="0" borderId="47" xfId="0" applyFont="true" applyBorder="true" applyAlignment="true" applyProtection="false">
      <alignment horizontal="general" vertical="center" textRotation="0" wrapText="false" indent="0" shrinkToFit="false"/>
      <protection locked="true" hidden="false"/>
    </xf>
    <xf numFmtId="164" fontId="30" fillId="0" borderId="49" xfId="0" applyFont="true" applyBorder="true" applyAlignment="true" applyProtection="false">
      <alignment horizontal="distributed" vertical="center" textRotation="0" wrapText="false" indent="0" shrinkToFit="false"/>
      <protection locked="true" hidden="false"/>
    </xf>
    <xf numFmtId="168" fontId="36" fillId="0" borderId="46" xfId="0" applyFont="true" applyBorder="true" applyAlignment="true" applyProtection="false">
      <alignment horizontal="general" vertical="center" textRotation="0" wrapText="false" indent="0" shrinkToFit="false"/>
      <protection locked="true" hidden="false"/>
    </xf>
    <xf numFmtId="164" fontId="34" fillId="0" borderId="49" xfId="0" applyFont="true" applyBorder="true" applyAlignment="true" applyProtection="false">
      <alignment horizontal="distributed" vertical="center" textRotation="0" wrapText="false" indent="0" shrinkToFit="false"/>
      <protection locked="true" hidden="false"/>
    </xf>
    <xf numFmtId="168" fontId="36" fillId="0" borderId="51" xfId="0" applyFont="true" applyBorder="true" applyAlignment="true" applyProtection="false">
      <alignment horizontal="general" vertical="center" textRotation="0" wrapText="false" indent="0" shrinkToFit="false"/>
      <protection locked="true" hidden="false"/>
    </xf>
    <xf numFmtId="164" fontId="30" fillId="0" borderId="49" xfId="0" applyFont="true" applyBorder="true" applyAlignment="true" applyProtection="false">
      <alignment horizontal="right" vertical="center" textRotation="0" wrapText="false" indent="0" shrinkToFit="false"/>
      <protection locked="true" hidden="false"/>
    </xf>
    <xf numFmtId="164" fontId="34" fillId="0" borderId="52" xfId="0" applyFont="true" applyBorder="true" applyAlignment="true" applyProtection="false">
      <alignment horizontal="center" vertical="center" textRotation="0" wrapText="false" indent="0" shrinkToFit="false"/>
      <protection locked="true" hidden="false"/>
    </xf>
    <xf numFmtId="168" fontId="36" fillId="0" borderId="53" xfId="0" applyFont="true" applyBorder="true" applyAlignment="true" applyProtection="false">
      <alignment horizontal="general" vertical="center" textRotation="0" wrapText="false" indent="0" shrinkToFit="false"/>
      <protection locked="true" hidden="false"/>
    </xf>
    <xf numFmtId="164" fontId="34" fillId="0" borderId="54" xfId="0" applyFont="true" applyBorder="true" applyAlignment="true" applyProtection="false">
      <alignment horizontal="center" vertical="center" textRotation="0" wrapText="false" indent="0" shrinkToFit="false"/>
      <protection locked="true" hidden="false"/>
    </xf>
    <xf numFmtId="168" fontId="36" fillId="0" borderId="52" xfId="0" applyFont="true" applyBorder="true" applyAlignment="true" applyProtection="false">
      <alignment horizontal="general" vertical="center" textRotation="0" wrapText="false" indent="0" shrinkToFit="false"/>
      <protection locked="true" hidden="false"/>
    </xf>
    <xf numFmtId="164" fontId="39" fillId="0" borderId="0" xfId="0" applyFont="true" applyBorder="false" applyAlignment="true" applyProtection="false">
      <alignment horizontal="left" vertical="center" textRotation="0" wrapText="false" indent="0" shrinkToFit="false"/>
      <protection locked="true" hidden="false"/>
    </xf>
    <xf numFmtId="168" fontId="30" fillId="0" borderId="0" xfId="0" applyFont="true" applyBorder="false" applyAlignment="true" applyProtection="false">
      <alignment horizontal="general" vertical="center" textRotation="0" wrapText="false" indent="0" shrinkToFit="false"/>
      <protection locked="true" hidden="false"/>
    </xf>
    <xf numFmtId="164" fontId="34" fillId="0" borderId="4" xfId="0" applyFont="true" applyBorder="true" applyAlignment="true" applyProtection="false">
      <alignment horizontal="left" vertical="center" textRotation="0" wrapText="true" indent="0" shrinkToFit="false"/>
      <protection locked="true" hidden="false"/>
    </xf>
    <xf numFmtId="164" fontId="31" fillId="0" borderId="0" xfId="0" applyFont="true" applyBorder="false" applyAlignment="true" applyProtection="false">
      <alignment horizontal="center" vertical="center" textRotation="0" wrapText="false" indent="0" shrinkToFit="false"/>
      <protection locked="true" hidden="false"/>
    </xf>
    <xf numFmtId="164" fontId="34" fillId="0" borderId="0" xfId="0" applyFont="true" applyBorder="true" applyAlignment="true" applyProtection="false">
      <alignment horizontal="right" vertical="center" textRotation="0" wrapText="false" indent="0" shrinkToFit="false"/>
      <protection locked="true" hidden="false"/>
    </xf>
    <xf numFmtId="164" fontId="34" fillId="0" borderId="55" xfId="0" applyFont="true" applyBorder="true" applyAlignment="true" applyProtection="false">
      <alignment horizontal="center" vertical="center" textRotation="0" wrapText="false" indent="0" shrinkToFit="false"/>
      <protection locked="true" hidden="false"/>
    </xf>
    <xf numFmtId="164" fontId="34" fillId="0" borderId="5" xfId="0" applyFont="true" applyBorder="true" applyAlignment="true" applyProtection="false">
      <alignment horizontal="center" vertical="center" textRotation="0" wrapText="false" indent="0" shrinkToFit="false"/>
      <protection locked="true" hidden="false"/>
    </xf>
    <xf numFmtId="164" fontId="34" fillId="0" borderId="51" xfId="0" applyFont="true" applyBorder="true" applyAlignment="true" applyProtection="false">
      <alignment horizontal="right" vertical="center" textRotation="0" wrapText="false" indent="0" shrinkToFit="false"/>
      <protection locked="true" hidden="false"/>
    </xf>
    <xf numFmtId="164" fontId="34" fillId="0" borderId="38" xfId="0" applyFont="true" applyBorder="true" applyAlignment="true" applyProtection="false">
      <alignment horizontal="right" vertical="center" textRotation="0" wrapText="false" indent="0" shrinkToFit="false"/>
      <protection locked="true" hidden="false"/>
    </xf>
    <xf numFmtId="168" fontId="30" fillId="0" borderId="46" xfId="0" applyFont="true" applyBorder="true" applyAlignment="true" applyProtection="false">
      <alignment horizontal="center" vertical="center" textRotation="0" wrapText="false" indent="0" shrinkToFit="false"/>
      <protection locked="true" hidden="false"/>
    </xf>
    <xf numFmtId="168" fontId="30" fillId="0" borderId="51" xfId="0" applyFont="true" applyBorder="true" applyAlignment="true" applyProtection="false">
      <alignment horizontal="center" vertical="center" textRotation="0" wrapText="false" indent="0" shrinkToFit="false"/>
      <protection locked="true" hidden="false"/>
    </xf>
    <xf numFmtId="168" fontId="36" fillId="0" borderId="38" xfId="0" applyFont="true" applyBorder="true" applyAlignment="true" applyProtection="false">
      <alignment horizontal="right" vertical="center" textRotation="0" wrapText="false" indent="0" shrinkToFit="false"/>
      <protection locked="true" hidden="false"/>
    </xf>
    <xf numFmtId="168" fontId="36" fillId="0" borderId="51" xfId="0" applyFont="true" applyBorder="true" applyAlignment="true" applyProtection="false">
      <alignment horizontal="right" vertical="center" textRotation="0" wrapText="false" indent="0" shrinkToFit="false"/>
      <protection locked="true" hidden="false"/>
    </xf>
    <xf numFmtId="168" fontId="30" fillId="0" borderId="38" xfId="0" applyFont="true" applyBorder="true" applyAlignment="true" applyProtection="false">
      <alignment horizontal="center" vertical="center" textRotation="0" wrapText="false" indent="0" shrinkToFit="false"/>
      <protection locked="true" hidden="false"/>
    </xf>
    <xf numFmtId="164" fontId="34" fillId="0" borderId="45" xfId="0" applyFont="true" applyBorder="true" applyAlignment="true" applyProtection="false">
      <alignment horizontal="distributed" vertical="center" textRotation="0" wrapText="false" indent="1" shrinkToFit="false"/>
      <protection locked="true" hidden="false"/>
    </xf>
    <xf numFmtId="171" fontId="36" fillId="0" borderId="51" xfId="0" applyFont="true" applyBorder="true" applyAlignment="true" applyProtection="false">
      <alignment horizontal="general" vertical="center" textRotation="0" wrapText="false" indent="0" shrinkToFit="false"/>
      <protection locked="true" hidden="false"/>
    </xf>
    <xf numFmtId="164" fontId="34" fillId="0" borderId="45" xfId="0" applyFont="true" applyBorder="true" applyAlignment="true" applyProtection="false">
      <alignment horizontal="distributed" vertical="center" textRotation="0" wrapText="true" indent="1" shrinkToFit="false"/>
      <protection locked="true" hidden="false"/>
    </xf>
    <xf numFmtId="164" fontId="34" fillId="0" borderId="49" xfId="0" applyFont="true" applyBorder="true" applyAlignment="true" applyProtection="false">
      <alignment horizontal="distributed" vertical="center" textRotation="0" wrapText="true" indent="0" shrinkToFit="false"/>
      <protection locked="true" hidden="false"/>
    </xf>
    <xf numFmtId="164" fontId="40" fillId="0" borderId="49" xfId="0" applyFont="true" applyBorder="true" applyAlignment="true" applyProtection="false">
      <alignment horizontal="distributed" vertical="center" textRotation="0" wrapText="true" indent="0" shrinkToFit="false"/>
      <protection locked="true" hidden="false"/>
    </xf>
    <xf numFmtId="164" fontId="40" fillId="0" borderId="49" xfId="0" applyFont="true" applyBorder="true" applyAlignment="true" applyProtection="false">
      <alignment horizontal="right" vertical="center" textRotation="0" wrapText="true" indent="0" shrinkToFit="false"/>
      <protection locked="true" hidden="false"/>
    </xf>
    <xf numFmtId="171" fontId="30" fillId="0" borderId="51" xfId="0" applyFont="true" applyBorder="true" applyAlignment="true" applyProtection="false">
      <alignment horizontal="general" vertical="center" textRotation="0" wrapText="false" indent="0" shrinkToFit="false"/>
      <protection locked="true" hidden="false"/>
    </xf>
    <xf numFmtId="164" fontId="30" fillId="0" borderId="38" xfId="0" applyFont="true" applyBorder="true" applyAlignment="true" applyProtection="false">
      <alignment horizontal="general" vertical="bottom" textRotation="0" wrapText="false" indent="0" shrinkToFit="false"/>
      <protection locked="true" hidden="false"/>
    </xf>
    <xf numFmtId="164" fontId="41" fillId="0" borderId="45" xfId="0" applyFont="true" applyBorder="true" applyAlignment="true" applyProtection="false">
      <alignment horizontal="center" vertical="center" textRotation="0" wrapText="false" indent="0" shrinkToFit="false"/>
      <protection locked="true" hidden="false"/>
    </xf>
    <xf numFmtId="164" fontId="42" fillId="0" borderId="45" xfId="0" applyFont="true" applyBorder="true" applyAlignment="true" applyProtection="false">
      <alignment horizontal="distributed" vertical="center" textRotation="0" wrapText="true" indent="0" shrinkToFit="false"/>
      <protection locked="true" hidden="false"/>
    </xf>
    <xf numFmtId="164" fontId="43" fillId="0" borderId="45" xfId="0" applyFont="true" applyBorder="true" applyAlignment="true" applyProtection="false">
      <alignment horizontal="right" vertical="center" textRotation="0" wrapText="true" indent="0" shrinkToFit="false"/>
      <protection locked="true" hidden="false"/>
    </xf>
    <xf numFmtId="164" fontId="34" fillId="0" borderId="45" xfId="0" applyFont="true" applyBorder="true" applyAlignment="true" applyProtection="false">
      <alignment horizontal="distributed" vertical="center" textRotation="0" wrapText="true" indent="0" shrinkToFit="false"/>
      <protection locked="true" hidden="false"/>
    </xf>
    <xf numFmtId="164" fontId="30" fillId="0" borderId="23" xfId="0" applyFont="true" applyBorder="true" applyAlignment="true" applyProtection="false">
      <alignment horizontal="general" vertical="bottom" textRotation="0" wrapText="false" indent="0" shrinkToFit="false"/>
      <protection locked="true" hidden="false"/>
    </xf>
    <xf numFmtId="164" fontId="30" fillId="0" borderId="56" xfId="0" applyFont="true" applyBorder="true" applyAlignment="true" applyProtection="false">
      <alignment horizontal="general" vertical="bottom" textRotation="0" wrapText="false" indent="0" shrinkToFit="false"/>
      <protection locked="true" hidden="false"/>
    </xf>
    <xf numFmtId="168" fontId="44" fillId="0" borderId="49"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distributed" vertical="bottom" textRotation="0" wrapText="false" indent="0" shrinkToFit="false"/>
      <protection locked="true" hidden="false"/>
    </xf>
    <xf numFmtId="164" fontId="32" fillId="0" borderId="0" xfId="0" applyFont="true" applyBorder="true" applyAlignment="true" applyProtection="false">
      <alignment horizontal="distributed" vertical="bottom" textRotation="0" wrapText="false" indent="0" shrinkToFit="false"/>
      <protection locked="true" hidden="false"/>
    </xf>
    <xf numFmtId="164" fontId="45" fillId="0" borderId="0" xfId="0" applyFont="true" applyBorder="false" applyAlignment="true" applyProtection="false">
      <alignment horizontal="center" vertical="bottom" textRotation="0" wrapText="false" indent="0" shrinkToFit="false"/>
      <protection locked="true" hidden="false"/>
    </xf>
    <xf numFmtId="164" fontId="46" fillId="0" borderId="0" xfId="0" applyFont="true" applyBorder="false" applyAlignment="true" applyProtection="false">
      <alignment horizontal="center" vertical="bottom" textRotation="0" wrapText="false" indent="0" shrinkToFit="false"/>
      <protection locked="true" hidden="false"/>
    </xf>
    <xf numFmtId="164" fontId="19" fillId="0" borderId="57" xfId="0" applyFont="true" applyBorder="true" applyAlignment="true" applyProtection="false">
      <alignment horizontal="distributed" vertical="center" textRotation="0" wrapText="false" indent="0" shrinkToFit="false"/>
      <protection locked="true" hidden="false"/>
    </xf>
    <xf numFmtId="164" fontId="19" fillId="0" borderId="58" xfId="0" applyFont="true" applyBorder="true" applyAlignment="true" applyProtection="false">
      <alignment horizontal="center" vertical="center" textRotation="0" wrapText="false" indent="0" shrinkToFit="false"/>
      <protection locked="true" hidden="false"/>
    </xf>
    <xf numFmtId="164" fontId="19" fillId="0" borderId="59"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4" fillId="0" borderId="11" xfId="0" applyFont="true" applyBorder="true" applyAlignment="true" applyProtection="false">
      <alignment horizontal="center" vertical="center" textRotation="0" wrapText="false" indent="0" shrinkToFit="false"/>
      <protection locked="true" hidden="false"/>
    </xf>
    <xf numFmtId="164" fontId="14" fillId="0" borderId="20" xfId="0" applyFont="true" applyBorder="true" applyAlignment="true" applyProtection="false">
      <alignment horizontal="center" vertical="center" textRotation="0" wrapText="false" indent="0" shrinkToFit="false"/>
      <protection locked="true" hidden="false"/>
    </xf>
    <xf numFmtId="164" fontId="14" fillId="0" borderId="60" xfId="0" applyFont="true" applyBorder="true" applyAlignment="true" applyProtection="false">
      <alignment horizontal="center" vertical="center" textRotation="0" wrapText="false" indent="0" shrinkToFit="false"/>
      <protection locked="true" hidden="false"/>
    </xf>
    <xf numFmtId="164" fontId="14" fillId="0" borderId="61" xfId="0" applyFont="true" applyBorder="true" applyAlignment="true" applyProtection="false">
      <alignment horizontal="center" vertical="center" textRotation="0" wrapText="false" indent="0" shrinkToFit="false"/>
      <protection locked="true" hidden="false"/>
    </xf>
    <xf numFmtId="168" fontId="34" fillId="0" borderId="60" xfId="0" applyFont="true" applyBorder="true" applyAlignment="true" applyProtection="false">
      <alignment horizontal="left" vertical="center" textRotation="0" wrapText="false" indent="0" shrinkToFit="false"/>
      <protection locked="true" hidden="false"/>
    </xf>
    <xf numFmtId="164" fontId="14" fillId="0" borderId="62" xfId="0" applyFont="true" applyBorder="true" applyAlignment="true" applyProtection="false">
      <alignment horizontal="center" vertical="center" textRotation="0" wrapText="false" indent="0" shrinkToFit="false"/>
      <protection locked="true" hidden="false"/>
    </xf>
    <xf numFmtId="164" fontId="19" fillId="0" borderId="23" xfId="0" applyFont="true" applyBorder="true" applyAlignment="true" applyProtection="false">
      <alignment horizontal="distributed" vertical="center" textRotation="0" wrapText="false" indent="0" shrinkToFit="false"/>
      <protection locked="true" hidden="false"/>
    </xf>
    <xf numFmtId="164" fontId="19" fillId="0" borderId="24" xfId="0" applyFont="true" applyBorder="true" applyAlignment="true" applyProtection="false">
      <alignment horizontal="center" vertical="center" textRotation="0" wrapText="false" indent="0" shrinkToFit="false"/>
      <protection locked="true" hidden="false"/>
    </xf>
    <xf numFmtId="168" fontId="21" fillId="0" borderId="25" xfId="0" applyFont="true" applyBorder="true" applyAlignment="true" applyProtection="false">
      <alignment horizontal="right" vertical="center" textRotation="0" wrapText="false" indent="0" shrinkToFit="false"/>
      <protection locked="true" hidden="false"/>
    </xf>
    <xf numFmtId="164" fontId="21" fillId="0" borderId="0" xfId="0" applyFont="true" applyBorder="false" applyAlignment="true" applyProtection="false">
      <alignment horizontal="general" vertical="top" textRotation="0" wrapText="false" indent="0" shrinkToFit="false"/>
      <protection locked="true" hidden="false"/>
    </xf>
    <xf numFmtId="164" fontId="19" fillId="0" borderId="28" xfId="0" applyFont="true" applyBorder="tru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9" fillId="0" borderId="63" xfId="0" applyFont="true" applyBorder="true" applyAlignment="true" applyProtection="false">
      <alignment horizontal="center" vertical="center" textRotation="0" wrapText="false" indent="0" shrinkToFit="false"/>
      <protection locked="true" hidden="false"/>
    </xf>
    <xf numFmtId="164" fontId="21" fillId="0" borderId="64" xfId="0" applyFont="true" applyBorder="true" applyAlignment="true" applyProtection="false">
      <alignment horizontal="distributed" vertical="center" textRotation="0" wrapText="false" indent="0" shrinkToFit="false"/>
      <protection locked="true" hidden="false"/>
    </xf>
    <xf numFmtId="168" fontId="47" fillId="0" borderId="65" xfId="0" applyFont="true" applyBorder="true" applyAlignment="true" applyProtection="false">
      <alignment horizontal="right" vertical="center" textRotation="0" wrapText="false" indent="0" shrinkToFit="false"/>
      <protection locked="true" hidden="false"/>
    </xf>
    <xf numFmtId="164" fontId="21" fillId="0" borderId="66" xfId="0" applyFont="true" applyBorder="true" applyAlignment="true" applyProtection="false">
      <alignment horizontal="right" vertical="center" textRotation="0" wrapText="false" indent="0" shrinkToFit="false"/>
      <protection locked="true" hidden="false"/>
    </xf>
    <xf numFmtId="164" fontId="21" fillId="0" borderId="67"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8" fontId="14" fillId="0" borderId="0" xfId="0" applyFont="true" applyBorder="false" applyAlignment="true" applyProtection="false">
      <alignment horizontal="general" vertical="bottom" textRotation="0" wrapText="false" indent="0" shrinkToFit="false"/>
      <protection locked="true" hidden="false"/>
    </xf>
    <xf numFmtId="164" fontId="19" fillId="0" borderId="57" xfId="0" applyFont="true" applyBorder="true" applyAlignment="true" applyProtection="false">
      <alignment horizontal="center" vertical="center" textRotation="0" wrapText="false" indent="0" shrinkToFit="false"/>
      <protection locked="true" hidden="false"/>
    </xf>
    <xf numFmtId="168" fontId="14" fillId="0" borderId="60" xfId="0" applyFont="true" applyBorder="true" applyAlignment="true" applyProtection="false">
      <alignment horizontal="left" vertical="center" textRotation="0" wrapText="false" indent="0" shrinkToFit="false"/>
      <protection locked="true" hidden="false"/>
    </xf>
    <xf numFmtId="164" fontId="19" fillId="0" borderId="23" xfId="0" applyFont="true" applyBorder="true" applyAlignment="true" applyProtection="false">
      <alignment horizontal="distributed" vertical="center" textRotation="0" wrapText="false" indent="1" shrinkToFit="false"/>
      <protection locked="true" hidden="false"/>
    </xf>
    <xf numFmtId="168" fontId="21" fillId="0" borderId="27" xfId="0" applyFont="true" applyBorder="true" applyAlignment="true" applyProtection="false">
      <alignment horizontal="left" vertical="center" textRotation="0" wrapText="false" indent="0" shrinkToFit="false"/>
      <protection locked="true" hidden="false"/>
    </xf>
    <xf numFmtId="168" fontId="19" fillId="0" borderId="24" xfId="0" applyFont="true" applyBorder="true" applyAlignment="true" applyProtection="false">
      <alignment horizontal="center" vertical="center" textRotation="0" wrapText="false" indent="0" shrinkToFit="true"/>
      <protection locked="true" hidden="false"/>
    </xf>
    <xf numFmtId="164" fontId="40" fillId="0" borderId="28" xfId="0" applyFont="true" applyBorder="true" applyAlignment="true" applyProtection="false">
      <alignment horizontal="left" vertical="center" textRotation="0" wrapText="true" indent="0" shrinkToFit="false"/>
      <protection locked="true" hidden="false"/>
    </xf>
    <xf numFmtId="168" fontId="21" fillId="0" borderId="68" xfId="0" applyFont="true" applyBorder="true" applyAlignment="true" applyProtection="false">
      <alignment horizontal="left" vertical="center" textRotation="0" wrapText="false" indent="0" shrinkToFit="false"/>
      <protection locked="true" hidden="false"/>
    </xf>
    <xf numFmtId="168" fontId="21" fillId="0" borderId="64" xfId="0" applyFont="true" applyBorder="true" applyAlignment="true" applyProtection="false">
      <alignment horizontal="distributed" vertical="center" textRotation="0" wrapText="false" indent="0" shrinkToFit="false"/>
      <protection locked="true" hidden="false"/>
    </xf>
    <xf numFmtId="164" fontId="19" fillId="0" borderId="69" xfId="0" applyFont="true" applyBorder="true" applyAlignment="true" applyProtection="false">
      <alignment horizontal="center" vertical="center" textRotation="0" wrapText="true" indent="0" shrinkToFit="false"/>
      <protection locked="true" hidden="false"/>
    </xf>
    <xf numFmtId="164" fontId="20" fillId="0" borderId="15" xfId="0" applyFont="true" applyBorder="true" applyAlignment="true" applyProtection="false">
      <alignment horizontal="center" vertical="center" textRotation="0" wrapText="false" indent="0" shrinkToFit="false"/>
      <protection locked="true" hidden="false"/>
    </xf>
    <xf numFmtId="168" fontId="30" fillId="0" borderId="20" xfId="0" applyFont="true" applyBorder="true" applyAlignment="true" applyProtection="false">
      <alignment horizontal="left" vertical="center" textRotation="0" wrapText="false" indent="0" shrinkToFit="false"/>
      <protection locked="true" hidden="false"/>
    </xf>
    <xf numFmtId="164" fontId="19" fillId="0" borderId="23" xfId="0" applyFont="true" applyBorder="true" applyAlignment="true" applyProtection="false">
      <alignment horizontal="center" vertical="center" textRotation="0" wrapText="false" indent="0" shrinkToFit="false"/>
      <protection locked="true" hidden="false"/>
    </xf>
    <xf numFmtId="164" fontId="30" fillId="0" borderId="24" xfId="0" applyFont="true" applyBorder="true" applyAlignment="true" applyProtection="false">
      <alignment horizontal="left" vertical="center" textRotation="0" wrapText="true" indent="0" shrinkToFit="false"/>
      <protection locked="true" hidden="false"/>
    </xf>
    <xf numFmtId="172" fontId="21" fillId="0" borderId="25" xfId="0" applyFont="true" applyBorder="true" applyAlignment="true" applyProtection="false">
      <alignment horizontal="center" vertical="center" textRotation="0" wrapText="false" indent="0" shrinkToFit="false"/>
      <protection locked="true" hidden="false"/>
    </xf>
    <xf numFmtId="168" fontId="21" fillId="0" borderId="24" xfId="0" applyFont="true" applyBorder="true" applyAlignment="true" applyProtection="false">
      <alignment horizontal="center" vertical="center" textRotation="0" wrapText="false" indent="0" shrinkToFit="true"/>
      <protection locked="true" hidden="false"/>
    </xf>
    <xf numFmtId="168" fontId="21" fillId="0" borderId="25" xfId="0" applyFont="true" applyBorder="true" applyAlignment="true" applyProtection="false">
      <alignment horizontal="right" vertical="center" textRotation="0" wrapText="false" indent="0" shrinkToFit="true"/>
      <protection locked="true" hidden="false"/>
    </xf>
    <xf numFmtId="168" fontId="21" fillId="0" borderId="27" xfId="0" applyFont="true" applyBorder="true" applyAlignment="true" applyProtection="false">
      <alignment horizontal="general" vertical="center" textRotation="0" wrapText="false" indent="0" shrinkToFit="true"/>
      <protection locked="true" hidden="false"/>
    </xf>
    <xf numFmtId="164" fontId="30" fillId="0" borderId="27" xfId="0" applyFont="true" applyBorder="true" applyAlignment="true" applyProtection="false">
      <alignment horizontal="general" vertical="center" textRotation="0" wrapText="true" indent="0" shrinkToFit="false"/>
      <protection locked="true" hidden="false"/>
    </xf>
    <xf numFmtId="164" fontId="30" fillId="0" borderId="28" xfId="0" applyFont="true" applyBorder="true" applyAlignment="true" applyProtection="false">
      <alignment horizontal="center" vertical="center" textRotation="0" wrapText="true" indent="0" shrinkToFit="false"/>
      <protection locked="true" hidden="false"/>
    </xf>
    <xf numFmtId="164" fontId="30" fillId="0" borderId="15" xfId="0" applyFont="true" applyBorder="true" applyAlignment="true" applyProtection="false">
      <alignment horizontal="left" vertical="center" textRotation="0" wrapText="true" indent="0" shrinkToFit="false"/>
      <protection locked="true" hidden="false"/>
    </xf>
    <xf numFmtId="168" fontId="21" fillId="0" borderId="16" xfId="0" applyFont="true" applyBorder="true" applyAlignment="true" applyProtection="false">
      <alignment horizontal="right" vertical="center" textRotation="0" wrapText="false" indent="0" shrinkToFit="true"/>
      <protection locked="true" hidden="false"/>
    </xf>
    <xf numFmtId="168" fontId="21" fillId="0" borderId="17" xfId="0" applyFont="true" applyBorder="true" applyAlignment="true" applyProtection="false">
      <alignment horizontal="general" vertical="center" textRotation="0" wrapText="false" indent="0" shrinkToFit="true"/>
      <protection locked="true" hidden="false"/>
    </xf>
    <xf numFmtId="164" fontId="30" fillId="0" borderId="17" xfId="0" applyFont="true" applyBorder="true" applyAlignment="true" applyProtection="false">
      <alignment horizontal="general" vertical="center" textRotation="0" wrapText="tru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8" fontId="47" fillId="0" borderId="66" xfId="0" applyFont="true" applyBorder="true" applyAlignment="true" applyProtection="false">
      <alignment horizontal="general" vertical="center" textRotation="0" wrapText="false" indent="0" shrinkToFit="false"/>
      <protection locked="true" hidden="false"/>
    </xf>
    <xf numFmtId="168" fontId="47" fillId="0" borderId="65" xfId="0" applyFont="true" applyBorder="true" applyAlignment="true" applyProtection="false">
      <alignment horizontal="right" vertical="center" textRotation="0" wrapText="true" indent="0" shrinkToFit="false"/>
      <protection locked="true" hidden="false"/>
    </xf>
    <xf numFmtId="164" fontId="21" fillId="0" borderId="66" xfId="0" applyFont="true" applyBorder="true" applyAlignment="true" applyProtection="false">
      <alignment horizontal="general" vertical="center" textRotation="0" wrapText="true" indent="0" shrinkToFit="false"/>
      <protection locked="true" hidden="false"/>
    </xf>
    <xf numFmtId="164" fontId="21" fillId="0" borderId="70" xfId="0" applyFont="true" applyBorder="true" applyAlignment="true" applyProtection="false">
      <alignment horizontal="center" vertical="center" textRotation="0" wrapText="true" indent="0" shrinkToFit="false"/>
      <protection locked="true" hidden="false"/>
    </xf>
    <xf numFmtId="168" fontId="19" fillId="0" borderId="24" xfId="0" applyFont="true" applyBorder="true" applyAlignment="true" applyProtection="false">
      <alignment horizontal="distributed" vertical="center" textRotation="0" wrapText="false" indent="1" shrinkToFit="false"/>
      <protection locked="true" hidden="false"/>
    </xf>
    <xf numFmtId="164" fontId="34" fillId="0" borderId="28" xfId="0" applyFont="true" applyBorder="true" applyAlignment="true" applyProtection="false">
      <alignment horizontal="left" vertical="center" textRotation="0" wrapText="true" indent="0" shrinkToFit="false"/>
      <protection locked="true" hidden="false"/>
    </xf>
    <xf numFmtId="164" fontId="20" fillId="0" borderId="28"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71" fontId="21" fillId="0" borderId="25"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20" fillId="0" borderId="24" xfId="0" applyFont="true" applyBorder="true" applyAlignment="true" applyProtection="false">
      <alignment horizontal="distributed" vertical="center" textRotation="0" wrapText="false" indent="1" shrinkToFit="false"/>
      <protection locked="true" hidden="false"/>
    </xf>
    <xf numFmtId="164" fontId="19" fillId="0" borderId="14" xfId="0" applyFont="true" applyBorder="true" applyAlignment="true" applyProtection="false">
      <alignment horizontal="distributed" vertical="center" textRotation="0" wrapText="false" indent="1" shrinkToFit="false"/>
      <protection locked="true" hidden="false"/>
    </xf>
    <xf numFmtId="168" fontId="21" fillId="0" borderId="16" xfId="0" applyFont="true" applyBorder="true" applyAlignment="true" applyProtection="false">
      <alignment horizontal="right" vertical="center" textRotation="0" wrapText="false" indent="0" shrinkToFit="false"/>
      <protection locked="true" hidden="false"/>
    </xf>
    <xf numFmtId="168" fontId="23" fillId="0" borderId="27" xfId="0" applyFont="true" applyBorder="true" applyAlignment="true" applyProtection="false">
      <alignment horizontal="left" vertical="center" textRotation="0" wrapText="false" indent="0" shrinkToFit="false"/>
      <protection locked="true" hidden="false"/>
    </xf>
    <xf numFmtId="168" fontId="43" fillId="0" borderId="15" xfId="0" applyFont="true" applyBorder="true" applyAlignment="true" applyProtection="false">
      <alignment horizontal="distributed" vertical="center" textRotation="0" wrapText="false" indent="1" shrinkToFit="false"/>
      <protection locked="true" hidden="false"/>
    </xf>
    <xf numFmtId="164" fontId="34" fillId="0" borderId="18" xfId="0" applyFont="true" applyBorder="true" applyAlignment="true" applyProtection="false">
      <alignment horizontal="left" vertical="center" textRotation="0" wrapText="true" indent="0" shrinkToFit="false"/>
      <protection locked="true" hidden="false"/>
    </xf>
    <xf numFmtId="168" fontId="40" fillId="0" borderId="15" xfId="0" applyFont="true" applyBorder="true" applyAlignment="true" applyProtection="false">
      <alignment horizontal="center" vertical="center" textRotation="0" wrapText="false" indent="0" shrinkToFit="true"/>
      <protection locked="true" hidden="false"/>
    </xf>
    <xf numFmtId="168" fontId="20" fillId="0" borderId="15" xfId="0" applyFont="true" applyBorder="true" applyAlignment="true" applyProtection="false">
      <alignment horizontal="distributed" vertical="center" textRotation="0" wrapText="false" indent="1" shrinkToFit="false"/>
      <protection locked="true" hidden="false"/>
    </xf>
    <xf numFmtId="164" fontId="49" fillId="0" borderId="18" xfId="0" applyFont="true" applyBorder="true" applyAlignment="true" applyProtection="false">
      <alignment horizontal="general" vertical="center" textRotation="0" wrapText="false" indent="0" shrinkToFit="true"/>
      <protection locked="true" hidden="false"/>
    </xf>
    <xf numFmtId="168" fontId="23" fillId="0" borderId="24" xfId="0" applyFont="true" applyBorder="true" applyAlignment="true" applyProtection="false">
      <alignment horizontal="distributed" vertical="center" textRotation="0" wrapText="false" indent="1" shrinkToFit="false"/>
      <protection locked="true" hidden="false"/>
    </xf>
    <xf numFmtId="164" fontId="20" fillId="0" borderId="28" xfId="0" applyFont="true" applyBorder="true" applyAlignment="true" applyProtection="false">
      <alignment horizontal="left" vertical="center" textRotation="0" wrapText="false" indent="0" shrinkToFit="true"/>
      <protection locked="true" hidden="false"/>
    </xf>
    <xf numFmtId="168" fontId="20" fillId="0" borderId="24" xfId="0" applyFont="true" applyBorder="true" applyAlignment="true" applyProtection="false">
      <alignment horizontal="distributed" vertical="center" textRotation="0" wrapText="false" indent="1" shrinkToFit="false"/>
      <protection locked="true" hidden="false"/>
    </xf>
    <xf numFmtId="164" fontId="34" fillId="0" borderId="28" xfId="0" applyFont="true" applyBorder="true" applyAlignment="true" applyProtection="false">
      <alignment horizontal="left" vertical="center" textRotation="0" wrapText="false" indent="0" shrinkToFit="true"/>
      <protection locked="true" hidden="false"/>
    </xf>
    <xf numFmtId="168" fontId="47" fillId="0" borderId="71" xfId="0" applyFont="true" applyBorder="true" applyAlignment="true" applyProtection="false">
      <alignment horizontal="right" vertical="center" textRotation="0" wrapText="false" indent="0" shrinkToFit="false"/>
      <protection locked="true" hidden="false"/>
    </xf>
    <xf numFmtId="168" fontId="23" fillId="0" borderId="68" xfId="0" applyFont="true" applyBorder="true" applyAlignment="true" applyProtection="false">
      <alignment horizontal="left" vertical="center" textRotation="0" wrapText="false" indent="0" shrinkToFit="false"/>
      <protection locked="true" hidden="false"/>
    </xf>
    <xf numFmtId="168" fontId="23" fillId="0" borderId="72" xfId="0" applyFont="true" applyBorder="true" applyAlignment="true" applyProtection="false">
      <alignment horizontal="distributed" vertical="center" textRotation="0" wrapText="false" indent="0" shrinkToFit="false"/>
      <protection locked="true" hidden="false"/>
    </xf>
    <xf numFmtId="164" fontId="23" fillId="0" borderId="73" xfId="0" applyFont="true" applyBorder="true" applyAlignment="true" applyProtection="false">
      <alignment horizontal="left" vertical="center" textRotation="0" wrapText="true" indent="0" shrinkToFit="false"/>
      <protection locked="true" hidden="false"/>
    </xf>
    <xf numFmtId="164" fontId="19" fillId="0" borderId="28" xfId="0" applyFont="true" applyBorder="true" applyAlignment="true" applyProtection="false">
      <alignment horizontal="left" vertical="center" textRotation="0" wrapText="true" indent="0" shrinkToFit="false"/>
      <protection locked="true" hidden="false"/>
    </xf>
    <xf numFmtId="164" fontId="19" fillId="0" borderId="69" xfId="0" applyFont="true" applyBorder="true" applyAlignment="true" applyProtection="false">
      <alignment horizontal="center" vertical="center" textRotation="0" wrapText="false" indent="0" shrinkToFit="false"/>
      <protection locked="true" hidden="false"/>
    </xf>
    <xf numFmtId="168" fontId="34" fillId="0" borderId="20" xfId="0" applyFont="true" applyBorder="true" applyAlignment="true" applyProtection="false">
      <alignment horizontal="left" vertical="center" textRotation="0" wrapText="false" indent="0" shrinkToFit="false"/>
      <protection locked="true" hidden="false"/>
    </xf>
    <xf numFmtId="168" fontId="21" fillId="0" borderId="27" xfId="0" applyFont="true" applyBorder="true" applyAlignment="true" applyProtection="false">
      <alignment horizontal="general" vertical="center" textRotation="0" wrapText="false" indent="0" shrinkToFit="false"/>
      <protection locked="true" hidden="false"/>
    </xf>
    <xf numFmtId="168" fontId="21" fillId="0" borderId="66" xfId="0" applyFont="true" applyBorder="true" applyAlignment="true" applyProtection="false">
      <alignment horizontal="general" vertical="center" textRotation="0" wrapText="false" indent="0" shrinkToFit="false"/>
      <protection locked="true" hidden="false"/>
    </xf>
    <xf numFmtId="168" fontId="21" fillId="0" borderId="64" xfId="0" applyFont="true" applyBorder="true" applyAlignment="true" applyProtection="false">
      <alignment horizontal="center" vertical="center" textRotation="0" wrapText="false" indent="0" shrinkToFit="false"/>
      <protection locked="true" hidden="false"/>
    </xf>
    <xf numFmtId="164" fontId="21" fillId="0" borderId="67"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8" fontId="51" fillId="0" borderId="4" xfId="0" applyFont="true" applyBorder="true" applyAlignment="true" applyProtection="false">
      <alignment horizontal="right" vertical="center" textRotation="0" wrapText="false" indent="0" shrinkToFit="false"/>
      <protection locked="true" hidden="false"/>
    </xf>
    <xf numFmtId="168" fontId="21" fillId="0" borderId="0" xfId="0" applyFont="true" applyBorder="false" applyAlignment="true" applyProtection="false">
      <alignment horizontal="right" vertical="center" textRotation="0" wrapText="false" indent="0" shrinkToFit="false"/>
      <protection locked="true" hidden="false"/>
    </xf>
    <xf numFmtId="168" fontId="52" fillId="0" borderId="4" xfId="0" applyFont="true" applyBorder="true" applyAlignment="true" applyProtection="false">
      <alignment horizontal="right" vertical="center" textRotation="0" wrapText="false" indent="0" shrinkToFit="false"/>
      <protection locked="true" hidden="false"/>
    </xf>
    <xf numFmtId="168" fontId="21"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64" fontId="54" fillId="0" borderId="2" xfId="0" applyFont="true" applyBorder="true" applyAlignment="true" applyProtection="false">
      <alignment horizontal="distributed" vertical="bottom" textRotation="0" wrapText="false" indent="0" shrinkToFit="false"/>
      <protection locked="true" hidden="false"/>
    </xf>
    <xf numFmtId="164" fontId="55" fillId="0" borderId="0" xfId="0" applyFont="true" applyBorder="true" applyAlignment="true" applyProtection="false">
      <alignment horizontal="distributed"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56" fillId="0" borderId="0" xfId="0" applyFont="true" applyBorder="false" applyAlignment="true" applyProtection="false">
      <alignment horizontal="center" vertical="bottom" textRotation="0" wrapText="false" indent="0" shrinkToFit="false"/>
      <protection locked="true" hidden="false"/>
    </xf>
    <xf numFmtId="164" fontId="57" fillId="0" borderId="0" xfId="0" applyFont="true" applyBorder="false" applyAlignment="true" applyProtection="false">
      <alignment horizontal="center" vertical="bottom" textRotation="0" wrapText="false" indent="0" shrinkToFit="false"/>
      <protection locked="true" hidden="false"/>
    </xf>
    <xf numFmtId="164" fontId="27" fillId="0" borderId="57" xfId="0" applyFont="true" applyBorder="true" applyAlignment="true" applyProtection="false">
      <alignment horizontal="center" vertical="center" textRotation="0" wrapText="false" indent="0" shrinkToFit="false"/>
      <protection locked="true" hidden="false"/>
    </xf>
    <xf numFmtId="164" fontId="27" fillId="0" borderId="58" xfId="0" applyFont="true" applyBorder="true" applyAlignment="true" applyProtection="false">
      <alignment horizontal="center" vertical="center" textRotation="0" wrapText="false" indent="0" shrinkToFit="false"/>
      <protection locked="true" hidden="false"/>
    </xf>
    <xf numFmtId="164" fontId="27" fillId="0" borderId="59" xfId="0" applyFont="true" applyBorder="true" applyAlignment="true" applyProtection="false">
      <alignment horizontal="center" vertical="center" textRotation="0" wrapText="false" indent="0" shrinkToFit="false"/>
      <protection locked="true" hidden="false"/>
    </xf>
    <xf numFmtId="164" fontId="53" fillId="0" borderId="11" xfId="0" applyFont="true" applyBorder="true" applyAlignment="true" applyProtection="false">
      <alignment horizontal="center" vertical="center" textRotation="0" wrapText="false" indent="0" shrinkToFit="false"/>
      <protection locked="true" hidden="false"/>
    </xf>
    <xf numFmtId="164" fontId="53" fillId="0" borderId="20" xfId="0" applyFont="true" applyBorder="true" applyAlignment="true" applyProtection="false">
      <alignment horizontal="center" vertical="center" textRotation="0" wrapText="false" indent="0" shrinkToFit="false"/>
      <protection locked="true" hidden="false"/>
    </xf>
    <xf numFmtId="164" fontId="53" fillId="0" borderId="60" xfId="0" applyFont="true" applyBorder="true" applyAlignment="true" applyProtection="false">
      <alignment horizontal="center" vertical="center" textRotation="0" wrapText="false" indent="0" shrinkToFit="false"/>
      <protection locked="true" hidden="false"/>
    </xf>
    <xf numFmtId="164" fontId="53" fillId="0" borderId="61" xfId="0" applyFont="true" applyBorder="true" applyAlignment="true" applyProtection="false">
      <alignment horizontal="center" vertical="center" textRotation="0" wrapText="false" indent="0" shrinkToFit="false"/>
      <protection locked="true" hidden="false"/>
    </xf>
    <xf numFmtId="168" fontId="58" fillId="0" borderId="60" xfId="0" applyFont="true" applyBorder="true" applyAlignment="true" applyProtection="false">
      <alignment horizontal="left" vertical="center" textRotation="0" wrapText="false" indent="0" shrinkToFit="false"/>
      <protection locked="true" hidden="false"/>
    </xf>
    <xf numFmtId="168" fontId="53" fillId="0" borderId="60" xfId="0" applyFont="true" applyBorder="true" applyAlignment="true" applyProtection="false">
      <alignment horizontal="left" vertical="center" textRotation="0" wrapText="false" indent="0" shrinkToFit="false"/>
      <protection locked="true" hidden="false"/>
    </xf>
    <xf numFmtId="164" fontId="53" fillId="0" borderId="62" xfId="0" applyFont="true" applyBorder="true" applyAlignment="true" applyProtection="false">
      <alignment horizontal="center" vertical="center" textRotation="0" wrapText="false" indent="0" shrinkToFit="false"/>
      <protection locked="true" hidden="false"/>
    </xf>
    <xf numFmtId="164" fontId="27" fillId="0" borderId="23" xfId="0" applyFont="true" applyBorder="true" applyAlignment="true" applyProtection="false">
      <alignment horizontal="distributed" vertical="center" textRotation="0" wrapText="false" indent="0" shrinkToFit="false"/>
      <protection locked="true" hidden="false"/>
    </xf>
    <xf numFmtId="168" fontId="28" fillId="0" borderId="25" xfId="0" applyFont="true" applyBorder="true" applyAlignment="true" applyProtection="false">
      <alignment horizontal="right" vertical="center" textRotation="0" wrapText="false" indent="0" shrinkToFit="false"/>
      <protection locked="true" hidden="false"/>
    </xf>
    <xf numFmtId="168" fontId="28" fillId="0" borderId="36" xfId="0" applyFont="true" applyBorder="true" applyAlignment="true" applyProtection="false">
      <alignment horizontal="left" vertical="center" textRotation="0" wrapText="false" indent="0" shrinkToFit="false"/>
      <protection locked="true" hidden="false"/>
    </xf>
    <xf numFmtId="164" fontId="58" fillId="0" borderId="24" xfId="0" applyFont="true" applyBorder="true" applyAlignment="true" applyProtection="false">
      <alignment horizontal="distributed" vertical="center" textRotation="0" wrapText="false" indent="0" shrinkToFit="false"/>
      <protection locked="true" hidden="false"/>
    </xf>
    <xf numFmtId="164" fontId="58" fillId="0" borderId="28" xfId="0" applyFont="true" applyBorder="true" applyAlignment="true" applyProtection="false">
      <alignment horizontal="left" vertical="center" textRotation="0" wrapText="true" indent="0" shrinkToFit="false"/>
      <protection locked="true" hidden="false"/>
    </xf>
    <xf numFmtId="164" fontId="27" fillId="0" borderId="63" xfId="0" applyFont="true" applyBorder="true" applyAlignment="true" applyProtection="false">
      <alignment horizontal="center" vertical="center" textRotation="0" wrapText="false" indent="0" shrinkToFit="false"/>
      <protection locked="true" hidden="false"/>
    </xf>
    <xf numFmtId="168" fontId="28" fillId="0" borderId="65" xfId="0" applyFont="true" applyBorder="true" applyAlignment="true" applyProtection="false">
      <alignment horizontal="right" vertical="center" textRotation="0" wrapText="false" indent="0" shrinkToFit="false"/>
      <protection locked="true" hidden="false"/>
    </xf>
    <xf numFmtId="168" fontId="28" fillId="0" borderId="68" xfId="0" applyFont="true" applyBorder="true" applyAlignment="true" applyProtection="false">
      <alignment horizontal="left" vertical="center" textRotation="0" wrapText="false" indent="0" shrinkToFit="false"/>
      <protection locked="true" hidden="false"/>
    </xf>
    <xf numFmtId="168" fontId="28" fillId="0" borderId="64" xfId="0" applyFont="true" applyBorder="true" applyAlignment="true" applyProtection="false">
      <alignment horizontal="distributed" vertical="center" textRotation="0" wrapText="false" indent="0" shrinkToFit="false"/>
      <protection locked="true" hidden="false"/>
    </xf>
    <xf numFmtId="164" fontId="28" fillId="0" borderId="67" xfId="0" applyFont="true" applyBorder="true" applyAlignment="true" applyProtection="false">
      <alignment horizontal="left" vertical="center" textRotation="0" wrapText="true" indent="0" shrinkToFit="false"/>
      <protection locked="true" hidden="false"/>
    </xf>
    <xf numFmtId="168" fontId="51" fillId="0" borderId="0" xfId="0" applyFont="true" applyBorder="false" applyAlignment="true" applyProtection="false">
      <alignment horizontal="right" vertical="center" textRotation="0" wrapText="false" indent="0" shrinkToFit="false"/>
      <protection locked="true" hidden="false"/>
    </xf>
    <xf numFmtId="168" fontId="52" fillId="0" borderId="0" xfId="0" applyFont="true" applyBorder="false" applyAlignment="true" applyProtection="false">
      <alignment horizontal="right" vertical="center" textRotation="0" wrapText="false" indent="0" shrinkToFit="false"/>
      <protection locked="true" hidden="false"/>
    </xf>
    <xf numFmtId="164" fontId="19" fillId="0" borderId="58" xfId="0" applyFont="true" applyBorder="true" applyAlignment="true" applyProtection="false">
      <alignment horizontal="distributed" vertical="center" textRotation="0" wrapText="false" indent="0" shrinkToFit="false"/>
      <protection locked="true" hidden="false"/>
    </xf>
    <xf numFmtId="168" fontId="19" fillId="0" borderId="58" xfId="0" applyFont="true" applyBorder="true" applyAlignment="true" applyProtection="false">
      <alignment horizontal="distributed" vertical="center" textRotation="0" wrapText="false" indent="0" shrinkToFit="false"/>
      <protection locked="true" hidden="false"/>
    </xf>
    <xf numFmtId="164" fontId="20" fillId="0" borderId="58" xfId="0" applyFont="true" applyBorder="true" applyAlignment="true" applyProtection="false">
      <alignment horizontal="distributed" vertical="center" textRotation="0" wrapText="false" indent="0" shrinkToFit="true"/>
      <protection locked="true" hidden="false"/>
    </xf>
    <xf numFmtId="164" fontId="19" fillId="0" borderId="59" xfId="0" applyFont="true" applyBorder="true" applyAlignment="true" applyProtection="false">
      <alignment horizontal="center" vertical="center" textRotation="0" wrapText="true" indent="0" shrinkToFit="false"/>
      <protection locked="true" hidden="false"/>
    </xf>
    <xf numFmtId="164" fontId="21" fillId="0" borderId="7" xfId="0" applyFont="true" applyBorder="true" applyAlignment="true" applyProtection="false">
      <alignment horizontal="center" vertical="center" textRotation="0" wrapText="false" indent="0" shrinkToFit="false"/>
      <protection locked="true" hidden="false"/>
    </xf>
    <xf numFmtId="164" fontId="19" fillId="0" borderId="49" xfId="0" applyFont="true" applyBorder="true" applyAlignment="true" applyProtection="false">
      <alignment horizontal="center" vertical="center" textRotation="0" wrapText="false" indent="0" shrinkToFit="false"/>
      <protection locked="true" hidden="false"/>
    </xf>
    <xf numFmtId="164" fontId="21" fillId="0" borderId="51" xfId="0" applyFont="true" applyBorder="true" applyAlignment="true" applyProtection="false">
      <alignment horizontal="center" vertical="center" textRotation="0" wrapText="false" indent="0" shrinkToFit="false"/>
      <protection locked="true" hidden="false"/>
    </xf>
    <xf numFmtId="168" fontId="21" fillId="0" borderId="51" xfId="0" applyFont="true" applyBorder="true" applyAlignment="true" applyProtection="false">
      <alignment horizontal="right" vertical="center" textRotation="0" wrapText="false" indent="0" shrinkToFit="false"/>
      <protection locked="true" hidden="false"/>
    </xf>
    <xf numFmtId="168" fontId="21" fillId="0" borderId="51" xfId="0" applyFont="true" applyBorder="true" applyAlignment="true" applyProtection="false">
      <alignment horizontal="center" vertical="center" textRotation="0" wrapText="false" indent="0" shrinkToFit="false"/>
      <protection locked="true" hidden="false"/>
    </xf>
    <xf numFmtId="164" fontId="21" fillId="0" borderId="51" xfId="0" applyFont="true" applyBorder="true" applyAlignment="true" applyProtection="false">
      <alignment horizontal="center" vertical="center" textRotation="0" wrapText="true" indent="0" shrinkToFit="false"/>
      <protection locked="true" hidden="false"/>
    </xf>
    <xf numFmtId="164" fontId="21" fillId="0" borderId="9" xfId="0" applyFont="true" applyBorder="true" applyAlignment="true" applyProtection="false">
      <alignment horizontal="center" vertical="center" textRotation="0" wrapText="true" indent="0" shrinkToFit="false"/>
      <protection locked="true" hidden="false"/>
    </xf>
    <xf numFmtId="171" fontId="21" fillId="0" borderId="24" xfId="0" applyFont="true" applyBorder="true" applyAlignment="true" applyProtection="false">
      <alignment horizontal="right" vertical="center" textRotation="0" wrapText="false" indent="0" shrinkToFit="false"/>
      <protection locked="true" hidden="false"/>
    </xf>
    <xf numFmtId="171" fontId="47" fillId="0" borderId="24" xfId="0" applyFont="true" applyBorder="true" applyAlignment="true" applyProtection="false">
      <alignment horizontal="right" vertical="center" textRotation="0" wrapText="false" indent="0" shrinkToFit="false"/>
      <protection locked="true" hidden="false"/>
    </xf>
    <xf numFmtId="164" fontId="30" fillId="0" borderId="28" xfId="0" applyFont="true" applyBorder="true" applyAlignment="true" applyProtection="false">
      <alignment horizontal="left" vertical="center" textRotation="0" wrapText="true" indent="0" shrinkToFit="false"/>
      <protection locked="true" hidden="false"/>
    </xf>
    <xf numFmtId="171" fontId="47" fillId="0" borderId="74" xfId="0" applyFont="true" applyBorder="true" applyAlignment="true" applyProtection="false">
      <alignment horizontal="right" vertical="center" textRotation="0" wrapText="false" indent="0" shrinkToFit="false"/>
      <protection locked="true" hidden="false"/>
    </xf>
    <xf numFmtId="171" fontId="47" fillId="0" borderId="75" xfId="0" applyFont="true" applyBorder="true" applyAlignment="true" applyProtection="false">
      <alignment horizontal="right" vertical="center" textRotation="0" wrapText="false" indent="0" shrinkToFit="false"/>
      <protection locked="true" hidden="false"/>
    </xf>
    <xf numFmtId="168" fontId="19" fillId="0" borderId="58" xfId="0" applyFont="true" applyBorder="true" applyAlignment="true" applyProtection="false">
      <alignment horizontal="center" vertical="center" textRotation="0" wrapText="false" indent="0" shrinkToFit="false"/>
      <protection locked="true" hidden="false"/>
    </xf>
    <xf numFmtId="168" fontId="34" fillId="0" borderId="58" xfId="0" applyFont="true" applyBorder="true" applyAlignment="true" applyProtection="false">
      <alignment horizontal="center" vertical="center" textRotation="0" wrapText="false" indent="0" shrinkToFit="false"/>
      <protection locked="true" hidden="false"/>
    </xf>
    <xf numFmtId="164" fontId="21" fillId="0" borderId="11" xfId="0" applyFont="true" applyBorder="true" applyAlignment="true" applyProtection="false">
      <alignment horizontal="center" vertical="center" textRotation="0" wrapText="false" indent="0" shrinkToFit="false"/>
      <protection locked="true" hidden="false"/>
    </xf>
    <xf numFmtId="164" fontId="21" fillId="0" borderId="20" xfId="0" applyFont="true" applyBorder="true" applyAlignment="true" applyProtection="false">
      <alignment horizontal="center" vertical="center" textRotation="0" wrapText="false" indent="0" shrinkToFit="false"/>
      <protection locked="true" hidden="false"/>
    </xf>
    <xf numFmtId="164" fontId="19" fillId="0" borderId="60" xfId="0" applyFont="true" applyBorder="true" applyAlignment="true" applyProtection="false">
      <alignment horizontal="center" vertical="center" textRotation="0" wrapText="false" indent="0" shrinkToFit="false"/>
      <protection locked="true" hidden="false"/>
    </xf>
    <xf numFmtId="164" fontId="21" fillId="0" borderId="61" xfId="0" applyFont="true" applyBorder="true" applyAlignment="true" applyProtection="false">
      <alignment horizontal="center" vertical="center" textRotation="0" wrapText="false" indent="0" shrinkToFit="false"/>
      <protection locked="true" hidden="false"/>
    </xf>
    <xf numFmtId="164" fontId="19" fillId="0" borderId="61" xfId="0" applyFont="true" applyBorder="true" applyAlignment="true" applyProtection="false">
      <alignment horizontal="center" vertical="center" textRotation="0" wrapText="false" indent="0" shrinkToFit="false"/>
      <protection locked="true" hidden="false"/>
    </xf>
    <xf numFmtId="168" fontId="21" fillId="0" borderId="60" xfId="0" applyFont="true" applyBorder="true" applyAlignment="true" applyProtection="false">
      <alignment horizontal="right" vertical="center" textRotation="0" wrapText="false" indent="0" shrinkToFit="false"/>
      <protection locked="true" hidden="false"/>
    </xf>
    <xf numFmtId="168" fontId="21" fillId="0" borderId="61" xfId="0" applyFont="true" applyBorder="true" applyAlignment="true" applyProtection="false">
      <alignment horizontal="right" vertical="center" textRotation="0" wrapText="false" indent="0" shrinkToFit="false"/>
      <protection locked="true" hidden="false"/>
    </xf>
    <xf numFmtId="164" fontId="19" fillId="0" borderId="20" xfId="0" applyFont="true" applyBorder="true" applyAlignment="true" applyProtection="false">
      <alignment horizontal="center" vertical="center" textRotation="0" wrapText="false" indent="0" shrinkToFit="false"/>
      <protection locked="true" hidden="false"/>
    </xf>
    <xf numFmtId="168" fontId="19" fillId="0" borderId="60" xfId="0" applyFont="true" applyBorder="true" applyAlignment="true" applyProtection="false">
      <alignment horizontal="right" vertical="center" textRotation="0" wrapText="false" indent="0" shrinkToFit="false"/>
      <protection locked="true" hidden="false"/>
    </xf>
    <xf numFmtId="168" fontId="21" fillId="0" borderId="20" xfId="0" applyFont="true" applyBorder="true" applyAlignment="true" applyProtection="false">
      <alignment horizontal="center" vertical="center" textRotation="0" wrapText="false" indent="0" shrinkToFit="false"/>
      <protection locked="true" hidden="false"/>
    </xf>
    <xf numFmtId="164" fontId="19" fillId="0" borderId="60" xfId="0" applyFont="true" applyBorder="true" applyAlignment="true" applyProtection="false">
      <alignment horizontal="right" vertical="center" textRotation="0" wrapText="false" indent="0" shrinkToFit="false"/>
      <protection locked="true" hidden="false"/>
    </xf>
    <xf numFmtId="164" fontId="21" fillId="0" borderId="20" xfId="0" applyFont="true" applyBorder="true" applyAlignment="true" applyProtection="false">
      <alignment horizontal="center" vertical="center" textRotation="0" wrapText="true" indent="0" shrinkToFit="false"/>
      <protection locked="true" hidden="false"/>
    </xf>
    <xf numFmtId="164" fontId="21" fillId="0" borderId="62" xfId="0" applyFont="true" applyBorder="true" applyAlignment="true" applyProtection="false">
      <alignment horizontal="center" vertical="center" textRotation="0" wrapText="true" indent="0" shrinkToFit="false"/>
      <protection locked="true" hidden="false"/>
    </xf>
    <xf numFmtId="164" fontId="20" fillId="0" borderId="76" xfId="0" applyFont="true" applyBorder="true" applyAlignment="true" applyProtection="false">
      <alignment horizontal="distributed" vertical="center" textRotation="0" wrapText="false" indent="0" shrinkToFit="false"/>
      <protection locked="true" hidden="false"/>
    </xf>
    <xf numFmtId="171" fontId="19" fillId="0" borderId="77" xfId="0" applyFont="true" applyBorder="true" applyAlignment="true" applyProtection="false">
      <alignment horizontal="center" vertical="center" textRotation="0" wrapText="false" indent="0" shrinkToFit="false"/>
      <protection locked="true" hidden="false"/>
    </xf>
    <xf numFmtId="171" fontId="21" fillId="0" borderId="77" xfId="0" applyFont="true" applyBorder="true" applyAlignment="true" applyProtection="false">
      <alignment horizontal="right" vertical="center" textRotation="0" wrapText="false" indent="0" shrinkToFit="false"/>
      <protection locked="true" hidden="false"/>
    </xf>
    <xf numFmtId="173" fontId="47" fillId="0" borderId="77" xfId="0" applyFont="true" applyBorder="true" applyAlignment="true" applyProtection="false">
      <alignment horizontal="center" vertical="center" textRotation="0" wrapText="false" indent="0" shrinkToFit="false"/>
      <protection locked="true" hidden="false"/>
    </xf>
    <xf numFmtId="171" fontId="34" fillId="0" borderId="78" xfId="0" applyFont="true" applyBorder="true" applyAlignment="true" applyProtection="false">
      <alignment horizontal="left" vertical="center" textRotation="0" wrapText="true" indent="0" shrinkToFit="true"/>
      <protection locked="true" hidden="false"/>
    </xf>
    <xf numFmtId="171" fontId="19" fillId="0" borderId="24" xfId="0" applyFont="true" applyBorder="true" applyAlignment="true" applyProtection="false">
      <alignment horizontal="center" vertical="center" textRotation="0" wrapText="false" indent="0" shrinkToFit="false"/>
      <protection locked="true" hidden="false"/>
    </xf>
    <xf numFmtId="173" fontId="47" fillId="0" borderId="24" xfId="0" applyFont="true" applyBorder="true" applyAlignment="true" applyProtection="false">
      <alignment horizontal="center" vertical="center" textRotation="0" wrapText="false" indent="0" shrinkToFit="false"/>
      <protection locked="true" hidden="false"/>
    </xf>
    <xf numFmtId="171" fontId="34" fillId="0" borderId="28" xfId="0" applyFont="true" applyBorder="true" applyAlignment="true" applyProtection="false">
      <alignment horizontal="left" vertical="center" textRotation="0" wrapText="true" indent="0" shrinkToFit="true"/>
      <protection locked="true" hidden="false"/>
    </xf>
    <xf numFmtId="171" fontId="59" fillId="0" borderId="64" xfId="0" applyFont="true" applyBorder="true" applyAlignment="true" applyProtection="false">
      <alignment horizontal="center" vertical="center" textRotation="0" wrapText="false" indent="0" shrinkToFit="false"/>
      <protection locked="true" hidden="false"/>
    </xf>
    <xf numFmtId="171" fontId="47" fillId="0" borderId="74" xfId="0" applyFont="true" applyBorder="true" applyAlignment="true" applyProtection="false">
      <alignment horizontal="center" vertical="center" textRotation="0" wrapText="false" indent="0" shrinkToFit="false"/>
      <protection locked="true" hidden="false"/>
    </xf>
    <xf numFmtId="171" fontId="59" fillId="0" borderId="67" xfId="0" applyFont="true" applyBorder="true" applyAlignment="true" applyProtection="false">
      <alignment horizontal="center" vertical="center" textRotation="0" wrapText="false" indent="0" shrinkToFit="false"/>
      <protection locked="true" hidden="false"/>
    </xf>
    <xf numFmtId="164" fontId="20" fillId="0" borderId="58" xfId="0" applyFont="true" applyBorder="true" applyAlignment="true" applyProtection="false">
      <alignment horizontal="distributed" vertical="center" textRotation="0" wrapText="false" indent="0" shrinkToFit="false"/>
      <protection locked="true" hidden="false"/>
    </xf>
    <xf numFmtId="164" fontId="30" fillId="0" borderId="79" xfId="0" applyFont="true" applyBorder="true" applyAlignment="true" applyProtection="false">
      <alignment horizontal="distributed" vertical="center" textRotation="0" wrapText="false" indent="0" shrinkToFit="false"/>
      <protection locked="true" hidden="false"/>
    </xf>
    <xf numFmtId="164" fontId="34" fillId="0" borderId="19" xfId="0" applyFont="true" applyBorder="true" applyAlignment="true" applyProtection="false">
      <alignment horizontal="right" vertical="center" textRotation="0" wrapText="false" indent="0" shrinkToFit="false"/>
      <protection locked="true" hidden="false"/>
    </xf>
    <xf numFmtId="164" fontId="30" fillId="0" borderId="22" xfId="0" applyFont="true" applyBorder="true" applyAlignment="true" applyProtection="false">
      <alignment horizontal="distributed" vertical="center" textRotation="0" wrapText="false" indent="0" shrinkToFit="false"/>
      <protection locked="true" hidden="false"/>
    </xf>
    <xf numFmtId="168" fontId="21" fillId="0" borderId="24" xfId="0" applyFont="true" applyBorder="true" applyAlignment="true" applyProtection="false">
      <alignment horizontal="right" vertical="center" textRotation="0" wrapText="false" indent="0" shrinkToFit="false"/>
      <protection locked="true" hidden="false"/>
    </xf>
    <xf numFmtId="164" fontId="23" fillId="0" borderId="28" xfId="0" applyFont="true" applyBorder="true" applyAlignment="true" applyProtection="false">
      <alignment horizontal="left" vertical="center" textRotation="0" wrapText="true" indent="0" shrinkToFit="false"/>
      <protection locked="true" hidden="false"/>
    </xf>
    <xf numFmtId="168" fontId="47" fillId="0" borderId="74" xfId="0" applyFont="true" applyBorder="true" applyAlignment="true" applyProtection="false">
      <alignment horizontal="right" vertical="center" textRotation="0" wrapText="false" indent="0" shrinkToFit="false"/>
      <protection locked="true" hidden="false"/>
    </xf>
    <xf numFmtId="168" fontId="21" fillId="0" borderId="74" xfId="0" applyFont="true" applyBorder="true" applyAlignment="true" applyProtection="false">
      <alignment horizontal="right" vertical="center" textRotation="0" wrapText="false" indent="0" shrinkToFit="false"/>
      <protection locked="true" hidden="false"/>
    </xf>
    <xf numFmtId="164" fontId="23" fillId="0" borderId="67" xfId="0" applyFont="true" applyBorder="true" applyAlignment="true" applyProtection="false">
      <alignment horizontal="left" vertical="center" textRotation="0" wrapText="true" indent="0" shrinkToFit="false"/>
      <protection locked="true" hidden="false"/>
    </xf>
    <xf numFmtId="164" fontId="14" fillId="6" borderId="0" xfId="0" applyFont="true" applyBorder="false" applyAlignment="true" applyProtection="false">
      <alignment horizontal="general" vertical="bottom" textRotation="0" wrapText="false" indent="0" shrinkToFit="false"/>
      <protection locked="true" hidden="false"/>
    </xf>
    <xf numFmtId="164" fontId="15" fillId="6" borderId="2" xfId="0" applyFont="true" applyBorder="true" applyAlignment="true" applyProtection="false">
      <alignment horizontal="distributed" vertical="bottom" textRotation="0" wrapText="false" indent="0" shrinkToFit="false"/>
      <protection locked="true" hidden="false"/>
    </xf>
    <xf numFmtId="164" fontId="32" fillId="6" borderId="0" xfId="0" applyFont="true" applyBorder="true" applyAlignment="true" applyProtection="false">
      <alignment horizontal="distributed" vertical="bottom" textRotation="0" wrapText="false" indent="0" shrinkToFit="false"/>
      <protection locked="true" hidden="false"/>
    </xf>
    <xf numFmtId="164" fontId="14" fillId="6" borderId="0" xfId="0" applyFont="true" applyBorder="false" applyAlignment="true" applyProtection="false">
      <alignment horizontal="right" vertical="center" textRotation="0" wrapText="false" indent="0" shrinkToFit="false"/>
      <protection locked="true" hidden="false"/>
    </xf>
    <xf numFmtId="164" fontId="40" fillId="6" borderId="57" xfId="0" applyFont="true" applyBorder="true" applyAlignment="true" applyProtection="false">
      <alignment horizontal="distributed" vertical="center" textRotation="0" wrapText="false" indent="0" shrinkToFit="false"/>
      <protection locked="true" hidden="false"/>
    </xf>
    <xf numFmtId="168" fontId="40" fillId="6" borderId="58" xfId="0" applyFont="true" applyBorder="true" applyAlignment="true" applyProtection="false">
      <alignment horizontal="distributed" vertical="center" textRotation="0" wrapText="false" indent="0" shrinkToFit="false"/>
      <protection locked="true" hidden="false"/>
    </xf>
    <xf numFmtId="164" fontId="40" fillId="6" borderId="58" xfId="0" applyFont="true" applyBorder="true" applyAlignment="true" applyProtection="false">
      <alignment horizontal="distributed" vertical="center" textRotation="0" wrapText="false" indent="0" shrinkToFit="false"/>
      <protection locked="true" hidden="false"/>
    </xf>
    <xf numFmtId="164" fontId="40" fillId="6" borderId="59"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30" fillId="6" borderId="79" xfId="0" applyFont="true" applyBorder="true" applyAlignment="true" applyProtection="false">
      <alignment horizontal="center" vertical="center" textRotation="0" wrapText="false" indent="0" shrinkToFit="false"/>
      <protection locked="true" hidden="false"/>
    </xf>
    <xf numFmtId="168" fontId="34" fillId="6" borderId="19" xfId="0" applyFont="true" applyBorder="true" applyAlignment="true" applyProtection="false">
      <alignment horizontal="right" vertical="center" textRotation="0" wrapText="false" indent="0" shrinkToFit="false"/>
      <protection locked="true" hidden="false"/>
    </xf>
    <xf numFmtId="164" fontId="34" fillId="6" borderId="19" xfId="0" applyFont="true" applyBorder="true" applyAlignment="true" applyProtection="false">
      <alignment horizontal="right" vertical="center" textRotation="0" wrapText="false" indent="0" shrinkToFit="false"/>
      <protection locked="true" hidden="false"/>
    </xf>
    <xf numFmtId="164" fontId="34" fillId="6" borderId="18" xfId="0" applyFont="true" applyBorder="true" applyAlignment="true" applyProtection="false">
      <alignment horizontal="left" vertical="center" textRotation="0" wrapText="true" indent="0" shrinkToFit="false"/>
      <protection locked="true" hidden="false"/>
    </xf>
    <xf numFmtId="164" fontId="34" fillId="6" borderId="23" xfId="0" applyFont="true" applyBorder="true" applyAlignment="true" applyProtection="false">
      <alignment horizontal="distributed" vertical="top" textRotation="0" wrapText="false" indent="0" shrinkToFit="false"/>
      <protection locked="true" hidden="false"/>
    </xf>
    <xf numFmtId="170" fontId="34" fillId="6" borderId="24" xfId="0" applyFont="true" applyBorder="true" applyAlignment="true" applyProtection="false">
      <alignment horizontal="center" vertical="top" textRotation="0" wrapText="false" indent="0" shrinkToFit="false"/>
      <protection locked="true" hidden="false"/>
    </xf>
    <xf numFmtId="168" fontId="30" fillId="6" borderId="24" xfId="0" applyFont="true" applyBorder="true" applyAlignment="true" applyProtection="false">
      <alignment horizontal="general" vertical="top" textRotation="0" wrapText="false" indent="0" shrinkToFit="false"/>
      <protection locked="true" hidden="false"/>
    </xf>
    <xf numFmtId="174" fontId="30" fillId="6" borderId="24" xfId="0" applyFont="true" applyBorder="true" applyAlignment="true" applyProtection="false">
      <alignment horizontal="general" vertical="top" textRotation="0" wrapText="false" indent="0" shrinkToFit="false"/>
      <protection locked="true" hidden="false"/>
    </xf>
    <xf numFmtId="164" fontId="34" fillId="6" borderId="14" xfId="0" applyFont="true" applyBorder="true" applyAlignment="true" applyProtection="false">
      <alignment horizontal="distributed" vertical="center" textRotation="0" wrapText="false" indent="0" shrinkToFit="false"/>
      <protection locked="true" hidden="false"/>
    </xf>
    <xf numFmtId="168" fontId="30" fillId="6" borderId="15" xfId="0" applyFont="true" applyBorder="true" applyAlignment="true" applyProtection="false">
      <alignment horizontal="center" vertical="center" textRotation="0" wrapText="false" indent="0" shrinkToFit="false"/>
      <protection locked="true" hidden="false"/>
    </xf>
    <xf numFmtId="168" fontId="30" fillId="6" borderId="15" xfId="0" applyFont="true" applyBorder="true" applyAlignment="true" applyProtection="false">
      <alignment horizontal="general" vertical="center" textRotation="0" wrapText="false" indent="0" shrinkToFit="false"/>
      <protection locked="true" hidden="false"/>
    </xf>
    <xf numFmtId="170" fontId="34" fillId="6" borderId="15" xfId="0" applyFont="true" applyBorder="true" applyAlignment="true" applyProtection="false">
      <alignment horizontal="right" vertical="center" textRotation="0" wrapText="false" indent="0" shrinkToFit="false"/>
      <protection locked="true" hidden="false"/>
    </xf>
    <xf numFmtId="164" fontId="34" fillId="6" borderId="63" xfId="0" applyFont="true" applyBorder="true" applyAlignment="true" applyProtection="false">
      <alignment horizontal="center" vertical="center" textRotation="0" wrapText="false" indent="0" shrinkToFit="false"/>
      <protection locked="true" hidden="false"/>
    </xf>
    <xf numFmtId="168" fontId="30" fillId="6" borderId="64" xfId="0" applyFont="true" applyBorder="true" applyAlignment="true" applyProtection="false">
      <alignment horizontal="center" vertical="center" textRotation="0" wrapText="false" indent="0" shrinkToFit="false"/>
      <protection locked="true" hidden="false"/>
    </xf>
    <xf numFmtId="168" fontId="30" fillId="6" borderId="74" xfId="0" applyFont="true" applyBorder="true" applyAlignment="true" applyProtection="false">
      <alignment horizontal="general" vertical="center" textRotation="0" wrapText="false" indent="0" shrinkToFit="false"/>
      <protection locked="true" hidden="false"/>
    </xf>
    <xf numFmtId="168" fontId="30" fillId="6" borderId="64" xfId="0" applyFont="true" applyBorder="true" applyAlignment="true" applyProtection="false">
      <alignment horizontal="general" vertical="center" textRotation="0" wrapText="false" indent="0" shrinkToFit="false"/>
      <protection locked="true" hidden="false"/>
    </xf>
    <xf numFmtId="164" fontId="30" fillId="6" borderId="67" xfId="0" applyFont="true" applyBorder="true" applyAlignment="true" applyProtection="false">
      <alignment horizontal="left" vertical="center" textRotation="0" wrapText="true" indent="0" shrinkToFit="false"/>
      <protection locked="true" hidden="false"/>
    </xf>
    <xf numFmtId="164" fontId="60" fillId="6" borderId="2" xfId="0" applyFont="true" applyBorder="true" applyAlignment="true" applyProtection="false">
      <alignment horizontal="distributed" vertical="bottom" textRotation="0" wrapText="false" indent="0" shrinkToFit="false"/>
      <protection locked="true" hidden="false"/>
    </xf>
    <xf numFmtId="164" fontId="19" fillId="6" borderId="57" xfId="0" applyFont="true" applyBorder="true" applyAlignment="true" applyProtection="false">
      <alignment horizontal="center" vertical="center" textRotation="0" wrapText="false" indent="0" shrinkToFit="false"/>
      <protection locked="true" hidden="false"/>
    </xf>
    <xf numFmtId="164" fontId="19" fillId="6" borderId="58" xfId="0" applyFont="true" applyBorder="true" applyAlignment="true" applyProtection="false">
      <alignment horizontal="distributed" vertical="center" textRotation="0" wrapText="false" indent="0" shrinkToFit="false"/>
      <protection locked="true" hidden="false"/>
    </xf>
    <xf numFmtId="164" fontId="20" fillId="6" borderId="58" xfId="0" applyFont="true" applyBorder="true" applyAlignment="true" applyProtection="false">
      <alignment horizontal="distributed" vertical="center" textRotation="0" wrapText="false" indent="0" shrinkToFit="false"/>
      <protection locked="true" hidden="false"/>
    </xf>
    <xf numFmtId="164" fontId="19" fillId="6" borderId="59" xfId="0" applyFont="true" applyBorder="true" applyAlignment="true" applyProtection="false">
      <alignment horizontal="center" vertical="center" textRotation="0" wrapText="false" indent="0" shrinkToFit="false"/>
      <protection locked="true" hidden="false"/>
    </xf>
    <xf numFmtId="164" fontId="14" fillId="5" borderId="0" xfId="0" applyFont="true" applyBorder="false" applyAlignment="true" applyProtection="false">
      <alignment horizontal="general" vertical="bottom" textRotation="0" wrapText="false" indent="0" shrinkToFit="false"/>
      <protection locked="true" hidden="false"/>
    </xf>
    <xf numFmtId="164" fontId="30" fillId="6" borderId="22" xfId="0" applyFont="true" applyBorder="true" applyAlignment="true" applyProtection="false">
      <alignment horizontal="distributed" vertical="center" textRotation="0" wrapText="false" indent="0" shrinkToFit="false"/>
      <protection locked="true" hidden="false"/>
    </xf>
    <xf numFmtId="164" fontId="19" fillId="6" borderId="23" xfId="0" applyFont="true" applyBorder="true" applyAlignment="true" applyProtection="false">
      <alignment horizontal="distributed" vertical="top" textRotation="0" wrapText="false" indent="0" shrinkToFit="false"/>
      <protection locked="true" hidden="false"/>
    </xf>
    <xf numFmtId="168" fontId="21" fillId="6" borderId="24" xfId="0" applyFont="true" applyBorder="true" applyAlignment="true" applyProtection="false">
      <alignment horizontal="right" vertical="top" textRotation="0" wrapText="false" indent="0" shrinkToFit="false"/>
      <protection locked="true" hidden="false"/>
    </xf>
    <xf numFmtId="164" fontId="21" fillId="6" borderId="28" xfId="0" applyFont="true" applyBorder="true" applyAlignment="true" applyProtection="false">
      <alignment horizontal="left" vertical="top" textRotation="0" wrapText="true" indent="0" shrinkToFit="false"/>
      <protection locked="true" hidden="false"/>
    </xf>
    <xf numFmtId="164" fontId="14" fillId="5" borderId="0" xfId="0" applyFont="true" applyBorder="false" applyAlignment="true" applyProtection="false">
      <alignment horizontal="general" vertical="top" textRotation="0" wrapText="false" indent="0" shrinkToFit="false"/>
      <protection locked="true" hidden="false"/>
    </xf>
    <xf numFmtId="164" fontId="19" fillId="6" borderId="63" xfId="0" applyFont="true" applyBorder="true" applyAlignment="true" applyProtection="false">
      <alignment horizontal="center" vertical="center" textRotation="0" wrapText="false" indent="0" shrinkToFit="false"/>
      <protection locked="true" hidden="false"/>
    </xf>
    <xf numFmtId="168" fontId="21" fillId="6" borderId="74" xfId="0" applyFont="true" applyBorder="true" applyAlignment="true" applyProtection="false">
      <alignment horizontal="right" vertical="center" textRotation="0" wrapText="false" indent="0" shrinkToFit="false"/>
      <protection locked="true" hidden="false"/>
    </xf>
    <xf numFmtId="164" fontId="21" fillId="6" borderId="67" xfId="0" applyFont="true" applyBorder="true" applyAlignment="true" applyProtection="false">
      <alignment horizontal="left" vertical="center" textRotation="0" wrapText="true" indent="0" shrinkToFit="false"/>
      <protection locked="true" hidden="false"/>
    </xf>
    <xf numFmtId="164" fontId="15" fillId="0" borderId="2" xfId="0" applyFont="true" applyBorder="true" applyAlignment="true" applyProtection="false">
      <alignment horizontal="general" vertical="bottom" textRotation="0" wrapText="false" indent="0" shrinkToFit="false"/>
      <protection locked="true" hidden="false"/>
    </xf>
    <xf numFmtId="164" fontId="20" fillId="0" borderId="18" xfId="0" applyFont="true" applyBorder="true" applyAlignment="true" applyProtection="false">
      <alignment horizontal="left" vertical="center" textRotation="0" wrapText="true" indent="0" shrinkToFit="false"/>
      <protection locked="true" hidden="false"/>
    </xf>
    <xf numFmtId="164" fontId="19" fillId="0" borderId="23" xfId="0" applyFont="true" applyBorder="true" applyAlignment="true" applyProtection="false">
      <alignment horizontal="distributed" vertical="center" textRotation="0" wrapText="false" indent="0" shrinkToFit="true"/>
      <protection locked="true" hidden="false"/>
    </xf>
    <xf numFmtId="168" fontId="47" fillId="0" borderId="24" xfId="0" applyFont="true" applyBorder="true" applyAlignment="true" applyProtection="false">
      <alignment horizontal="right" vertical="center" textRotation="0" wrapText="false" indent="0" shrinkToFit="false"/>
      <protection locked="true" hidden="false"/>
    </xf>
    <xf numFmtId="164" fontId="14" fillId="0" borderId="79" xfId="0" applyFont="true" applyBorder="true" applyAlignment="true" applyProtection="false">
      <alignment horizontal="center" vertical="center" textRotation="0" wrapText="false" indent="0" shrinkToFit="false"/>
      <protection locked="true" hidden="false"/>
    </xf>
    <xf numFmtId="164" fontId="34" fillId="0" borderId="22" xfId="0" applyFont="true" applyBorder="true" applyAlignment="true" applyProtection="false">
      <alignment horizontal="right" vertical="center" textRotation="0" wrapText="false" indent="0" shrinkToFit="false"/>
      <protection locked="true" hidden="false"/>
    </xf>
    <xf numFmtId="168" fontId="47" fillId="0" borderId="28" xfId="0" applyFont="true" applyBorder="true" applyAlignment="true" applyProtection="false">
      <alignment horizontal="right" vertical="center" textRotation="0" wrapText="false" indent="0" shrinkToFit="false"/>
      <protection locked="true" hidden="false"/>
    </xf>
    <xf numFmtId="164" fontId="19" fillId="0" borderId="14" xfId="0" applyFont="true" applyBorder="true" applyAlignment="true" applyProtection="false">
      <alignment horizontal="distributed" vertical="center" textRotation="0" wrapText="false" indent="0" shrinkToFit="false"/>
      <protection locked="true" hidden="false"/>
    </xf>
    <xf numFmtId="168" fontId="21" fillId="0" borderId="15" xfId="0" applyFont="true" applyBorder="true" applyAlignment="true" applyProtection="false">
      <alignment horizontal="right" vertical="center" textRotation="0" wrapText="false" indent="0" shrinkToFit="false"/>
      <protection locked="true" hidden="false"/>
    </xf>
    <xf numFmtId="168" fontId="47" fillId="0" borderId="18" xfId="0" applyFont="true" applyBorder="true" applyAlignment="true" applyProtection="false">
      <alignment horizontal="right" vertical="center" textRotation="0" wrapText="false" indent="0" shrinkToFit="false"/>
      <protection locked="true" hidden="false"/>
    </xf>
    <xf numFmtId="168" fontId="47" fillId="0" borderId="70" xfId="0" applyFont="true" applyBorder="true" applyAlignment="true" applyProtection="false">
      <alignment horizontal="right" vertical="center" textRotation="0" wrapText="false" indent="0" shrinkToFit="false"/>
      <protection locked="true" hidden="false"/>
    </xf>
    <xf numFmtId="164" fontId="61"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center" vertical="center" textRotation="0" wrapText="false" indent="0" shrinkToFit="false"/>
      <protection locked="true" hidden="false"/>
    </xf>
    <xf numFmtId="170" fontId="19"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left" vertical="center" textRotation="0" wrapText="false" indent="0" shrinkToFit="false"/>
      <protection locked="true" hidden="false"/>
    </xf>
    <xf numFmtId="168" fontId="47" fillId="0" borderId="0"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8" fontId="21" fillId="0" borderId="0" xfId="0" applyFont="true" applyBorder="true" applyAlignment="true" applyProtection="false">
      <alignment horizontal="right" vertical="center" textRotation="0" wrapText="false" indent="0" shrinkToFit="false"/>
      <protection locked="true" hidden="false"/>
    </xf>
    <xf numFmtId="175" fontId="21" fillId="0" borderId="0" xfId="0" applyFont="true" applyBorder="true" applyAlignment="true" applyProtection="false">
      <alignment horizontal="general" vertical="center" textRotation="0" wrapText="false" indent="0" shrinkToFit="false"/>
      <protection locked="true" hidden="false"/>
    </xf>
    <xf numFmtId="168" fontId="47" fillId="0" borderId="8" xfId="0" applyFont="true" applyBorder="true" applyAlignment="true" applyProtection="false">
      <alignment horizontal="right" vertical="center" textRotation="0" wrapText="false" indent="0" shrinkToFit="false"/>
      <protection locked="true" hidden="false"/>
    </xf>
    <xf numFmtId="164" fontId="19" fillId="0" borderId="8" xfId="0" applyFont="true" applyBorder="tru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4" fontId="20" fillId="0" borderId="80" xfId="0" applyFont="true" applyBorder="true" applyAlignment="true" applyProtection="false">
      <alignment horizontal="left" vertical="center" textRotation="0" wrapText="false" indent="0" shrinkToFit="false"/>
      <protection locked="true" hidden="false"/>
    </xf>
    <xf numFmtId="164" fontId="23" fillId="0" borderId="4" xfId="0" applyFont="true" applyBorder="true" applyAlignment="true" applyProtection="false">
      <alignment horizontal="general" vertical="center" textRotation="0" wrapText="false" indent="0" shrinkToFit="false"/>
      <protection locked="true" hidden="false"/>
    </xf>
    <xf numFmtId="164" fontId="23" fillId="0" borderId="6" xfId="0" applyFont="true" applyBorder="true" applyAlignment="true" applyProtection="false">
      <alignment horizontal="general" vertical="center" textRotation="0" wrapText="false" indent="0" shrinkToFit="false"/>
      <protection locked="true" hidden="false"/>
    </xf>
    <xf numFmtId="168" fontId="21" fillId="0" borderId="39" xfId="0" applyFont="true" applyBorder="true" applyAlignment="true" applyProtection="false">
      <alignment horizontal="right" vertical="center" textRotation="0" wrapText="false" indent="0" shrinkToFit="false"/>
      <protection locked="true" hidden="false"/>
    </xf>
    <xf numFmtId="168" fontId="19" fillId="0" borderId="41" xfId="0" applyFont="true" applyBorder="true" applyAlignment="true" applyProtection="false">
      <alignment horizontal="general" vertical="center" textRotation="0" wrapText="false" indent="0" shrinkToFit="false"/>
      <protection locked="true" hidden="false"/>
    </xf>
    <xf numFmtId="168" fontId="21" fillId="0" borderId="81" xfId="0" applyFont="true" applyBorder="true" applyAlignment="true" applyProtection="false">
      <alignment horizontal="center" vertical="center" textRotation="0" wrapText="false" indent="0" shrinkToFit="false"/>
      <protection locked="true" hidden="false"/>
    </xf>
    <xf numFmtId="164" fontId="23" fillId="0" borderId="4" xfId="0" applyFont="true" applyBorder="true" applyAlignment="true" applyProtection="false">
      <alignment horizontal="center" vertical="center" textRotation="0" wrapText="false" indent="0" shrinkToFit="false"/>
      <protection locked="true" hidden="false"/>
    </xf>
    <xf numFmtId="164" fontId="23" fillId="0" borderId="6" xfId="0" applyFont="true" applyBorder="true" applyAlignment="true" applyProtection="false">
      <alignment horizontal="center" vertical="center" textRotation="0" wrapText="false" indent="0" shrinkToFit="false"/>
      <protection locked="true" hidden="false"/>
    </xf>
    <xf numFmtId="168" fontId="19" fillId="0" borderId="41" xfId="0" applyFont="true" applyBorder="true" applyAlignment="true" applyProtection="false">
      <alignment horizontal="general" vertical="bottom" textRotation="0" wrapText="false" indent="0" shrinkToFit="false"/>
      <protection locked="true" hidden="false"/>
    </xf>
    <xf numFmtId="168" fontId="19" fillId="0" borderId="81" xfId="0" applyFont="true" applyBorder="true" applyAlignment="true" applyProtection="false">
      <alignment horizontal="center" vertical="bottom" textRotation="0" wrapText="false" indent="0" shrinkToFit="false"/>
      <protection locked="true" hidden="false"/>
    </xf>
    <xf numFmtId="168" fontId="21" fillId="0" borderId="0" xfId="0" applyFont="true" applyBorder="true" applyAlignment="true" applyProtection="false">
      <alignment horizontal="right" vertical="bottom" textRotation="0" wrapText="false" indent="0" shrinkToFit="false"/>
      <protection locked="true" hidden="false"/>
    </xf>
    <xf numFmtId="164" fontId="21" fillId="0" borderId="4" xfId="0" applyFont="true" applyBorder="true" applyAlignment="true" applyProtection="false">
      <alignment horizontal="center" vertical="bottom" textRotation="0" wrapText="false" indent="0" shrinkToFit="false"/>
      <protection locked="true" hidden="false"/>
    </xf>
    <xf numFmtId="164" fontId="62" fillId="0" borderId="0" xfId="0" applyFont="true" applyBorder="true" applyAlignment="true" applyProtection="false">
      <alignment horizontal="lef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19" fillId="0" borderId="36" xfId="0" applyFont="true" applyBorder="true" applyAlignment="true" applyProtection="false">
      <alignment horizontal="right" vertical="bottom" textRotation="0" wrapText="false" indent="0" shrinkToFit="false"/>
      <protection locked="true" hidden="false"/>
    </xf>
    <xf numFmtId="164" fontId="19" fillId="0" borderId="15" xfId="0" applyFont="true" applyBorder="true" applyAlignment="true" applyProtection="false">
      <alignment horizontal="center" vertical="center" textRotation="0" wrapText="false" indent="0" shrinkToFit="false"/>
      <protection locked="true" hidden="false"/>
    </xf>
    <xf numFmtId="171" fontId="19" fillId="0" borderId="15" xfId="0" applyFont="true" applyBorder="true" applyAlignment="true" applyProtection="false">
      <alignment horizontal="center" vertical="center" textRotation="0" wrapText="false" indent="0" shrinkToFit="false"/>
      <protection locked="true" hidden="false"/>
    </xf>
    <xf numFmtId="164" fontId="63" fillId="0" borderId="61" xfId="0" applyFont="true" applyBorder="true" applyAlignment="true" applyProtection="false">
      <alignment horizontal="general" vertical="bottom" textRotation="0" wrapText="false" indent="0" shrinkToFit="false"/>
      <protection locked="true" hidden="false"/>
    </xf>
    <xf numFmtId="164" fontId="63" fillId="0" borderId="20" xfId="0" applyFont="true" applyBorder="true" applyAlignment="true" applyProtection="false">
      <alignment horizontal="general" vertical="bottom" textRotation="0" wrapText="false" indent="0" shrinkToFit="false"/>
      <protection locked="true" hidden="false"/>
    </xf>
    <xf numFmtId="164" fontId="63" fillId="0" borderId="20" xfId="0" applyFont="true" applyBorder="true" applyAlignment="true" applyProtection="false">
      <alignment horizontal="center" vertical="center" textRotation="0" wrapText="false" indent="0" shrinkToFit="false"/>
      <protection locked="true" hidden="false"/>
    </xf>
    <xf numFmtId="164" fontId="19" fillId="0" borderId="20" xfId="0" applyFont="true" applyBorder="true" applyAlignment="true" applyProtection="false">
      <alignment horizontal="distributed" vertical="center" textRotation="0" wrapText="false" indent="0" shrinkToFit="false"/>
      <protection locked="true" hidden="false"/>
    </xf>
    <xf numFmtId="164" fontId="0" fillId="0" borderId="20" xfId="0" applyFont="false" applyBorder="true" applyAlignment="true" applyProtection="false">
      <alignment horizontal="general" vertical="bottom" textRotation="0" wrapText="false" indent="0" shrinkToFit="false"/>
      <protection locked="true" hidden="false"/>
    </xf>
    <xf numFmtId="164" fontId="63" fillId="0" borderId="60" xfId="0" applyFont="true" applyBorder="true" applyAlignment="true" applyProtection="false">
      <alignment horizontal="general" vertical="bottom" textRotation="0" wrapText="false" indent="0" shrinkToFit="false"/>
      <protection locked="true" hidden="false"/>
    </xf>
    <xf numFmtId="171" fontId="64" fillId="0" borderId="19" xfId="0" applyFont="true" applyBorder="true" applyAlignment="true" applyProtection="false">
      <alignment horizontal="right" vertical="center" textRotation="0" wrapText="false" indent="0" shrinkToFit="false"/>
      <protection locked="true" hidden="false"/>
    </xf>
    <xf numFmtId="168" fontId="64" fillId="0" borderId="19" xfId="0" applyFont="true" applyBorder="true" applyAlignment="true" applyProtection="false">
      <alignment horizontal="right" vertical="center" textRotation="0" wrapText="false" indent="0" shrinkToFit="false"/>
      <protection locked="true" hidden="false"/>
    </xf>
    <xf numFmtId="164" fontId="19" fillId="0" borderId="19" xfId="0" applyFont="true" applyBorder="true" applyAlignment="true" applyProtection="false">
      <alignment horizontal="center" vertical="center" textRotation="255" wrapText="false" indent="0" shrinkToFit="false"/>
      <protection locked="true" hidden="false"/>
    </xf>
    <xf numFmtId="164" fontId="19" fillId="0" borderId="20" xfId="0" applyFont="true" applyBorder="true" applyAlignment="true" applyProtection="false">
      <alignment horizontal="distributed" vertical="center" textRotation="0" wrapText="false" indent="0" shrinkToFit="true"/>
      <protection locked="true" hidden="false"/>
    </xf>
    <xf numFmtId="164" fontId="0" fillId="0" borderId="20" xfId="0" applyFont="false" applyBorder="true" applyAlignment="true" applyProtection="false">
      <alignment horizontal="general" vertical="bottom" textRotation="0" wrapText="false" indent="0" shrinkToFit="true"/>
      <protection locked="true" hidden="false"/>
    </xf>
    <xf numFmtId="164" fontId="63" fillId="0" borderId="20" xfId="0" applyFont="true" applyBorder="true" applyAlignment="true" applyProtection="false">
      <alignment horizontal="general" vertical="center" textRotation="0" wrapText="false" indent="0" shrinkToFit="false"/>
      <protection locked="true" hidden="false"/>
    </xf>
    <xf numFmtId="171" fontId="63" fillId="0" borderId="19" xfId="0" applyFont="true" applyBorder="true" applyAlignment="true" applyProtection="false">
      <alignment horizontal="right" vertical="center" textRotation="0" wrapText="false" indent="0" shrinkToFit="false"/>
      <protection locked="true" hidden="false"/>
    </xf>
    <xf numFmtId="164" fontId="63" fillId="0" borderId="25" xfId="0" applyFont="true" applyBorder="true" applyAlignment="true" applyProtection="false">
      <alignment horizontal="general" vertical="bottom" textRotation="0" wrapText="false" indent="0" shrinkToFit="false"/>
      <protection locked="true" hidden="false"/>
    </xf>
    <xf numFmtId="164" fontId="63" fillId="0" borderId="36" xfId="0" applyFont="true" applyBorder="true" applyAlignment="true" applyProtection="false">
      <alignment horizontal="general" vertical="center" textRotation="0" wrapText="false" indent="0" shrinkToFit="true"/>
      <protection locked="true" hidden="false"/>
    </xf>
    <xf numFmtId="164" fontId="63" fillId="0" borderId="82" xfId="0" applyFont="true" applyBorder="true" applyAlignment="true" applyProtection="false">
      <alignment horizontal="general" vertical="center" textRotation="0" wrapText="false" indent="0" shrinkToFit="true"/>
      <protection locked="true" hidden="false"/>
    </xf>
    <xf numFmtId="164" fontId="34" fillId="0" borderId="83" xfId="0" applyFont="true" applyBorder="true" applyAlignment="true" applyProtection="false">
      <alignment horizontal="distributed" vertical="center" textRotation="0" wrapText="false" indent="0" shrinkToFit="true"/>
      <protection locked="true" hidden="false"/>
    </xf>
    <xf numFmtId="164" fontId="0" fillId="0" borderId="83" xfId="0" applyFont="false" applyBorder="true" applyAlignment="true" applyProtection="false">
      <alignment horizontal="general" vertical="bottom" textRotation="0" wrapText="false" indent="0" shrinkToFit="true"/>
      <protection locked="true" hidden="false"/>
    </xf>
    <xf numFmtId="164" fontId="63" fillId="0" borderId="83" xfId="0" applyFont="true" applyBorder="true" applyAlignment="true" applyProtection="false">
      <alignment horizontal="general" vertical="center" textRotation="0" wrapText="false" indent="0" shrinkToFit="false"/>
      <protection locked="true" hidden="false"/>
    </xf>
    <xf numFmtId="164" fontId="0" fillId="0" borderId="83" xfId="0" applyFont="false" applyBorder="true" applyAlignment="true" applyProtection="false">
      <alignment horizontal="general" vertical="bottom" textRotation="0" wrapText="false" indent="0" shrinkToFit="false"/>
      <protection locked="true" hidden="false"/>
    </xf>
    <xf numFmtId="164" fontId="63" fillId="0" borderId="84" xfId="0" applyFont="true" applyBorder="true" applyAlignment="true" applyProtection="false">
      <alignment horizontal="general" vertical="bottom" textRotation="0" wrapText="false" indent="0" shrinkToFit="false"/>
      <protection locked="true" hidden="false"/>
    </xf>
    <xf numFmtId="171" fontId="63" fillId="0" borderId="85" xfId="0" applyFont="true" applyBorder="true" applyAlignment="true" applyProtection="false">
      <alignment horizontal="right" vertical="center" textRotation="0" wrapText="false" indent="0" shrinkToFit="false"/>
      <protection locked="true" hidden="false"/>
    </xf>
    <xf numFmtId="168" fontId="64" fillId="0" borderId="85" xfId="0" applyFont="true" applyBorder="true" applyAlignment="true" applyProtection="false">
      <alignment horizontal="right" vertical="center" textRotation="0" wrapText="false" indent="0" shrinkToFit="false"/>
      <protection locked="true" hidden="false"/>
    </xf>
    <xf numFmtId="164" fontId="63" fillId="0" borderId="16" xfId="0" applyFont="true" applyBorder="true" applyAlignment="true" applyProtection="false">
      <alignment horizontal="general" vertical="bottom" textRotation="0" wrapText="false" indent="0" shrinkToFit="false"/>
      <protection locked="true" hidden="false"/>
    </xf>
    <xf numFmtId="164" fontId="19" fillId="0" borderId="35" xfId="0" applyFont="true" applyBorder="true" applyAlignment="true" applyProtection="false">
      <alignment horizontal="distributed" vertical="center" textRotation="0" wrapText="false" indent="0" shrinkToFit="false"/>
      <protection locked="true" hidden="false"/>
    </xf>
    <xf numFmtId="164" fontId="0" fillId="0" borderId="35" xfId="0" applyFont="false" applyBorder="true" applyAlignment="true" applyProtection="false">
      <alignment horizontal="general" vertical="bottom" textRotation="0" wrapText="false" indent="0" shrinkToFit="false"/>
      <protection locked="true" hidden="false"/>
    </xf>
    <xf numFmtId="164" fontId="63" fillId="0" borderId="35" xfId="0" applyFont="true" applyBorder="true" applyAlignment="true" applyProtection="false">
      <alignment horizontal="general" vertical="center" textRotation="0" wrapText="false" indent="0" shrinkToFit="false"/>
      <protection locked="true" hidden="false"/>
    </xf>
    <xf numFmtId="164" fontId="63" fillId="0" borderId="35" xfId="0" applyFont="true" applyBorder="true" applyAlignment="true" applyProtection="false">
      <alignment horizontal="general" vertical="bottom" textRotation="0" wrapText="false" indent="0" shrinkToFit="false"/>
      <protection locked="true" hidden="false"/>
    </xf>
    <xf numFmtId="164" fontId="63" fillId="0" borderId="17" xfId="0" applyFont="true" applyBorder="true" applyAlignment="true" applyProtection="false">
      <alignment horizontal="general" vertical="bottom" textRotation="0" wrapText="false" indent="0" shrinkToFit="false"/>
      <protection locked="true" hidden="false"/>
    </xf>
    <xf numFmtId="171" fontId="63" fillId="0" borderId="15" xfId="0" applyFont="true" applyBorder="true" applyAlignment="true" applyProtection="false">
      <alignment horizontal="right" vertical="center" textRotation="0" wrapText="false" indent="0" shrinkToFit="false"/>
      <protection locked="true" hidden="false"/>
    </xf>
    <xf numFmtId="168" fontId="64" fillId="0" borderId="15" xfId="0" applyFont="true" applyBorder="true" applyAlignment="true" applyProtection="false">
      <alignment horizontal="right" vertical="center" textRotation="0" wrapText="false" indent="0" shrinkToFit="false"/>
      <protection locked="true" hidden="false"/>
    </xf>
    <xf numFmtId="164" fontId="19" fillId="0" borderId="20" xfId="0" applyFont="true" applyBorder="true" applyAlignment="true" applyProtection="false">
      <alignment horizontal="general" vertical="bottom" textRotation="0" wrapText="false" indent="0" shrinkToFit="false"/>
      <protection locked="true" hidden="false"/>
    </xf>
    <xf numFmtId="164" fontId="14" fillId="0" borderId="20" xfId="0" applyFont="true" applyBorder="true" applyAlignment="true" applyProtection="false">
      <alignment horizontal="general" vertical="bottom" textRotation="0" wrapText="false" indent="0" shrinkToFit="false"/>
      <protection locked="true" hidden="false"/>
    </xf>
    <xf numFmtId="164" fontId="65" fillId="0" borderId="0" xfId="0" applyFont="true" applyBorder="false" applyAlignment="true" applyProtection="false">
      <alignment horizontal="left" vertical="bottom" textRotation="0" wrapText="false" indent="0" shrinkToFit="false"/>
      <protection locked="true" hidden="false"/>
    </xf>
    <xf numFmtId="171" fontId="19" fillId="0" borderId="15" xfId="0" applyFont="true" applyBorder="true" applyAlignment="true" applyProtection="false">
      <alignment horizontal="center" vertical="center" textRotation="0" wrapText="true" indent="0" shrinkToFit="false"/>
      <protection locked="true" hidden="false"/>
    </xf>
    <xf numFmtId="164" fontId="63" fillId="0" borderId="15" xfId="0" applyFont="true" applyBorder="true" applyAlignment="true" applyProtection="false">
      <alignment horizontal="center" vertical="center" textRotation="0" wrapText="false" indent="0" shrinkToFit="false"/>
      <protection locked="true" hidden="false"/>
    </xf>
    <xf numFmtId="168" fontId="66" fillId="0" borderId="15" xfId="0" applyFont="true" applyBorder="true" applyAlignment="true" applyProtection="false">
      <alignment horizontal="center" vertical="center" textRotation="0" wrapText="false" indent="0" shrinkToFit="false"/>
      <protection locked="true" hidden="false"/>
    </xf>
    <xf numFmtId="171" fontId="65" fillId="0" borderId="0" xfId="0" applyFont="true" applyBorder="false" applyAlignment="true" applyProtection="false">
      <alignment horizontal="center" vertical="center" textRotation="255" wrapText="false" indent="0" shrinkToFit="false"/>
      <protection locked="true" hidden="false"/>
    </xf>
    <xf numFmtId="171" fontId="65" fillId="0" borderId="0" xfId="0" applyFont="true" applyBorder="false" applyAlignment="true" applyProtection="false">
      <alignment horizontal="general" vertical="bottom" textRotation="0" wrapText="false" indent="0" shrinkToFit="false"/>
      <protection locked="true" hidden="false"/>
    </xf>
    <xf numFmtId="171" fontId="67" fillId="0" borderId="0" xfId="0" applyFont="true" applyBorder="false" applyAlignment="true" applyProtection="false">
      <alignment horizontal="general" vertical="bottom" textRotation="0" wrapText="false" indent="0" shrinkToFit="false"/>
      <protection locked="true" hidden="false"/>
    </xf>
    <xf numFmtId="171" fontId="65" fillId="0" borderId="0" xfId="0" applyFont="true" applyBorder="false" applyAlignment="true" applyProtection="false">
      <alignment horizontal="center" vertical="center" textRotation="0" wrapText="false" indent="0" shrinkToFit="false"/>
      <protection locked="true" hidden="false"/>
    </xf>
    <xf numFmtId="164" fontId="63" fillId="0" borderId="0" xfId="0" applyFont="true" applyBorder="false" applyAlignment="true" applyProtection="false">
      <alignment horizontal="right"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9" fillId="0" borderId="19" xfId="0" applyFont="true" applyBorder="true" applyAlignment="true" applyProtection="false">
      <alignment horizontal="right" vertical="center" textRotation="0" wrapText="false" indent="0" shrinkToFit="false"/>
      <protection locked="true" hidden="false"/>
    </xf>
    <xf numFmtId="164" fontId="19" fillId="0" borderId="35" xfId="0" applyFont="true" applyBorder="true" applyAlignment="true" applyProtection="false">
      <alignment horizontal="center" vertical="center" textRotation="0" wrapText="false" indent="0" shrinkToFit="false"/>
      <protection locked="true" hidden="false"/>
    </xf>
    <xf numFmtId="164" fontId="19" fillId="0" borderId="24" xfId="0" applyFont="true" applyBorder="true" applyAlignment="true" applyProtection="false">
      <alignment horizontal="left" vertical="center" textRotation="0" wrapText="false" indent="0" shrinkToFit="false"/>
      <protection locked="true" hidden="false"/>
    </xf>
    <xf numFmtId="164" fontId="19" fillId="0" borderId="27" xfId="0" applyFont="true" applyBorder="true" applyAlignment="true" applyProtection="false">
      <alignment horizontal="center" vertical="center" textRotation="0" wrapText="false" indent="0" shrinkToFit="false"/>
      <protection locked="true" hidden="false"/>
    </xf>
    <xf numFmtId="164" fontId="63" fillId="0" borderId="51" xfId="0" applyFont="true" applyBorder="true" applyAlignment="true" applyProtection="false">
      <alignment horizontal="general" vertical="bottom" textRotation="0" wrapText="false" indent="0" shrinkToFit="false"/>
      <protection locked="true" hidden="false"/>
    </xf>
    <xf numFmtId="171" fontId="63" fillId="0" borderId="51" xfId="0" applyFont="true" applyBorder="true" applyAlignment="true" applyProtection="false">
      <alignment horizontal="right" vertical="center" textRotation="0" wrapText="false" indent="0" shrinkToFit="false"/>
      <protection locked="true" hidden="false"/>
    </xf>
    <xf numFmtId="171" fontId="64" fillId="0" borderId="49" xfId="0" applyFont="true" applyBorder="true" applyAlignment="true" applyProtection="false">
      <alignment horizontal="general" vertical="bottom" textRotation="0" wrapText="false" indent="0" shrinkToFit="false"/>
      <protection locked="true" hidden="false"/>
    </xf>
    <xf numFmtId="171" fontId="63" fillId="0" borderId="0" xfId="0" applyFont="true" applyBorder="true" applyAlignment="true" applyProtection="false">
      <alignment horizontal="right" vertical="center" textRotation="0" wrapText="false" indent="0" shrinkToFit="false"/>
      <protection locked="true" hidden="false"/>
    </xf>
    <xf numFmtId="171" fontId="63" fillId="0" borderId="0" xfId="0" applyFont="true" applyBorder="false" applyAlignment="true" applyProtection="false">
      <alignment horizontal="general" vertical="bottom" textRotation="0" wrapText="false" indent="0" shrinkToFit="false"/>
      <protection locked="true" hidden="false"/>
    </xf>
    <xf numFmtId="168" fontId="64" fillId="0" borderId="51" xfId="0" applyFont="true" applyBorder="true" applyAlignment="true" applyProtection="false">
      <alignment horizontal="right" vertical="center" textRotation="0" wrapText="false" indent="0" shrinkToFit="false"/>
      <protection locked="true" hidden="false"/>
    </xf>
    <xf numFmtId="171" fontId="63" fillId="0" borderId="49" xfId="0" applyFont="true" applyBorder="true" applyAlignment="true" applyProtection="false">
      <alignment horizontal="general" vertical="bottom" textRotation="0" wrapText="false" indent="0" shrinkToFit="false"/>
      <protection locked="true" hidden="false"/>
    </xf>
    <xf numFmtId="168" fontId="64" fillId="0" borderId="0" xfId="0" applyFont="true" applyBorder="true" applyAlignment="true" applyProtection="false">
      <alignment horizontal="right" vertical="center" textRotation="0" wrapText="false" indent="0" shrinkToFit="false"/>
      <protection locked="true" hidden="false"/>
    </xf>
    <xf numFmtId="164" fontId="63" fillId="0" borderId="49" xfId="0" applyFont="true" applyBorder="true" applyAlignment="true" applyProtection="false">
      <alignment horizontal="general" vertical="bottom" textRotation="0" wrapText="false" indent="0" shrinkToFit="false"/>
      <protection locked="true" hidden="false"/>
    </xf>
    <xf numFmtId="171" fontId="63" fillId="0" borderId="16" xfId="0" applyFont="true" applyBorder="true" applyAlignment="true" applyProtection="false">
      <alignment horizontal="right" vertical="center" textRotation="0" wrapText="false" indent="0" shrinkToFit="false"/>
      <protection locked="true" hidden="false"/>
    </xf>
    <xf numFmtId="171" fontId="64" fillId="0" borderId="17" xfId="0" applyFont="true" applyBorder="true" applyAlignment="true" applyProtection="false">
      <alignment horizontal="general" vertical="bottom" textRotation="0" wrapText="false" indent="0" shrinkToFit="false"/>
      <protection locked="true" hidden="false"/>
    </xf>
    <xf numFmtId="171" fontId="63" fillId="0" borderId="35" xfId="0" applyFont="true" applyBorder="true" applyAlignment="true" applyProtection="false">
      <alignment horizontal="right" vertical="center" textRotation="0" wrapText="false" indent="0" shrinkToFit="false"/>
      <protection locked="true" hidden="false"/>
    </xf>
    <xf numFmtId="171" fontId="63" fillId="0" borderId="35" xfId="0" applyFont="true" applyBorder="true" applyAlignment="true" applyProtection="false">
      <alignment horizontal="general" vertical="bottom" textRotation="0" wrapText="false" indent="0" shrinkToFit="false"/>
      <protection locked="true" hidden="false"/>
    </xf>
    <xf numFmtId="168" fontId="64" fillId="0" borderId="16" xfId="0" applyFont="true" applyBorder="true" applyAlignment="true" applyProtection="false">
      <alignment horizontal="right" vertical="center" textRotation="0" wrapText="false" indent="0" shrinkToFit="false"/>
      <protection locked="true" hidden="false"/>
    </xf>
    <xf numFmtId="171" fontId="63" fillId="0" borderId="17" xfId="0" applyFont="true" applyBorder="true" applyAlignment="true" applyProtection="false">
      <alignment horizontal="general" vertical="bottom" textRotation="0" wrapText="false" indent="0" shrinkToFit="false"/>
      <protection locked="true" hidden="false"/>
    </xf>
    <xf numFmtId="168" fontId="64" fillId="0" borderId="35" xfId="0" applyFont="true" applyBorder="true" applyAlignment="true" applyProtection="false">
      <alignment horizontal="right" vertical="center" textRotation="0" wrapText="false" indent="0" shrinkToFit="false"/>
      <protection locked="true" hidden="false"/>
    </xf>
    <xf numFmtId="168" fontId="64" fillId="0" borderId="61" xfId="0" applyFont="true" applyBorder="true" applyAlignment="true" applyProtection="false">
      <alignment horizontal="right" vertical="center" textRotation="0" wrapText="false" indent="0" shrinkToFit="false"/>
      <protection locked="true" hidden="false"/>
    </xf>
    <xf numFmtId="171" fontId="63" fillId="0" borderId="60" xfId="0" applyFont="true" applyBorder="true" applyAlignment="true" applyProtection="false">
      <alignment horizontal="general" vertical="bottom" textRotation="0" wrapText="false" indent="0" shrinkToFit="false"/>
      <protection locked="true" hidden="false"/>
    </xf>
    <xf numFmtId="168" fontId="64" fillId="0" borderId="20" xfId="0" applyFont="true" applyBorder="true" applyAlignment="true" applyProtection="false">
      <alignment horizontal="right" vertical="center" textRotation="0" wrapText="false" indent="0" shrinkToFit="false"/>
      <protection locked="true" hidden="false"/>
    </xf>
    <xf numFmtId="171" fontId="64" fillId="0" borderId="16" xfId="0" applyFont="true" applyBorder="true" applyAlignment="true" applyProtection="false">
      <alignment horizontal="right" vertical="center" textRotation="0" wrapText="false" indent="0" shrinkToFit="false"/>
      <protection locked="true" hidden="false"/>
    </xf>
    <xf numFmtId="171" fontId="64" fillId="0" borderId="35" xfId="0" applyFont="true" applyBorder="true" applyAlignment="true" applyProtection="false">
      <alignment horizontal="right" vertical="center" textRotation="0" wrapText="false" indent="0" shrinkToFit="false"/>
      <protection locked="true" hidden="false"/>
    </xf>
    <xf numFmtId="171" fontId="64" fillId="0" borderId="35" xfId="0" applyFont="true" applyBorder="true" applyAlignment="true" applyProtection="false">
      <alignment horizontal="general" vertical="bottom" textRotation="0" wrapText="false" indent="0" shrinkToFit="false"/>
      <protection locked="true" hidden="false"/>
    </xf>
    <xf numFmtId="164" fontId="19" fillId="0" borderId="61" xfId="0" applyFont="true" applyBorder="true" applyAlignment="true" applyProtection="false">
      <alignment horizontal="right" vertical="center" textRotation="0" wrapText="false" indent="0" shrinkToFit="false"/>
      <protection locked="true" hidden="false"/>
    </xf>
    <xf numFmtId="164" fontId="19" fillId="0" borderId="25" xfId="0" applyFont="true" applyBorder="true" applyAlignment="true" applyProtection="false">
      <alignment horizontal="left" vertical="center" textRotation="0" wrapText="false" indent="0" shrinkToFit="false"/>
      <protection locked="true" hidden="false"/>
    </xf>
    <xf numFmtId="164" fontId="19" fillId="0" borderId="0" xfId="0" applyFont="true" applyBorder="true" applyAlignment="true" applyProtection="false">
      <alignment horizontal="distributed" vertical="center" textRotation="0" wrapText="false" indent="0" shrinkToFit="false"/>
      <protection locked="true" hidden="false"/>
    </xf>
    <xf numFmtId="171" fontId="68" fillId="0" borderId="49" xfId="0" applyFont="true" applyBorder="true" applyAlignment="true" applyProtection="false">
      <alignment horizontal="general" vertical="bottom" textRotation="0" wrapText="false" indent="0" shrinkToFit="false"/>
      <protection locked="true" hidden="false"/>
    </xf>
    <xf numFmtId="171" fontId="68" fillId="0" borderId="17" xfId="0" applyFont="true" applyBorder="true" applyAlignment="true" applyProtection="false">
      <alignment horizontal="general" vertical="bottom" textRotation="0" wrapText="false" indent="0" shrinkToFit="false"/>
      <protection locked="true" hidden="false"/>
    </xf>
    <xf numFmtId="164" fontId="20" fillId="0" borderId="35" xfId="0" applyFont="true" applyBorder="true" applyAlignment="true" applyProtection="false">
      <alignment horizontal="distributed" vertical="center" textRotation="0" wrapText="false" indent="0" shrinkToFit="false"/>
      <protection locked="true" hidden="false"/>
    </xf>
    <xf numFmtId="164" fontId="21" fillId="0" borderId="0" xfId="0" applyFont="true" applyBorder="false" applyAlignment="true" applyProtection="false">
      <alignment horizontal="distributed"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distributed" vertical="bottom" textRotation="0" wrapText="false" indent="0" shrinkToFit="false"/>
      <protection locked="true" hidden="false"/>
    </xf>
    <xf numFmtId="164" fontId="69" fillId="0" borderId="0" xfId="0" applyFont="true" applyBorder="false" applyAlignment="true" applyProtection="false">
      <alignment horizontal="general" vertical="center" textRotation="0" wrapText="false" indent="0" shrinkToFit="false"/>
      <protection locked="true" hidden="false"/>
    </xf>
    <xf numFmtId="164" fontId="65"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70" fillId="6" borderId="0" xfId="0" applyFont="true" applyBorder="false" applyAlignment="true" applyProtection="false">
      <alignment horizontal="general" vertical="center" textRotation="0" wrapText="false" indent="0" shrinkToFit="false"/>
      <protection locked="true" hidden="false"/>
    </xf>
    <xf numFmtId="164" fontId="65" fillId="6" borderId="0" xfId="0" applyFont="true" applyBorder="false" applyAlignment="true" applyProtection="false">
      <alignment horizontal="general" vertical="center" textRotation="0" wrapText="false" indent="0" shrinkToFit="false"/>
      <protection locked="true" hidden="false"/>
    </xf>
    <xf numFmtId="164" fontId="71" fillId="0" borderId="0" xfId="0" applyFont="true" applyBorder="true" applyAlignment="true" applyProtection="false">
      <alignment horizontal="center" vertical="bottom" textRotation="0" wrapText="false" indent="0" shrinkToFit="false"/>
      <protection locked="true" hidden="false"/>
    </xf>
    <xf numFmtId="164" fontId="72"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73" fillId="0" borderId="0" xfId="0" applyFont="true" applyBorder="true" applyAlignment="true" applyProtection="false">
      <alignment horizontal="center" vertical="center" textRotation="180" wrapText="false" indent="0" shrinkToFit="false"/>
      <protection locked="true" hidden="false"/>
    </xf>
    <xf numFmtId="164" fontId="74" fillId="0" borderId="9" xfId="0" applyFont="true" applyBorder="true" applyAlignment="true" applyProtection="false">
      <alignment horizontal="center" vertical="center" textRotation="180" wrapText="false" indent="0" shrinkToFit="false"/>
      <protection locked="true" hidden="false"/>
    </xf>
    <xf numFmtId="164" fontId="17" fillId="0" borderId="86" xfId="0" applyFont="true" applyBorder="true" applyAlignment="true" applyProtection="false">
      <alignment horizontal="center" vertical="center" textRotation="0" wrapText="false" indent="0" shrinkToFit="false"/>
      <protection locked="true" hidden="false"/>
    </xf>
    <xf numFmtId="164" fontId="17" fillId="0" borderId="87" xfId="0" applyFont="true" applyBorder="true" applyAlignment="true" applyProtection="false">
      <alignment horizontal="center" vertical="center" textRotation="0" wrapText="false" indent="0" shrinkToFit="false"/>
      <protection locked="true" hidden="false"/>
    </xf>
    <xf numFmtId="164" fontId="17" fillId="0" borderId="88" xfId="0" applyFont="true" applyBorder="true" applyAlignment="true" applyProtection="false">
      <alignment horizontal="center" vertical="center" textRotation="0" wrapText="false" indent="0" shrinkToFit="false"/>
      <protection locked="true" hidden="false"/>
    </xf>
    <xf numFmtId="164" fontId="17" fillId="0" borderId="89" xfId="0" applyFont="true" applyBorder="true" applyAlignment="true" applyProtection="false">
      <alignment horizontal="center" vertical="center" textRotation="0" wrapText="false" indent="0" shrinkToFit="false"/>
      <protection locked="true" hidden="false"/>
    </xf>
    <xf numFmtId="164" fontId="17" fillId="0" borderId="90" xfId="0" applyFont="true" applyBorder="true" applyAlignment="true" applyProtection="false">
      <alignment horizontal="center" vertical="center" textRotation="0" wrapText="false" indent="0" shrinkToFit="false"/>
      <protection locked="true" hidden="false"/>
    </xf>
    <xf numFmtId="164" fontId="17" fillId="0" borderId="91" xfId="0" applyFont="true" applyBorder="true" applyAlignment="true" applyProtection="false">
      <alignment horizontal="center" vertical="center" textRotation="0" wrapText="false" indent="0" shrinkToFit="false"/>
      <protection locked="true" hidden="false"/>
    </xf>
    <xf numFmtId="164" fontId="17" fillId="0" borderId="92" xfId="0" applyFont="true" applyBorder="true" applyAlignment="true" applyProtection="false">
      <alignment horizontal="center" vertical="center" textRotation="0" wrapText="false" indent="0" shrinkToFit="false"/>
      <protection locked="true" hidden="false"/>
    </xf>
    <xf numFmtId="164" fontId="75" fillId="0" borderId="90" xfId="0" applyFont="true" applyBorder="true" applyAlignment="true" applyProtection="false">
      <alignment horizontal="center" vertical="center" textRotation="0" wrapText="false" indent="0" shrinkToFit="false"/>
      <protection locked="true" hidden="false"/>
    </xf>
    <xf numFmtId="164" fontId="75" fillId="0" borderId="93" xfId="0" applyFont="true" applyBorder="true" applyAlignment="true" applyProtection="false">
      <alignment horizontal="center" vertical="center" textRotation="0" wrapText="false" indent="0" shrinkToFit="false"/>
      <protection locked="true" hidden="false"/>
    </xf>
    <xf numFmtId="164" fontId="75" fillId="0" borderId="91" xfId="0" applyFont="true" applyBorder="true" applyAlignment="true" applyProtection="false">
      <alignment horizontal="center" vertical="center" textRotation="0" wrapText="false" indent="0" shrinkToFit="false"/>
      <protection locked="true" hidden="false"/>
    </xf>
    <xf numFmtId="164" fontId="17" fillId="0" borderId="94" xfId="0" applyFont="true" applyBorder="true" applyAlignment="true" applyProtection="false">
      <alignment horizontal="center" vertical="center" textRotation="0" wrapText="false" indent="0" shrinkToFit="false"/>
      <protection locked="true" hidden="false"/>
    </xf>
    <xf numFmtId="164" fontId="19" fillId="0" borderId="95" xfId="0" applyFont="true" applyBorder="true" applyAlignment="true" applyProtection="false">
      <alignment horizontal="distributed" vertical="center" textRotation="0" wrapText="false" indent="0" shrinkToFit="false"/>
      <protection locked="true" hidden="false"/>
    </xf>
    <xf numFmtId="168" fontId="76" fillId="0" borderId="96" xfId="0" applyFont="true" applyBorder="true" applyAlignment="true" applyProtection="false">
      <alignment horizontal="right" vertical="center" textRotation="0" wrapText="false" indent="0" shrinkToFit="false"/>
      <protection locked="true" hidden="false"/>
    </xf>
    <xf numFmtId="168" fontId="77" fillId="0" borderId="97" xfId="0" applyFont="true" applyBorder="true" applyAlignment="true" applyProtection="false">
      <alignment horizontal="right" vertical="center" textRotation="0" wrapText="false" indent="0" shrinkToFit="false"/>
      <protection locked="true" hidden="false"/>
    </xf>
    <xf numFmtId="168" fontId="76" fillId="0" borderId="98" xfId="0" applyFont="true" applyBorder="true" applyAlignment="true" applyProtection="false">
      <alignment horizontal="right" vertical="center" textRotation="0" wrapText="false" indent="0" shrinkToFit="false"/>
      <protection locked="true" hidden="false"/>
    </xf>
    <xf numFmtId="168" fontId="78" fillId="0" borderId="97" xfId="0" applyFont="true" applyBorder="true" applyAlignment="true" applyProtection="false">
      <alignment horizontal="right" vertical="center" textRotation="0" wrapText="false" indent="0" shrinkToFit="false"/>
      <protection locked="true" hidden="false"/>
    </xf>
    <xf numFmtId="168" fontId="76" fillId="0" borderId="99" xfId="0" applyFont="true" applyBorder="true" applyAlignment="true" applyProtection="false">
      <alignment horizontal="right" vertical="center" textRotation="0" wrapText="false" indent="0" shrinkToFit="false"/>
      <protection locked="true" hidden="false"/>
    </xf>
    <xf numFmtId="168" fontId="79" fillId="0" borderId="100" xfId="0" applyFont="true" applyBorder="true" applyAlignment="true" applyProtection="false">
      <alignment horizontal="right" vertical="center" textRotation="0" wrapText="false" indent="0" shrinkToFit="false"/>
      <protection locked="true" hidden="false"/>
    </xf>
    <xf numFmtId="168" fontId="76" fillId="0" borderId="100" xfId="0" applyFont="true" applyBorder="true" applyAlignment="true" applyProtection="false">
      <alignment horizontal="right" vertical="center" textRotation="0" wrapText="false" indent="0" shrinkToFit="false"/>
      <protection locked="true" hidden="false"/>
    </xf>
    <xf numFmtId="168" fontId="77" fillId="0" borderId="100" xfId="0" applyFont="true" applyBorder="true" applyAlignment="true" applyProtection="false">
      <alignment horizontal="right" vertical="center" textRotation="0" wrapText="false" indent="0" shrinkToFit="false"/>
      <protection locked="true" hidden="false"/>
    </xf>
    <xf numFmtId="168" fontId="78" fillId="0" borderId="100" xfId="0" applyFont="true" applyBorder="true" applyAlignment="true" applyProtection="false">
      <alignment horizontal="right" vertical="center" textRotation="0" wrapText="false" indent="0" shrinkToFit="false"/>
      <protection locked="true" hidden="false"/>
    </xf>
    <xf numFmtId="168" fontId="76" fillId="0" borderId="101" xfId="0" applyFont="true" applyBorder="true" applyAlignment="true" applyProtection="false">
      <alignment horizontal="right" vertical="center" textRotation="0" wrapText="false" indent="0" shrinkToFit="false"/>
      <protection locked="true" hidden="false"/>
    </xf>
    <xf numFmtId="164" fontId="17" fillId="0" borderId="102" xfId="0" applyFont="true" applyBorder="true" applyAlignment="true" applyProtection="false">
      <alignment horizontal="center" vertical="distributed" textRotation="255" wrapText="true" indent="3" shrinkToFit="false"/>
      <protection locked="true" hidden="false"/>
    </xf>
    <xf numFmtId="164" fontId="19" fillId="0" borderId="25" xfId="0" applyFont="true" applyBorder="true" applyAlignment="true" applyProtection="false">
      <alignment horizontal="distributed" vertical="center" textRotation="0" wrapText="false" indent="0" shrinkToFit="false"/>
      <protection locked="true" hidden="false"/>
    </xf>
    <xf numFmtId="168" fontId="77" fillId="0" borderId="103" xfId="0" applyFont="true" applyBorder="true" applyAlignment="true" applyProtection="false">
      <alignment horizontal="right" vertical="center" textRotation="0" wrapText="false" indent="0" shrinkToFit="false"/>
      <protection locked="true" hidden="false"/>
    </xf>
    <xf numFmtId="168" fontId="77" fillId="0" borderId="104" xfId="0" applyFont="true" applyBorder="true" applyAlignment="true" applyProtection="false">
      <alignment horizontal="right" vertical="center" textRotation="0" wrapText="false" indent="0" shrinkToFit="false"/>
      <protection locked="true" hidden="false"/>
    </xf>
    <xf numFmtId="168" fontId="76" fillId="0" borderId="105" xfId="0" applyFont="true" applyBorder="true" applyAlignment="true" applyProtection="false">
      <alignment horizontal="right" vertical="center" textRotation="0" wrapText="false" indent="0" shrinkToFit="false"/>
      <protection locked="true" hidden="false"/>
    </xf>
    <xf numFmtId="168" fontId="78" fillId="0" borderId="106" xfId="0" applyFont="true" applyBorder="true" applyAlignment="true" applyProtection="false">
      <alignment horizontal="right" vertical="center" textRotation="0" wrapText="false" indent="0" shrinkToFit="false"/>
      <protection locked="true" hidden="false"/>
    </xf>
    <xf numFmtId="168" fontId="77" fillId="0" borderId="107" xfId="0" applyFont="true" applyBorder="true" applyAlignment="true" applyProtection="false">
      <alignment horizontal="right" vertical="center" textRotation="0" wrapText="false" indent="0" shrinkToFit="false"/>
      <protection locked="true" hidden="false"/>
    </xf>
    <xf numFmtId="168" fontId="79" fillId="0" borderId="108" xfId="0" applyFont="true" applyBorder="true" applyAlignment="true" applyProtection="false">
      <alignment horizontal="right" vertical="center" textRotation="0" wrapText="false" indent="0" shrinkToFit="false"/>
      <protection locked="true" hidden="false"/>
    </xf>
    <xf numFmtId="168" fontId="78" fillId="0" borderId="107" xfId="0" applyFont="true" applyBorder="true" applyAlignment="true" applyProtection="false">
      <alignment horizontal="right" vertical="center" textRotation="0" wrapText="false" indent="0" shrinkToFit="false"/>
      <protection locked="true" hidden="false"/>
    </xf>
    <xf numFmtId="168" fontId="77" fillId="0" borderId="27" xfId="0" applyFont="true" applyBorder="true" applyAlignment="true" applyProtection="false">
      <alignment horizontal="right" vertical="center" textRotation="0" wrapText="false" indent="0" shrinkToFit="false"/>
      <protection locked="true" hidden="false"/>
    </xf>
    <xf numFmtId="168" fontId="76" fillId="0" borderId="109" xfId="0" applyFont="true" applyBorder="true" applyAlignment="true" applyProtection="false">
      <alignment horizontal="right" vertical="center" textRotation="0" wrapText="false" indent="0" shrinkToFit="false"/>
      <protection locked="true" hidden="false"/>
    </xf>
    <xf numFmtId="168" fontId="78" fillId="0" borderId="108" xfId="0" applyFont="true" applyBorder="true" applyAlignment="true" applyProtection="false">
      <alignment horizontal="right" vertical="center" textRotation="0" wrapText="false" indent="0" shrinkToFit="false"/>
      <protection locked="true" hidden="false"/>
    </xf>
    <xf numFmtId="168" fontId="76" fillId="0" borderId="28" xfId="0" applyFont="true" applyBorder="true" applyAlignment="true" applyProtection="false">
      <alignment horizontal="right" vertical="center" textRotation="0" wrapText="false" indent="0" shrinkToFit="false"/>
      <protection locked="true" hidden="false"/>
    </xf>
    <xf numFmtId="164" fontId="19" fillId="0" borderId="16" xfId="0" applyFont="true" applyBorder="true" applyAlignment="true" applyProtection="false">
      <alignment horizontal="distributed" vertical="center" textRotation="0" wrapText="false" indent="0" shrinkToFit="false"/>
      <protection locked="true" hidden="false"/>
    </xf>
    <xf numFmtId="168" fontId="77" fillId="0" borderId="110" xfId="0" applyFont="true" applyBorder="true" applyAlignment="true" applyProtection="false">
      <alignment horizontal="right" vertical="center" textRotation="0" wrapText="false" indent="0" shrinkToFit="false"/>
      <protection locked="true" hidden="false"/>
    </xf>
    <xf numFmtId="168" fontId="77" fillId="0" borderId="17" xfId="0" applyFont="true" applyBorder="true" applyAlignment="true" applyProtection="false">
      <alignment horizontal="right" vertical="center" textRotation="0" wrapText="false" indent="0" shrinkToFit="false"/>
      <protection locked="true" hidden="false"/>
    </xf>
    <xf numFmtId="168" fontId="76" fillId="0" borderId="111" xfId="0" applyFont="true" applyBorder="true" applyAlignment="true" applyProtection="false">
      <alignment horizontal="right" vertical="center" textRotation="0" wrapText="false" indent="0" shrinkToFit="false"/>
      <protection locked="true" hidden="false"/>
    </xf>
    <xf numFmtId="168" fontId="78" fillId="0" borderId="112" xfId="0" applyFont="true" applyBorder="true" applyAlignment="true" applyProtection="false">
      <alignment horizontal="right" vertical="center" textRotation="0" wrapText="false" indent="0" shrinkToFit="false"/>
      <protection locked="true" hidden="false"/>
    </xf>
    <xf numFmtId="168" fontId="77" fillId="0" borderId="15" xfId="0" applyFont="true" applyBorder="true" applyAlignment="true" applyProtection="false">
      <alignment horizontal="right" vertical="center" textRotation="0" wrapText="false" indent="0" shrinkToFit="false"/>
      <protection locked="true" hidden="false"/>
    </xf>
    <xf numFmtId="168" fontId="79" fillId="0" borderId="112" xfId="0" applyFont="true" applyBorder="true" applyAlignment="true" applyProtection="false">
      <alignment horizontal="right" vertical="center" textRotation="0" wrapText="false" indent="0" shrinkToFit="false"/>
      <protection locked="true" hidden="false"/>
    </xf>
    <xf numFmtId="168" fontId="78" fillId="0" borderId="15" xfId="0" applyFont="true" applyBorder="true" applyAlignment="true" applyProtection="false">
      <alignment horizontal="right" vertical="center" textRotation="0" wrapText="false" indent="0" shrinkToFit="false"/>
      <protection locked="true" hidden="false"/>
    </xf>
    <xf numFmtId="168" fontId="76" fillId="0" borderId="113" xfId="0" applyFont="true" applyBorder="true" applyAlignment="true" applyProtection="false">
      <alignment horizontal="right" vertical="center" textRotation="0" wrapText="false" indent="0" shrinkToFit="false"/>
      <protection locked="true" hidden="false"/>
    </xf>
    <xf numFmtId="168" fontId="76" fillId="0" borderId="18" xfId="0" applyFont="true" applyBorder="true" applyAlignment="true" applyProtection="false">
      <alignment horizontal="right" vertical="center" textRotation="0" wrapText="false" indent="0" shrinkToFit="false"/>
      <protection locked="true" hidden="false"/>
    </xf>
    <xf numFmtId="164" fontId="40" fillId="0" borderId="16" xfId="0" applyFont="true" applyBorder="true" applyAlignment="true" applyProtection="false">
      <alignment horizontal="distributed" vertical="center" textRotation="0" wrapText="true" indent="0" shrinkToFit="false"/>
      <protection locked="true" hidden="false"/>
    </xf>
    <xf numFmtId="168" fontId="77" fillId="0" borderId="112" xfId="0" applyFont="true" applyBorder="true" applyAlignment="true" applyProtection="false">
      <alignment horizontal="right" vertical="center" textRotation="0" wrapText="false" indent="0" shrinkToFit="false"/>
      <protection locked="true" hidden="false"/>
    </xf>
    <xf numFmtId="164" fontId="34" fillId="0" borderId="16" xfId="0" applyFont="true" applyBorder="true" applyAlignment="true" applyProtection="false">
      <alignment horizontal="distributed" vertical="center" textRotation="0" wrapText="true" indent="0" shrinkToFit="false"/>
      <protection locked="true" hidden="false"/>
    </xf>
    <xf numFmtId="164" fontId="34" fillId="0" borderId="16" xfId="0" applyFont="true" applyBorder="true" applyAlignment="true" applyProtection="false">
      <alignment horizontal="distributed" vertical="center" textRotation="0" wrapText="false" indent="0" shrinkToFit="false"/>
      <protection locked="true" hidden="false"/>
    </xf>
    <xf numFmtId="164" fontId="20" fillId="0" borderId="16" xfId="0" applyFont="true" applyBorder="true" applyAlignment="true" applyProtection="false">
      <alignment horizontal="distributed" vertical="center" textRotation="0" wrapText="false" indent="0" shrinkToFit="false"/>
      <protection locked="true" hidden="false"/>
    </xf>
    <xf numFmtId="166" fontId="20" fillId="0" borderId="16" xfId="0" applyFont="true" applyBorder="true" applyAlignment="true" applyProtection="false">
      <alignment horizontal="distributed" vertical="center" textRotation="0" wrapText="false" indent="0" shrinkToFit="false"/>
      <protection locked="true" hidden="false"/>
    </xf>
    <xf numFmtId="166" fontId="20" fillId="0" borderId="61" xfId="0" applyFont="true" applyBorder="true" applyAlignment="true" applyProtection="false">
      <alignment horizontal="distributed" vertical="center" textRotation="0" wrapText="false" indent="0" shrinkToFit="false"/>
      <protection locked="true" hidden="false"/>
    </xf>
    <xf numFmtId="168" fontId="77" fillId="0" borderId="114" xfId="0" applyFont="true" applyBorder="true" applyAlignment="true" applyProtection="false">
      <alignment horizontal="right" vertical="center" textRotation="0" wrapText="false" indent="0" shrinkToFit="false"/>
      <protection locked="true" hidden="false"/>
    </xf>
    <xf numFmtId="168" fontId="77" fillId="0" borderId="60" xfId="0" applyFont="true" applyBorder="true" applyAlignment="true" applyProtection="false">
      <alignment horizontal="right" vertical="center" textRotation="0" wrapText="false" indent="0" shrinkToFit="false"/>
      <protection locked="true" hidden="false"/>
    </xf>
    <xf numFmtId="168" fontId="77" fillId="0" borderId="115" xfId="0" applyFont="true" applyBorder="true" applyAlignment="true" applyProtection="false">
      <alignment horizontal="right" vertical="center" textRotation="0" wrapText="false" indent="0" shrinkToFit="false"/>
      <protection locked="true" hidden="false"/>
    </xf>
    <xf numFmtId="168" fontId="77" fillId="0" borderId="19" xfId="0" applyFont="true" applyBorder="true" applyAlignment="true" applyProtection="false">
      <alignment horizontal="right" vertical="center" textRotation="0" wrapText="false" indent="0" shrinkToFit="false"/>
      <protection locked="true" hidden="false"/>
    </xf>
    <xf numFmtId="168" fontId="76" fillId="0" borderId="116" xfId="0" applyFont="true" applyBorder="true" applyAlignment="true" applyProtection="false">
      <alignment horizontal="right" vertical="center" textRotation="0" wrapText="false" indent="0" shrinkToFit="false"/>
      <protection locked="true" hidden="false"/>
    </xf>
    <xf numFmtId="168" fontId="78" fillId="0" borderId="115" xfId="0" applyFont="true" applyBorder="true" applyAlignment="true" applyProtection="false">
      <alignment horizontal="right" vertical="center" textRotation="0" wrapText="false" indent="0" shrinkToFit="false"/>
      <protection locked="true" hidden="false"/>
    </xf>
    <xf numFmtId="168" fontId="78" fillId="0" borderId="19" xfId="0" applyFont="true" applyBorder="true" applyAlignment="true" applyProtection="false">
      <alignment horizontal="right" vertical="center" textRotation="0" wrapText="false" indent="0" shrinkToFit="false"/>
      <protection locked="true" hidden="false"/>
    </xf>
    <xf numFmtId="168" fontId="76" fillId="0" borderId="22" xfId="0" applyFont="true" applyBorder="true" applyAlignment="true" applyProtection="false">
      <alignment horizontal="right" vertical="center" textRotation="0" wrapText="false" indent="0" shrinkToFit="false"/>
      <protection locked="true" hidden="false"/>
    </xf>
    <xf numFmtId="166" fontId="19" fillId="0" borderId="61" xfId="0" applyFont="true" applyBorder="true" applyAlignment="true" applyProtection="false">
      <alignment horizontal="distributed" vertical="center" textRotation="0" wrapText="false" indent="0" shrinkToFit="false"/>
      <protection locked="true" hidden="false"/>
    </xf>
    <xf numFmtId="166" fontId="40" fillId="0" borderId="61" xfId="0" applyFont="true" applyBorder="true" applyAlignment="true" applyProtection="false">
      <alignment horizontal="distributed" vertical="center" textRotation="0" wrapText="false" indent="0" shrinkToFit="false"/>
      <protection locked="true" hidden="false"/>
    </xf>
    <xf numFmtId="168" fontId="77" fillId="0" borderId="90" xfId="0" applyFont="true" applyBorder="true" applyAlignment="true" applyProtection="false">
      <alignment horizontal="right" vertical="center" textRotation="0" wrapText="false" indent="0" shrinkToFit="false"/>
      <protection locked="true" hidden="false"/>
    </xf>
    <xf numFmtId="168" fontId="77" fillId="0" borderId="91" xfId="0" applyFont="true" applyBorder="true" applyAlignment="true" applyProtection="false">
      <alignment horizontal="right" vertical="center" textRotation="0" wrapText="false" indent="0" shrinkToFit="false"/>
      <protection locked="true" hidden="false"/>
    </xf>
    <xf numFmtId="168" fontId="77" fillId="0" borderId="93" xfId="0" applyFont="true" applyBorder="true" applyAlignment="true" applyProtection="false">
      <alignment horizontal="right" vertical="center" textRotation="0" wrapText="false" indent="0" shrinkToFit="false"/>
      <protection locked="true" hidden="false"/>
    </xf>
    <xf numFmtId="168" fontId="78" fillId="0" borderId="117" xfId="0" applyFont="true" applyBorder="true" applyAlignment="true" applyProtection="false">
      <alignment horizontal="right" vertical="center" textRotation="0" wrapText="false" indent="0" shrinkToFit="false"/>
      <protection locked="true" hidden="false"/>
    </xf>
    <xf numFmtId="168" fontId="78" fillId="0" borderId="93" xfId="0" applyFont="true" applyBorder="true" applyAlignment="true" applyProtection="false">
      <alignment horizontal="right" vertical="center" textRotation="0" wrapText="false" indent="0" shrinkToFit="false"/>
      <protection locked="true" hidden="false"/>
    </xf>
    <xf numFmtId="168" fontId="78" fillId="0" borderId="60" xfId="0" applyFont="true" applyBorder="true" applyAlignment="true" applyProtection="false">
      <alignment horizontal="right" vertical="center" textRotation="0" wrapText="false" indent="0" shrinkToFit="false"/>
      <protection locked="true" hidden="false"/>
    </xf>
    <xf numFmtId="166" fontId="19" fillId="0" borderId="95" xfId="0" applyFont="true" applyBorder="true" applyAlignment="true" applyProtection="false">
      <alignment horizontal="distributed" vertical="center" textRotation="0" wrapText="true" indent="0" shrinkToFit="false"/>
      <protection locked="true" hidden="false"/>
    </xf>
    <xf numFmtId="168" fontId="76" fillId="0" borderId="97" xfId="0" applyFont="true" applyBorder="true" applyAlignment="true" applyProtection="false">
      <alignment horizontal="right" vertical="center" textRotation="0" wrapText="false" indent="0" shrinkToFit="false"/>
      <protection locked="true" hidden="false"/>
    </xf>
    <xf numFmtId="164" fontId="19" fillId="0" borderId="102" xfId="0" applyFont="true" applyBorder="true" applyAlignment="true" applyProtection="false">
      <alignment horizontal="center" vertical="distributed" textRotation="255" wrapText="true" indent="3" shrinkToFit="false"/>
      <protection locked="true" hidden="false"/>
    </xf>
    <xf numFmtId="166" fontId="19" fillId="0" borderId="16" xfId="0" applyFont="true" applyBorder="true" applyAlignment="true" applyProtection="false">
      <alignment horizontal="distributed" vertical="center" textRotation="0" wrapText="false" indent="0" shrinkToFit="false"/>
      <protection locked="true" hidden="false"/>
    </xf>
    <xf numFmtId="168" fontId="77" fillId="0" borderId="108" xfId="0" applyFont="true" applyBorder="true" applyAlignment="true" applyProtection="false">
      <alignment horizontal="right" vertical="center" textRotation="0" wrapText="false" indent="0" shrinkToFit="false"/>
      <protection locked="true" hidden="false"/>
    </xf>
    <xf numFmtId="168" fontId="77" fillId="0" borderId="49" xfId="0" applyFont="true" applyBorder="true" applyAlignment="true" applyProtection="false">
      <alignment horizontal="right" vertical="center" textRotation="0" wrapText="false" indent="0" shrinkToFit="false"/>
      <protection locked="true" hidden="false"/>
    </xf>
    <xf numFmtId="168" fontId="78" fillId="0" borderId="118" xfId="0" applyFont="true" applyBorder="true" applyAlignment="true" applyProtection="false">
      <alignment horizontal="right" vertical="center" textRotation="0" wrapText="false" indent="0" shrinkToFit="false"/>
      <protection locked="true" hidden="false"/>
    </xf>
    <xf numFmtId="168" fontId="78" fillId="0" borderId="119" xfId="0" applyFont="true" applyBorder="true" applyAlignment="true" applyProtection="false">
      <alignment horizontal="right" vertical="center" textRotation="0" wrapText="false" indent="0" shrinkToFit="false"/>
      <protection locked="true" hidden="false"/>
    </xf>
    <xf numFmtId="168" fontId="76" fillId="0" borderId="47" xfId="0" applyFont="true" applyBorder="true" applyAlignment="true" applyProtection="false">
      <alignment horizontal="right" vertical="center" textRotation="0" wrapText="false" indent="0" shrinkToFit="false"/>
      <protection locked="true" hidden="false"/>
    </xf>
    <xf numFmtId="168" fontId="77" fillId="0" borderId="120" xfId="0" applyFont="true" applyBorder="true" applyAlignment="true" applyProtection="false">
      <alignment horizontal="right" vertical="center" textRotation="0" wrapText="false" indent="0" shrinkToFit="false"/>
      <protection locked="true" hidden="false"/>
    </xf>
    <xf numFmtId="168" fontId="78" fillId="0" borderId="121" xfId="0" applyFont="true" applyBorder="true" applyAlignment="true" applyProtection="false">
      <alignment horizontal="right" vertical="center" textRotation="0" wrapText="false" indent="0" shrinkToFit="false"/>
      <protection locked="true" hidden="false"/>
    </xf>
    <xf numFmtId="168" fontId="78" fillId="0" borderId="46" xfId="0" applyFont="true" applyBorder="true" applyAlignment="true" applyProtection="false">
      <alignment horizontal="right" vertical="center" textRotation="0" wrapText="false" indent="0" shrinkToFit="false"/>
      <protection locked="true" hidden="false"/>
    </xf>
    <xf numFmtId="168" fontId="77" fillId="0" borderId="121" xfId="0" applyFont="true" applyBorder="true" applyAlignment="true" applyProtection="false">
      <alignment horizontal="right" vertical="center" textRotation="0" wrapText="false" indent="0" shrinkToFit="false"/>
      <protection locked="true" hidden="false"/>
    </xf>
    <xf numFmtId="168" fontId="77" fillId="0" borderId="46" xfId="0" applyFont="true" applyBorder="true" applyAlignment="true" applyProtection="false">
      <alignment horizontal="right" vertical="center" textRotation="0" wrapText="false" indent="0" shrinkToFit="false"/>
      <protection locked="true" hidden="false"/>
    </xf>
    <xf numFmtId="166" fontId="34" fillId="0" borderId="16" xfId="0" applyFont="true" applyBorder="true" applyAlignment="true" applyProtection="false">
      <alignment horizontal="distributed" vertical="center" textRotation="0" wrapText="false" indent="0" shrinkToFit="false"/>
      <protection locked="true" hidden="false"/>
    </xf>
    <xf numFmtId="168" fontId="77" fillId="0" borderId="110" xfId="0" applyFont="true" applyBorder="true" applyAlignment="true" applyProtection="false">
      <alignment horizontal="right" vertical="center" textRotation="0" wrapText="false" indent="0" shrinkToFit="true"/>
      <protection locked="true" hidden="false"/>
    </xf>
    <xf numFmtId="168" fontId="77" fillId="0" borderId="17" xfId="0" applyFont="true" applyBorder="true" applyAlignment="true" applyProtection="false">
      <alignment horizontal="right" vertical="center" textRotation="0" wrapText="false" indent="0" shrinkToFit="true"/>
      <protection locked="true" hidden="false"/>
    </xf>
    <xf numFmtId="168" fontId="78" fillId="0" borderId="112" xfId="0" applyFont="true" applyBorder="true" applyAlignment="true" applyProtection="false">
      <alignment horizontal="right" vertical="center" textRotation="0" wrapText="false" indent="0" shrinkToFit="true"/>
      <protection locked="true" hidden="false"/>
    </xf>
    <xf numFmtId="168" fontId="77" fillId="0" borderId="15" xfId="0" applyFont="true" applyBorder="true" applyAlignment="true" applyProtection="false">
      <alignment horizontal="right" vertical="center" textRotation="0" wrapText="false" indent="0" shrinkToFit="true"/>
      <protection locked="true" hidden="false"/>
    </xf>
    <xf numFmtId="168" fontId="78" fillId="0" borderId="15" xfId="0" applyFont="true" applyBorder="true" applyAlignment="true" applyProtection="false">
      <alignment horizontal="right" vertical="center" textRotation="0" wrapText="false" indent="0" shrinkToFit="true"/>
      <protection locked="true" hidden="false"/>
    </xf>
    <xf numFmtId="164" fontId="40" fillId="0" borderId="16" xfId="0" applyFont="true" applyBorder="true" applyAlignment="true" applyProtection="false">
      <alignment horizontal="distributed" vertical="center" textRotation="0" wrapText="false" indent="0" shrinkToFit="false"/>
      <protection locked="true" hidden="false"/>
    </xf>
    <xf numFmtId="168" fontId="78" fillId="0" borderId="122" xfId="0" applyFont="true" applyBorder="true" applyAlignment="true" applyProtection="false">
      <alignment horizontal="right" vertical="center" textRotation="0" wrapText="false" indent="0" shrinkToFit="false"/>
      <protection locked="true" hidden="false"/>
    </xf>
    <xf numFmtId="168" fontId="78" fillId="0" borderId="123" xfId="0" applyFont="true" applyBorder="true" applyAlignment="true" applyProtection="false">
      <alignment horizontal="right" vertical="center" textRotation="0" wrapText="false" indent="0" shrinkToFit="false"/>
      <protection locked="true" hidden="false"/>
    </xf>
    <xf numFmtId="166" fontId="19" fillId="0" borderId="124" xfId="0" applyFont="true" applyBorder="true" applyAlignment="true" applyProtection="false">
      <alignment horizontal="distributed" vertical="center" textRotation="0" wrapText="true" indent="0" shrinkToFit="false"/>
      <protection locked="true" hidden="false"/>
    </xf>
    <xf numFmtId="168" fontId="76" fillId="0" borderId="125" xfId="0" applyFont="true" applyBorder="true" applyAlignment="true" applyProtection="false">
      <alignment horizontal="right" vertical="center" textRotation="0" wrapText="false" indent="0" shrinkToFit="false"/>
      <protection locked="true" hidden="false"/>
    </xf>
    <xf numFmtId="166" fontId="20" fillId="0" borderId="10" xfId="0" applyFont="true" applyBorder="true" applyAlignment="true" applyProtection="false">
      <alignment horizontal="distributed" vertical="center" textRotation="0" wrapText="true" indent="0" shrinkToFit="false"/>
      <protection locked="true" hidden="false"/>
    </xf>
    <xf numFmtId="168" fontId="76" fillId="0" borderId="106" xfId="0" applyFont="true" applyBorder="true" applyAlignment="true" applyProtection="false">
      <alignment horizontal="right" vertical="center" textRotation="0" wrapText="false" indent="0" shrinkToFit="false"/>
      <protection locked="true" hidden="false"/>
    </xf>
    <xf numFmtId="168" fontId="76" fillId="0" borderId="24" xfId="0" applyFont="true" applyBorder="true" applyAlignment="true" applyProtection="false">
      <alignment horizontal="right" vertical="center" textRotation="0" wrapText="false" indent="0" shrinkToFit="false"/>
      <protection locked="true" hidden="false"/>
    </xf>
    <xf numFmtId="168" fontId="76" fillId="0" borderId="120" xfId="0" applyFont="true" applyBorder="true" applyAlignment="true" applyProtection="false">
      <alignment horizontal="right" vertical="center" textRotation="0" wrapText="false" indent="0" shrinkToFit="false"/>
      <protection locked="true" hidden="false"/>
    </xf>
    <xf numFmtId="168" fontId="76" fillId="0" borderId="36" xfId="0" applyFont="true" applyBorder="true" applyAlignment="true" applyProtection="false">
      <alignment horizontal="right" vertical="center" textRotation="0" wrapText="false" indent="0" shrinkToFit="false"/>
      <protection locked="true" hidden="false"/>
    </xf>
    <xf numFmtId="168" fontId="76" fillId="0" borderId="27" xfId="0" applyFont="true" applyBorder="true" applyAlignment="true" applyProtection="false">
      <alignment horizontal="right" vertical="center" textRotation="0" wrapText="false" indent="0" shrinkToFit="false"/>
      <protection locked="true" hidden="false"/>
    </xf>
    <xf numFmtId="166" fontId="34" fillId="0" borderId="126" xfId="0" applyFont="true" applyBorder="true" applyAlignment="true" applyProtection="false">
      <alignment horizontal="distributed" vertical="center" textRotation="0" wrapText="true" indent="0" shrinkToFit="false"/>
      <protection locked="true" hidden="false"/>
    </xf>
    <xf numFmtId="168" fontId="76" fillId="0" borderId="127" xfId="0" applyFont="true" applyBorder="true" applyAlignment="true" applyProtection="false">
      <alignment horizontal="right" vertical="center" textRotation="0" wrapText="false" indent="0" shrinkToFit="false"/>
      <protection locked="true" hidden="false"/>
    </xf>
    <xf numFmtId="168" fontId="76" fillId="0" borderId="74" xfId="0" applyFont="true" applyBorder="true" applyAlignment="true" applyProtection="false">
      <alignment horizontal="right" vertical="center" textRotation="0" wrapText="false" indent="0" shrinkToFit="false"/>
      <protection locked="true" hidden="false"/>
    </xf>
    <xf numFmtId="168" fontId="76" fillId="0" borderId="128" xfId="0" applyFont="true" applyBorder="true" applyAlignment="true" applyProtection="false">
      <alignment horizontal="right" vertical="center" textRotation="0" wrapText="false" indent="0" shrinkToFit="false"/>
      <protection locked="true" hidden="false"/>
    </xf>
    <xf numFmtId="168" fontId="76" fillId="0" borderId="129" xfId="0" applyFont="true" applyBorder="true" applyAlignment="true" applyProtection="false">
      <alignment horizontal="right" vertical="center" textRotation="0" wrapText="false" indent="0" shrinkToFit="false"/>
      <protection locked="true" hidden="false"/>
    </xf>
    <xf numFmtId="168" fontId="76" fillId="0" borderId="130" xfId="0" applyFont="true" applyBorder="true" applyAlignment="true" applyProtection="false">
      <alignment horizontal="right" vertical="center" textRotation="0" wrapText="false" indent="0" shrinkToFit="false"/>
      <protection locked="true" hidden="false"/>
    </xf>
    <xf numFmtId="168" fontId="76" fillId="0" borderId="66" xfId="0" applyFont="true" applyBorder="true" applyAlignment="true" applyProtection="false">
      <alignment horizontal="right" vertical="center" textRotation="0" wrapText="false" indent="0" shrinkToFit="false"/>
      <protection locked="true" hidden="false"/>
    </xf>
    <xf numFmtId="168" fontId="76" fillId="0" borderId="70" xfId="0" applyFont="true" applyBorder="true" applyAlignment="true" applyProtection="false">
      <alignment horizontal="right" vertical="center" textRotation="0" wrapText="false" indent="0" shrinkToFit="false"/>
      <protection locked="true" hidden="false"/>
    </xf>
    <xf numFmtId="166" fontId="74" fillId="0" borderId="0" xfId="0" applyFont="true" applyBorder="false" applyAlignment="true" applyProtection="false">
      <alignment horizontal="general" vertical="bottom" textRotation="0" wrapText="false" indent="0" shrinkToFit="false"/>
      <protection locked="true" hidden="false"/>
    </xf>
    <xf numFmtId="171" fontId="74" fillId="0" borderId="0" xfId="0" applyFont="true" applyBorder="false" applyAlignment="true" applyProtection="false">
      <alignment horizontal="general" vertical="bottom" textRotation="0" wrapText="false" indent="0" shrinkToFit="false"/>
      <protection locked="true" hidden="false"/>
    </xf>
    <xf numFmtId="164" fontId="74" fillId="0" borderId="0" xfId="0" applyFont="true" applyBorder="false" applyAlignment="true" applyProtection="false">
      <alignment horizontal="general" vertical="bottom" textRotation="0" wrapText="false" indent="0" shrinkToFit="false"/>
      <protection locked="true" hidden="false"/>
    </xf>
    <xf numFmtId="166" fontId="19" fillId="0" borderId="0" xfId="0" applyFont="true" applyBorder="false" applyAlignment="true" applyProtection="false">
      <alignment horizontal="right" vertical="bottom" textRotation="0" wrapText="false" indent="0" shrinkToFit="false"/>
      <protection locked="true" hidden="false"/>
    </xf>
    <xf numFmtId="168" fontId="74"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6" fontId="80" fillId="0" borderId="0" xfId="0" applyFont="true" applyBorder="false" applyAlignment="true" applyProtection="false">
      <alignment horizontal="general" vertical="bottom" textRotation="0" wrapText="false" indent="0" shrinkToFit="false"/>
      <protection locked="true" hidden="false"/>
    </xf>
    <xf numFmtId="164" fontId="74" fillId="0" borderId="0" xfId="0" applyFont="true" applyBorder="false" applyAlignment="true" applyProtection="false">
      <alignment horizontal="right" vertical="bottom" textRotation="0" wrapText="false" indent="0" shrinkToFit="false"/>
      <protection locked="true" hidden="false"/>
    </xf>
    <xf numFmtId="164" fontId="81" fillId="0" borderId="0" xfId="0" applyFont="true" applyBorder="true" applyAlignment="true" applyProtection="false">
      <alignment horizontal="center" vertical="bottom" textRotation="0" wrapText="false" indent="0" shrinkToFit="false"/>
      <protection locked="true" hidden="false"/>
    </xf>
    <xf numFmtId="164" fontId="19" fillId="0" borderId="86" xfId="0" applyFont="true" applyBorder="true" applyAlignment="true" applyProtection="false">
      <alignment horizontal="center" vertical="center" textRotation="0" wrapText="false" indent="0" shrinkToFit="false"/>
      <protection locked="true" hidden="false"/>
    </xf>
    <xf numFmtId="164" fontId="19" fillId="0" borderId="87" xfId="0" applyFont="true" applyBorder="true" applyAlignment="true" applyProtection="false">
      <alignment horizontal="center" vertical="center" textRotation="0" wrapText="false" indent="0" shrinkToFit="false"/>
      <protection locked="true" hidden="false"/>
    </xf>
    <xf numFmtId="164" fontId="19" fillId="0" borderId="88" xfId="0" applyFont="true" applyBorder="true" applyAlignment="true" applyProtection="false">
      <alignment horizontal="center" vertical="center" textRotation="0" wrapText="false" indent="0" shrinkToFit="false"/>
      <protection locked="true" hidden="false"/>
    </xf>
    <xf numFmtId="164" fontId="19" fillId="0" borderId="89" xfId="0" applyFont="true" applyBorder="true" applyAlignment="true" applyProtection="false">
      <alignment horizontal="center" vertical="center" textRotation="0" wrapText="false" indent="0" shrinkToFit="false"/>
      <protection locked="true" hidden="false"/>
    </xf>
    <xf numFmtId="164" fontId="11" fillId="0" borderId="90" xfId="0" applyFont="true" applyBorder="true" applyAlignment="true" applyProtection="false">
      <alignment horizontal="center" vertical="bottom" textRotation="0" wrapText="false" indent="0" shrinkToFit="false"/>
      <protection locked="true" hidden="false"/>
    </xf>
    <xf numFmtId="164" fontId="11" fillId="0" borderId="91" xfId="0" applyFont="true" applyBorder="true" applyAlignment="true" applyProtection="false">
      <alignment horizontal="center" vertical="bottom" textRotation="0" wrapText="false" indent="0" shrinkToFit="false"/>
      <protection locked="true" hidden="false"/>
    </xf>
    <xf numFmtId="164" fontId="19" fillId="0" borderId="92" xfId="0" applyFont="true" applyBorder="true" applyAlignment="true" applyProtection="false">
      <alignment horizontal="center" vertical="bottom" textRotation="0" wrapText="false" indent="0" shrinkToFit="false"/>
      <protection locked="true" hidden="false"/>
    </xf>
    <xf numFmtId="164" fontId="11" fillId="0" borderId="93" xfId="0" applyFont="true" applyBorder="true" applyAlignment="true" applyProtection="false">
      <alignment horizontal="center" vertical="bottom" textRotation="0" wrapText="false" indent="0" shrinkToFit="false"/>
      <protection locked="true" hidden="false"/>
    </xf>
    <xf numFmtId="164" fontId="19" fillId="0" borderId="94" xfId="0" applyFont="true" applyBorder="true" applyAlignment="true" applyProtection="false">
      <alignment horizontal="center" vertical="bottom" textRotation="0" wrapText="false" indent="0" shrinkToFit="false"/>
      <protection locked="true" hidden="false"/>
    </xf>
    <xf numFmtId="168" fontId="82" fillId="0" borderId="96" xfId="0" applyFont="true" applyBorder="true" applyAlignment="true" applyProtection="false">
      <alignment horizontal="right" vertical="bottom" textRotation="0" wrapText="false" indent="0" shrinkToFit="false"/>
      <protection locked="true" hidden="false"/>
    </xf>
    <xf numFmtId="168" fontId="82" fillId="0" borderId="97" xfId="0" applyFont="true" applyBorder="true" applyAlignment="true" applyProtection="false">
      <alignment horizontal="right" vertical="bottom" textRotation="0" wrapText="false" indent="0" shrinkToFit="false"/>
      <protection locked="true" hidden="false"/>
    </xf>
    <xf numFmtId="168" fontId="82" fillId="0" borderId="98" xfId="0" applyFont="true" applyBorder="true" applyAlignment="true" applyProtection="false">
      <alignment horizontal="right" vertical="bottom" textRotation="0" wrapText="false" indent="0" shrinkToFit="false"/>
      <protection locked="true" hidden="false"/>
    </xf>
    <xf numFmtId="168" fontId="74" fillId="0" borderId="97" xfId="0" applyFont="true" applyBorder="true" applyAlignment="true" applyProtection="false">
      <alignment horizontal="right" vertical="bottom" textRotation="0" wrapText="false" indent="0" shrinkToFit="false"/>
      <protection locked="true" hidden="false"/>
    </xf>
    <xf numFmtId="168" fontId="82" fillId="0" borderId="99" xfId="0" applyFont="true" applyBorder="true" applyAlignment="true" applyProtection="false">
      <alignment horizontal="right" vertical="bottom" textRotation="0" wrapText="false" indent="0" shrinkToFit="false"/>
      <protection locked="true" hidden="false"/>
    </xf>
    <xf numFmtId="168" fontId="82" fillId="0" borderId="100" xfId="0" applyFont="true" applyBorder="true" applyAlignment="true" applyProtection="false">
      <alignment horizontal="right" vertical="bottom" textRotation="0" wrapText="false" indent="0" shrinkToFit="false"/>
      <protection locked="true" hidden="false"/>
    </xf>
    <xf numFmtId="168" fontId="82" fillId="0" borderId="101" xfId="0" applyFont="true" applyBorder="true" applyAlignment="true" applyProtection="false">
      <alignment horizontal="right" vertical="bottom" textRotation="0" wrapText="false" indent="0" shrinkToFit="false"/>
      <protection locked="true" hidden="false"/>
    </xf>
    <xf numFmtId="168" fontId="82" fillId="0" borderId="106" xfId="0" applyFont="true" applyBorder="true" applyAlignment="true" applyProtection="false">
      <alignment horizontal="right" vertical="bottom" textRotation="0" wrapText="false" indent="0" shrinkToFit="false"/>
      <protection locked="true" hidden="false"/>
    </xf>
    <xf numFmtId="168" fontId="82" fillId="0" borderId="107" xfId="0" applyFont="true" applyBorder="true" applyAlignment="true" applyProtection="false">
      <alignment horizontal="right" vertical="bottom" textRotation="0" wrapText="false" indent="0" shrinkToFit="false"/>
      <protection locked="true" hidden="false"/>
    </xf>
    <xf numFmtId="168" fontId="82" fillId="0" borderId="105" xfId="0" applyFont="true" applyBorder="true" applyAlignment="true" applyProtection="false">
      <alignment horizontal="right" vertical="bottom" textRotation="0" wrapText="false" indent="0" shrinkToFit="false"/>
      <protection locked="true" hidden="false"/>
    </xf>
    <xf numFmtId="168" fontId="74" fillId="0" borderId="106" xfId="0" applyFont="true" applyBorder="true" applyAlignment="true" applyProtection="false">
      <alignment horizontal="right" vertical="bottom" textRotation="0" wrapText="false" indent="0" shrinkToFit="false"/>
      <protection locked="true" hidden="false"/>
    </xf>
    <xf numFmtId="168" fontId="83" fillId="0" borderId="107" xfId="0" applyFont="true" applyBorder="true" applyAlignment="true" applyProtection="false">
      <alignment horizontal="right" vertical="bottom" textRotation="0" wrapText="false" indent="0" shrinkToFit="false"/>
      <protection locked="true" hidden="false"/>
    </xf>
    <xf numFmtId="168" fontId="82" fillId="0" borderId="27" xfId="0" applyFont="true" applyBorder="true" applyAlignment="true" applyProtection="false">
      <alignment horizontal="right" vertical="bottom" textRotation="0" wrapText="false" indent="0" shrinkToFit="false"/>
      <protection locked="true" hidden="false"/>
    </xf>
    <xf numFmtId="168" fontId="82" fillId="0" borderId="109" xfId="0" applyFont="true" applyBorder="true" applyAlignment="true" applyProtection="false">
      <alignment horizontal="right" vertical="bottom" textRotation="0" wrapText="false" indent="0" shrinkToFit="false"/>
      <protection locked="true" hidden="false"/>
    </xf>
    <xf numFmtId="168" fontId="82" fillId="0" borderId="108" xfId="0" applyFont="true" applyBorder="true" applyAlignment="true" applyProtection="false">
      <alignment horizontal="right" vertical="bottom" textRotation="0" wrapText="false" indent="0" shrinkToFit="false"/>
      <protection locked="true" hidden="false"/>
    </xf>
    <xf numFmtId="168" fontId="82" fillId="0" borderId="28" xfId="0" applyFont="true" applyBorder="true" applyAlignment="true" applyProtection="false">
      <alignment horizontal="right" vertical="bottom" textRotation="0" wrapText="false" indent="0" shrinkToFit="false"/>
      <protection locked="true" hidden="false"/>
    </xf>
    <xf numFmtId="168" fontId="82" fillId="0" borderId="112" xfId="0" applyFont="true" applyBorder="true" applyAlignment="true" applyProtection="false">
      <alignment horizontal="right" vertical="bottom" textRotation="0" wrapText="false" indent="0" shrinkToFit="false"/>
      <protection locked="true" hidden="false"/>
    </xf>
    <xf numFmtId="168" fontId="82" fillId="0" borderId="15" xfId="0" applyFont="true" applyBorder="true" applyAlignment="true" applyProtection="false">
      <alignment horizontal="right" vertical="bottom" textRotation="0" wrapText="false" indent="0" shrinkToFit="false"/>
      <protection locked="true" hidden="false"/>
    </xf>
    <xf numFmtId="168" fontId="82" fillId="0" borderId="111" xfId="0" applyFont="true" applyBorder="true" applyAlignment="true" applyProtection="false">
      <alignment horizontal="right" vertical="bottom" textRotation="0" wrapText="false" indent="0" shrinkToFit="false"/>
      <protection locked="true" hidden="false"/>
    </xf>
    <xf numFmtId="168" fontId="74" fillId="0" borderId="112" xfId="0" applyFont="true" applyBorder="true" applyAlignment="true" applyProtection="false">
      <alignment horizontal="right" vertical="bottom" textRotation="0" wrapText="false" indent="0" shrinkToFit="false"/>
      <protection locked="true" hidden="false"/>
    </xf>
    <xf numFmtId="168" fontId="83" fillId="0" borderId="15" xfId="0" applyFont="true" applyBorder="true" applyAlignment="true" applyProtection="false">
      <alignment horizontal="right" vertical="bottom" textRotation="0" wrapText="false" indent="0" shrinkToFit="false"/>
      <protection locked="true" hidden="false"/>
    </xf>
    <xf numFmtId="168" fontId="82" fillId="0" borderId="17" xfId="0" applyFont="true" applyBorder="true" applyAlignment="true" applyProtection="false">
      <alignment horizontal="right" vertical="bottom" textRotation="0" wrapText="false" indent="0" shrinkToFit="false"/>
      <protection locked="true" hidden="false"/>
    </xf>
    <xf numFmtId="168" fontId="82" fillId="0" borderId="113" xfId="0" applyFont="true" applyBorder="true" applyAlignment="true" applyProtection="false">
      <alignment horizontal="right" vertical="bottom" textRotation="0" wrapText="false" indent="0" shrinkToFit="false"/>
      <protection locked="true" hidden="false"/>
    </xf>
    <xf numFmtId="168" fontId="82" fillId="0" borderId="18" xfId="0" applyFont="true" applyBorder="true" applyAlignment="true" applyProtection="false">
      <alignment horizontal="right" vertical="bottom" textRotation="0" wrapText="false" indent="0" shrinkToFit="false"/>
      <protection locked="true" hidden="false"/>
    </xf>
    <xf numFmtId="168" fontId="83" fillId="0" borderId="112" xfId="0" applyFont="true" applyBorder="true" applyAlignment="true" applyProtection="false">
      <alignment horizontal="right" vertical="bottom" textRotation="0" wrapText="false" indent="0" shrinkToFit="false"/>
      <protection locked="true" hidden="false"/>
    </xf>
    <xf numFmtId="168" fontId="82" fillId="0" borderId="110" xfId="0" applyFont="true" applyBorder="true" applyAlignment="true" applyProtection="false">
      <alignment horizontal="right" vertical="bottom" textRotation="0" wrapText="false" indent="0" shrinkToFit="false"/>
      <protection locked="true" hidden="false"/>
    </xf>
    <xf numFmtId="168" fontId="74" fillId="0" borderId="15" xfId="0" applyFont="true" applyBorder="true" applyAlignment="true" applyProtection="false">
      <alignment horizontal="right" vertical="bottom" textRotation="0" wrapText="false" indent="0" shrinkToFit="false"/>
      <protection locked="true" hidden="false"/>
    </xf>
    <xf numFmtId="168" fontId="83" fillId="0" borderId="115" xfId="0" applyFont="true" applyBorder="true" applyAlignment="true" applyProtection="false">
      <alignment horizontal="right" vertical="bottom" textRotation="0" wrapText="false" indent="0" shrinkToFit="false"/>
      <protection locked="true" hidden="false"/>
    </xf>
    <xf numFmtId="168" fontId="83" fillId="0" borderId="19" xfId="0" applyFont="true" applyBorder="true" applyAlignment="true" applyProtection="false">
      <alignment horizontal="right" vertical="bottom" textRotation="0" wrapText="false" indent="0" shrinkToFit="false"/>
      <protection locked="true" hidden="false"/>
    </xf>
    <xf numFmtId="168" fontId="82" fillId="0" borderId="116" xfId="0" applyFont="true" applyBorder="true" applyAlignment="true" applyProtection="false">
      <alignment horizontal="right" vertical="bottom" textRotation="0" wrapText="false" indent="0" shrinkToFit="false"/>
      <protection locked="true" hidden="false"/>
    </xf>
    <xf numFmtId="168" fontId="82" fillId="0" borderId="22" xfId="0" applyFont="true" applyBorder="true" applyAlignment="true" applyProtection="false">
      <alignment horizontal="right" vertical="bottom" textRotation="0" wrapText="false" indent="0" shrinkToFit="false"/>
      <protection locked="true" hidden="false"/>
    </xf>
    <xf numFmtId="168" fontId="82" fillId="0" borderId="115" xfId="0" applyFont="true" applyBorder="true" applyAlignment="true" applyProtection="false">
      <alignment horizontal="right" vertical="bottom" textRotation="0" wrapText="false" indent="0" shrinkToFit="false"/>
      <protection locked="true" hidden="false"/>
    </xf>
    <xf numFmtId="168" fontId="82" fillId="0" borderId="93" xfId="0" applyFont="true" applyBorder="true" applyAlignment="true" applyProtection="false">
      <alignment horizontal="right" vertical="bottom" textRotation="0" wrapText="false" indent="0" shrinkToFit="false"/>
      <protection locked="true" hidden="false"/>
    </xf>
    <xf numFmtId="168" fontId="74" fillId="0" borderId="115" xfId="0" applyFont="true" applyBorder="true" applyAlignment="true" applyProtection="false">
      <alignment horizontal="right" vertical="bottom" textRotation="0" wrapText="false" indent="0" shrinkToFit="false"/>
      <protection locked="true" hidden="false"/>
    </xf>
    <xf numFmtId="168" fontId="83" fillId="0" borderId="93" xfId="0" applyFont="true" applyBorder="true" applyAlignment="true" applyProtection="false">
      <alignment horizontal="right" vertical="bottom" textRotation="0" wrapText="false" indent="0" shrinkToFit="false"/>
      <protection locked="true" hidden="false"/>
    </xf>
    <xf numFmtId="168" fontId="82" fillId="0" borderId="60" xfId="0" applyFont="true" applyBorder="true" applyAlignment="true" applyProtection="false">
      <alignment horizontal="right" vertical="bottom" textRotation="0" wrapText="false" indent="0" shrinkToFit="false"/>
      <protection locked="true" hidden="false"/>
    </xf>
    <xf numFmtId="168" fontId="82" fillId="0" borderId="103" xfId="0" applyFont="true" applyBorder="true" applyAlignment="true" applyProtection="false">
      <alignment horizontal="right" vertical="bottom" textRotation="0" wrapText="false" indent="0" shrinkToFit="false"/>
      <protection locked="true" hidden="false"/>
    </xf>
    <xf numFmtId="168" fontId="82" fillId="0" borderId="131" xfId="0" applyFont="true" applyBorder="true" applyAlignment="true" applyProtection="false">
      <alignment horizontal="right" vertical="bottom" textRotation="0" wrapText="false" indent="0" shrinkToFit="false"/>
      <protection locked="true" hidden="false"/>
    </xf>
    <xf numFmtId="168" fontId="83" fillId="0" borderId="108" xfId="0" applyFont="true" applyBorder="true" applyAlignment="true" applyProtection="false">
      <alignment horizontal="right" vertical="bottom" textRotation="0" wrapText="false" indent="0" shrinkToFit="false"/>
      <protection locked="true" hidden="false"/>
    </xf>
    <xf numFmtId="168" fontId="82" fillId="0" borderId="49" xfId="0" applyFont="true" applyBorder="true" applyAlignment="true" applyProtection="false">
      <alignment horizontal="right" vertical="bottom" textRotation="0" wrapText="false" indent="0" shrinkToFit="false"/>
      <protection locked="true" hidden="false"/>
    </xf>
    <xf numFmtId="168" fontId="82" fillId="0" borderId="121" xfId="0" applyFont="true" applyBorder="true" applyAlignment="true" applyProtection="false">
      <alignment horizontal="right" vertical="bottom" textRotation="0" wrapText="false" indent="0" shrinkToFit="false"/>
      <protection locked="true" hidden="false"/>
    </xf>
    <xf numFmtId="168" fontId="82" fillId="0" borderId="119" xfId="0" applyFont="true" applyBorder="true" applyAlignment="true" applyProtection="false">
      <alignment horizontal="right" vertical="bottom" textRotation="0" wrapText="false" indent="0" shrinkToFit="false"/>
      <protection locked="true" hidden="false"/>
    </xf>
    <xf numFmtId="168" fontId="82" fillId="0" borderId="47" xfId="0" applyFont="true" applyBorder="true" applyAlignment="true" applyProtection="false">
      <alignment horizontal="right" vertical="bottom" textRotation="0" wrapText="false" indent="0" shrinkToFit="false"/>
      <protection locked="true" hidden="false"/>
    </xf>
    <xf numFmtId="168" fontId="82" fillId="0" borderId="24" xfId="0" applyFont="true" applyBorder="true" applyAlignment="true" applyProtection="false">
      <alignment horizontal="right" vertical="bottom" textRotation="0" wrapText="false" indent="0" shrinkToFit="false"/>
      <protection locked="true" hidden="false"/>
    </xf>
    <xf numFmtId="168" fontId="82" fillId="0" borderId="16" xfId="0" applyFont="true" applyBorder="true" applyAlignment="true" applyProtection="false">
      <alignment horizontal="right" vertical="bottom" textRotation="0" wrapText="false" indent="0" shrinkToFit="false"/>
      <protection locked="true" hidden="false"/>
    </xf>
    <xf numFmtId="168" fontId="83" fillId="0" borderId="121" xfId="0" applyFont="true" applyBorder="true" applyAlignment="true" applyProtection="false">
      <alignment horizontal="right" vertical="bottom" textRotation="0" wrapText="false" indent="0" shrinkToFit="false"/>
      <protection locked="true" hidden="false"/>
    </xf>
    <xf numFmtId="168" fontId="83" fillId="0" borderId="46" xfId="0" applyFont="true" applyBorder="true" applyAlignment="true" applyProtection="false">
      <alignment horizontal="right" vertical="bottom" textRotation="0" wrapText="false" indent="0" shrinkToFit="false"/>
      <protection locked="true" hidden="false"/>
    </xf>
    <xf numFmtId="168" fontId="82" fillId="0" borderId="51" xfId="0" applyFont="true" applyBorder="true" applyAlignment="true" applyProtection="false">
      <alignment horizontal="right" vertical="bottom" textRotation="0" wrapText="false" indent="0" shrinkToFit="false"/>
      <protection locked="true" hidden="false"/>
    </xf>
    <xf numFmtId="168" fontId="74" fillId="0" borderId="112" xfId="0" applyFont="true" applyBorder="true" applyAlignment="true" applyProtection="false">
      <alignment horizontal="right" vertical="bottom" textRotation="0" wrapText="false" indent="0" shrinkToFit="true"/>
      <protection locked="true" hidden="false"/>
    </xf>
    <xf numFmtId="168" fontId="83" fillId="0" borderId="15" xfId="0" applyFont="true" applyBorder="true" applyAlignment="true" applyProtection="false">
      <alignment horizontal="right" vertical="bottom" textRotation="0" wrapText="false" indent="0" shrinkToFit="true"/>
      <protection locked="true" hidden="false"/>
    </xf>
    <xf numFmtId="168" fontId="82" fillId="0" borderId="61" xfId="0" applyFont="true" applyBorder="true" applyAlignment="true" applyProtection="false">
      <alignment horizontal="right" vertical="bottom" textRotation="0" wrapText="false" indent="0" shrinkToFit="false"/>
      <protection locked="true" hidden="false"/>
    </xf>
    <xf numFmtId="168" fontId="82" fillId="0" borderId="117" xfId="0" applyFont="true" applyBorder="true" applyAlignment="true" applyProtection="false">
      <alignment horizontal="right" vertical="bottom" textRotation="0" wrapText="false" indent="0" shrinkToFit="false"/>
      <protection locked="true" hidden="false"/>
    </xf>
    <xf numFmtId="168" fontId="82" fillId="0" borderId="123" xfId="0" applyFont="true" applyBorder="true" applyAlignment="true" applyProtection="false">
      <alignment horizontal="right" vertical="bottom" textRotation="0" wrapText="false" indent="0" shrinkToFit="false"/>
      <protection locked="true" hidden="false"/>
    </xf>
    <xf numFmtId="168" fontId="82" fillId="0" borderId="125" xfId="0" applyFont="true" applyBorder="true" applyAlignment="true" applyProtection="false">
      <alignment horizontal="right" vertical="bottom" textRotation="0" wrapText="false" indent="0" shrinkToFit="false"/>
      <protection locked="true" hidden="false"/>
    </xf>
    <xf numFmtId="168" fontId="82" fillId="0" borderId="120" xfId="0" applyFont="true" applyBorder="true" applyAlignment="true" applyProtection="false">
      <alignment horizontal="right" vertical="bottom" textRotation="0" wrapText="false" indent="0" shrinkToFit="false"/>
      <protection locked="true" hidden="false"/>
    </xf>
    <xf numFmtId="168" fontId="82" fillId="0" borderId="36" xfId="0" applyFont="true" applyBorder="true" applyAlignment="true" applyProtection="false">
      <alignment horizontal="right" vertical="bottom" textRotation="0" wrapText="false" indent="0" shrinkToFit="false"/>
      <protection locked="true" hidden="false"/>
    </xf>
    <xf numFmtId="168" fontId="82" fillId="0" borderId="127" xfId="0" applyFont="true" applyBorder="true" applyAlignment="true" applyProtection="false">
      <alignment horizontal="right" vertical="bottom" textRotation="0" wrapText="false" indent="0" shrinkToFit="false"/>
      <protection locked="true" hidden="false"/>
    </xf>
    <xf numFmtId="168" fontId="82" fillId="0" borderId="74" xfId="0" applyFont="true" applyBorder="true" applyAlignment="true" applyProtection="false">
      <alignment horizontal="right" vertical="bottom" textRotation="0" wrapText="false" indent="0" shrinkToFit="false"/>
      <protection locked="true" hidden="false"/>
    </xf>
    <xf numFmtId="168" fontId="82" fillId="0" borderId="128" xfId="0" applyFont="true" applyBorder="true" applyAlignment="true" applyProtection="false">
      <alignment horizontal="right" vertical="bottom" textRotation="0" wrapText="false" indent="0" shrinkToFit="false"/>
      <protection locked="true" hidden="false"/>
    </xf>
    <xf numFmtId="168" fontId="82" fillId="0" borderId="129" xfId="0" applyFont="true" applyBorder="true" applyAlignment="true" applyProtection="false">
      <alignment horizontal="right" vertical="bottom" textRotation="0" wrapText="false" indent="0" shrinkToFit="false"/>
      <protection locked="true" hidden="false"/>
    </xf>
    <xf numFmtId="168" fontId="82" fillId="0" borderId="130" xfId="0" applyFont="true" applyBorder="true" applyAlignment="true" applyProtection="false">
      <alignment horizontal="right" vertical="bottom" textRotation="0" wrapText="false" indent="0" shrinkToFit="false"/>
      <protection locked="true" hidden="false"/>
    </xf>
    <xf numFmtId="168" fontId="82" fillId="0" borderId="66" xfId="0" applyFont="true" applyBorder="true" applyAlignment="true" applyProtection="false">
      <alignment horizontal="right" vertical="bottom" textRotation="0" wrapText="false" indent="0" shrinkToFit="false"/>
      <protection locked="true" hidden="false"/>
    </xf>
    <xf numFmtId="168" fontId="82" fillId="0" borderId="70"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FFFFFF"/>
      </font>
      <fill>
        <patternFill>
          <bgColor rgb="FFC00000"/>
        </patternFill>
      </fill>
    </dxf>
    <dxf>
      <font>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61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4.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2"/>
  </cols>
  <sheetData>
    <row r="1" customFormat="false" ht="17.35" hidden="false" customHeight="false" outlineLevel="0" collapsed="false">
      <c r="B1" s="1" t="s">
        <v>0</v>
      </c>
    </row>
    <row r="2" customFormat="false" ht="15" hidden="false" customHeight="false" outlineLevel="0" collapsed="false">
      <c r="B2" s="2" t="s">
        <v>1</v>
      </c>
    </row>
    <row r="3" customFormat="false" ht="17.15" hidden="false" customHeight="false" outlineLevel="0" collapsed="false">
      <c r="B3" s="3" t="str">
        <f aca="false">検算!B3</f>
        <v>✔ すべてOK（22項目）</v>
      </c>
    </row>
    <row r="5" customFormat="false" ht="15" hidden="false" customHeight="false" outlineLevel="0" collapsed="false">
      <c r="B5" s="4" t="s">
        <v>2</v>
      </c>
      <c r="C5" s="5"/>
    </row>
    <row r="6" customFormat="false" ht="30" hidden="false" customHeight="true" outlineLevel="0" collapsed="false">
      <c r="B6" s="6" t="s">
        <v>3</v>
      </c>
      <c r="C6" s="7" t="s">
        <v>4</v>
      </c>
    </row>
    <row r="7" customFormat="false" ht="30" hidden="false" customHeight="true" outlineLevel="0" collapsed="false">
      <c r="B7" s="6" t="s">
        <v>5</v>
      </c>
      <c r="C7" s="7" t="s">
        <v>6</v>
      </c>
    </row>
    <row r="8" customFormat="false" ht="30" hidden="false" customHeight="true" outlineLevel="0" collapsed="false">
      <c r="B8" s="6" t="s">
        <v>7</v>
      </c>
      <c r="C8" s="7" t="s">
        <v>8</v>
      </c>
    </row>
    <row r="9" customFormat="false" ht="30" hidden="false" customHeight="true" outlineLevel="0" collapsed="false">
      <c r="B9" s="6" t="s">
        <v>9</v>
      </c>
      <c r="C9" s="7" t="s">
        <v>10</v>
      </c>
    </row>
    <row r="10" customFormat="false" ht="15" hidden="false" customHeight="true" outlineLevel="0" collapsed="false">
      <c r="B10" s="6" t="s">
        <v>11</v>
      </c>
      <c r="C10" s="7" t="s">
        <v>12</v>
      </c>
    </row>
    <row r="11" customFormat="false" ht="15" hidden="false" customHeight="false" outlineLevel="0" collapsed="false">
      <c r="B11" s="4" t="s">
        <v>13</v>
      </c>
      <c r="C11" s="5"/>
    </row>
    <row r="12" customFormat="false" ht="30" hidden="false" customHeight="true" outlineLevel="0" collapsed="false">
      <c r="B12" s="6" t="s">
        <v>14</v>
      </c>
      <c r="C12" s="8" t="s">
        <v>15</v>
      </c>
    </row>
    <row r="13" customFormat="false" ht="30" hidden="false" customHeight="true" outlineLevel="0" collapsed="false">
      <c r="B13" s="6" t="s">
        <v>16</v>
      </c>
      <c r="C13" s="7" t="s">
        <v>17</v>
      </c>
    </row>
    <row r="14" customFormat="false" ht="30" hidden="false" customHeight="true" outlineLevel="0" collapsed="false">
      <c r="B14" s="6" t="s">
        <v>18</v>
      </c>
      <c r="C14" s="7" t="s">
        <v>19</v>
      </c>
    </row>
    <row r="15" customFormat="false" ht="15" hidden="false" customHeight="true" outlineLevel="0" collapsed="false">
      <c r="B15" s="6" t="s">
        <v>20</v>
      </c>
      <c r="C15" s="7" t="s">
        <v>21</v>
      </c>
    </row>
    <row r="16" customFormat="false" ht="30" hidden="false" customHeight="true" outlineLevel="0" collapsed="false">
      <c r="B16" s="6" t="s">
        <v>22</v>
      </c>
      <c r="C16" s="7" t="s">
        <v>23</v>
      </c>
    </row>
    <row r="17" customFormat="false" ht="30" hidden="false" customHeight="true" outlineLevel="0" collapsed="false">
      <c r="B17" s="6" t="s">
        <v>24</v>
      </c>
      <c r="C17" s="7" t="s">
        <v>25</v>
      </c>
    </row>
    <row r="18" customFormat="false" ht="15" hidden="false" customHeight="false" outlineLevel="0" collapsed="false">
      <c r="B18" s="4" t="s">
        <v>26</v>
      </c>
      <c r="C18" s="5"/>
    </row>
    <row r="19" customFormat="false" ht="45" hidden="false" customHeight="true" outlineLevel="0" collapsed="false">
      <c r="B19" s="6" t="s">
        <v>27</v>
      </c>
      <c r="C19" s="7" t="s">
        <v>28</v>
      </c>
    </row>
    <row r="20" customFormat="false" ht="30" hidden="false" customHeight="true" outlineLevel="0" collapsed="false">
      <c r="B20" s="6" t="s">
        <v>29</v>
      </c>
      <c r="C20" s="7" t="s">
        <v>30</v>
      </c>
    </row>
    <row r="21" customFormat="false" ht="30" hidden="false" customHeight="true" outlineLevel="0" collapsed="false">
      <c r="B21" s="6" t="s">
        <v>31</v>
      </c>
      <c r="C21" s="7" t="s">
        <v>32</v>
      </c>
    </row>
    <row r="22" customFormat="false" ht="30" hidden="false" customHeight="true" outlineLevel="0" collapsed="false">
      <c r="B22" s="6" t="s">
        <v>33</v>
      </c>
      <c r="C22" s="7" t="s">
        <v>34</v>
      </c>
    </row>
    <row r="23" customFormat="false" ht="30" hidden="false" customHeight="true" outlineLevel="0" collapsed="false">
      <c r="B23" s="6" t="s">
        <v>35</v>
      </c>
      <c r="C23" s="7" t="s">
        <v>36</v>
      </c>
    </row>
    <row r="24" customFormat="false" ht="30" hidden="false" customHeight="true" outlineLevel="0" collapsed="false">
      <c r="B24" s="6" t="s">
        <v>37</v>
      </c>
      <c r="C24" s="7"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9" topLeftCell="A20"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46"/>
    <col collapsed="false" customWidth="true" hidden="false" outlineLevel="0" max="3" min="2" style="0" width="20"/>
    <col collapsed="false" customWidth="true" hidden="false" outlineLevel="0" max="4" min="4" style="0" width="24"/>
  </cols>
  <sheetData>
    <row r="1" customFormat="false" ht="17.35" hidden="false" customHeight="false" outlineLevel="0" collapsed="false">
      <c r="A1" s="1" t="s">
        <v>39</v>
      </c>
    </row>
    <row r="2" customFormat="false" ht="15" hidden="false" customHeight="false" outlineLevel="0" collapsed="false">
      <c r="A2" s="2" t="s">
        <v>40</v>
      </c>
    </row>
    <row r="4" customFormat="false" ht="15" hidden="false" customHeight="false" outlineLevel="0" collapsed="false">
      <c r="A4" s="9" t="s">
        <v>41</v>
      </c>
      <c r="B4" s="5"/>
      <c r="C4" s="5"/>
      <c r="D4" s="5"/>
    </row>
    <row r="5" customFormat="false" ht="15" hidden="false" customHeight="false" outlineLevel="0" collapsed="false">
      <c r="A5" s="2" t="s">
        <v>42</v>
      </c>
      <c r="B5" s="10" t="n">
        <v>7</v>
      </c>
      <c r="C5" s="2" t="s">
        <v>43</v>
      </c>
    </row>
    <row r="6" customFormat="false" ht="15" hidden="false" customHeight="false" outlineLevel="0" collapsed="false">
      <c r="A6" s="2" t="s">
        <v>44</v>
      </c>
      <c r="B6" s="11" t="s">
        <v>45</v>
      </c>
    </row>
    <row r="7" customFormat="false" ht="15" hidden="false" customHeight="false" outlineLevel="0" collapsed="false">
      <c r="A7" s="2" t="s">
        <v>46</v>
      </c>
      <c r="B7" s="11" t="s">
        <v>47</v>
      </c>
    </row>
    <row r="8" customFormat="false" ht="15" hidden="false" customHeight="false" outlineLevel="0" collapsed="false">
      <c r="A8" s="2" t="s">
        <v>48</v>
      </c>
      <c r="B8" s="11" t="s">
        <v>49</v>
      </c>
    </row>
    <row r="10" customFormat="false" ht="15" hidden="false" customHeight="false" outlineLevel="0" collapsed="false">
      <c r="A10" s="9" t="s">
        <v>50</v>
      </c>
      <c r="B10" s="5"/>
      <c r="C10" s="5"/>
      <c r="D10" s="5"/>
    </row>
    <row r="11" customFormat="false" ht="15" hidden="false" customHeight="false" outlineLevel="0" collapsed="false">
      <c r="A11" s="2" t="s">
        <v>51</v>
      </c>
      <c r="B11" s="12" t="n">
        <v>19060</v>
      </c>
      <c r="C11" s="2" t="s">
        <v>52</v>
      </c>
    </row>
    <row r="12" customFormat="false" ht="15" hidden="false" customHeight="false" outlineLevel="0" collapsed="false">
      <c r="A12" s="2" t="s">
        <v>53</v>
      </c>
      <c r="B12" s="12" t="n">
        <v>12972</v>
      </c>
    </row>
    <row r="13" customFormat="false" ht="15" hidden="false" customHeight="false" outlineLevel="0" collapsed="false">
      <c r="A13" s="2" t="s">
        <v>54</v>
      </c>
      <c r="B13" s="12" t="n">
        <v>35502843</v>
      </c>
    </row>
    <row r="14" customFormat="false" ht="15" hidden="false" customHeight="false" outlineLevel="0" collapsed="false">
      <c r="A14" s="2" t="s">
        <v>55</v>
      </c>
      <c r="B14" s="12" t="n">
        <v>2202654</v>
      </c>
    </row>
    <row r="16" customFormat="false" ht="15" hidden="false" customHeight="false" outlineLevel="0" collapsed="false">
      <c r="A16" s="9" t="s">
        <v>56</v>
      </c>
      <c r="B16" s="5"/>
      <c r="C16" s="5"/>
      <c r="D16" s="5"/>
    </row>
    <row r="17" customFormat="false" ht="15" hidden="false" customHeight="false" outlineLevel="0" collapsed="false">
      <c r="A17" s="13" t="s">
        <v>57</v>
      </c>
      <c r="B17" s="14" t="n">
        <f aca="false">SUM(B20:B219)</f>
        <v>189744039</v>
      </c>
      <c r="C17" s="14" t="n">
        <f aca="false">SUM(C20:C219)</f>
        <v>189744039</v>
      </c>
    </row>
    <row r="18" customFormat="false" ht="15" hidden="false" customHeight="false" outlineLevel="0" collapsed="false">
      <c r="A18" s="2" t="s">
        <v>58</v>
      </c>
    </row>
    <row r="19" customFormat="false" ht="15" hidden="false" customHeight="false" outlineLevel="0" collapsed="false">
      <c r="A19" s="15" t="s">
        <v>59</v>
      </c>
      <c r="B19" s="15" t="s">
        <v>60</v>
      </c>
      <c r="C19" s="15" t="s">
        <v>61</v>
      </c>
      <c r="D19" s="15" t="s">
        <v>62</v>
      </c>
    </row>
    <row r="20" customFormat="false" ht="15" hidden="false" customHeight="false" outlineLevel="0" collapsed="false">
      <c r="A20" s="11" t="s">
        <v>63</v>
      </c>
      <c r="B20" s="12" t="n">
        <v>72939159</v>
      </c>
      <c r="C20" s="12"/>
      <c r="D20" s="16" t="str">
        <f aca="false">IF(A20="","",IF(SUMPRODUCT(--(SUBSTITUTE(SUBSTITUTE(決算精算表!$D$9:$D$46," ",""),"　","")=SUBSTITUTE(SUBSTITUTE(A20," ",""),"　","")))=0,"× 精算表に科目なし","○"))</f>
        <v>○</v>
      </c>
    </row>
    <row r="21" customFormat="false" ht="15" hidden="false" customHeight="false" outlineLevel="0" collapsed="false">
      <c r="A21" s="11" t="s">
        <v>64</v>
      </c>
      <c r="B21" s="12" t="n">
        <v>192064</v>
      </c>
      <c r="C21" s="12"/>
      <c r="D21" s="16" t="str">
        <f aca="false">IF(A21="","",IF(SUMPRODUCT(--(SUBSTITUTE(SUBSTITUTE(決算精算表!$D$9:$D$46," ",""),"　","")=SUBSTITUTE(SUBSTITUTE(A21," ",""),"　","")))=0,"× 精算表に科目なし","○"))</f>
        <v>○</v>
      </c>
    </row>
    <row r="22" customFormat="false" ht="15" hidden="false" customHeight="false" outlineLevel="0" collapsed="false">
      <c r="A22" s="11" t="s">
        <v>65</v>
      </c>
      <c r="B22" s="12" t="n">
        <v>383946</v>
      </c>
      <c r="C22" s="12"/>
      <c r="D22" s="16" t="str">
        <f aca="false">IF(A22="","",IF(SUMPRODUCT(--(SUBSTITUTE(SUBSTITUTE(決算精算表!$D$9:$D$46," ",""),"　","")=SUBSTITUTE(SUBSTITUTE(A22," ",""),"　","")))=0,"× 精算表に科目なし","○"))</f>
        <v>○</v>
      </c>
    </row>
    <row r="23" customFormat="false" ht="15" hidden="false" customHeight="false" outlineLevel="0" collapsed="false">
      <c r="A23" s="11" t="s">
        <v>66</v>
      </c>
      <c r="B23" s="12" t="n">
        <v>33000</v>
      </c>
      <c r="C23" s="12"/>
      <c r="D23" s="16" t="str">
        <f aca="false">IF(A23="","",IF(SUMPRODUCT(--(SUBSTITUTE(SUBSTITUTE(決算精算表!$D$9:$D$46," ",""),"　","")=SUBSTITUTE(SUBSTITUTE(A23," ",""),"　","")))=0,"× 精算表に科目なし","○"))</f>
        <v>○</v>
      </c>
    </row>
    <row r="24" customFormat="false" ht="15" hidden="false" customHeight="false" outlineLevel="0" collapsed="false">
      <c r="A24" s="11" t="s">
        <v>67</v>
      </c>
      <c r="B24" s="12" t="n">
        <v>10082322</v>
      </c>
      <c r="C24" s="12"/>
      <c r="D24" s="16" t="str">
        <f aca="false">IF(A24="","",IF(SUMPRODUCT(--(SUBSTITUTE(SUBSTITUTE(決算精算表!$D$9:$D$46," ",""),"　","")=SUBSTITUTE(SUBSTITUTE(A24," ",""),"　","")))=0,"× 精算表に科目なし","○"))</f>
        <v>○</v>
      </c>
    </row>
    <row r="25" customFormat="false" ht="15" hidden="false" customHeight="false" outlineLevel="0" collapsed="false">
      <c r="A25" s="11" t="s">
        <v>68</v>
      </c>
      <c r="B25" s="12" t="n">
        <v>9702</v>
      </c>
      <c r="C25" s="12"/>
      <c r="D25" s="16" t="str">
        <f aca="false">IF(A25="","",IF(SUMPRODUCT(--(SUBSTITUTE(SUBSTITUTE(決算精算表!$D$9:$D$46," ",""),"　","")=SUBSTITUTE(SUBSTITUTE(A25," ",""),"　","")))=0,"× 精算表に科目なし","○"))</f>
        <v>○</v>
      </c>
    </row>
    <row r="26" customFormat="false" ht="15" hidden="false" customHeight="false" outlineLevel="0" collapsed="false">
      <c r="A26" s="11" t="s">
        <v>69</v>
      </c>
      <c r="B26" s="12" t="n">
        <v>343112</v>
      </c>
      <c r="C26" s="12"/>
      <c r="D26" s="16" t="str">
        <f aca="false">IF(A26="","",IF(SUMPRODUCT(--(SUBSTITUTE(SUBSTITUTE(決算精算表!$D$9:$D$46," ",""),"　","")=SUBSTITUTE(SUBSTITUTE(A26," ",""),"　","")))=0,"× 精算表に科目なし","○"))</f>
        <v>○</v>
      </c>
    </row>
    <row r="27" customFormat="false" ht="15" hidden="false" customHeight="false" outlineLevel="0" collapsed="false">
      <c r="A27" s="11" t="s">
        <v>70</v>
      </c>
      <c r="B27" s="12" t="n">
        <v>13146428</v>
      </c>
      <c r="C27" s="12"/>
      <c r="D27" s="16" t="str">
        <f aca="false">IF(A27="","",IF(SUMPRODUCT(--(SUBSTITUTE(SUBSTITUTE(決算精算表!$D$9:$D$46," ",""),"　","")=SUBSTITUTE(SUBSTITUTE(A27," ",""),"　","")))=0,"× 精算表に科目なし","○"))</f>
        <v>○</v>
      </c>
    </row>
    <row r="28" customFormat="false" ht="15" hidden="false" customHeight="false" outlineLevel="0" collapsed="false">
      <c r="A28" s="11" t="s">
        <v>71</v>
      </c>
      <c r="B28" s="12" t="n">
        <v>4221720</v>
      </c>
      <c r="C28" s="12"/>
      <c r="D28" s="16" t="str">
        <f aca="false">IF(A28="","",IF(SUMPRODUCT(--(SUBSTITUTE(SUBSTITUTE(決算精算表!$D$9:$D$46," ",""),"　","")=SUBSTITUTE(SUBSTITUTE(A28," ",""),"　","")))=0,"× 精算表に科目なし","○"))</f>
        <v>○</v>
      </c>
    </row>
    <row r="29" customFormat="false" ht="15" hidden="false" customHeight="false" outlineLevel="0" collapsed="false">
      <c r="A29" s="11" t="s">
        <v>72</v>
      </c>
      <c r="B29" s="12" t="n">
        <v>8507933</v>
      </c>
      <c r="C29" s="12"/>
      <c r="D29" s="16" t="str">
        <f aca="false">IF(A29="","",IF(SUMPRODUCT(--(SUBSTITUTE(SUBSTITUTE(決算精算表!$D$9:$D$46," ",""),"　","")=SUBSTITUTE(SUBSTITUTE(A29," ",""),"　","")))=0,"× 精算表に科目なし","○"))</f>
        <v>○</v>
      </c>
    </row>
    <row r="30" customFormat="false" ht="15" hidden="false" customHeight="false" outlineLevel="0" collapsed="false">
      <c r="A30" s="11" t="s">
        <v>73</v>
      </c>
      <c r="B30" s="12" t="n">
        <v>57384</v>
      </c>
      <c r="C30" s="12"/>
      <c r="D30" s="16" t="str">
        <f aca="false">IF(A30="","",IF(SUMPRODUCT(--(SUBSTITUTE(SUBSTITUTE(決算精算表!$D$9:$D$46," ",""),"　","")=SUBSTITUTE(SUBSTITUTE(A30," ",""),"　","")))=0,"× 精算表に科目なし","○"))</f>
        <v>○</v>
      </c>
    </row>
    <row r="31" customFormat="false" ht="15" hidden="false" customHeight="false" outlineLevel="0" collapsed="false">
      <c r="A31" s="11" t="s">
        <v>74</v>
      </c>
      <c r="B31" s="12" t="n">
        <v>0</v>
      </c>
      <c r="C31" s="12"/>
      <c r="D31" s="16" t="str">
        <f aca="false">IF(A31="","",IF(SUMPRODUCT(--(SUBSTITUTE(SUBSTITUTE(決算精算表!$D$9:$D$46," ",""),"　","")=SUBSTITUTE(SUBSTITUTE(A31," ",""),"　","")))=0,"× 精算表に科目なし","○"))</f>
        <v>○</v>
      </c>
    </row>
    <row r="32" customFormat="false" ht="15" hidden="false" customHeight="false" outlineLevel="0" collapsed="false">
      <c r="A32" s="11" t="s">
        <v>75</v>
      </c>
      <c r="B32" s="12" t="n">
        <v>8410677</v>
      </c>
      <c r="C32" s="12"/>
      <c r="D32" s="16" t="str">
        <f aca="false">IF(A32="","",IF(SUMPRODUCT(--(SUBSTITUTE(SUBSTITUTE(決算精算表!$D$9:$D$46," ",""),"　","")=SUBSTITUTE(SUBSTITUTE(A32," ",""),"　","")))=0,"× 精算表に科目なし","○"))</f>
        <v>○</v>
      </c>
    </row>
    <row r="33" customFormat="false" ht="15" hidden="false" customHeight="false" outlineLevel="0" collapsed="false">
      <c r="A33" s="11" t="s">
        <v>76</v>
      </c>
      <c r="B33" s="12" t="n">
        <v>1194924</v>
      </c>
      <c r="C33" s="12"/>
      <c r="D33" s="16" t="str">
        <f aca="false">IF(A33="","",IF(SUMPRODUCT(--(SUBSTITUTE(SUBSTITUTE(決算精算表!$D$9:$D$46," ",""),"　","")=SUBSTITUTE(SUBSTITUTE(A33," ",""),"　","")))=0,"× 精算表に科目なし","○"))</f>
        <v>○</v>
      </c>
    </row>
    <row r="34" customFormat="false" ht="15" hidden="false" customHeight="false" outlineLevel="0" collapsed="false">
      <c r="A34" s="11" t="s">
        <v>77</v>
      </c>
      <c r="B34" s="12" t="n">
        <v>2350316</v>
      </c>
      <c r="C34" s="12"/>
      <c r="D34" s="16" t="str">
        <f aca="false">IF(A34="","",IF(SUMPRODUCT(--(SUBSTITUTE(SUBSTITUTE(決算精算表!$D$9:$D$46," ",""),"　","")=SUBSTITUTE(SUBSTITUTE(A34," ",""),"　","")))=0,"× 精算表に科目なし","○"))</f>
        <v>○</v>
      </c>
    </row>
    <row r="35" customFormat="false" ht="15" hidden="false" customHeight="false" outlineLevel="0" collapsed="false">
      <c r="A35" s="11" t="s">
        <v>78</v>
      </c>
      <c r="B35" s="12" t="n">
        <v>13718352</v>
      </c>
      <c r="C35" s="12"/>
      <c r="D35" s="16" t="str">
        <f aca="false">IF(A35="","",IF(SUMPRODUCT(--(SUBSTITUTE(SUBSTITUTE(決算精算表!$D$9:$D$46," ",""),"　","")=SUBSTITUTE(SUBSTITUTE(A35," ",""),"　","")))=0,"× 精算表に科目なし","○"))</f>
        <v>○</v>
      </c>
    </row>
    <row r="36" customFormat="false" ht="15" hidden="false" customHeight="false" outlineLevel="0" collapsed="false">
      <c r="A36" s="11" t="s">
        <v>79</v>
      </c>
      <c r="B36" s="12" t="n">
        <v>54153000</v>
      </c>
      <c r="C36" s="12"/>
      <c r="D36" s="16" t="str">
        <f aca="false">IF(A36="","",IF(SUMPRODUCT(--(SUBSTITUTE(SUBSTITUTE(決算精算表!$D$9:$D$46," ",""),"　","")=SUBSTITUTE(SUBSTITUTE(A36," ",""),"　","")))=0,"× 精算表に科目なし","○"))</f>
        <v>○</v>
      </c>
    </row>
    <row r="37" customFormat="false" ht="15" hidden="false" customHeight="false" outlineLevel="0" collapsed="false">
      <c r="A37" s="11" t="s">
        <v>80</v>
      </c>
      <c r="B37" s="12"/>
      <c r="C37" s="12" t="n">
        <v>227940</v>
      </c>
      <c r="D37" s="16" t="str">
        <f aca="false">IF(A37="","",IF(SUMPRODUCT(--(SUBSTITUTE(SUBSTITUTE(決算精算表!$D$9:$D$46," ",""),"　","")=SUBSTITUTE(SUBSTITUTE(A37," ",""),"　","")))=0,"× 精算表に科目なし","○"))</f>
        <v>○</v>
      </c>
    </row>
    <row r="38" customFormat="false" ht="15" hidden="false" customHeight="false" outlineLevel="0" collapsed="false">
      <c r="A38" s="11" t="s">
        <v>81</v>
      </c>
      <c r="B38" s="12"/>
      <c r="C38" s="12" t="n">
        <v>216843</v>
      </c>
      <c r="D38" s="16" t="str">
        <f aca="false">IF(A38="","",IF(SUMPRODUCT(--(SUBSTITUTE(SUBSTITUTE(決算精算表!$D$9:$D$46," ",""),"　","")=SUBSTITUTE(SUBSTITUTE(A38," ",""),"　","")))=0,"× 精算表に科目なし","○"))</f>
        <v>○</v>
      </c>
    </row>
    <row r="39" customFormat="false" ht="15" hidden="false" customHeight="false" outlineLevel="0" collapsed="false">
      <c r="A39" s="11" t="s">
        <v>82</v>
      </c>
      <c r="B39" s="12"/>
      <c r="C39" s="12" t="n">
        <v>71093911</v>
      </c>
      <c r="D39" s="16" t="str">
        <f aca="false">IF(A39="","",IF(SUMPRODUCT(--(SUBSTITUTE(SUBSTITUTE(決算精算表!$D$9:$D$46," ",""),"　","")=SUBSTITUTE(SUBSTITUTE(A39," ",""),"　","")))=0,"× 精算表に科目なし","○"))</f>
        <v>○</v>
      </c>
    </row>
    <row r="40" customFormat="false" ht="15" hidden="false" customHeight="false" outlineLevel="0" collapsed="false">
      <c r="A40" s="11" t="s">
        <v>77</v>
      </c>
      <c r="B40" s="12"/>
      <c r="C40" s="12" t="n">
        <v>94968000</v>
      </c>
      <c r="D40" s="16" t="str">
        <f aca="false">IF(A40="","",IF(SUMPRODUCT(--(SUBSTITUTE(SUBSTITUTE(決算精算表!$D$9:$D$46," ",""),"　","")=SUBSTITUTE(SUBSTITUTE(A40," ",""),"　","")))=0,"× 精算表に科目なし","○"))</f>
        <v>○</v>
      </c>
    </row>
    <row r="41" customFormat="false" ht="15" hidden="false" customHeight="false" outlineLevel="0" collapsed="false">
      <c r="A41" s="11" t="s">
        <v>83</v>
      </c>
      <c r="B41" s="12"/>
      <c r="C41" s="12" t="n">
        <v>77607</v>
      </c>
      <c r="D41" s="16" t="str">
        <f aca="false">IF(A41="","",IF(SUMPRODUCT(--(SUBSTITUTE(SUBSTITUTE(決算精算表!$D$9:$D$46," ",""),"　","")=SUBSTITUTE(SUBSTITUTE(A41," ",""),"　","")))=0,"× 精算表に科目なし","○"))</f>
        <v>○</v>
      </c>
    </row>
    <row r="42" customFormat="false" ht="15" hidden="false" customHeight="false" outlineLevel="0" collapsed="false">
      <c r="A42" s="11" t="s">
        <v>84</v>
      </c>
      <c r="B42" s="12"/>
      <c r="C42" s="12" t="n">
        <v>23159738</v>
      </c>
      <c r="D42" s="16" t="str">
        <f aca="false">IF(A42="","",IF(SUMPRODUCT(--(SUBSTITUTE(SUBSTITUTE(決算精算表!$D$9:$D$46," ",""),"　","")=SUBSTITUTE(SUBSTITUTE(A42," ",""),"　","")))=0,"× 精算表に科目なし","○"))</f>
        <v>○</v>
      </c>
    </row>
    <row r="43" customFormat="false" ht="15" hidden="false" customHeight="false" outlineLevel="0" collapsed="false">
      <c r="A43" s="11"/>
      <c r="B43" s="12"/>
      <c r="C43" s="12"/>
      <c r="D43" s="16" t="str">
        <f aca="false">IF(A43="","",IF(SUMPRODUCT(--(SUBSTITUTE(SUBSTITUTE(決算精算表!$D$9:$D$46," ",""),"　","")=SUBSTITUTE(SUBSTITUTE(A43," ",""),"　","")))=0,"× 精算表に科目なし","○"))</f>
        <v/>
      </c>
    </row>
    <row r="44" customFormat="false" ht="15" hidden="false" customHeight="false" outlineLevel="0" collapsed="false">
      <c r="A44" s="11"/>
      <c r="B44" s="12"/>
      <c r="C44" s="12"/>
      <c r="D44" s="16" t="str">
        <f aca="false">IF(A44="","",IF(SUMPRODUCT(--(SUBSTITUTE(SUBSTITUTE(決算精算表!$D$9:$D$46," ",""),"　","")=SUBSTITUTE(SUBSTITUTE(A44," ",""),"　","")))=0,"× 精算表に科目なし","○"))</f>
        <v/>
      </c>
    </row>
    <row r="45" customFormat="false" ht="15" hidden="false" customHeight="false" outlineLevel="0" collapsed="false">
      <c r="A45" s="11"/>
      <c r="B45" s="12"/>
      <c r="C45" s="12"/>
      <c r="D45" s="16" t="str">
        <f aca="false">IF(A45="","",IF(SUMPRODUCT(--(SUBSTITUTE(SUBSTITUTE(決算精算表!$D$9:$D$46," ",""),"　","")=SUBSTITUTE(SUBSTITUTE(A45," ",""),"　","")))=0,"× 精算表に科目なし","○"))</f>
        <v/>
      </c>
    </row>
    <row r="46" customFormat="false" ht="15" hidden="false" customHeight="false" outlineLevel="0" collapsed="false">
      <c r="A46" s="11"/>
      <c r="B46" s="12"/>
      <c r="C46" s="12"/>
      <c r="D46" s="16" t="str">
        <f aca="false">IF(A46="","",IF(SUMPRODUCT(--(SUBSTITUTE(SUBSTITUTE(決算精算表!$D$9:$D$46," ",""),"　","")=SUBSTITUTE(SUBSTITUTE(A46," ",""),"　","")))=0,"× 精算表に科目なし","○"))</f>
        <v/>
      </c>
    </row>
    <row r="47" customFormat="false" ht="15" hidden="false" customHeight="false" outlineLevel="0" collapsed="false">
      <c r="A47" s="11"/>
      <c r="B47" s="12"/>
      <c r="C47" s="12"/>
      <c r="D47" s="16" t="str">
        <f aca="false">IF(A47="","",IF(SUMPRODUCT(--(SUBSTITUTE(SUBSTITUTE(決算精算表!$D$9:$D$46," ",""),"　","")=SUBSTITUTE(SUBSTITUTE(A47," ",""),"　","")))=0,"× 精算表に科目なし","○"))</f>
        <v/>
      </c>
    </row>
    <row r="48" customFormat="false" ht="15" hidden="false" customHeight="false" outlineLevel="0" collapsed="false">
      <c r="A48" s="11"/>
      <c r="B48" s="12"/>
      <c r="C48" s="12"/>
      <c r="D48" s="16" t="str">
        <f aca="false">IF(A48="","",IF(SUMPRODUCT(--(SUBSTITUTE(SUBSTITUTE(決算精算表!$D$9:$D$46," ",""),"　","")=SUBSTITUTE(SUBSTITUTE(A48," ",""),"　","")))=0,"× 精算表に科目なし","○"))</f>
        <v/>
      </c>
    </row>
    <row r="49" customFormat="false" ht="15" hidden="false" customHeight="false" outlineLevel="0" collapsed="false">
      <c r="A49" s="11"/>
      <c r="B49" s="12"/>
      <c r="C49" s="12"/>
      <c r="D49" s="16" t="str">
        <f aca="false">IF(A49="","",IF(SUMPRODUCT(--(SUBSTITUTE(SUBSTITUTE(決算精算表!$D$9:$D$46," ",""),"　","")=SUBSTITUTE(SUBSTITUTE(A49," ",""),"　","")))=0,"× 精算表に科目なし","○"))</f>
        <v/>
      </c>
    </row>
    <row r="50" customFormat="false" ht="15" hidden="false" customHeight="false" outlineLevel="0" collapsed="false">
      <c r="A50" s="11"/>
      <c r="B50" s="12"/>
      <c r="C50" s="12"/>
      <c r="D50" s="16" t="str">
        <f aca="false">IF(A50="","",IF(SUMPRODUCT(--(SUBSTITUTE(SUBSTITUTE(決算精算表!$D$9:$D$46," ",""),"　","")=SUBSTITUTE(SUBSTITUTE(A50," ",""),"　","")))=0,"× 精算表に科目なし","○"))</f>
        <v/>
      </c>
    </row>
    <row r="51" customFormat="false" ht="15" hidden="false" customHeight="false" outlineLevel="0" collapsed="false">
      <c r="A51" s="11"/>
      <c r="B51" s="12"/>
      <c r="C51" s="12"/>
      <c r="D51" s="16" t="str">
        <f aca="false">IF(A51="","",IF(SUMPRODUCT(--(SUBSTITUTE(SUBSTITUTE(決算精算表!$D$9:$D$46," ",""),"　","")=SUBSTITUTE(SUBSTITUTE(A51," ",""),"　","")))=0,"× 精算表に科目なし","○"))</f>
        <v/>
      </c>
    </row>
    <row r="52" customFormat="false" ht="15" hidden="false" customHeight="false" outlineLevel="0" collapsed="false">
      <c r="A52" s="11"/>
      <c r="B52" s="12"/>
      <c r="C52" s="12"/>
      <c r="D52" s="16" t="str">
        <f aca="false">IF(A52="","",IF(SUMPRODUCT(--(SUBSTITUTE(SUBSTITUTE(決算精算表!$D$9:$D$46," ",""),"　","")=SUBSTITUTE(SUBSTITUTE(A52," ",""),"　","")))=0,"× 精算表に科目なし","○"))</f>
        <v/>
      </c>
    </row>
    <row r="53" customFormat="false" ht="15" hidden="false" customHeight="false" outlineLevel="0" collapsed="false">
      <c r="A53" s="11"/>
      <c r="B53" s="12"/>
      <c r="C53" s="12"/>
      <c r="D53" s="16" t="str">
        <f aca="false">IF(A53="","",IF(SUMPRODUCT(--(SUBSTITUTE(SUBSTITUTE(決算精算表!$D$9:$D$46," ",""),"　","")=SUBSTITUTE(SUBSTITUTE(A53," ",""),"　","")))=0,"× 精算表に科目なし","○"))</f>
        <v/>
      </c>
    </row>
    <row r="54" customFormat="false" ht="15" hidden="false" customHeight="false" outlineLevel="0" collapsed="false">
      <c r="A54" s="11"/>
      <c r="B54" s="12"/>
      <c r="C54" s="12"/>
      <c r="D54" s="16" t="str">
        <f aca="false">IF(A54="","",IF(SUMPRODUCT(--(SUBSTITUTE(SUBSTITUTE(決算精算表!$D$9:$D$46," ",""),"　","")=SUBSTITUTE(SUBSTITUTE(A54," ",""),"　","")))=0,"× 精算表に科目なし","○"))</f>
        <v/>
      </c>
    </row>
    <row r="55" customFormat="false" ht="15" hidden="false" customHeight="false" outlineLevel="0" collapsed="false">
      <c r="A55" s="11"/>
      <c r="B55" s="12"/>
      <c r="C55" s="12"/>
      <c r="D55" s="16" t="str">
        <f aca="false">IF(A55="","",IF(SUMPRODUCT(--(SUBSTITUTE(SUBSTITUTE(決算精算表!$D$9:$D$46," ",""),"　","")=SUBSTITUTE(SUBSTITUTE(A55," ",""),"　","")))=0,"× 精算表に科目なし","○"))</f>
        <v/>
      </c>
    </row>
    <row r="56" customFormat="false" ht="15" hidden="false" customHeight="false" outlineLevel="0" collapsed="false">
      <c r="A56" s="11"/>
      <c r="B56" s="12"/>
      <c r="C56" s="12"/>
      <c r="D56" s="16" t="str">
        <f aca="false">IF(A56="","",IF(SUMPRODUCT(--(SUBSTITUTE(SUBSTITUTE(決算精算表!$D$9:$D$46," ",""),"　","")=SUBSTITUTE(SUBSTITUTE(A56," ",""),"　","")))=0,"× 精算表に科目なし","○"))</f>
        <v/>
      </c>
    </row>
    <row r="57" customFormat="false" ht="15" hidden="false" customHeight="false" outlineLevel="0" collapsed="false">
      <c r="A57" s="11"/>
      <c r="B57" s="12"/>
      <c r="C57" s="12"/>
      <c r="D57" s="16" t="str">
        <f aca="false">IF(A57="","",IF(SUMPRODUCT(--(SUBSTITUTE(SUBSTITUTE(決算精算表!$D$9:$D$46," ",""),"　","")=SUBSTITUTE(SUBSTITUTE(A57," ",""),"　","")))=0,"× 精算表に科目なし","○"))</f>
        <v/>
      </c>
    </row>
    <row r="58" customFormat="false" ht="15" hidden="false" customHeight="false" outlineLevel="0" collapsed="false">
      <c r="A58" s="11"/>
      <c r="B58" s="12"/>
      <c r="C58" s="12"/>
      <c r="D58" s="16" t="str">
        <f aca="false">IF(A58="","",IF(SUMPRODUCT(--(SUBSTITUTE(SUBSTITUTE(決算精算表!$D$9:$D$46," ",""),"　","")=SUBSTITUTE(SUBSTITUTE(A58," ",""),"　","")))=0,"× 精算表に科目なし","○"))</f>
        <v/>
      </c>
    </row>
    <row r="59" customFormat="false" ht="15" hidden="false" customHeight="false" outlineLevel="0" collapsed="false">
      <c r="A59" s="11"/>
      <c r="B59" s="12"/>
      <c r="C59" s="12"/>
      <c r="D59" s="16" t="str">
        <f aca="false">IF(A59="","",IF(SUMPRODUCT(--(SUBSTITUTE(SUBSTITUTE(決算精算表!$D$9:$D$46," ",""),"　","")=SUBSTITUTE(SUBSTITUTE(A59," ",""),"　","")))=0,"× 精算表に科目なし","○"))</f>
        <v/>
      </c>
    </row>
    <row r="60" customFormat="false" ht="15" hidden="false" customHeight="false" outlineLevel="0" collapsed="false">
      <c r="A60" s="11"/>
      <c r="B60" s="12"/>
      <c r="C60" s="12"/>
      <c r="D60" s="16" t="str">
        <f aca="false">IF(A60="","",IF(SUMPRODUCT(--(SUBSTITUTE(SUBSTITUTE(決算精算表!$D$9:$D$46," ",""),"　","")=SUBSTITUTE(SUBSTITUTE(A60," ",""),"　","")))=0,"× 精算表に科目なし","○"))</f>
        <v/>
      </c>
    </row>
    <row r="61" customFormat="false" ht="15" hidden="false" customHeight="false" outlineLevel="0" collapsed="false">
      <c r="A61" s="11"/>
      <c r="B61" s="12"/>
      <c r="C61" s="12"/>
      <c r="D61" s="16" t="str">
        <f aca="false">IF(A61="","",IF(SUMPRODUCT(--(SUBSTITUTE(SUBSTITUTE(決算精算表!$D$9:$D$46," ",""),"　","")=SUBSTITUTE(SUBSTITUTE(A61," ",""),"　","")))=0,"× 精算表に科目なし","○"))</f>
        <v/>
      </c>
    </row>
    <row r="62" customFormat="false" ht="15" hidden="false" customHeight="false" outlineLevel="0" collapsed="false">
      <c r="A62" s="11"/>
      <c r="B62" s="12"/>
      <c r="C62" s="12"/>
      <c r="D62" s="16" t="str">
        <f aca="false">IF(A62="","",IF(SUMPRODUCT(--(SUBSTITUTE(SUBSTITUTE(決算精算表!$D$9:$D$46," ",""),"　","")=SUBSTITUTE(SUBSTITUTE(A62," ",""),"　","")))=0,"× 精算表に科目なし","○"))</f>
        <v/>
      </c>
    </row>
    <row r="63" customFormat="false" ht="15" hidden="false" customHeight="false" outlineLevel="0" collapsed="false">
      <c r="A63" s="11"/>
      <c r="B63" s="12"/>
      <c r="C63" s="12"/>
      <c r="D63" s="16" t="str">
        <f aca="false">IF(A63="","",IF(SUMPRODUCT(--(SUBSTITUTE(SUBSTITUTE(決算精算表!$D$9:$D$46," ",""),"　","")=SUBSTITUTE(SUBSTITUTE(A63," ",""),"　","")))=0,"× 精算表に科目なし","○"))</f>
        <v/>
      </c>
    </row>
    <row r="64" customFormat="false" ht="15" hidden="false" customHeight="false" outlineLevel="0" collapsed="false">
      <c r="A64" s="11"/>
      <c r="B64" s="12"/>
      <c r="C64" s="12"/>
      <c r="D64" s="16" t="str">
        <f aca="false">IF(A64="","",IF(SUMPRODUCT(--(SUBSTITUTE(SUBSTITUTE(決算精算表!$D$9:$D$46," ",""),"　","")=SUBSTITUTE(SUBSTITUTE(A64," ",""),"　","")))=0,"× 精算表に科目なし","○"))</f>
        <v/>
      </c>
    </row>
    <row r="65" customFormat="false" ht="15" hidden="false" customHeight="false" outlineLevel="0" collapsed="false">
      <c r="A65" s="11"/>
      <c r="B65" s="12"/>
      <c r="C65" s="12"/>
      <c r="D65" s="16" t="str">
        <f aca="false">IF(A65="","",IF(SUMPRODUCT(--(SUBSTITUTE(SUBSTITUTE(決算精算表!$D$9:$D$46," ",""),"　","")=SUBSTITUTE(SUBSTITUTE(A65," ",""),"　","")))=0,"× 精算表に科目なし","○"))</f>
        <v/>
      </c>
    </row>
    <row r="66" customFormat="false" ht="15" hidden="false" customHeight="false" outlineLevel="0" collapsed="false">
      <c r="A66" s="11"/>
      <c r="B66" s="12"/>
      <c r="C66" s="12"/>
      <c r="D66" s="16" t="str">
        <f aca="false">IF(A66="","",IF(SUMPRODUCT(--(SUBSTITUTE(SUBSTITUTE(決算精算表!$D$9:$D$46," ",""),"　","")=SUBSTITUTE(SUBSTITUTE(A66," ",""),"　","")))=0,"× 精算表に科目なし","○"))</f>
        <v/>
      </c>
    </row>
    <row r="67" customFormat="false" ht="15" hidden="false" customHeight="false" outlineLevel="0" collapsed="false">
      <c r="A67" s="11"/>
      <c r="B67" s="12"/>
      <c r="C67" s="12"/>
      <c r="D67" s="16" t="str">
        <f aca="false">IF(A67="","",IF(SUMPRODUCT(--(SUBSTITUTE(SUBSTITUTE(決算精算表!$D$9:$D$46," ",""),"　","")=SUBSTITUTE(SUBSTITUTE(A67," ",""),"　","")))=0,"× 精算表に科目なし","○"))</f>
        <v/>
      </c>
    </row>
    <row r="68" customFormat="false" ht="15" hidden="false" customHeight="false" outlineLevel="0" collapsed="false">
      <c r="A68" s="11"/>
      <c r="B68" s="12"/>
      <c r="C68" s="12"/>
      <c r="D68" s="16" t="str">
        <f aca="false">IF(A68="","",IF(SUMPRODUCT(--(SUBSTITUTE(SUBSTITUTE(決算精算表!$D$9:$D$46," ",""),"　","")=SUBSTITUTE(SUBSTITUTE(A68," ",""),"　","")))=0,"× 精算表に科目なし","○"))</f>
        <v/>
      </c>
    </row>
    <row r="69" customFormat="false" ht="15" hidden="false" customHeight="false" outlineLevel="0" collapsed="false">
      <c r="A69" s="11"/>
      <c r="B69" s="12"/>
      <c r="C69" s="12"/>
      <c r="D69" s="16" t="str">
        <f aca="false">IF(A69="","",IF(SUMPRODUCT(--(SUBSTITUTE(SUBSTITUTE(決算精算表!$D$9:$D$46," ",""),"　","")=SUBSTITUTE(SUBSTITUTE(A69," ",""),"　","")))=0,"× 精算表に科目なし","○"))</f>
        <v/>
      </c>
    </row>
    <row r="70" customFormat="false" ht="15" hidden="false" customHeight="false" outlineLevel="0" collapsed="false">
      <c r="A70" s="11"/>
      <c r="B70" s="12"/>
      <c r="C70" s="12"/>
      <c r="D70" s="16" t="str">
        <f aca="false">IF(A70="","",IF(SUMPRODUCT(--(SUBSTITUTE(SUBSTITUTE(決算精算表!$D$9:$D$46," ",""),"　","")=SUBSTITUTE(SUBSTITUTE(A70," ",""),"　","")))=0,"× 精算表に科目なし","○"))</f>
        <v/>
      </c>
    </row>
    <row r="71" customFormat="false" ht="15" hidden="false" customHeight="false" outlineLevel="0" collapsed="false">
      <c r="A71" s="11"/>
      <c r="B71" s="12"/>
      <c r="C71" s="12"/>
      <c r="D71" s="16" t="str">
        <f aca="false">IF(A71="","",IF(SUMPRODUCT(--(SUBSTITUTE(SUBSTITUTE(決算精算表!$D$9:$D$46," ",""),"　","")=SUBSTITUTE(SUBSTITUTE(A71," ",""),"　","")))=0,"× 精算表に科目なし","○"))</f>
        <v/>
      </c>
    </row>
    <row r="72" customFormat="false" ht="15" hidden="false" customHeight="false" outlineLevel="0" collapsed="false">
      <c r="A72" s="11"/>
      <c r="B72" s="12"/>
      <c r="C72" s="12"/>
      <c r="D72" s="16" t="str">
        <f aca="false">IF(A72="","",IF(SUMPRODUCT(--(SUBSTITUTE(SUBSTITUTE(決算精算表!$D$9:$D$46," ",""),"　","")=SUBSTITUTE(SUBSTITUTE(A72," ",""),"　","")))=0,"× 精算表に科目なし","○"))</f>
        <v/>
      </c>
    </row>
    <row r="73" customFormat="false" ht="15" hidden="false" customHeight="false" outlineLevel="0" collapsed="false">
      <c r="A73" s="11"/>
      <c r="B73" s="12"/>
      <c r="C73" s="12"/>
      <c r="D73" s="16" t="str">
        <f aca="false">IF(A73="","",IF(SUMPRODUCT(--(SUBSTITUTE(SUBSTITUTE(決算精算表!$D$9:$D$46," ",""),"　","")=SUBSTITUTE(SUBSTITUTE(A73," ",""),"　","")))=0,"× 精算表に科目なし","○"))</f>
        <v/>
      </c>
    </row>
    <row r="74" customFormat="false" ht="15" hidden="false" customHeight="false" outlineLevel="0" collapsed="false">
      <c r="A74" s="11"/>
      <c r="B74" s="12"/>
      <c r="C74" s="12"/>
      <c r="D74" s="16" t="str">
        <f aca="false">IF(A74="","",IF(SUMPRODUCT(--(SUBSTITUTE(SUBSTITUTE(決算精算表!$D$9:$D$46," ",""),"　","")=SUBSTITUTE(SUBSTITUTE(A74," ",""),"　","")))=0,"× 精算表に科目なし","○"))</f>
        <v/>
      </c>
    </row>
    <row r="75" customFormat="false" ht="15" hidden="false" customHeight="false" outlineLevel="0" collapsed="false">
      <c r="A75" s="11"/>
      <c r="B75" s="12"/>
      <c r="C75" s="12"/>
      <c r="D75" s="16" t="str">
        <f aca="false">IF(A75="","",IF(SUMPRODUCT(--(SUBSTITUTE(SUBSTITUTE(決算精算表!$D$9:$D$46," ",""),"　","")=SUBSTITUTE(SUBSTITUTE(A75," ",""),"　","")))=0,"× 精算表に科目なし","○"))</f>
        <v/>
      </c>
    </row>
    <row r="76" customFormat="false" ht="15" hidden="false" customHeight="false" outlineLevel="0" collapsed="false">
      <c r="A76" s="11"/>
      <c r="B76" s="12"/>
      <c r="C76" s="12"/>
      <c r="D76" s="16" t="str">
        <f aca="false">IF(A76="","",IF(SUMPRODUCT(--(SUBSTITUTE(SUBSTITUTE(決算精算表!$D$9:$D$46," ",""),"　","")=SUBSTITUTE(SUBSTITUTE(A76," ",""),"　","")))=0,"× 精算表に科目なし","○"))</f>
        <v/>
      </c>
    </row>
    <row r="77" customFormat="false" ht="15" hidden="false" customHeight="false" outlineLevel="0" collapsed="false">
      <c r="A77" s="11"/>
      <c r="B77" s="12"/>
      <c r="C77" s="12"/>
      <c r="D77" s="16" t="str">
        <f aca="false">IF(A77="","",IF(SUMPRODUCT(--(SUBSTITUTE(SUBSTITUTE(決算精算表!$D$9:$D$46," ",""),"　","")=SUBSTITUTE(SUBSTITUTE(A77," ",""),"　","")))=0,"× 精算表に科目なし","○"))</f>
        <v/>
      </c>
    </row>
    <row r="78" customFormat="false" ht="15" hidden="false" customHeight="false" outlineLevel="0" collapsed="false">
      <c r="A78" s="11"/>
      <c r="B78" s="12"/>
      <c r="C78" s="12"/>
      <c r="D78" s="16" t="str">
        <f aca="false">IF(A78="","",IF(SUMPRODUCT(--(SUBSTITUTE(SUBSTITUTE(決算精算表!$D$9:$D$46," ",""),"　","")=SUBSTITUTE(SUBSTITUTE(A78," ",""),"　","")))=0,"× 精算表に科目なし","○"))</f>
        <v/>
      </c>
    </row>
    <row r="79" customFormat="false" ht="15" hidden="false" customHeight="false" outlineLevel="0" collapsed="false">
      <c r="A79" s="11"/>
      <c r="B79" s="12"/>
      <c r="C79" s="12"/>
      <c r="D79" s="16" t="str">
        <f aca="false">IF(A79="","",IF(SUMPRODUCT(--(SUBSTITUTE(SUBSTITUTE(決算精算表!$D$9:$D$46," ",""),"　","")=SUBSTITUTE(SUBSTITUTE(A79," ",""),"　","")))=0,"× 精算表に科目なし","○"))</f>
        <v/>
      </c>
    </row>
    <row r="80" customFormat="false" ht="15" hidden="false" customHeight="false" outlineLevel="0" collapsed="false">
      <c r="A80" s="11"/>
      <c r="B80" s="12"/>
      <c r="C80" s="12"/>
      <c r="D80" s="16" t="str">
        <f aca="false">IF(A80="","",IF(SUMPRODUCT(--(SUBSTITUTE(SUBSTITUTE(決算精算表!$D$9:$D$46," ",""),"　","")=SUBSTITUTE(SUBSTITUTE(A80," ",""),"　","")))=0,"× 精算表に科目なし","○"))</f>
        <v/>
      </c>
    </row>
    <row r="81" customFormat="false" ht="15" hidden="false" customHeight="false" outlineLevel="0" collapsed="false">
      <c r="A81" s="11"/>
      <c r="B81" s="12"/>
      <c r="C81" s="12"/>
      <c r="D81" s="16" t="str">
        <f aca="false">IF(A81="","",IF(SUMPRODUCT(--(SUBSTITUTE(SUBSTITUTE(決算精算表!$D$9:$D$46," ",""),"　","")=SUBSTITUTE(SUBSTITUTE(A81," ",""),"　","")))=0,"× 精算表に科目なし","○"))</f>
        <v/>
      </c>
    </row>
    <row r="82" customFormat="false" ht="15" hidden="false" customHeight="false" outlineLevel="0" collapsed="false">
      <c r="A82" s="11"/>
      <c r="B82" s="12"/>
      <c r="C82" s="12"/>
      <c r="D82" s="16" t="str">
        <f aca="false">IF(A82="","",IF(SUMPRODUCT(--(SUBSTITUTE(SUBSTITUTE(決算精算表!$D$9:$D$46," ",""),"　","")=SUBSTITUTE(SUBSTITUTE(A82," ",""),"　","")))=0,"× 精算表に科目なし","○"))</f>
        <v/>
      </c>
    </row>
    <row r="83" customFormat="false" ht="15" hidden="false" customHeight="false" outlineLevel="0" collapsed="false">
      <c r="A83" s="11"/>
      <c r="B83" s="12"/>
      <c r="C83" s="12"/>
      <c r="D83" s="16" t="str">
        <f aca="false">IF(A83="","",IF(SUMPRODUCT(--(SUBSTITUTE(SUBSTITUTE(決算精算表!$D$9:$D$46," ",""),"　","")=SUBSTITUTE(SUBSTITUTE(A83," ",""),"　","")))=0,"× 精算表に科目なし","○"))</f>
        <v/>
      </c>
    </row>
    <row r="84" customFormat="false" ht="15" hidden="false" customHeight="false" outlineLevel="0" collapsed="false">
      <c r="A84" s="11"/>
      <c r="B84" s="12"/>
      <c r="C84" s="12"/>
      <c r="D84" s="16" t="str">
        <f aca="false">IF(A84="","",IF(SUMPRODUCT(--(SUBSTITUTE(SUBSTITUTE(決算精算表!$D$9:$D$46," ",""),"　","")=SUBSTITUTE(SUBSTITUTE(A84," ",""),"　","")))=0,"× 精算表に科目なし","○"))</f>
        <v/>
      </c>
    </row>
    <row r="85" customFormat="false" ht="15" hidden="false" customHeight="false" outlineLevel="0" collapsed="false">
      <c r="A85" s="11"/>
      <c r="B85" s="12"/>
      <c r="C85" s="12"/>
      <c r="D85" s="16" t="str">
        <f aca="false">IF(A85="","",IF(SUMPRODUCT(--(SUBSTITUTE(SUBSTITUTE(決算精算表!$D$9:$D$46," ",""),"　","")=SUBSTITUTE(SUBSTITUTE(A85," ",""),"　","")))=0,"× 精算表に科目なし","○"))</f>
        <v/>
      </c>
    </row>
    <row r="86" customFormat="false" ht="15" hidden="false" customHeight="false" outlineLevel="0" collapsed="false">
      <c r="A86" s="11"/>
      <c r="B86" s="12"/>
      <c r="C86" s="12"/>
      <c r="D86" s="16" t="str">
        <f aca="false">IF(A86="","",IF(SUMPRODUCT(--(SUBSTITUTE(SUBSTITUTE(決算精算表!$D$9:$D$46," ",""),"　","")=SUBSTITUTE(SUBSTITUTE(A86," ",""),"　","")))=0,"× 精算表に科目なし","○"))</f>
        <v/>
      </c>
    </row>
    <row r="87" customFormat="false" ht="15" hidden="false" customHeight="false" outlineLevel="0" collapsed="false">
      <c r="A87" s="11"/>
      <c r="B87" s="12"/>
      <c r="C87" s="12"/>
      <c r="D87" s="16" t="str">
        <f aca="false">IF(A87="","",IF(SUMPRODUCT(--(SUBSTITUTE(SUBSTITUTE(決算精算表!$D$9:$D$46," ",""),"　","")=SUBSTITUTE(SUBSTITUTE(A87," ",""),"　","")))=0,"× 精算表に科目なし","○"))</f>
        <v/>
      </c>
    </row>
    <row r="88" customFormat="false" ht="15" hidden="false" customHeight="false" outlineLevel="0" collapsed="false">
      <c r="A88" s="11"/>
      <c r="B88" s="12"/>
      <c r="C88" s="12"/>
      <c r="D88" s="16" t="str">
        <f aca="false">IF(A88="","",IF(SUMPRODUCT(--(SUBSTITUTE(SUBSTITUTE(決算精算表!$D$9:$D$46," ",""),"　","")=SUBSTITUTE(SUBSTITUTE(A88," ",""),"　","")))=0,"× 精算表に科目なし","○"))</f>
        <v/>
      </c>
    </row>
    <row r="89" customFormat="false" ht="15" hidden="false" customHeight="false" outlineLevel="0" collapsed="false">
      <c r="A89" s="11"/>
      <c r="B89" s="12"/>
      <c r="C89" s="12"/>
      <c r="D89" s="16" t="str">
        <f aca="false">IF(A89="","",IF(SUMPRODUCT(--(SUBSTITUTE(SUBSTITUTE(決算精算表!$D$9:$D$46," ",""),"　","")=SUBSTITUTE(SUBSTITUTE(A89," ",""),"　","")))=0,"× 精算表に科目なし","○"))</f>
        <v/>
      </c>
    </row>
    <row r="90" customFormat="false" ht="15" hidden="false" customHeight="false" outlineLevel="0" collapsed="false">
      <c r="A90" s="11"/>
      <c r="B90" s="12"/>
      <c r="C90" s="12"/>
      <c r="D90" s="16" t="str">
        <f aca="false">IF(A90="","",IF(SUMPRODUCT(--(SUBSTITUTE(SUBSTITUTE(決算精算表!$D$9:$D$46," ",""),"　","")=SUBSTITUTE(SUBSTITUTE(A90," ",""),"　","")))=0,"× 精算表に科目なし","○"))</f>
        <v/>
      </c>
    </row>
    <row r="91" customFormat="false" ht="15" hidden="false" customHeight="false" outlineLevel="0" collapsed="false">
      <c r="A91" s="11"/>
      <c r="B91" s="12"/>
      <c r="C91" s="12"/>
      <c r="D91" s="16" t="str">
        <f aca="false">IF(A91="","",IF(SUMPRODUCT(--(SUBSTITUTE(SUBSTITUTE(決算精算表!$D$9:$D$46," ",""),"　","")=SUBSTITUTE(SUBSTITUTE(A91," ",""),"　","")))=0,"× 精算表に科目なし","○"))</f>
        <v/>
      </c>
    </row>
    <row r="92" customFormat="false" ht="15" hidden="false" customHeight="false" outlineLevel="0" collapsed="false">
      <c r="A92" s="11"/>
      <c r="B92" s="12"/>
      <c r="C92" s="12"/>
      <c r="D92" s="16" t="str">
        <f aca="false">IF(A92="","",IF(SUMPRODUCT(--(SUBSTITUTE(SUBSTITUTE(決算精算表!$D$9:$D$46," ",""),"　","")=SUBSTITUTE(SUBSTITUTE(A92," ",""),"　","")))=0,"× 精算表に科目なし","○"))</f>
        <v/>
      </c>
    </row>
    <row r="93" customFormat="false" ht="15" hidden="false" customHeight="false" outlineLevel="0" collapsed="false">
      <c r="A93" s="11"/>
      <c r="B93" s="12"/>
      <c r="C93" s="12"/>
      <c r="D93" s="16" t="str">
        <f aca="false">IF(A93="","",IF(SUMPRODUCT(--(SUBSTITUTE(SUBSTITUTE(決算精算表!$D$9:$D$46," ",""),"　","")=SUBSTITUTE(SUBSTITUTE(A93," ",""),"　","")))=0,"× 精算表に科目なし","○"))</f>
        <v/>
      </c>
    </row>
    <row r="94" customFormat="false" ht="15" hidden="false" customHeight="false" outlineLevel="0" collapsed="false">
      <c r="A94" s="11"/>
      <c r="B94" s="12"/>
      <c r="C94" s="12"/>
      <c r="D94" s="16" t="str">
        <f aca="false">IF(A94="","",IF(SUMPRODUCT(--(SUBSTITUTE(SUBSTITUTE(決算精算表!$D$9:$D$46," ",""),"　","")=SUBSTITUTE(SUBSTITUTE(A94," ",""),"　","")))=0,"× 精算表に科目なし","○"))</f>
        <v/>
      </c>
    </row>
    <row r="95" customFormat="false" ht="15" hidden="false" customHeight="false" outlineLevel="0" collapsed="false">
      <c r="A95" s="11"/>
      <c r="B95" s="12"/>
      <c r="C95" s="12"/>
      <c r="D95" s="16" t="str">
        <f aca="false">IF(A95="","",IF(SUMPRODUCT(--(SUBSTITUTE(SUBSTITUTE(決算精算表!$D$9:$D$46," ",""),"　","")=SUBSTITUTE(SUBSTITUTE(A95," ",""),"　","")))=0,"× 精算表に科目なし","○"))</f>
        <v/>
      </c>
    </row>
    <row r="96" customFormat="false" ht="15" hidden="false" customHeight="false" outlineLevel="0" collapsed="false">
      <c r="A96" s="11"/>
      <c r="B96" s="12"/>
      <c r="C96" s="12"/>
      <c r="D96" s="16" t="str">
        <f aca="false">IF(A96="","",IF(SUMPRODUCT(--(SUBSTITUTE(SUBSTITUTE(決算精算表!$D$9:$D$46," ",""),"　","")=SUBSTITUTE(SUBSTITUTE(A96," ",""),"　","")))=0,"× 精算表に科目なし","○"))</f>
        <v/>
      </c>
    </row>
    <row r="97" customFormat="false" ht="15" hidden="false" customHeight="false" outlineLevel="0" collapsed="false">
      <c r="A97" s="11"/>
      <c r="B97" s="12"/>
      <c r="C97" s="12"/>
      <c r="D97" s="16" t="str">
        <f aca="false">IF(A97="","",IF(SUMPRODUCT(--(SUBSTITUTE(SUBSTITUTE(決算精算表!$D$9:$D$46," ",""),"　","")=SUBSTITUTE(SUBSTITUTE(A97," ",""),"　","")))=0,"× 精算表に科目なし","○"))</f>
        <v/>
      </c>
    </row>
    <row r="98" customFormat="false" ht="15" hidden="false" customHeight="false" outlineLevel="0" collapsed="false">
      <c r="A98" s="11"/>
      <c r="B98" s="12"/>
      <c r="C98" s="12"/>
      <c r="D98" s="16" t="str">
        <f aca="false">IF(A98="","",IF(SUMPRODUCT(--(SUBSTITUTE(SUBSTITUTE(決算精算表!$D$9:$D$46," ",""),"　","")=SUBSTITUTE(SUBSTITUTE(A98," ",""),"　","")))=0,"× 精算表に科目なし","○"))</f>
        <v/>
      </c>
    </row>
    <row r="99" customFormat="false" ht="15" hidden="false" customHeight="false" outlineLevel="0" collapsed="false">
      <c r="A99" s="11"/>
      <c r="B99" s="12"/>
      <c r="C99" s="12"/>
      <c r="D99" s="16" t="str">
        <f aca="false">IF(A99="","",IF(SUMPRODUCT(--(SUBSTITUTE(SUBSTITUTE(決算精算表!$D$9:$D$46," ",""),"　","")=SUBSTITUTE(SUBSTITUTE(A99," ",""),"　","")))=0,"× 精算表に科目なし","○"))</f>
        <v/>
      </c>
    </row>
    <row r="100" customFormat="false" ht="15" hidden="false" customHeight="false" outlineLevel="0" collapsed="false">
      <c r="A100" s="11"/>
      <c r="B100" s="12"/>
      <c r="C100" s="12"/>
      <c r="D100" s="16" t="str">
        <f aca="false">IF(A100="","",IF(SUMPRODUCT(--(SUBSTITUTE(SUBSTITUTE(決算精算表!$D$9:$D$46," ",""),"　","")=SUBSTITUTE(SUBSTITUTE(A100," ",""),"　","")))=0,"× 精算表に科目なし","○"))</f>
        <v/>
      </c>
    </row>
    <row r="101" customFormat="false" ht="15" hidden="false" customHeight="false" outlineLevel="0" collapsed="false">
      <c r="A101" s="11"/>
      <c r="B101" s="12"/>
      <c r="C101" s="12"/>
      <c r="D101" s="16" t="str">
        <f aca="false">IF(A101="","",IF(SUMPRODUCT(--(SUBSTITUTE(SUBSTITUTE(決算精算表!$D$9:$D$46," ",""),"　","")=SUBSTITUTE(SUBSTITUTE(A101," ",""),"　","")))=0,"× 精算表に科目なし","○"))</f>
        <v/>
      </c>
    </row>
    <row r="102" customFormat="false" ht="15" hidden="false" customHeight="false" outlineLevel="0" collapsed="false">
      <c r="A102" s="11"/>
      <c r="B102" s="12"/>
      <c r="C102" s="12"/>
      <c r="D102" s="16" t="str">
        <f aca="false">IF(A102="","",IF(SUMPRODUCT(--(SUBSTITUTE(SUBSTITUTE(決算精算表!$D$9:$D$46," ",""),"　","")=SUBSTITUTE(SUBSTITUTE(A102," ",""),"　","")))=0,"× 精算表に科目なし","○"))</f>
        <v/>
      </c>
    </row>
    <row r="103" customFormat="false" ht="15" hidden="false" customHeight="false" outlineLevel="0" collapsed="false">
      <c r="A103" s="11"/>
      <c r="B103" s="12"/>
      <c r="C103" s="12"/>
      <c r="D103" s="16" t="str">
        <f aca="false">IF(A103="","",IF(SUMPRODUCT(--(SUBSTITUTE(SUBSTITUTE(決算精算表!$D$9:$D$46," ",""),"　","")=SUBSTITUTE(SUBSTITUTE(A103," ",""),"　","")))=0,"× 精算表に科目なし","○"))</f>
        <v/>
      </c>
    </row>
    <row r="104" customFormat="false" ht="15" hidden="false" customHeight="false" outlineLevel="0" collapsed="false">
      <c r="A104" s="11"/>
      <c r="B104" s="12"/>
      <c r="C104" s="12"/>
      <c r="D104" s="16" t="str">
        <f aca="false">IF(A104="","",IF(SUMPRODUCT(--(SUBSTITUTE(SUBSTITUTE(決算精算表!$D$9:$D$46," ",""),"　","")=SUBSTITUTE(SUBSTITUTE(A104," ",""),"　","")))=0,"× 精算表に科目なし","○"))</f>
        <v/>
      </c>
    </row>
    <row r="105" customFormat="false" ht="15" hidden="false" customHeight="false" outlineLevel="0" collapsed="false">
      <c r="A105" s="11"/>
      <c r="B105" s="12"/>
      <c r="C105" s="12"/>
      <c r="D105" s="16" t="str">
        <f aca="false">IF(A105="","",IF(SUMPRODUCT(--(SUBSTITUTE(SUBSTITUTE(決算精算表!$D$9:$D$46," ",""),"　","")=SUBSTITUTE(SUBSTITUTE(A105," ",""),"　","")))=0,"× 精算表に科目なし","○"))</f>
        <v/>
      </c>
    </row>
    <row r="106" customFormat="false" ht="15" hidden="false" customHeight="false" outlineLevel="0" collapsed="false">
      <c r="A106" s="11"/>
      <c r="B106" s="12"/>
      <c r="C106" s="12"/>
      <c r="D106" s="16" t="str">
        <f aca="false">IF(A106="","",IF(SUMPRODUCT(--(SUBSTITUTE(SUBSTITUTE(決算精算表!$D$9:$D$46," ",""),"　","")=SUBSTITUTE(SUBSTITUTE(A106," ",""),"　","")))=0,"× 精算表に科目なし","○"))</f>
        <v/>
      </c>
    </row>
    <row r="107" customFormat="false" ht="15" hidden="false" customHeight="false" outlineLevel="0" collapsed="false">
      <c r="A107" s="11"/>
      <c r="B107" s="12"/>
      <c r="C107" s="12"/>
      <c r="D107" s="16" t="str">
        <f aca="false">IF(A107="","",IF(SUMPRODUCT(--(SUBSTITUTE(SUBSTITUTE(決算精算表!$D$9:$D$46," ",""),"　","")=SUBSTITUTE(SUBSTITUTE(A107," ",""),"　","")))=0,"× 精算表に科目なし","○"))</f>
        <v/>
      </c>
    </row>
    <row r="108" customFormat="false" ht="15" hidden="false" customHeight="false" outlineLevel="0" collapsed="false">
      <c r="A108" s="11"/>
      <c r="B108" s="12"/>
      <c r="C108" s="12"/>
      <c r="D108" s="16" t="str">
        <f aca="false">IF(A108="","",IF(SUMPRODUCT(--(SUBSTITUTE(SUBSTITUTE(決算精算表!$D$9:$D$46," ",""),"　","")=SUBSTITUTE(SUBSTITUTE(A108," ",""),"　","")))=0,"× 精算表に科目なし","○"))</f>
        <v/>
      </c>
    </row>
    <row r="109" customFormat="false" ht="15" hidden="false" customHeight="false" outlineLevel="0" collapsed="false">
      <c r="A109" s="11"/>
      <c r="B109" s="12"/>
      <c r="C109" s="12"/>
      <c r="D109" s="16" t="str">
        <f aca="false">IF(A109="","",IF(SUMPRODUCT(--(SUBSTITUTE(SUBSTITUTE(決算精算表!$D$9:$D$46," ",""),"　","")=SUBSTITUTE(SUBSTITUTE(A109," ",""),"　","")))=0,"× 精算表に科目なし","○"))</f>
        <v/>
      </c>
    </row>
    <row r="110" customFormat="false" ht="15" hidden="false" customHeight="false" outlineLevel="0" collapsed="false">
      <c r="A110" s="11"/>
      <c r="B110" s="12"/>
      <c r="C110" s="12"/>
      <c r="D110" s="16" t="str">
        <f aca="false">IF(A110="","",IF(SUMPRODUCT(--(SUBSTITUTE(SUBSTITUTE(決算精算表!$D$9:$D$46," ",""),"　","")=SUBSTITUTE(SUBSTITUTE(A110," ",""),"　","")))=0,"× 精算表に科目なし","○"))</f>
        <v/>
      </c>
    </row>
    <row r="111" customFormat="false" ht="15" hidden="false" customHeight="false" outlineLevel="0" collapsed="false">
      <c r="A111" s="11"/>
      <c r="B111" s="12"/>
      <c r="C111" s="12"/>
      <c r="D111" s="16" t="str">
        <f aca="false">IF(A111="","",IF(SUMPRODUCT(--(SUBSTITUTE(SUBSTITUTE(決算精算表!$D$9:$D$46," ",""),"　","")=SUBSTITUTE(SUBSTITUTE(A111," ",""),"　","")))=0,"× 精算表に科目なし","○"))</f>
        <v/>
      </c>
    </row>
    <row r="112" customFormat="false" ht="15" hidden="false" customHeight="false" outlineLevel="0" collapsed="false">
      <c r="A112" s="11"/>
      <c r="B112" s="12"/>
      <c r="C112" s="12"/>
      <c r="D112" s="16" t="str">
        <f aca="false">IF(A112="","",IF(SUMPRODUCT(--(SUBSTITUTE(SUBSTITUTE(決算精算表!$D$9:$D$46," ",""),"　","")=SUBSTITUTE(SUBSTITUTE(A112," ",""),"　","")))=0,"× 精算表に科目なし","○"))</f>
        <v/>
      </c>
    </row>
    <row r="113" customFormat="false" ht="15" hidden="false" customHeight="false" outlineLevel="0" collapsed="false">
      <c r="A113" s="11"/>
      <c r="B113" s="12"/>
      <c r="C113" s="12"/>
      <c r="D113" s="16" t="str">
        <f aca="false">IF(A113="","",IF(SUMPRODUCT(--(SUBSTITUTE(SUBSTITUTE(決算精算表!$D$9:$D$46," ",""),"　","")=SUBSTITUTE(SUBSTITUTE(A113," ",""),"　","")))=0,"× 精算表に科目なし","○"))</f>
        <v/>
      </c>
    </row>
    <row r="114" customFormat="false" ht="15" hidden="false" customHeight="false" outlineLevel="0" collapsed="false">
      <c r="A114" s="11"/>
      <c r="B114" s="12"/>
      <c r="C114" s="12"/>
      <c r="D114" s="16" t="str">
        <f aca="false">IF(A114="","",IF(SUMPRODUCT(--(SUBSTITUTE(SUBSTITUTE(決算精算表!$D$9:$D$46," ",""),"　","")=SUBSTITUTE(SUBSTITUTE(A114," ",""),"　","")))=0,"× 精算表に科目なし","○"))</f>
        <v/>
      </c>
    </row>
    <row r="115" customFormat="false" ht="15" hidden="false" customHeight="false" outlineLevel="0" collapsed="false">
      <c r="A115" s="11"/>
      <c r="B115" s="12"/>
      <c r="C115" s="12"/>
      <c r="D115" s="16" t="str">
        <f aca="false">IF(A115="","",IF(SUMPRODUCT(--(SUBSTITUTE(SUBSTITUTE(決算精算表!$D$9:$D$46," ",""),"　","")=SUBSTITUTE(SUBSTITUTE(A115," ",""),"　","")))=0,"× 精算表に科目なし","○"))</f>
        <v/>
      </c>
    </row>
    <row r="116" customFormat="false" ht="15" hidden="false" customHeight="false" outlineLevel="0" collapsed="false">
      <c r="A116" s="11"/>
      <c r="B116" s="12"/>
      <c r="C116" s="12"/>
      <c r="D116" s="16" t="str">
        <f aca="false">IF(A116="","",IF(SUMPRODUCT(--(SUBSTITUTE(SUBSTITUTE(決算精算表!$D$9:$D$46," ",""),"　","")=SUBSTITUTE(SUBSTITUTE(A116," ",""),"　","")))=0,"× 精算表に科目なし","○"))</f>
        <v/>
      </c>
    </row>
    <row r="117" customFormat="false" ht="15" hidden="false" customHeight="false" outlineLevel="0" collapsed="false">
      <c r="A117" s="11"/>
      <c r="B117" s="12"/>
      <c r="C117" s="12"/>
      <c r="D117" s="16" t="str">
        <f aca="false">IF(A117="","",IF(SUMPRODUCT(--(SUBSTITUTE(SUBSTITUTE(決算精算表!$D$9:$D$46," ",""),"　","")=SUBSTITUTE(SUBSTITUTE(A117," ",""),"　","")))=0,"× 精算表に科目なし","○"))</f>
        <v/>
      </c>
    </row>
    <row r="118" customFormat="false" ht="15" hidden="false" customHeight="false" outlineLevel="0" collapsed="false">
      <c r="A118" s="11"/>
      <c r="B118" s="12"/>
      <c r="C118" s="12"/>
      <c r="D118" s="16" t="str">
        <f aca="false">IF(A118="","",IF(SUMPRODUCT(--(SUBSTITUTE(SUBSTITUTE(決算精算表!$D$9:$D$46," ",""),"　","")=SUBSTITUTE(SUBSTITUTE(A118," ",""),"　","")))=0,"× 精算表に科目なし","○"))</f>
        <v/>
      </c>
    </row>
    <row r="119" customFormat="false" ht="15" hidden="false" customHeight="false" outlineLevel="0" collapsed="false">
      <c r="A119" s="11"/>
      <c r="B119" s="12"/>
      <c r="C119" s="12"/>
      <c r="D119" s="16" t="str">
        <f aca="false">IF(A119="","",IF(SUMPRODUCT(--(SUBSTITUTE(SUBSTITUTE(決算精算表!$D$9:$D$46," ",""),"　","")=SUBSTITUTE(SUBSTITUTE(A119," ",""),"　","")))=0,"× 精算表に科目なし","○"))</f>
        <v/>
      </c>
    </row>
    <row r="120" customFormat="false" ht="15" hidden="false" customHeight="false" outlineLevel="0" collapsed="false">
      <c r="A120" s="11"/>
      <c r="B120" s="12"/>
      <c r="C120" s="12"/>
      <c r="D120" s="16" t="str">
        <f aca="false">IF(A120="","",IF(SUMPRODUCT(--(SUBSTITUTE(SUBSTITUTE(決算精算表!$D$9:$D$46," ",""),"　","")=SUBSTITUTE(SUBSTITUTE(A120," ",""),"　","")))=0,"× 精算表に科目なし","○"))</f>
        <v/>
      </c>
    </row>
    <row r="121" customFormat="false" ht="15" hidden="false" customHeight="false" outlineLevel="0" collapsed="false">
      <c r="A121" s="11"/>
      <c r="B121" s="12"/>
      <c r="C121" s="12"/>
      <c r="D121" s="16" t="str">
        <f aca="false">IF(A121="","",IF(SUMPRODUCT(--(SUBSTITUTE(SUBSTITUTE(決算精算表!$D$9:$D$46," ",""),"　","")=SUBSTITUTE(SUBSTITUTE(A121," ",""),"　","")))=0,"× 精算表に科目なし","○"))</f>
        <v/>
      </c>
    </row>
    <row r="122" customFormat="false" ht="15" hidden="false" customHeight="false" outlineLevel="0" collapsed="false">
      <c r="A122" s="11"/>
      <c r="B122" s="12"/>
      <c r="C122" s="12"/>
      <c r="D122" s="16" t="str">
        <f aca="false">IF(A122="","",IF(SUMPRODUCT(--(SUBSTITUTE(SUBSTITUTE(決算精算表!$D$9:$D$46," ",""),"　","")=SUBSTITUTE(SUBSTITUTE(A122," ",""),"　","")))=0,"× 精算表に科目なし","○"))</f>
        <v/>
      </c>
    </row>
    <row r="123" customFormat="false" ht="15" hidden="false" customHeight="false" outlineLevel="0" collapsed="false">
      <c r="A123" s="11"/>
      <c r="B123" s="12"/>
      <c r="C123" s="12"/>
      <c r="D123" s="16" t="str">
        <f aca="false">IF(A123="","",IF(SUMPRODUCT(--(SUBSTITUTE(SUBSTITUTE(決算精算表!$D$9:$D$46," ",""),"　","")=SUBSTITUTE(SUBSTITUTE(A123," ",""),"　","")))=0,"× 精算表に科目なし","○"))</f>
        <v/>
      </c>
    </row>
    <row r="124" customFormat="false" ht="15" hidden="false" customHeight="false" outlineLevel="0" collapsed="false">
      <c r="A124" s="11"/>
      <c r="B124" s="12"/>
      <c r="C124" s="12"/>
      <c r="D124" s="16" t="str">
        <f aca="false">IF(A124="","",IF(SUMPRODUCT(--(SUBSTITUTE(SUBSTITUTE(決算精算表!$D$9:$D$46," ",""),"　","")=SUBSTITUTE(SUBSTITUTE(A124," ",""),"　","")))=0,"× 精算表に科目なし","○"))</f>
        <v/>
      </c>
    </row>
    <row r="125" customFormat="false" ht="15" hidden="false" customHeight="false" outlineLevel="0" collapsed="false">
      <c r="A125" s="11"/>
      <c r="B125" s="12"/>
      <c r="C125" s="12"/>
      <c r="D125" s="16" t="str">
        <f aca="false">IF(A125="","",IF(SUMPRODUCT(--(SUBSTITUTE(SUBSTITUTE(決算精算表!$D$9:$D$46," ",""),"　","")=SUBSTITUTE(SUBSTITUTE(A125," ",""),"　","")))=0,"× 精算表に科目なし","○"))</f>
        <v/>
      </c>
    </row>
    <row r="126" customFormat="false" ht="15" hidden="false" customHeight="false" outlineLevel="0" collapsed="false">
      <c r="A126" s="11"/>
      <c r="B126" s="12"/>
      <c r="C126" s="12"/>
      <c r="D126" s="16" t="str">
        <f aca="false">IF(A126="","",IF(SUMPRODUCT(--(SUBSTITUTE(SUBSTITUTE(決算精算表!$D$9:$D$46," ",""),"　","")=SUBSTITUTE(SUBSTITUTE(A126," ",""),"　","")))=0,"× 精算表に科目なし","○"))</f>
        <v/>
      </c>
    </row>
    <row r="127" customFormat="false" ht="15" hidden="false" customHeight="false" outlineLevel="0" collapsed="false">
      <c r="A127" s="11"/>
      <c r="B127" s="12"/>
      <c r="C127" s="12"/>
      <c r="D127" s="16" t="str">
        <f aca="false">IF(A127="","",IF(SUMPRODUCT(--(SUBSTITUTE(SUBSTITUTE(決算精算表!$D$9:$D$46," ",""),"　","")=SUBSTITUTE(SUBSTITUTE(A127," ",""),"　","")))=0,"× 精算表に科目なし","○"))</f>
        <v/>
      </c>
    </row>
    <row r="128" customFormat="false" ht="15" hidden="false" customHeight="false" outlineLevel="0" collapsed="false">
      <c r="A128" s="11"/>
      <c r="B128" s="12"/>
      <c r="C128" s="12"/>
      <c r="D128" s="16" t="str">
        <f aca="false">IF(A128="","",IF(SUMPRODUCT(--(SUBSTITUTE(SUBSTITUTE(決算精算表!$D$9:$D$46," ",""),"　","")=SUBSTITUTE(SUBSTITUTE(A128," ",""),"　","")))=0,"× 精算表に科目なし","○"))</f>
        <v/>
      </c>
    </row>
    <row r="129" customFormat="false" ht="15" hidden="false" customHeight="false" outlineLevel="0" collapsed="false">
      <c r="A129" s="11"/>
      <c r="B129" s="12"/>
      <c r="C129" s="12"/>
      <c r="D129" s="16" t="str">
        <f aca="false">IF(A129="","",IF(SUMPRODUCT(--(SUBSTITUTE(SUBSTITUTE(決算精算表!$D$9:$D$46," ",""),"　","")=SUBSTITUTE(SUBSTITUTE(A129," ",""),"　","")))=0,"× 精算表に科目なし","○"))</f>
        <v/>
      </c>
    </row>
    <row r="130" customFormat="false" ht="15" hidden="false" customHeight="false" outlineLevel="0" collapsed="false">
      <c r="A130" s="11"/>
      <c r="B130" s="12"/>
      <c r="C130" s="12"/>
      <c r="D130" s="16" t="str">
        <f aca="false">IF(A130="","",IF(SUMPRODUCT(--(SUBSTITUTE(SUBSTITUTE(決算精算表!$D$9:$D$46," ",""),"　","")=SUBSTITUTE(SUBSTITUTE(A130," ",""),"　","")))=0,"× 精算表に科目なし","○"))</f>
        <v/>
      </c>
    </row>
    <row r="131" customFormat="false" ht="15" hidden="false" customHeight="false" outlineLevel="0" collapsed="false">
      <c r="A131" s="11"/>
      <c r="B131" s="12"/>
      <c r="C131" s="12"/>
      <c r="D131" s="16" t="str">
        <f aca="false">IF(A131="","",IF(SUMPRODUCT(--(SUBSTITUTE(SUBSTITUTE(決算精算表!$D$9:$D$46," ",""),"　","")=SUBSTITUTE(SUBSTITUTE(A131," ",""),"　","")))=0,"× 精算表に科目なし","○"))</f>
        <v/>
      </c>
    </row>
    <row r="132" customFormat="false" ht="15" hidden="false" customHeight="false" outlineLevel="0" collapsed="false">
      <c r="A132" s="11"/>
      <c r="B132" s="12"/>
      <c r="C132" s="12"/>
      <c r="D132" s="16" t="str">
        <f aca="false">IF(A132="","",IF(SUMPRODUCT(--(SUBSTITUTE(SUBSTITUTE(決算精算表!$D$9:$D$46," ",""),"　","")=SUBSTITUTE(SUBSTITUTE(A132," ",""),"　","")))=0,"× 精算表に科目なし","○"))</f>
        <v/>
      </c>
    </row>
    <row r="133" customFormat="false" ht="15" hidden="false" customHeight="false" outlineLevel="0" collapsed="false">
      <c r="A133" s="11"/>
      <c r="B133" s="12"/>
      <c r="C133" s="12"/>
      <c r="D133" s="16" t="str">
        <f aca="false">IF(A133="","",IF(SUMPRODUCT(--(SUBSTITUTE(SUBSTITUTE(決算精算表!$D$9:$D$46," ",""),"　","")=SUBSTITUTE(SUBSTITUTE(A133," ",""),"　","")))=0,"× 精算表に科目なし","○"))</f>
        <v/>
      </c>
    </row>
    <row r="134" customFormat="false" ht="15" hidden="false" customHeight="false" outlineLevel="0" collapsed="false">
      <c r="A134" s="11"/>
      <c r="B134" s="12"/>
      <c r="C134" s="12"/>
      <c r="D134" s="16" t="str">
        <f aca="false">IF(A134="","",IF(SUMPRODUCT(--(SUBSTITUTE(SUBSTITUTE(決算精算表!$D$9:$D$46," ",""),"　","")=SUBSTITUTE(SUBSTITUTE(A134," ",""),"　","")))=0,"× 精算表に科目なし","○"))</f>
        <v/>
      </c>
    </row>
    <row r="135" customFormat="false" ht="15" hidden="false" customHeight="false" outlineLevel="0" collapsed="false">
      <c r="A135" s="11"/>
      <c r="B135" s="12"/>
      <c r="C135" s="12"/>
      <c r="D135" s="16" t="str">
        <f aca="false">IF(A135="","",IF(SUMPRODUCT(--(SUBSTITUTE(SUBSTITUTE(決算精算表!$D$9:$D$46," ",""),"　","")=SUBSTITUTE(SUBSTITUTE(A135," ",""),"　","")))=0,"× 精算表に科目なし","○"))</f>
        <v/>
      </c>
    </row>
    <row r="136" customFormat="false" ht="15" hidden="false" customHeight="false" outlineLevel="0" collapsed="false">
      <c r="A136" s="11"/>
      <c r="B136" s="12"/>
      <c r="C136" s="12"/>
      <c r="D136" s="16" t="str">
        <f aca="false">IF(A136="","",IF(SUMPRODUCT(--(SUBSTITUTE(SUBSTITUTE(決算精算表!$D$9:$D$46," ",""),"　","")=SUBSTITUTE(SUBSTITUTE(A136," ",""),"　","")))=0,"× 精算表に科目なし","○"))</f>
        <v/>
      </c>
    </row>
    <row r="137" customFormat="false" ht="15" hidden="false" customHeight="false" outlineLevel="0" collapsed="false">
      <c r="A137" s="11"/>
      <c r="B137" s="12"/>
      <c r="C137" s="12"/>
      <c r="D137" s="16" t="str">
        <f aca="false">IF(A137="","",IF(SUMPRODUCT(--(SUBSTITUTE(SUBSTITUTE(決算精算表!$D$9:$D$46," ",""),"　","")=SUBSTITUTE(SUBSTITUTE(A137," ",""),"　","")))=0,"× 精算表に科目なし","○"))</f>
        <v/>
      </c>
    </row>
    <row r="138" customFormat="false" ht="15" hidden="false" customHeight="false" outlineLevel="0" collapsed="false">
      <c r="A138" s="11"/>
      <c r="B138" s="12"/>
      <c r="C138" s="12"/>
      <c r="D138" s="16" t="str">
        <f aca="false">IF(A138="","",IF(SUMPRODUCT(--(SUBSTITUTE(SUBSTITUTE(決算精算表!$D$9:$D$46," ",""),"　","")=SUBSTITUTE(SUBSTITUTE(A138," ",""),"　","")))=0,"× 精算表に科目なし","○"))</f>
        <v/>
      </c>
    </row>
    <row r="139" customFormat="false" ht="15" hidden="false" customHeight="false" outlineLevel="0" collapsed="false">
      <c r="A139" s="11"/>
      <c r="B139" s="12"/>
      <c r="C139" s="12"/>
      <c r="D139" s="16" t="str">
        <f aca="false">IF(A139="","",IF(SUMPRODUCT(--(SUBSTITUTE(SUBSTITUTE(決算精算表!$D$9:$D$46," ",""),"　","")=SUBSTITUTE(SUBSTITUTE(A139," ",""),"　","")))=0,"× 精算表に科目なし","○"))</f>
        <v/>
      </c>
    </row>
    <row r="140" customFormat="false" ht="15" hidden="false" customHeight="false" outlineLevel="0" collapsed="false">
      <c r="A140" s="11"/>
      <c r="B140" s="12"/>
      <c r="C140" s="12"/>
      <c r="D140" s="16" t="str">
        <f aca="false">IF(A140="","",IF(SUMPRODUCT(--(SUBSTITUTE(SUBSTITUTE(決算精算表!$D$9:$D$46," ",""),"　","")=SUBSTITUTE(SUBSTITUTE(A140," ",""),"　","")))=0,"× 精算表に科目なし","○"))</f>
        <v/>
      </c>
    </row>
    <row r="141" customFormat="false" ht="15" hidden="false" customHeight="false" outlineLevel="0" collapsed="false">
      <c r="A141" s="11"/>
      <c r="B141" s="12"/>
      <c r="C141" s="12"/>
      <c r="D141" s="16" t="str">
        <f aca="false">IF(A141="","",IF(SUMPRODUCT(--(SUBSTITUTE(SUBSTITUTE(決算精算表!$D$9:$D$46," ",""),"　","")=SUBSTITUTE(SUBSTITUTE(A141," ",""),"　","")))=0,"× 精算表に科目なし","○"))</f>
        <v/>
      </c>
    </row>
    <row r="142" customFormat="false" ht="15" hidden="false" customHeight="false" outlineLevel="0" collapsed="false">
      <c r="A142" s="11"/>
      <c r="B142" s="12"/>
      <c r="C142" s="12"/>
      <c r="D142" s="16" t="str">
        <f aca="false">IF(A142="","",IF(SUMPRODUCT(--(SUBSTITUTE(SUBSTITUTE(決算精算表!$D$9:$D$46," ",""),"　","")=SUBSTITUTE(SUBSTITUTE(A142," ",""),"　","")))=0,"× 精算表に科目なし","○"))</f>
        <v/>
      </c>
    </row>
    <row r="143" customFormat="false" ht="15" hidden="false" customHeight="false" outlineLevel="0" collapsed="false">
      <c r="A143" s="11"/>
      <c r="B143" s="12"/>
      <c r="C143" s="12"/>
      <c r="D143" s="16" t="str">
        <f aca="false">IF(A143="","",IF(SUMPRODUCT(--(SUBSTITUTE(SUBSTITUTE(決算精算表!$D$9:$D$46," ",""),"　","")=SUBSTITUTE(SUBSTITUTE(A143," ",""),"　","")))=0,"× 精算表に科目なし","○"))</f>
        <v/>
      </c>
    </row>
    <row r="144" customFormat="false" ht="15" hidden="false" customHeight="false" outlineLevel="0" collapsed="false">
      <c r="A144" s="11"/>
      <c r="B144" s="12"/>
      <c r="C144" s="12"/>
      <c r="D144" s="16" t="str">
        <f aca="false">IF(A144="","",IF(SUMPRODUCT(--(SUBSTITUTE(SUBSTITUTE(決算精算表!$D$9:$D$46," ",""),"　","")=SUBSTITUTE(SUBSTITUTE(A144," ",""),"　","")))=0,"× 精算表に科目なし","○"))</f>
        <v/>
      </c>
    </row>
    <row r="145" customFormat="false" ht="15" hidden="false" customHeight="false" outlineLevel="0" collapsed="false">
      <c r="A145" s="11"/>
      <c r="B145" s="12"/>
      <c r="C145" s="12"/>
      <c r="D145" s="16" t="str">
        <f aca="false">IF(A145="","",IF(SUMPRODUCT(--(SUBSTITUTE(SUBSTITUTE(決算精算表!$D$9:$D$46," ",""),"　","")=SUBSTITUTE(SUBSTITUTE(A145," ",""),"　","")))=0,"× 精算表に科目なし","○"))</f>
        <v/>
      </c>
    </row>
    <row r="146" customFormat="false" ht="15" hidden="false" customHeight="false" outlineLevel="0" collapsed="false">
      <c r="A146" s="11"/>
      <c r="B146" s="12"/>
      <c r="C146" s="12"/>
      <c r="D146" s="16" t="str">
        <f aca="false">IF(A146="","",IF(SUMPRODUCT(--(SUBSTITUTE(SUBSTITUTE(決算精算表!$D$9:$D$46," ",""),"　","")=SUBSTITUTE(SUBSTITUTE(A146," ",""),"　","")))=0,"× 精算表に科目なし","○"))</f>
        <v/>
      </c>
    </row>
    <row r="147" customFormat="false" ht="15" hidden="false" customHeight="false" outlineLevel="0" collapsed="false">
      <c r="A147" s="11"/>
      <c r="B147" s="12"/>
      <c r="C147" s="12"/>
      <c r="D147" s="16" t="str">
        <f aca="false">IF(A147="","",IF(SUMPRODUCT(--(SUBSTITUTE(SUBSTITUTE(決算精算表!$D$9:$D$46," ",""),"　","")=SUBSTITUTE(SUBSTITUTE(A147," ",""),"　","")))=0,"× 精算表に科目なし","○"))</f>
        <v/>
      </c>
    </row>
    <row r="148" customFormat="false" ht="15" hidden="false" customHeight="false" outlineLevel="0" collapsed="false">
      <c r="A148" s="11"/>
      <c r="B148" s="12"/>
      <c r="C148" s="12"/>
      <c r="D148" s="16" t="str">
        <f aca="false">IF(A148="","",IF(SUMPRODUCT(--(SUBSTITUTE(SUBSTITUTE(決算精算表!$D$9:$D$46," ",""),"　","")=SUBSTITUTE(SUBSTITUTE(A148," ",""),"　","")))=0,"× 精算表に科目なし","○"))</f>
        <v/>
      </c>
    </row>
    <row r="149" customFormat="false" ht="15" hidden="false" customHeight="false" outlineLevel="0" collapsed="false">
      <c r="A149" s="11"/>
      <c r="B149" s="12"/>
      <c r="C149" s="12"/>
      <c r="D149" s="16" t="str">
        <f aca="false">IF(A149="","",IF(SUMPRODUCT(--(SUBSTITUTE(SUBSTITUTE(決算精算表!$D$9:$D$46," ",""),"　","")=SUBSTITUTE(SUBSTITUTE(A149," ",""),"　","")))=0,"× 精算表に科目なし","○"))</f>
        <v/>
      </c>
    </row>
    <row r="150" customFormat="false" ht="15" hidden="false" customHeight="false" outlineLevel="0" collapsed="false">
      <c r="A150" s="11"/>
      <c r="B150" s="12"/>
      <c r="C150" s="12"/>
      <c r="D150" s="16" t="str">
        <f aca="false">IF(A150="","",IF(SUMPRODUCT(--(SUBSTITUTE(SUBSTITUTE(決算精算表!$D$9:$D$46," ",""),"　","")=SUBSTITUTE(SUBSTITUTE(A150," ",""),"　","")))=0,"× 精算表に科目なし","○"))</f>
        <v/>
      </c>
    </row>
    <row r="151" customFormat="false" ht="15" hidden="false" customHeight="false" outlineLevel="0" collapsed="false">
      <c r="A151" s="11"/>
      <c r="B151" s="12"/>
      <c r="C151" s="12"/>
      <c r="D151" s="16" t="str">
        <f aca="false">IF(A151="","",IF(SUMPRODUCT(--(SUBSTITUTE(SUBSTITUTE(決算精算表!$D$9:$D$46," ",""),"　","")=SUBSTITUTE(SUBSTITUTE(A151," ",""),"　","")))=0,"× 精算表に科目なし","○"))</f>
        <v/>
      </c>
    </row>
    <row r="152" customFormat="false" ht="15" hidden="false" customHeight="false" outlineLevel="0" collapsed="false">
      <c r="A152" s="11"/>
      <c r="B152" s="12"/>
      <c r="C152" s="12"/>
      <c r="D152" s="16" t="str">
        <f aca="false">IF(A152="","",IF(SUMPRODUCT(--(SUBSTITUTE(SUBSTITUTE(決算精算表!$D$9:$D$46," ",""),"　","")=SUBSTITUTE(SUBSTITUTE(A152," ",""),"　","")))=0,"× 精算表に科目なし","○"))</f>
        <v/>
      </c>
    </row>
    <row r="153" customFormat="false" ht="15" hidden="false" customHeight="false" outlineLevel="0" collapsed="false">
      <c r="A153" s="11"/>
      <c r="B153" s="12"/>
      <c r="C153" s="12"/>
      <c r="D153" s="16" t="str">
        <f aca="false">IF(A153="","",IF(SUMPRODUCT(--(SUBSTITUTE(SUBSTITUTE(決算精算表!$D$9:$D$46," ",""),"　","")=SUBSTITUTE(SUBSTITUTE(A153," ",""),"　","")))=0,"× 精算表に科目なし","○"))</f>
        <v/>
      </c>
    </row>
    <row r="154" customFormat="false" ht="15" hidden="false" customHeight="false" outlineLevel="0" collapsed="false">
      <c r="A154" s="11"/>
      <c r="B154" s="12"/>
      <c r="C154" s="12"/>
      <c r="D154" s="16" t="str">
        <f aca="false">IF(A154="","",IF(SUMPRODUCT(--(SUBSTITUTE(SUBSTITUTE(決算精算表!$D$9:$D$46," ",""),"　","")=SUBSTITUTE(SUBSTITUTE(A154," ",""),"　","")))=0,"× 精算表に科目なし","○"))</f>
        <v/>
      </c>
    </row>
    <row r="155" customFormat="false" ht="15" hidden="false" customHeight="false" outlineLevel="0" collapsed="false">
      <c r="A155" s="11"/>
      <c r="B155" s="12"/>
      <c r="C155" s="12"/>
      <c r="D155" s="16" t="str">
        <f aca="false">IF(A155="","",IF(SUMPRODUCT(--(SUBSTITUTE(SUBSTITUTE(決算精算表!$D$9:$D$46," ",""),"　","")=SUBSTITUTE(SUBSTITUTE(A155," ",""),"　","")))=0,"× 精算表に科目なし","○"))</f>
        <v/>
      </c>
    </row>
    <row r="156" customFormat="false" ht="15" hidden="false" customHeight="false" outlineLevel="0" collapsed="false">
      <c r="A156" s="11"/>
      <c r="B156" s="12"/>
      <c r="C156" s="12"/>
      <c r="D156" s="16" t="str">
        <f aca="false">IF(A156="","",IF(SUMPRODUCT(--(SUBSTITUTE(SUBSTITUTE(決算精算表!$D$9:$D$46," ",""),"　","")=SUBSTITUTE(SUBSTITUTE(A156," ",""),"　","")))=0,"× 精算表に科目なし","○"))</f>
        <v/>
      </c>
    </row>
    <row r="157" customFormat="false" ht="15" hidden="false" customHeight="false" outlineLevel="0" collapsed="false">
      <c r="A157" s="11"/>
      <c r="B157" s="12"/>
      <c r="C157" s="12"/>
      <c r="D157" s="16" t="str">
        <f aca="false">IF(A157="","",IF(SUMPRODUCT(--(SUBSTITUTE(SUBSTITUTE(決算精算表!$D$9:$D$46," ",""),"　","")=SUBSTITUTE(SUBSTITUTE(A157," ",""),"　","")))=0,"× 精算表に科目なし","○"))</f>
        <v/>
      </c>
    </row>
    <row r="158" customFormat="false" ht="15" hidden="false" customHeight="false" outlineLevel="0" collapsed="false">
      <c r="A158" s="11"/>
      <c r="B158" s="12"/>
      <c r="C158" s="12"/>
      <c r="D158" s="16" t="str">
        <f aca="false">IF(A158="","",IF(SUMPRODUCT(--(SUBSTITUTE(SUBSTITUTE(決算精算表!$D$9:$D$46," ",""),"　","")=SUBSTITUTE(SUBSTITUTE(A158," ",""),"　","")))=0,"× 精算表に科目なし","○"))</f>
        <v/>
      </c>
    </row>
    <row r="159" customFormat="false" ht="15" hidden="false" customHeight="false" outlineLevel="0" collapsed="false">
      <c r="A159" s="11"/>
      <c r="B159" s="12"/>
      <c r="C159" s="12"/>
      <c r="D159" s="16" t="str">
        <f aca="false">IF(A159="","",IF(SUMPRODUCT(--(SUBSTITUTE(SUBSTITUTE(決算精算表!$D$9:$D$46," ",""),"　","")=SUBSTITUTE(SUBSTITUTE(A159," ",""),"　","")))=0,"× 精算表に科目なし","○"))</f>
        <v/>
      </c>
    </row>
    <row r="160" customFormat="false" ht="15" hidden="false" customHeight="false" outlineLevel="0" collapsed="false">
      <c r="A160" s="11"/>
      <c r="B160" s="12"/>
      <c r="C160" s="12"/>
      <c r="D160" s="16" t="str">
        <f aca="false">IF(A160="","",IF(SUMPRODUCT(--(SUBSTITUTE(SUBSTITUTE(決算精算表!$D$9:$D$46," ",""),"　","")=SUBSTITUTE(SUBSTITUTE(A160," ",""),"　","")))=0,"× 精算表に科目なし","○"))</f>
        <v/>
      </c>
    </row>
    <row r="161" customFormat="false" ht="15" hidden="false" customHeight="false" outlineLevel="0" collapsed="false">
      <c r="A161" s="11"/>
      <c r="B161" s="12"/>
      <c r="C161" s="12"/>
      <c r="D161" s="16" t="str">
        <f aca="false">IF(A161="","",IF(SUMPRODUCT(--(SUBSTITUTE(SUBSTITUTE(決算精算表!$D$9:$D$46," ",""),"　","")=SUBSTITUTE(SUBSTITUTE(A161," ",""),"　","")))=0,"× 精算表に科目なし","○"))</f>
        <v/>
      </c>
    </row>
    <row r="162" customFormat="false" ht="15" hidden="false" customHeight="false" outlineLevel="0" collapsed="false">
      <c r="A162" s="11"/>
      <c r="B162" s="12"/>
      <c r="C162" s="12"/>
      <c r="D162" s="16" t="str">
        <f aca="false">IF(A162="","",IF(SUMPRODUCT(--(SUBSTITUTE(SUBSTITUTE(決算精算表!$D$9:$D$46," ",""),"　","")=SUBSTITUTE(SUBSTITUTE(A162," ",""),"　","")))=0,"× 精算表に科目なし","○"))</f>
        <v/>
      </c>
    </row>
    <row r="163" customFormat="false" ht="15" hidden="false" customHeight="false" outlineLevel="0" collapsed="false">
      <c r="A163" s="11"/>
      <c r="B163" s="12"/>
      <c r="C163" s="12"/>
      <c r="D163" s="16" t="str">
        <f aca="false">IF(A163="","",IF(SUMPRODUCT(--(SUBSTITUTE(SUBSTITUTE(決算精算表!$D$9:$D$46," ",""),"　","")=SUBSTITUTE(SUBSTITUTE(A163," ",""),"　","")))=0,"× 精算表に科目なし","○"))</f>
        <v/>
      </c>
    </row>
    <row r="164" customFormat="false" ht="15" hidden="false" customHeight="false" outlineLevel="0" collapsed="false">
      <c r="A164" s="11"/>
      <c r="B164" s="12"/>
      <c r="C164" s="12"/>
      <c r="D164" s="16" t="str">
        <f aca="false">IF(A164="","",IF(SUMPRODUCT(--(SUBSTITUTE(SUBSTITUTE(決算精算表!$D$9:$D$46," ",""),"　","")=SUBSTITUTE(SUBSTITUTE(A164," ",""),"　","")))=0,"× 精算表に科目なし","○"))</f>
        <v/>
      </c>
    </row>
    <row r="165" customFormat="false" ht="15" hidden="false" customHeight="false" outlineLevel="0" collapsed="false">
      <c r="A165" s="11"/>
      <c r="B165" s="12"/>
      <c r="C165" s="12"/>
      <c r="D165" s="16" t="str">
        <f aca="false">IF(A165="","",IF(SUMPRODUCT(--(SUBSTITUTE(SUBSTITUTE(決算精算表!$D$9:$D$46," ",""),"　","")=SUBSTITUTE(SUBSTITUTE(A165," ",""),"　","")))=0,"× 精算表に科目なし","○"))</f>
        <v/>
      </c>
    </row>
    <row r="166" customFormat="false" ht="15" hidden="false" customHeight="false" outlineLevel="0" collapsed="false">
      <c r="A166" s="11"/>
      <c r="B166" s="12"/>
      <c r="C166" s="12"/>
      <c r="D166" s="16" t="str">
        <f aca="false">IF(A166="","",IF(SUMPRODUCT(--(SUBSTITUTE(SUBSTITUTE(決算精算表!$D$9:$D$46," ",""),"　","")=SUBSTITUTE(SUBSTITUTE(A166," ",""),"　","")))=0,"× 精算表に科目なし","○"))</f>
        <v/>
      </c>
    </row>
    <row r="167" customFormat="false" ht="15" hidden="false" customHeight="false" outlineLevel="0" collapsed="false">
      <c r="A167" s="11"/>
      <c r="B167" s="12"/>
      <c r="C167" s="12"/>
      <c r="D167" s="16" t="str">
        <f aca="false">IF(A167="","",IF(SUMPRODUCT(--(SUBSTITUTE(SUBSTITUTE(決算精算表!$D$9:$D$46," ",""),"　","")=SUBSTITUTE(SUBSTITUTE(A167," ",""),"　","")))=0,"× 精算表に科目なし","○"))</f>
        <v/>
      </c>
    </row>
    <row r="168" customFormat="false" ht="15" hidden="false" customHeight="false" outlineLevel="0" collapsed="false">
      <c r="A168" s="11"/>
      <c r="B168" s="12"/>
      <c r="C168" s="12"/>
      <c r="D168" s="16" t="str">
        <f aca="false">IF(A168="","",IF(SUMPRODUCT(--(SUBSTITUTE(SUBSTITUTE(決算精算表!$D$9:$D$46," ",""),"　","")=SUBSTITUTE(SUBSTITUTE(A168," ",""),"　","")))=0,"× 精算表に科目なし","○"))</f>
        <v/>
      </c>
    </row>
    <row r="169" customFormat="false" ht="15" hidden="false" customHeight="false" outlineLevel="0" collapsed="false">
      <c r="A169" s="11"/>
      <c r="B169" s="12"/>
      <c r="C169" s="12"/>
      <c r="D169" s="16" t="str">
        <f aca="false">IF(A169="","",IF(SUMPRODUCT(--(SUBSTITUTE(SUBSTITUTE(決算精算表!$D$9:$D$46," ",""),"　","")=SUBSTITUTE(SUBSTITUTE(A169," ",""),"　","")))=0,"× 精算表に科目なし","○"))</f>
        <v/>
      </c>
    </row>
    <row r="170" customFormat="false" ht="15" hidden="false" customHeight="false" outlineLevel="0" collapsed="false">
      <c r="A170" s="11"/>
      <c r="B170" s="12"/>
      <c r="C170" s="12"/>
      <c r="D170" s="16" t="str">
        <f aca="false">IF(A170="","",IF(SUMPRODUCT(--(SUBSTITUTE(SUBSTITUTE(決算精算表!$D$9:$D$46," ",""),"　","")=SUBSTITUTE(SUBSTITUTE(A170," ",""),"　","")))=0,"× 精算表に科目なし","○"))</f>
        <v/>
      </c>
    </row>
    <row r="171" customFormat="false" ht="15" hidden="false" customHeight="false" outlineLevel="0" collapsed="false">
      <c r="A171" s="11"/>
      <c r="B171" s="12"/>
      <c r="C171" s="12"/>
      <c r="D171" s="16" t="str">
        <f aca="false">IF(A171="","",IF(SUMPRODUCT(--(SUBSTITUTE(SUBSTITUTE(決算精算表!$D$9:$D$46," ",""),"　","")=SUBSTITUTE(SUBSTITUTE(A171," ",""),"　","")))=0,"× 精算表に科目なし","○"))</f>
        <v/>
      </c>
    </row>
    <row r="172" customFormat="false" ht="15" hidden="false" customHeight="false" outlineLevel="0" collapsed="false">
      <c r="A172" s="11"/>
      <c r="B172" s="12"/>
      <c r="C172" s="12"/>
      <c r="D172" s="16" t="str">
        <f aca="false">IF(A172="","",IF(SUMPRODUCT(--(SUBSTITUTE(SUBSTITUTE(決算精算表!$D$9:$D$46," ",""),"　","")=SUBSTITUTE(SUBSTITUTE(A172," ",""),"　","")))=0,"× 精算表に科目なし","○"))</f>
        <v/>
      </c>
    </row>
    <row r="173" customFormat="false" ht="15" hidden="false" customHeight="false" outlineLevel="0" collapsed="false">
      <c r="A173" s="11"/>
      <c r="B173" s="12"/>
      <c r="C173" s="12"/>
      <c r="D173" s="16" t="str">
        <f aca="false">IF(A173="","",IF(SUMPRODUCT(--(SUBSTITUTE(SUBSTITUTE(決算精算表!$D$9:$D$46," ",""),"　","")=SUBSTITUTE(SUBSTITUTE(A173," ",""),"　","")))=0,"× 精算表に科目なし","○"))</f>
        <v/>
      </c>
    </row>
    <row r="174" customFormat="false" ht="15" hidden="false" customHeight="false" outlineLevel="0" collapsed="false">
      <c r="A174" s="11"/>
      <c r="B174" s="12"/>
      <c r="C174" s="12"/>
      <c r="D174" s="16" t="str">
        <f aca="false">IF(A174="","",IF(SUMPRODUCT(--(SUBSTITUTE(SUBSTITUTE(決算精算表!$D$9:$D$46," ",""),"　","")=SUBSTITUTE(SUBSTITUTE(A174," ",""),"　","")))=0,"× 精算表に科目なし","○"))</f>
        <v/>
      </c>
    </row>
    <row r="175" customFormat="false" ht="15" hidden="false" customHeight="false" outlineLevel="0" collapsed="false">
      <c r="A175" s="11"/>
      <c r="B175" s="12"/>
      <c r="C175" s="12"/>
      <c r="D175" s="16" t="str">
        <f aca="false">IF(A175="","",IF(SUMPRODUCT(--(SUBSTITUTE(SUBSTITUTE(決算精算表!$D$9:$D$46," ",""),"　","")=SUBSTITUTE(SUBSTITUTE(A175," ",""),"　","")))=0,"× 精算表に科目なし","○"))</f>
        <v/>
      </c>
    </row>
    <row r="176" customFormat="false" ht="15" hidden="false" customHeight="false" outlineLevel="0" collapsed="false">
      <c r="A176" s="11"/>
      <c r="B176" s="12"/>
      <c r="C176" s="12"/>
      <c r="D176" s="16" t="str">
        <f aca="false">IF(A176="","",IF(SUMPRODUCT(--(SUBSTITUTE(SUBSTITUTE(決算精算表!$D$9:$D$46," ",""),"　","")=SUBSTITUTE(SUBSTITUTE(A176," ",""),"　","")))=0,"× 精算表に科目なし","○"))</f>
        <v/>
      </c>
    </row>
    <row r="177" customFormat="false" ht="15" hidden="false" customHeight="false" outlineLevel="0" collapsed="false">
      <c r="A177" s="11"/>
      <c r="B177" s="12"/>
      <c r="C177" s="12"/>
      <c r="D177" s="16" t="str">
        <f aca="false">IF(A177="","",IF(SUMPRODUCT(--(SUBSTITUTE(SUBSTITUTE(決算精算表!$D$9:$D$46," ",""),"　","")=SUBSTITUTE(SUBSTITUTE(A177," ",""),"　","")))=0,"× 精算表に科目なし","○"))</f>
        <v/>
      </c>
    </row>
    <row r="178" customFormat="false" ht="15" hidden="false" customHeight="false" outlineLevel="0" collapsed="false">
      <c r="A178" s="11"/>
      <c r="B178" s="12"/>
      <c r="C178" s="12"/>
      <c r="D178" s="16" t="str">
        <f aca="false">IF(A178="","",IF(SUMPRODUCT(--(SUBSTITUTE(SUBSTITUTE(決算精算表!$D$9:$D$46," ",""),"　","")=SUBSTITUTE(SUBSTITUTE(A178," ",""),"　","")))=0,"× 精算表に科目なし","○"))</f>
        <v/>
      </c>
    </row>
    <row r="179" customFormat="false" ht="15" hidden="false" customHeight="false" outlineLevel="0" collapsed="false">
      <c r="A179" s="11"/>
      <c r="B179" s="12"/>
      <c r="C179" s="12"/>
      <c r="D179" s="16" t="str">
        <f aca="false">IF(A179="","",IF(SUMPRODUCT(--(SUBSTITUTE(SUBSTITUTE(決算精算表!$D$9:$D$46," ",""),"　","")=SUBSTITUTE(SUBSTITUTE(A179," ",""),"　","")))=0,"× 精算表に科目なし","○"))</f>
        <v/>
      </c>
    </row>
    <row r="180" customFormat="false" ht="15" hidden="false" customHeight="false" outlineLevel="0" collapsed="false">
      <c r="A180" s="11"/>
      <c r="B180" s="12"/>
      <c r="C180" s="12"/>
      <c r="D180" s="16" t="str">
        <f aca="false">IF(A180="","",IF(SUMPRODUCT(--(SUBSTITUTE(SUBSTITUTE(決算精算表!$D$9:$D$46," ",""),"　","")=SUBSTITUTE(SUBSTITUTE(A180," ",""),"　","")))=0,"× 精算表に科目なし","○"))</f>
        <v/>
      </c>
    </row>
    <row r="181" customFormat="false" ht="15" hidden="false" customHeight="false" outlineLevel="0" collapsed="false">
      <c r="A181" s="11"/>
      <c r="B181" s="12"/>
      <c r="C181" s="12"/>
      <c r="D181" s="16" t="str">
        <f aca="false">IF(A181="","",IF(SUMPRODUCT(--(SUBSTITUTE(SUBSTITUTE(決算精算表!$D$9:$D$46," ",""),"　","")=SUBSTITUTE(SUBSTITUTE(A181," ",""),"　","")))=0,"× 精算表に科目なし","○"))</f>
        <v/>
      </c>
    </row>
    <row r="182" customFormat="false" ht="15" hidden="false" customHeight="false" outlineLevel="0" collapsed="false">
      <c r="A182" s="11"/>
      <c r="B182" s="12"/>
      <c r="C182" s="12"/>
      <c r="D182" s="16" t="str">
        <f aca="false">IF(A182="","",IF(SUMPRODUCT(--(SUBSTITUTE(SUBSTITUTE(決算精算表!$D$9:$D$46," ",""),"　","")=SUBSTITUTE(SUBSTITUTE(A182," ",""),"　","")))=0,"× 精算表に科目なし","○"))</f>
        <v/>
      </c>
    </row>
    <row r="183" customFormat="false" ht="15" hidden="false" customHeight="false" outlineLevel="0" collapsed="false">
      <c r="A183" s="11"/>
      <c r="B183" s="12"/>
      <c r="C183" s="12"/>
      <c r="D183" s="16" t="str">
        <f aca="false">IF(A183="","",IF(SUMPRODUCT(--(SUBSTITUTE(SUBSTITUTE(決算精算表!$D$9:$D$46," ",""),"　","")=SUBSTITUTE(SUBSTITUTE(A183," ",""),"　","")))=0,"× 精算表に科目なし","○"))</f>
        <v/>
      </c>
    </row>
    <row r="184" customFormat="false" ht="15" hidden="false" customHeight="false" outlineLevel="0" collapsed="false">
      <c r="A184" s="11"/>
      <c r="B184" s="12"/>
      <c r="C184" s="12"/>
      <c r="D184" s="16" t="str">
        <f aca="false">IF(A184="","",IF(SUMPRODUCT(--(SUBSTITUTE(SUBSTITUTE(決算精算表!$D$9:$D$46," ",""),"　","")=SUBSTITUTE(SUBSTITUTE(A184," ",""),"　","")))=0,"× 精算表に科目なし","○"))</f>
        <v/>
      </c>
    </row>
    <row r="185" customFormat="false" ht="15" hidden="false" customHeight="false" outlineLevel="0" collapsed="false">
      <c r="A185" s="11"/>
      <c r="B185" s="12"/>
      <c r="C185" s="12"/>
      <c r="D185" s="16" t="str">
        <f aca="false">IF(A185="","",IF(SUMPRODUCT(--(SUBSTITUTE(SUBSTITUTE(決算精算表!$D$9:$D$46," ",""),"　","")=SUBSTITUTE(SUBSTITUTE(A185," ",""),"　","")))=0,"× 精算表に科目なし","○"))</f>
        <v/>
      </c>
    </row>
    <row r="186" customFormat="false" ht="15" hidden="false" customHeight="false" outlineLevel="0" collapsed="false">
      <c r="A186" s="11"/>
      <c r="B186" s="12"/>
      <c r="C186" s="12"/>
      <c r="D186" s="16" t="str">
        <f aca="false">IF(A186="","",IF(SUMPRODUCT(--(SUBSTITUTE(SUBSTITUTE(決算精算表!$D$9:$D$46," ",""),"　","")=SUBSTITUTE(SUBSTITUTE(A186," ",""),"　","")))=0,"× 精算表に科目なし","○"))</f>
        <v/>
      </c>
    </row>
    <row r="187" customFormat="false" ht="15" hidden="false" customHeight="false" outlineLevel="0" collapsed="false">
      <c r="A187" s="11"/>
      <c r="B187" s="12"/>
      <c r="C187" s="12"/>
      <c r="D187" s="16" t="str">
        <f aca="false">IF(A187="","",IF(SUMPRODUCT(--(SUBSTITUTE(SUBSTITUTE(決算精算表!$D$9:$D$46," ",""),"　","")=SUBSTITUTE(SUBSTITUTE(A187," ",""),"　","")))=0,"× 精算表に科目なし","○"))</f>
        <v/>
      </c>
    </row>
    <row r="188" customFormat="false" ht="15" hidden="false" customHeight="false" outlineLevel="0" collapsed="false">
      <c r="A188" s="11"/>
      <c r="B188" s="12"/>
      <c r="C188" s="12"/>
      <c r="D188" s="16" t="str">
        <f aca="false">IF(A188="","",IF(SUMPRODUCT(--(SUBSTITUTE(SUBSTITUTE(決算精算表!$D$9:$D$46," ",""),"　","")=SUBSTITUTE(SUBSTITUTE(A188," ",""),"　","")))=0,"× 精算表に科目なし","○"))</f>
        <v/>
      </c>
    </row>
    <row r="189" customFormat="false" ht="15" hidden="false" customHeight="false" outlineLevel="0" collapsed="false">
      <c r="A189" s="11"/>
      <c r="B189" s="12"/>
      <c r="C189" s="12"/>
      <c r="D189" s="16" t="str">
        <f aca="false">IF(A189="","",IF(SUMPRODUCT(--(SUBSTITUTE(SUBSTITUTE(決算精算表!$D$9:$D$46," ",""),"　","")=SUBSTITUTE(SUBSTITUTE(A189," ",""),"　","")))=0,"× 精算表に科目なし","○"))</f>
        <v/>
      </c>
    </row>
    <row r="190" customFormat="false" ht="15" hidden="false" customHeight="false" outlineLevel="0" collapsed="false">
      <c r="A190" s="11"/>
      <c r="B190" s="12"/>
      <c r="C190" s="12"/>
      <c r="D190" s="16" t="str">
        <f aca="false">IF(A190="","",IF(SUMPRODUCT(--(SUBSTITUTE(SUBSTITUTE(決算精算表!$D$9:$D$46," ",""),"　","")=SUBSTITUTE(SUBSTITUTE(A190," ",""),"　","")))=0,"× 精算表に科目なし","○"))</f>
        <v/>
      </c>
    </row>
    <row r="191" customFormat="false" ht="15" hidden="false" customHeight="false" outlineLevel="0" collapsed="false">
      <c r="A191" s="11"/>
      <c r="B191" s="12"/>
      <c r="C191" s="12"/>
      <c r="D191" s="16" t="str">
        <f aca="false">IF(A191="","",IF(SUMPRODUCT(--(SUBSTITUTE(SUBSTITUTE(決算精算表!$D$9:$D$46," ",""),"　","")=SUBSTITUTE(SUBSTITUTE(A191," ",""),"　","")))=0,"× 精算表に科目なし","○"))</f>
        <v/>
      </c>
    </row>
    <row r="192" customFormat="false" ht="15" hidden="false" customHeight="false" outlineLevel="0" collapsed="false">
      <c r="A192" s="11"/>
      <c r="B192" s="12"/>
      <c r="C192" s="12"/>
      <c r="D192" s="16" t="str">
        <f aca="false">IF(A192="","",IF(SUMPRODUCT(--(SUBSTITUTE(SUBSTITUTE(決算精算表!$D$9:$D$46," ",""),"　","")=SUBSTITUTE(SUBSTITUTE(A192," ",""),"　","")))=0,"× 精算表に科目なし","○"))</f>
        <v/>
      </c>
    </row>
    <row r="193" customFormat="false" ht="15" hidden="false" customHeight="false" outlineLevel="0" collapsed="false">
      <c r="A193" s="11"/>
      <c r="B193" s="12"/>
      <c r="C193" s="12"/>
      <c r="D193" s="16" t="str">
        <f aca="false">IF(A193="","",IF(SUMPRODUCT(--(SUBSTITUTE(SUBSTITUTE(決算精算表!$D$9:$D$46," ",""),"　","")=SUBSTITUTE(SUBSTITUTE(A193," ",""),"　","")))=0,"× 精算表に科目なし","○"))</f>
        <v/>
      </c>
    </row>
    <row r="194" customFormat="false" ht="15" hidden="false" customHeight="false" outlineLevel="0" collapsed="false">
      <c r="A194" s="11"/>
      <c r="B194" s="12"/>
      <c r="C194" s="12"/>
      <c r="D194" s="16" t="str">
        <f aca="false">IF(A194="","",IF(SUMPRODUCT(--(SUBSTITUTE(SUBSTITUTE(決算精算表!$D$9:$D$46," ",""),"　","")=SUBSTITUTE(SUBSTITUTE(A194," ",""),"　","")))=0,"× 精算表に科目なし","○"))</f>
        <v/>
      </c>
    </row>
    <row r="195" customFormat="false" ht="15" hidden="false" customHeight="false" outlineLevel="0" collapsed="false">
      <c r="A195" s="11"/>
      <c r="B195" s="12"/>
      <c r="C195" s="12"/>
      <c r="D195" s="16" t="str">
        <f aca="false">IF(A195="","",IF(SUMPRODUCT(--(SUBSTITUTE(SUBSTITUTE(決算精算表!$D$9:$D$46," ",""),"　","")=SUBSTITUTE(SUBSTITUTE(A195," ",""),"　","")))=0,"× 精算表に科目なし","○"))</f>
        <v/>
      </c>
    </row>
    <row r="196" customFormat="false" ht="15" hidden="false" customHeight="false" outlineLevel="0" collapsed="false">
      <c r="A196" s="11"/>
      <c r="B196" s="12"/>
      <c r="C196" s="12"/>
      <c r="D196" s="16" t="str">
        <f aca="false">IF(A196="","",IF(SUMPRODUCT(--(SUBSTITUTE(SUBSTITUTE(決算精算表!$D$9:$D$46," ",""),"　","")=SUBSTITUTE(SUBSTITUTE(A196," ",""),"　","")))=0,"× 精算表に科目なし","○"))</f>
        <v/>
      </c>
    </row>
    <row r="197" customFormat="false" ht="15" hidden="false" customHeight="false" outlineLevel="0" collapsed="false">
      <c r="A197" s="11"/>
      <c r="B197" s="12"/>
      <c r="C197" s="12"/>
      <c r="D197" s="16" t="str">
        <f aca="false">IF(A197="","",IF(SUMPRODUCT(--(SUBSTITUTE(SUBSTITUTE(決算精算表!$D$9:$D$46," ",""),"　","")=SUBSTITUTE(SUBSTITUTE(A197," ",""),"　","")))=0,"× 精算表に科目なし","○"))</f>
        <v/>
      </c>
    </row>
    <row r="198" customFormat="false" ht="15" hidden="false" customHeight="false" outlineLevel="0" collapsed="false">
      <c r="A198" s="11"/>
      <c r="B198" s="12"/>
      <c r="C198" s="12"/>
      <c r="D198" s="16" t="str">
        <f aca="false">IF(A198="","",IF(SUMPRODUCT(--(SUBSTITUTE(SUBSTITUTE(決算精算表!$D$9:$D$46," ",""),"　","")=SUBSTITUTE(SUBSTITUTE(A198," ",""),"　","")))=0,"× 精算表に科目なし","○"))</f>
        <v/>
      </c>
    </row>
    <row r="199" customFormat="false" ht="15" hidden="false" customHeight="false" outlineLevel="0" collapsed="false">
      <c r="A199" s="11"/>
      <c r="B199" s="12"/>
      <c r="C199" s="12"/>
      <c r="D199" s="16" t="str">
        <f aca="false">IF(A199="","",IF(SUMPRODUCT(--(SUBSTITUTE(SUBSTITUTE(決算精算表!$D$9:$D$46," ",""),"　","")=SUBSTITUTE(SUBSTITUTE(A199," ",""),"　","")))=0,"× 精算表に科目なし","○"))</f>
        <v/>
      </c>
    </row>
    <row r="200" customFormat="false" ht="15" hidden="false" customHeight="false" outlineLevel="0" collapsed="false">
      <c r="A200" s="11"/>
      <c r="B200" s="12"/>
      <c r="C200" s="12"/>
      <c r="D200" s="16" t="str">
        <f aca="false">IF(A200="","",IF(SUMPRODUCT(--(SUBSTITUTE(SUBSTITUTE(決算精算表!$D$9:$D$46," ",""),"　","")=SUBSTITUTE(SUBSTITUTE(A200," ",""),"　","")))=0,"× 精算表に科目なし","○"))</f>
        <v/>
      </c>
    </row>
    <row r="201" customFormat="false" ht="15" hidden="false" customHeight="false" outlineLevel="0" collapsed="false">
      <c r="A201" s="11"/>
      <c r="B201" s="12"/>
      <c r="C201" s="12"/>
      <c r="D201" s="16" t="str">
        <f aca="false">IF(A201="","",IF(SUMPRODUCT(--(SUBSTITUTE(SUBSTITUTE(決算精算表!$D$9:$D$46," ",""),"　","")=SUBSTITUTE(SUBSTITUTE(A201," ",""),"　","")))=0,"× 精算表に科目なし","○"))</f>
        <v/>
      </c>
    </row>
    <row r="202" customFormat="false" ht="15" hidden="false" customHeight="false" outlineLevel="0" collapsed="false">
      <c r="A202" s="11"/>
      <c r="B202" s="12"/>
      <c r="C202" s="12"/>
      <c r="D202" s="16" t="str">
        <f aca="false">IF(A202="","",IF(SUMPRODUCT(--(SUBSTITUTE(SUBSTITUTE(決算精算表!$D$9:$D$46," ",""),"　","")=SUBSTITUTE(SUBSTITUTE(A202," ",""),"　","")))=0,"× 精算表に科目なし","○"))</f>
        <v/>
      </c>
    </row>
    <row r="203" customFormat="false" ht="15" hidden="false" customHeight="false" outlineLevel="0" collapsed="false">
      <c r="A203" s="11"/>
      <c r="B203" s="12"/>
      <c r="C203" s="12"/>
      <c r="D203" s="16" t="str">
        <f aca="false">IF(A203="","",IF(SUMPRODUCT(--(SUBSTITUTE(SUBSTITUTE(決算精算表!$D$9:$D$46," ",""),"　","")=SUBSTITUTE(SUBSTITUTE(A203," ",""),"　","")))=0,"× 精算表に科目なし","○"))</f>
        <v/>
      </c>
    </row>
    <row r="204" customFormat="false" ht="15" hidden="false" customHeight="false" outlineLevel="0" collapsed="false">
      <c r="A204" s="11"/>
      <c r="B204" s="12"/>
      <c r="C204" s="12"/>
      <c r="D204" s="16" t="str">
        <f aca="false">IF(A204="","",IF(SUMPRODUCT(--(SUBSTITUTE(SUBSTITUTE(決算精算表!$D$9:$D$46," ",""),"　","")=SUBSTITUTE(SUBSTITUTE(A204," ",""),"　","")))=0,"× 精算表に科目なし","○"))</f>
        <v/>
      </c>
    </row>
    <row r="205" customFormat="false" ht="15" hidden="false" customHeight="false" outlineLevel="0" collapsed="false">
      <c r="A205" s="11"/>
      <c r="B205" s="12"/>
      <c r="C205" s="12"/>
      <c r="D205" s="16" t="str">
        <f aca="false">IF(A205="","",IF(SUMPRODUCT(--(SUBSTITUTE(SUBSTITUTE(決算精算表!$D$9:$D$46," ",""),"　","")=SUBSTITUTE(SUBSTITUTE(A205," ",""),"　","")))=0,"× 精算表に科目なし","○"))</f>
        <v/>
      </c>
    </row>
    <row r="206" customFormat="false" ht="15" hidden="false" customHeight="false" outlineLevel="0" collapsed="false">
      <c r="A206" s="11"/>
      <c r="B206" s="12"/>
      <c r="C206" s="12"/>
      <c r="D206" s="16" t="str">
        <f aca="false">IF(A206="","",IF(SUMPRODUCT(--(SUBSTITUTE(SUBSTITUTE(決算精算表!$D$9:$D$46," ",""),"　","")=SUBSTITUTE(SUBSTITUTE(A206," ",""),"　","")))=0,"× 精算表に科目なし","○"))</f>
        <v/>
      </c>
    </row>
    <row r="207" customFormat="false" ht="15" hidden="false" customHeight="false" outlineLevel="0" collapsed="false">
      <c r="A207" s="11"/>
      <c r="B207" s="12"/>
      <c r="C207" s="12"/>
      <c r="D207" s="16" t="str">
        <f aca="false">IF(A207="","",IF(SUMPRODUCT(--(SUBSTITUTE(SUBSTITUTE(決算精算表!$D$9:$D$46," ",""),"　","")=SUBSTITUTE(SUBSTITUTE(A207," ",""),"　","")))=0,"× 精算表に科目なし","○"))</f>
        <v/>
      </c>
    </row>
    <row r="208" customFormat="false" ht="15" hidden="false" customHeight="false" outlineLevel="0" collapsed="false">
      <c r="A208" s="11"/>
      <c r="B208" s="12"/>
      <c r="C208" s="12"/>
      <c r="D208" s="16" t="str">
        <f aca="false">IF(A208="","",IF(SUMPRODUCT(--(SUBSTITUTE(SUBSTITUTE(決算精算表!$D$9:$D$46," ",""),"　","")=SUBSTITUTE(SUBSTITUTE(A208," ",""),"　","")))=0,"× 精算表に科目なし","○"))</f>
        <v/>
      </c>
    </row>
    <row r="209" customFormat="false" ht="15" hidden="false" customHeight="false" outlineLevel="0" collapsed="false">
      <c r="A209" s="11"/>
      <c r="B209" s="12"/>
      <c r="C209" s="12"/>
      <c r="D209" s="16" t="str">
        <f aca="false">IF(A209="","",IF(SUMPRODUCT(--(SUBSTITUTE(SUBSTITUTE(決算精算表!$D$9:$D$46," ",""),"　","")=SUBSTITUTE(SUBSTITUTE(A209," ",""),"　","")))=0,"× 精算表に科目なし","○"))</f>
        <v/>
      </c>
    </row>
    <row r="210" customFormat="false" ht="15" hidden="false" customHeight="false" outlineLevel="0" collapsed="false">
      <c r="A210" s="11"/>
      <c r="B210" s="12"/>
      <c r="C210" s="12"/>
      <c r="D210" s="16" t="str">
        <f aca="false">IF(A210="","",IF(SUMPRODUCT(--(SUBSTITUTE(SUBSTITUTE(決算精算表!$D$9:$D$46," ",""),"　","")=SUBSTITUTE(SUBSTITUTE(A210," ",""),"　","")))=0,"× 精算表に科目なし","○"))</f>
        <v/>
      </c>
    </row>
    <row r="211" customFormat="false" ht="15" hidden="false" customHeight="false" outlineLevel="0" collapsed="false">
      <c r="A211" s="11"/>
      <c r="B211" s="12"/>
      <c r="C211" s="12"/>
      <c r="D211" s="16" t="str">
        <f aca="false">IF(A211="","",IF(SUMPRODUCT(--(SUBSTITUTE(SUBSTITUTE(決算精算表!$D$9:$D$46," ",""),"　","")=SUBSTITUTE(SUBSTITUTE(A211," ",""),"　","")))=0,"× 精算表に科目なし","○"))</f>
        <v/>
      </c>
    </row>
    <row r="212" customFormat="false" ht="15" hidden="false" customHeight="false" outlineLevel="0" collapsed="false">
      <c r="A212" s="11"/>
      <c r="B212" s="12"/>
      <c r="C212" s="12"/>
      <c r="D212" s="16" t="str">
        <f aca="false">IF(A212="","",IF(SUMPRODUCT(--(SUBSTITUTE(SUBSTITUTE(決算精算表!$D$9:$D$46," ",""),"　","")=SUBSTITUTE(SUBSTITUTE(A212," ",""),"　","")))=0,"× 精算表に科目なし","○"))</f>
        <v/>
      </c>
    </row>
    <row r="213" customFormat="false" ht="15" hidden="false" customHeight="false" outlineLevel="0" collapsed="false">
      <c r="A213" s="11"/>
      <c r="B213" s="12"/>
      <c r="C213" s="12"/>
      <c r="D213" s="16" t="str">
        <f aca="false">IF(A213="","",IF(SUMPRODUCT(--(SUBSTITUTE(SUBSTITUTE(決算精算表!$D$9:$D$46," ",""),"　","")=SUBSTITUTE(SUBSTITUTE(A213," ",""),"　","")))=0,"× 精算表に科目なし","○"))</f>
        <v/>
      </c>
    </row>
    <row r="214" customFormat="false" ht="15" hidden="false" customHeight="false" outlineLevel="0" collapsed="false">
      <c r="A214" s="11"/>
      <c r="B214" s="12"/>
      <c r="C214" s="12"/>
      <c r="D214" s="16" t="str">
        <f aca="false">IF(A214="","",IF(SUMPRODUCT(--(SUBSTITUTE(SUBSTITUTE(決算精算表!$D$9:$D$46," ",""),"　","")=SUBSTITUTE(SUBSTITUTE(A214," ",""),"　","")))=0,"× 精算表に科目なし","○"))</f>
        <v/>
      </c>
    </row>
    <row r="215" customFormat="false" ht="15" hidden="false" customHeight="false" outlineLevel="0" collapsed="false">
      <c r="A215" s="11"/>
      <c r="B215" s="12"/>
      <c r="C215" s="12"/>
      <c r="D215" s="16" t="str">
        <f aca="false">IF(A215="","",IF(SUMPRODUCT(--(SUBSTITUTE(SUBSTITUTE(決算精算表!$D$9:$D$46," ",""),"　","")=SUBSTITUTE(SUBSTITUTE(A215," ",""),"　","")))=0,"× 精算表に科目なし","○"))</f>
        <v/>
      </c>
    </row>
    <row r="216" customFormat="false" ht="15" hidden="false" customHeight="false" outlineLevel="0" collapsed="false">
      <c r="A216" s="11"/>
      <c r="B216" s="12"/>
      <c r="C216" s="12"/>
      <c r="D216" s="16" t="str">
        <f aca="false">IF(A216="","",IF(SUMPRODUCT(--(SUBSTITUTE(SUBSTITUTE(決算精算表!$D$9:$D$46," ",""),"　","")=SUBSTITUTE(SUBSTITUTE(A216," ",""),"　","")))=0,"× 精算表に科目なし","○"))</f>
        <v/>
      </c>
    </row>
    <row r="217" customFormat="false" ht="15" hidden="false" customHeight="false" outlineLevel="0" collapsed="false">
      <c r="A217" s="11"/>
      <c r="B217" s="12"/>
      <c r="C217" s="12"/>
      <c r="D217" s="16" t="str">
        <f aca="false">IF(A217="","",IF(SUMPRODUCT(--(SUBSTITUTE(SUBSTITUTE(決算精算表!$D$9:$D$46," ",""),"　","")=SUBSTITUTE(SUBSTITUTE(A217," ",""),"　","")))=0,"× 精算表に科目なし","○"))</f>
        <v/>
      </c>
    </row>
    <row r="218" customFormat="false" ht="15" hidden="false" customHeight="false" outlineLevel="0" collapsed="false">
      <c r="A218" s="11"/>
      <c r="B218" s="12"/>
      <c r="C218" s="12"/>
      <c r="D218" s="16" t="str">
        <f aca="false">IF(A218="","",IF(SUMPRODUCT(--(SUBSTITUTE(SUBSTITUTE(決算精算表!$D$9:$D$46," ",""),"　","")=SUBSTITUTE(SUBSTITUTE(A218," ",""),"　","")))=0,"× 精算表に科目なし","○"))</f>
        <v/>
      </c>
    </row>
    <row r="219" customFormat="false" ht="15" hidden="false" customHeight="false" outlineLevel="0" collapsed="false">
      <c r="A219" s="11"/>
      <c r="B219" s="12"/>
      <c r="C219" s="12"/>
      <c r="D219" s="16" t="str">
        <f aca="false">IF(A219="","",IF(SUMPRODUCT(--(SUBSTITUTE(SUBSTITUTE(決算精算表!$D$9:$D$46," ",""),"　","")=SUBSTITUTE(SUBSTITUTE(A219," ",""),"　","")))=0,"× 精算表に科目なし","○"))</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5"/>
    <col collapsed="false" customWidth="true" hidden="false" outlineLevel="0" max="2" min="2" style="0" width="54"/>
    <col collapsed="false" customWidth="true" hidden="false" outlineLevel="0" max="4" min="3" style="0" width="18"/>
    <col collapsed="false" customWidth="true" hidden="false" outlineLevel="0" max="5" min="5" style="0" width="14"/>
    <col collapsed="false" customWidth="true" hidden="false" outlineLevel="0" max="6" min="6" style="0" width="10"/>
  </cols>
  <sheetData>
    <row r="1" customFormat="false" ht="17.35" hidden="false" customHeight="false" outlineLevel="0" collapsed="false">
      <c r="A1" s="1" t="s">
        <v>85</v>
      </c>
    </row>
    <row r="3" customFormat="false" ht="17.15" hidden="false" customHeight="false" outlineLevel="0" collapsed="false">
      <c r="B3" s="3" t="str">
        <f aca="false">IF(COUNTIF(F5:F26,"NG")=0,"✔ すべてOK（22項目）","✖ NGが "&amp;COUNTIF(F5:F26,"NG")&amp;" 件あります。差を確認してください")</f>
        <v>✔ すべてOK（22項目）</v>
      </c>
    </row>
    <row r="4" customFormat="false" ht="15" hidden="false" customHeight="false" outlineLevel="0" collapsed="false">
      <c r="A4" s="17" t="s">
        <v>86</v>
      </c>
      <c r="B4" s="18" t="s">
        <v>87</v>
      </c>
      <c r="C4" s="18" t="s">
        <v>88</v>
      </c>
      <c r="D4" s="18" t="s">
        <v>89</v>
      </c>
      <c r="E4" s="18" t="s">
        <v>90</v>
      </c>
      <c r="F4" s="18" t="s">
        <v>91</v>
      </c>
    </row>
    <row r="5" customFormat="false" ht="26.85" hidden="false" customHeight="false" outlineLevel="0" collapsed="false">
      <c r="A5" s="19" t="n">
        <v>1</v>
      </c>
      <c r="B5" s="20" t="s">
        <v>92</v>
      </c>
      <c r="C5" s="21" t="n">
        <f aca="false">入力!B17</f>
        <v>189744039</v>
      </c>
      <c r="D5" s="21" t="n">
        <f aca="false">決算精算表!C48</f>
        <v>189744039</v>
      </c>
      <c r="E5" s="21" t="n">
        <f aca="false">C5-D5</f>
        <v>0</v>
      </c>
      <c r="F5" s="19" t="str">
        <f aca="false">IF(E5=0,"OK","NG")</f>
        <v>OK</v>
      </c>
    </row>
    <row r="6" customFormat="false" ht="15" hidden="false" customHeight="false" outlineLevel="0" collapsed="false">
      <c r="A6" s="19" t="n">
        <v>2</v>
      </c>
      <c r="B6" s="20" t="s">
        <v>93</v>
      </c>
      <c r="C6" s="21" t="n">
        <f aca="false">入力!C17</f>
        <v>189744039</v>
      </c>
      <c r="D6" s="21" t="n">
        <f aca="false">決算精算表!E48</f>
        <v>189744039</v>
      </c>
      <c r="E6" s="21" t="n">
        <f aca="false">C6-D6</f>
        <v>0</v>
      </c>
      <c r="F6" s="19" t="str">
        <f aca="false">IF(E6=0,"OK","NG")</f>
        <v>OK</v>
      </c>
    </row>
    <row r="7" customFormat="false" ht="15" hidden="false" customHeight="false" outlineLevel="0" collapsed="false">
      <c r="A7" s="19" t="n">
        <v>3</v>
      </c>
      <c r="B7" s="20" t="s">
        <v>94</v>
      </c>
      <c r="C7" s="21" t="n">
        <f aca="false">決算精算表!A48</f>
        <v>209902719</v>
      </c>
      <c r="D7" s="21" t="n">
        <f aca="false">決算精算表!G48</f>
        <v>209902719</v>
      </c>
      <c r="E7" s="21" t="n">
        <f aca="false">C7-D7</f>
        <v>0</v>
      </c>
      <c r="F7" s="19" t="str">
        <f aca="false">IF(E7=0,"OK","NG")</f>
        <v>OK</v>
      </c>
    </row>
    <row r="8" customFormat="false" ht="15" hidden="false" customHeight="false" outlineLevel="0" collapsed="false">
      <c r="A8" s="19" t="n">
        <v>4</v>
      </c>
      <c r="B8" s="20" t="s">
        <v>95</v>
      </c>
      <c r="C8" s="21" t="n">
        <f aca="false">財務諸表!D25</f>
        <v>85175250</v>
      </c>
      <c r="D8" s="21" t="n">
        <f aca="false">財務諸表!H25</f>
        <v>85175250</v>
      </c>
      <c r="E8" s="21" t="n">
        <f aca="false">C8-D8</f>
        <v>0</v>
      </c>
      <c r="F8" s="19" t="str">
        <f aca="false">IF(E8=0,"OK","NG")</f>
        <v>OK</v>
      </c>
    </row>
    <row r="9" customFormat="false" ht="15" hidden="false" customHeight="false" outlineLevel="0" collapsed="false">
      <c r="A9" s="19" t="n">
        <v>5</v>
      </c>
      <c r="B9" s="20" t="s">
        <v>96</v>
      </c>
      <c r="C9" s="21" t="n">
        <f aca="false">財務諸表!D59</f>
        <v>124727469</v>
      </c>
      <c r="D9" s="21" t="n">
        <f aca="false">財務諸表!H59</f>
        <v>124727469</v>
      </c>
      <c r="E9" s="21" t="n">
        <f aca="false">C9-D9</f>
        <v>0</v>
      </c>
      <c r="F9" s="19" t="str">
        <f aca="false">IF(E9=0,"OK","NG")</f>
        <v>OK</v>
      </c>
    </row>
    <row r="10" customFormat="false" ht="15" hidden="false" customHeight="false" outlineLevel="0" collapsed="false">
      <c r="A10" s="19" t="n">
        <v>6</v>
      </c>
      <c r="B10" s="20" t="s">
        <v>97</v>
      </c>
      <c r="C10" s="21" t="n">
        <f aca="false">財務諸表!D25</f>
        <v>85175250</v>
      </c>
      <c r="D10" s="21" t="n">
        <f aca="false">決算精算表!A20</f>
        <v>85175250</v>
      </c>
      <c r="E10" s="21" t="n">
        <f aca="false">C10-D10</f>
        <v>0</v>
      </c>
      <c r="F10" s="19" t="str">
        <f aca="false">IF(E10=0,"OK","NG")</f>
        <v>OK</v>
      </c>
    </row>
    <row r="11" customFormat="false" ht="15" hidden="false" customHeight="false" outlineLevel="0" collapsed="false">
      <c r="A11" s="19" t="n">
        <v>7</v>
      </c>
      <c r="B11" s="20" t="s">
        <v>98</v>
      </c>
      <c r="C11" s="21" t="n">
        <f aca="false">財務諸表!D36+財務諸表!D53</f>
        <v>121123959</v>
      </c>
      <c r="D11" s="21" t="n">
        <f aca="false">SUM(決算精算表!A21:A37)</f>
        <v>121123959</v>
      </c>
      <c r="E11" s="21" t="n">
        <f aca="false">C11-D11</f>
        <v>0</v>
      </c>
      <c r="F11" s="19" t="str">
        <f aca="false">IF(E11=0,"OK","NG")</f>
        <v>OK</v>
      </c>
    </row>
    <row r="12" customFormat="false" ht="15" hidden="false" customHeight="false" outlineLevel="0" collapsed="false">
      <c r="A12" s="19" t="n">
        <v>8</v>
      </c>
      <c r="B12" s="20" t="s">
        <v>99</v>
      </c>
      <c r="C12" s="21" t="n">
        <f aca="false">財務諸表!H36+財務諸表!H46+財務諸表!H49</f>
        <v>124727469</v>
      </c>
      <c r="D12" s="21" t="n">
        <f aca="false">SUM(決算精算表!G39:G45)</f>
        <v>124727469</v>
      </c>
      <c r="E12" s="21" t="n">
        <f aca="false">C12-D12</f>
        <v>0</v>
      </c>
      <c r="F12" s="19" t="str">
        <f aca="false">IF(E12=0,"OK","NG")</f>
        <v>OK</v>
      </c>
    </row>
    <row r="13" customFormat="false" ht="15" hidden="false" customHeight="false" outlineLevel="0" collapsed="false">
      <c r="A13" s="19" t="n">
        <v>9</v>
      </c>
      <c r="B13" s="20" t="s">
        <v>100</v>
      </c>
      <c r="C13" s="21" t="n">
        <f aca="false">附属明細表!M6</f>
        <v>72939159</v>
      </c>
      <c r="D13" s="21" t="n">
        <f aca="false">決算精算表!A9</f>
        <v>72939159</v>
      </c>
      <c r="E13" s="21" t="n">
        <f aca="false">C13-D13</f>
        <v>0</v>
      </c>
      <c r="F13" s="19" t="str">
        <f aca="false">IF(E13=0,"OK","NG")</f>
        <v>OK</v>
      </c>
    </row>
    <row r="14" customFormat="false" ht="15" hidden="false" customHeight="false" outlineLevel="0" collapsed="false">
      <c r="A14" s="19" t="n">
        <v>10</v>
      </c>
      <c r="B14" s="20" t="s">
        <v>101</v>
      </c>
      <c r="C14" s="21" t="n">
        <f aca="false">附属明細表!G14</f>
        <v>194420</v>
      </c>
      <c r="D14" s="21" t="n">
        <f aca="false">決算精算表!A10</f>
        <v>194420</v>
      </c>
      <c r="E14" s="21" t="n">
        <f aca="false">C14-D14</f>
        <v>0</v>
      </c>
      <c r="F14" s="19" t="str">
        <f aca="false">IF(E14=0,"OK","NG")</f>
        <v>OK</v>
      </c>
    </row>
    <row r="15" customFormat="false" ht="15" hidden="false" customHeight="false" outlineLevel="0" collapsed="false">
      <c r="A15" s="19" t="n">
        <v>11</v>
      </c>
      <c r="B15" s="20" t="s">
        <v>102</v>
      </c>
      <c r="C15" s="21" t="n">
        <f aca="false">附属明細表!G62</f>
        <v>227940</v>
      </c>
      <c r="D15" s="21" t="n">
        <f aca="false">決算精算表!G16</f>
        <v>227940</v>
      </c>
      <c r="E15" s="21" t="n">
        <f aca="false">C15-D15</f>
        <v>0</v>
      </c>
      <c r="F15" s="19" t="str">
        <f aca="false">IF(E15=0,"OK","NG")</f>
        <v>OK</v>
      </c>
    </row>
    <row r="16" customFormat="false" ht="15" hidden="false" customHeight="false" outlineLevel="0" collapsed="false">
      <c r="A16" s="19" t="n">
        <v>12</v>
      </c>
      <c r="B16" s="20" t="s">
        <v>103</v>
      </c>
      <c r="C16" s="21" t="n">
        <f aca="false">附属明細表!G69</f>
        <v>216843</v>
      </c>
      <c r="D16" s="21" t="n">
        <f aca="false">決算精算表!G17</f>
        <v>216843</v>
      </c>
      <c r="E16" s="21" t="n">
        <f aca="false">C16-D16</f>
        <v>0</v>
      </c>
      <c r="F16" s="19" t="str">
        <f aca="false">IF(E16=0,"OK","NG")</f>
        <v>OK</v>
      </c>
    </row>
    <row r="17" customFormat="false" ht="15" hidden="false" customHeight="false" outlineLevel="0" collapsed="false">
      <c r="A17" s="19" t="n">
        <v>13</v>
      </c>
      <c r="B17" s="20" t="s">
        <v>104</v>
      </c>
      <c r="C17" s="21" t="n">
        <f aca="false">附属明細表!S77</f>
        <v>207390</v>
      </c>
      <c r="D17" s="21" t="n">
        <f aca="false">財務諸表!B14</f>
        <v>207390</v>
      </c>
      <c r="E17" s="21" t="n">
        <f aca="false">C17-D17</f>
        <v>0</v>
      </c>
      <c r="F17" s="19" t="str">
        <f aca="false">IF(E17=0,"OK","NG")</f>
        <v>OK</v>
      </c>
    </row>
    <row r="18" customFormat="false" ht="15" hidden="false" customHeight="false" outlineLevel="0" collapsed="false">
      <c r="A18" s="19" t="n">
        <v>14</v>
      </c>
      <c r="B18" s="20" t="s">
        <v>105</v>
      </c>
      <c r="C18" s="21" t="n">
        <f aca="false">附属明細表!Q92</f>
        <v>74697421</v>
      </c>
      <c r="D18" s="21" t="n">
        <f aca="false">財務諸表!F16</f>
        <v>74697421</v>
      </c>
      <c r="E18" s="21" t="n">
        <f aca="false">C18-D18</f>
        <v>0</v>
      </c>
      <c r="F18" s="19" t="str">
        <f aca="false">IF(E18=0,"OK","NG")</f>
        <v>OK</v>
      </c>
    </row>
    <row r="19" customFormat="false" ht="15" hidden="false" customHeight="false" outlineLevel="0" collapsed="false">
      <c r="A19" s="19" t="n">
        <v>15</v>
      </c>
      <c r="B19" s="20" t="s">
        <v>106</v>
      </c>
      <c r="C19" s="21" t="n">
        <f aca="false">附属明細表!Q139</f>
        <v>74697421</v>
      </c>
      <c r="D19" s="21" t="n">
        <f aca="false">財務諸表!F16</f>
        <v>74697421</v>
      </c>
      <c r="E19" s="21" t="n">
        <f aca="false">C19-D19</f>
        <v>0</v>
      </c>
      <c r="F19" s="19" t="str">
        <f aca="false">IF(E19=0,"OK","NG")</f>
        <v>OK</v>
      </c>
    </row>
    <row r="20" customFormat="false" ht="15" hidden="false" customHeight="false" outlineLevel="0" collapsed="false">
      <c r="A20" s="19" t="n">
        <v>16</v>
      </c>
      <c r="B20" s="20" t="s">
        <v>107</v>
      </c>
      <c r="C20" s="21" t="n">
        <f aca="false">業務経理P19!V26</f>
        <v>121123959</v>
      </c>
      <c r="D20" s="21" t="n">
        <f aca="false">SUM(決算精算表!A21:A37)</f>
        <v>121123959</v>
      </c>
      <c r="E20" s="21" t="n">
        <f aca="false">C20-D20</f>
        <v>0</v>
      </c>
      <c r="F20" s="19" t="str">
        <f aca="false">IF(E20=0,"OK","NG")</f>
        <v>OK</v>
      </c>
    </row>
    <row r="21" customFormat="false" ht="15" hidden="false" customHeight="false" outlineLevel="0" collapsed="false">
      <c r="A21" s="19" t="n">
        <v>17</v>
      </c>
      <c r="B21" s="20" t="s">
        <v>108</v>
      </c>
      <c r="C21" s="21" t="n">
        <f aca="false">業務経理P18!V32</f>
        <v>124727469</v>
      </c>
      <c r="D21" s="21" t="n">
        <f aca="false">SUM(決算精算表!G39:G45)</f>
        <v>124727469</v>
      </c>
      <c r="E21" s="21" t="n">
        <f aca="false">C21-D21</f>
        <v>0</v>
      </c>
      <c r="F21" s="19" t="str">
        <f aca="false">IF(E21=0,"OK","NG")</f>
        <v>OK</v>
      </c>
    </row>
    <row r="22" customFormat="false" ht="15" hidden="false" customHeight="false" outlineLevel="0" collapsed="false">
      <c r="A22" s="19" t="n">
        <v>18</v>
      </c>
      <c r="B22" s="20" t="s">
        <v>109</v>
      </c>
      <c r="C22" s="21" t="n">
        <f aca="false">'〇総括　6～7（メモなし）'!K50</f>
        <v>3603510</v>
      </c>
      <c r="D22" s="21" t="n">
        <f aca="false">決算精算表!A38-決算精算表!G46</f>
        <v>3603510</v>
      </c>
      <c r="E22" s="21" t="n">
        <f aca="false">C22-D22</f>
        <v>0</v>
      </c>
      <c r="F22" s="19" t="str">
        <f aca="false">IF(E22=0,"OK","NG")</f>
        <v>OK</v>
      </c>
    </row>
    <row r="23" customFormat="false" ht="15" hidden="false" customHeight="false" outlineLevel="0" collapsed="false">
      <c r="A23" s="19" t="n">
        <v>19</v>
      </c>
      <c r="B23" s="20" t="s">
        <v>110</v>
      </c>
      <c r="C23" s="21" t="n">
        <f aca="false">'〇総括　6～7（メモなし）'!K51</f>
        <v>74697421</v>
      </c>
      <c r="D23" s="21" t="n">
        <f aca="false">財務諸表!F16</f>
        <v>74697421</v>
      </c>
      <c r="E23" s="21" t="n">
        <f aca="false">C23-D23</f>
        <v>0</v>
      </c>
      <c r="F23" s="19" t="str">
        <f aca="false">IF(E23=0,"OK","NG")</f>
        <v>OK</v>
      </c>
    </row>
    <row r="24" customFormat="false" ht="15" hidden="false" customHeight="false" outlineLevel="0" collapsed="false">
      <c r="A24" s="19" t="n">
        <v>20</v>
      </c>
      <c r="B24" s="20" t="s">
        <v>111</v>
      </c>
      <c r="C24" s="21" t="n">
        <f aca="false">'〇総括　6～7（メモなし）'!K6</f>
        <v>71093911</v>
      </c>
      <c r="D24" s="21" t="n">
        <f aca="false">決算精算表!E19</f>
        <v>71093911</v>
      </c>
      <c r="E24" s="21" t="n">
        <f aca="false">C24-D24</f>
        <v>0</v>
      </c>
      <c r="F24" s="19" t="str">
        <f aca="false">IF(E24=0,"OK","NG")</f>
        <v>OK</v>
      </c>
    </row>
    <row r="25" customFormat="false" ht="15" hidden="false" customHeight="false" outlineLevel="0" collapsed="false">
      <c r="A25" s="19" t="n">
        <v>21</v>
      </c>
      <c r="B25" s="20" t="s">
        <v>112</v>
      </c>
      <c r="C25" s="21" t="n">
        <f aca="false">'総括　6～7（メモあり）'!K51</f>
        <v>74697421</v>
      </c>
      <c r="D25" s="21" t="n">
        <f aca="false">'〇総括　6～7（メモなし）'!K51</f>
        <v>74697421</v>
      </c>
      <c r="E25" s="21" t="n">
        <f aca="false">C25-D25</f>
        <v>0</v>
      </c>
      <c r="F25" s="19" t="str">
        <f aca="false">IF(E25=0,"OK","NG")</f>
        <v>OK</v>
      </c>
    </row>
    <row r="26" customFormat="false" ht="15" hidden="false" customHeight="false" outlineLevel="0" collapsed="false">
      <c r="A26" s="19" t="n">
        <v>22</v>
      </c>
      <c r="B26" s="20" t="s">
        <v>113</v>
      </c>
      <c r="C26" s="21" t="n">
        <f aca="false">'総括　6～7（メモあり）'!K28</f>
        <v>124727469</v>
      </c>
      <c r="D26" s="21" t="n">
        <f aca="false">'〇総括　6～7（メモなし）'!K28</f>
        <v>124727469</v>
      </c>
      <c r="E26" s="21" t="n">
        <f aca="false">C26-D26</f>
        <v>0</v>
      </c>
      <c r="F26" s="19" t="str">
        <f aca="false">IF(E26=0,"OK","NG")</f>
        <v>OK</v>
      </c>
    </row>
  </sheetData>
  <conditionalFormatting sqref="F5:F26">
    <cfRule type="cellIs" priority="2" operator="equal" aboveAverage="0" equalAverage="0" bottom="0" percent="0" rank="0" text="" dxfId="0">
      <formula>"NG"</formula>
    </cfRule>
    <cfRule type="cellIs" priority="3" operator="equal" aboveAverage="0" equalAverage="0" bottom="0" percent="0" rank="0" text="" dxfId="1">
      <formula>"OK"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E51" activeCellId="0" sqref="E51"/>
    </sheetView>
  </sheetViews>
  <sheetFormatPr defaultColWidth="8.96484375" defaultRowHeight="13.5" zeroHeight="false" outlineLevelRow="0" outlineLevelCol="0"/>
  <cols>
    <col collapsed="false" customWidth="true" hidden="false" outlineLevel="0" max="3" min="1" style="22" width="12.36"/>
    <col collapsed="false" customWidth="true" hidden="false" outlineLevel="0" max="4" min="4" style="22" width="16.99"/>
    <col collapsed="false" customWidth="true" hidden="false" outlineLevel="0" max="7" min="5" style="22" width="12.36"/>
  </cols>
  <sheetData>
    <row r="1" customFormat="false" ht="24" hidden="false" customHeight="true" outlineLevel="0" collapsed="false">
      <c r="A1" s="23"/>
      <c r="B1" s="23"/>
      <c r="C1" s="24" t="s">
        <v>114</v>
      </c>
      <c r="D1" s="24"/>
      <c r="E1" s="24"/>
      <c r="F1" s="23"/>
      <c r="G1" s="23"/>
      <c r="H1" s="23"/>
    </row>
    <row r="2" customFormat="false" ht="12" hidden="false" customHeight="true" outlineLevel="0" collapsed="false">
      <c r="A2" s="23"/>
      <c r="B2" s="23"/>
      <c r="C2" s="25"/>
      <c r="D2" s="26"/>
      <c r="E2" s="26"/>
      <c r="F2" s="23"/>
      <c r="G2" s="23"/>
      <c r="H2" s="23"/>
    </row>
    <row r="3" customFormat="false" ht="21" hidden="false" customHeight="true" outlineLevel="0" collapsed="false">
      <c r="A3" s="27"/>
      <c r="B3" s="28"/>
      <c r="C3" s="29" t="s">
        <v>115</v>
      </c>
      <c r="D3" s="29"/>
      <c r="E3" s="29"/>
      <c r="F3" s="30"/>
      <c r="G3" s="31"/>
      <c r="H3" s="23"/>
    </row>
    <row r="4" customFormat="false" ht="21" hidden="false" customHeight="true" outlineLevel="0" collapsed="false">
      <c r="A4" s="32"/>
      <c r="C4" s="33"/>
      <c r="D4" s="34" t="str">
        <f aca="false">"令和"&amp;JIS(入力!$B$5)&amp;"年度分"</f>
        <v>令和７年度分</v>
      </c>
      <c r="E4" s="33"/>
      <c r="F4" s="26"/>
      <c r="G4" s="35"/>
      <c r="H4" s="23"/>
    </row>
    <row r="5" customFormat="false" ht="6" hidden="false" customHeight="true" outlineLevel="0" collapsed="false">
      <c r="A5" s="36"/>
      <c r="B5" s="26"/>
      <c r="C5" s="26"/>
      <c r="D5" s="26"/>
      <c r="E5" s="26"/>
      <c r="F5" s="26"/>
      <c r="G5" s="37"/>
      <c r="H5" s="23"/>
    </row>
    <row r="6" customFormat="false" ht="13.5" hidden="false" customHeight="true" outlineLevel="0" collapsed="false">
      <c r="A6" s="38" t="s">
        <v>116</v>
      </c>
      <c r="B6" s="38"/>
      <c r="C6" s="38"/>
      <c r="D6" s="39" t="s">
        <v>117</v>
      </c>
      <c r="E6" s="40" t="s">
        <v>118</v>
      </c>
      <c r="F6" s="40"/>
      <c r="G6" s="40"/>
      <c r="H6" s="23"/>
    </row>
    <row r="7" customFormat="false" ht="13.5" hidden="false" customHeight="true" outlineLevel="0" collapsed="false">
      <c r="A7" s="41" t="s">
        <v>119</v>
      </c>
      <c r="B7" s="42" t="s">
        <v>120</v>
      </c>
      <c r="C7" s="43" t="s">
        <v>121</v>
      </c>
      <c r="D7" s="39"/>
      <c r="E7" s="44" t="s">
        <v>121</v>
      </c>
      <c r="F7" s="42" t="s">
        <v>120</v>
      </c>
      <c r="G7" s="45" t="s">
        <v>119</v>
      </c>
      <c r="H7" s="23"/>
    </row>
    <row r="8" customFormat="false" ht="13.5" hidden="false" customHeight="true" outlineLevel="0" collapsed="false">
      <c r="A8" s="46" t="s">
        <v>122</v>
      </c>
      <c r="B8" s="47" t="s">
        <v>122</v>
      </c>
      <c r="C8" s="48" t="s">
        <v>122</v>
      </c>
      <c r="D8" s="49"/>
      <c r="E8" s="48" t="s">
        <v>122</v>
      </c>
      <c r="F8" s="47" t="s">
        <v>122</v>
      </c>
      <c r="G8" s="50" t="s">
        <v>122</v>
      </c>
      <c r="H8" s="23"/>
    </row>
    <row r="9" customFormat="false" ht="13.5" hidden="false" customHeight="true" outlineLevel="0" collapsed="false">
      <c r="A9" s="51" t="n">
        <f aca="false">SUM(B9:C9)</f>
        <v>72939159</v>
      </c>
      <c r="B9" s="52"/>
      <c r="C9" s="53" t="n">
        <f aca="false">SUMPRODUCT(--(SUBSTITUTE(SUBSTITUTE(入力!$A$20:$A$219," ",""),"　","")=SUBSTITUTE(SUBSTITUTE($D9," ",""),"　","")),入力!$B$20:$B$219)</f>
        <v>72939159</v>
      </c>
      <c r="D9" s="54" t="s">
        <v>123</v>
      </c>
      <c r="E9" s="55"/>
      <c r="F9" s="56"/>
      <c r="G9" s="57"/>
      <c r="H9" s="23"/>
    </row>
    <row r="10" customFormat="false" ht="17.25" hidden="false" customHeight="true" outlineLevel="0" collapsed="false">
      <c r="A10" s="51" t="n">
        <f aca="false">SUM(B10:C10)</f>
        <v>194420</v>
      </c>
      <c r="B10" s="58" t="n">
        <f aca="false">附属明細表!G38</f>
        <v>2356</v>
      </c>
      <c r="C10" s="59" t="n">
        <f aca="false">SUMPRODUCT(--(SUBSTITUTE(SUBSTITUTE(入力!$A$20:$A$219," ",""),"　","")=SUBSTITUTE(SUBSTITUTE($D10," ",""),"　","")),入力!$B$20:$B$219)</f>
        <v>192064</v>
      </c>
      <c r="D10" s="60" t="s">
        <v>64</v>
      </c>
      <c r="E10" s="61"/>
      <c r="F10" s="62"/>
      <c r="G10" s="63"/>
      <c r="H10" s="23"/>
    </row>
    <row r="11" customFormat="false" ht="17.25" hidden="false" customHeight="true" outlineLevel="0" collapsed="false">
      <c r="A11" s="51" t="n">
        <f aca="false">SUM(B11:C11)</f>
        <v>0</v>
      </c>
      <c r="B11" s="64"/>
      <c r="C11" s="59" t="n">
        <f aca="false">SUMPRODUCT(--(SUBSTITUTE(SUBSTITUTE(入力!$A$20:$A$219," ",""),"　","")=SUBSTITUTE(SUBSTITUTE($D11," ",""),"　","")),入力!$B$20:$B$219)</f>
        <v>0</v>
      </c>
      <c r="D11" s="60" t="s">
        <v>124</v>
      </c>
      <c r="E11" s="61"/>
      <c r="F11" s="62"/>
      <c r="G11" s="57"/>
      <c r="H11" s="23"/>
    </row>
    <row r="12" customFormat="false" ht="17.25" hidden="false" customHeight="true" outlineLevel="0" collapsed="false">
      <c r="A12" s="51" t="n">
        <f aca="false">SUM(B12:C12)</f>
        <v>11834281</v>
      </c>
      <c r="B12" s="58" t="n">
        <f aca="false">附属明細表!G32</f>
        <v>11834281</v>
      </c>
      <c r="C12" s="59" t="n">
        <f aca="false">SUMPRODUCT(--(SUBSTITUTE(SUBSTITUTE(入力!$A$20:$A$219," ",""),"　","")=SUBSTITUTE(SUBSTITUTE($D12," ",""),"　","")),入力!$B$20:$B$219)</f>
        <v>0</v>
      </c>
      <c r="D12" s="60" t="s">
        <v>125</v>
      </c>
      <c r="E12" s="61"/>
      <c r="F12" s="62"/>
      <c r="G12" s="57"/>
      <c r="H12" s="23"/>
    </row>
    <row r="13" customFormat="false" ht="17.25" hidden="false" customHeight="true" outlineLevel="0" collapsed="false">
      <c r="A13" s="51" t="n">
        <f aca="false">SUM(B13:C13)-F13</f>
        <v>207390</v>
      </c>
      <c r="B13" s="64"/>
      <c r="C13" s="59" t="n">
        <f aca="false">SUMPRODUCT(--(SUBSTITUTE(SUBSTITUTE(入力!$A$20:$A$219," ",""),"　","")=SUBSTITUTE(SUBSTITUTE($D13," ",""),"　","")),入力!$B$20:$B$219)</f>
        <v>383946</v>
      </c>
      <c r="D13" s="60" t="s">
        <v>65</v>
      </c>
      <c r="E13" s="65"/>
      <c r="F13" s="58" t="n">
        <f aca="false">附属明細表!P77</f>
        <v>176556</v>
      </c>
      <c r="G13" s="66" t="s">
        <v>126</v>
      </c>
      <c r="H13" s="23"/>
    </row>
    <row r="14" customFormat="false" ht="17.25" hidden="false" customHeight="true" outlineLevel="0" collapsed="false">
      <c r="A14" s="67"/>
      <c r="B14" s="64"/>
      <c r="C14" s="68"/>
      <c r="D14" s="60" t="s">
        <v>127</v>
      </c>
      <c r="E14" s="69" t="n">
        <f aca="false">SUMPRODUCT(--(SUBSTITUTE(SUBSTITUTE(入力!$A$20:$A$219," ",""),"　","")=SUBSTITUTE(SUBSTITUTE($D14," ",""),"　","")),入力!$C$20:$C$219)</f>
        <v>0</v>
      </c>
      <c r="F14" s="58" t="n">
        <f aca="false">附属明細表!G46</f>
        <v>9597685</v>
      </c>
      <c r="G14" s="66" t="n">
        <f aca="false">SUM(E14:F14)</f>
        <v>9597685</v>
      </c>
      <c r="H14" s="23"/>
    </row>
    <row r="15" customFormat="false" ht="17.25" hidden="false" customHeight="true" outlineLevel="0" collapsed="false">
      <c r="A15" s="67"/>
      <c r="B15" s="64"/>
      <c r="C15" s="68"/>
      <c r="D15" s="60" t="s">
        <v>128</v>
      </c>
      <c r="E15" s="69" t="n">
        <f aca="false">SUMPRODUCT(--(SUBSTITUTE(SUBSTITUTE(入力!$A$20:$A$219," ",""),"　","")=SUBSTITUTE(SUBSTITUTE($D15," ",""),"　","")),入力!$C$20:$C$219)</f>
        <v>0</v>
      </c>
      <c r="F15" s="58" t="n">
        <f aca="false">附属明細表!G54</f>
        <v>435361</v>
      </c>
      <c r="G15" s="66" t="n">
        <f aca="false">SUM(E15:F15)</f>
        <v>435361</v>
      </c>
      <c r="H15" s="23"/>
    </row>
    <row r="16" customFormat="false" ht="17.25" hidden="false" customHeight="true" outlineLevel="0" collapsed="false">
      <c r="A16" s="67"/>
      <c r="B16" s="64"/>
      <c r="C16" s="68"/>
      <c r="D16" s="60" t="s">
        <v>80</v>
      </c>
      <c r="E16" s="69" t="n">
        <f aca="false">SUMPRODUCT(--(SUBSTITUTE(SUBSTITUTE(入力!$A$20:$A$219," ",""),"　","")=SUBSTITUTE(SUBSTITUTE($D16," ",""),"　","")),入力!$C$20:$C$219)</f>
        <v>227940</v>
      </c>
      <c r="F16" s="64"/>
      <c r="G16" s="66" t="n">
        <f aca="false">SUM(E16:F16)</f>
        <v>227940</v>
      </c>
      <c r="H16" s="23"/>
    </row>
    <row r="17" customFormat="false" ht="17.25" hidden="false" customHeight="true" outlineLevel="0" collapsed="false">
      <c r="A17" s="67"/>
      <c r="B17" s="64"/>
      <c r="C17" s="68"/>
      <c r="D17" s="60" t="s">
        <v>81</v>
      </c>
      <c r="E17" s="69" t="n">
        <f aca="false">SUMPRODUCT(--(SUBSTITUTE(SUBSTITUTE(入力!$A$20:$A$219," ",""),"　","")=SUBSTITUTE(SUBSTITUTE($D17," ",""),"　","")),入力!$C$20:$C$219)</f>
        <v>216843</v>
      </c>
      <c r="F17" s="64"/>
      <c r="G17" s="66" t="n">
        <f aca="false">SUM(E17:F17)</f>
        <v>216843</v>
      </c>
      <c r="H17" s="23"/>
    </row>
    <row r="18" customFormat="false" ht="17.25" hidden="true" customHeight="true" outlineLevel="0" collapsed="false">
      <c r="A18" s="67"/>
      <c r="B18" s="64"/>
      <c r="C18" s="68"/>
      <c r="D18" s="60" t="s">
        <v>129</v>
      </c>
      <c r="E18" s="69" t="n">
        <f aca="false">SUMPRODUCT(--(SUBSTITUTE(SUBSTITUTE(入力!$A$20:$A$219," ",""),"　","")=SUBSTITUTE(SUBSTITUTE($D18," ",""),"　","")),入力!$C$20:$C$219)</f>
        <v>0</v>
      </c>
      <c r="F18" s="62"/>
      <c r="G18" s="66"/>
      <c r="H18" s="23"/>
    </row>
    <row r="19" customFormat="false" ht="17.25" hidden="false" customHeight="true" outlineLevel="0" collapsed="false">
      <c r="A19" s="67"/>
      <c r="B19" s="70" t="n">
        <f aca="false">B38</f>
        <v>3603510</v>
      </c>
      <c r="C19" s="68"/>
      <c r="D19" s="71" t="s">
        <v>82</v>
      </c>
      <c r="E19" s="69" t="n">
        <f aca="false">SUMPRODUCT(--(SUBSTITUTE(SUBSTITUTE(入力!$A$20:$A$219," ",""),"　","")=SUBSTITUTE(SUBSTITUTE($D19," ",""),"　","")),入力!$C$20:$C$219)</f>
        <v>71093911</v>
      </c>
      <c r="F19" s="70" t="n">
        <f aca="false">A38*2-F46</f>
        <v>7207020</v>
      </c>
      <c r="G19" s="66" t="n">
        <f aca="false">E19-B19+F19</f>
        <v>74697421</v>
      </c>
      <c r="H19" s="23"/>
    </row>
    <row r="20" customFormat="false" ht="18" hidden="false" customHeight="true" outlineLevel="0" collapsed="false">
      <c r="A20" s="72" t="n">
        <f aca="false">SUM(A9:A19)</f>
        <v>85175250</v>
      </c>
      <c r="B20" s="73" t="n">
        <f aca="false">SUM(B9:B19)</f>
        <v>15440147</v>
      </c>
      <c r="C20" s="74" t="n">
        <f aca="false">SUM(C9:C19)</f>
        <v>73515169</v>
      </c>
      <c r="D20" s="75" t="s">
        <v>130</v>
      </c>
      <c r="E20" s="76" t="n">
        <f aca="false">SUM(E9:E19)</f>
        <v>71538694</v>
      </c>
      <c r="F20" s="73" t="n">
        <f aca="false">SUM(F9:F19)</f>
        <v>17416622</v>
      </c>
      <c r="G20" s="77" t="n">
        <f aca="false">SUM(G9:G19)</f>
        <v>85175250</v>
      </c>
      <c r="H20" s="23"/>
    </row>
    <row r="21" customFormat="false" ht="17.25" hidden="false" customHeight="true" outlineLevel="0" collapsed="false">
      <c r="A21" s="51" t="n">
        <f aca="false">SUM(B21:C21)</f>
        <v>33000</v>
      </c>
      <c r="B21" s="52"/>
      <c r="C21" s="53" t="n">
        <f aca="false">SUMPRODUCT(--(SUBSTITUTE(SUBSTITUTE(入力!$A$20:$A$219," ",""),"　","")=SUBSTITUTE(SUBSTITUTE($D21," ",""),"　","")),入力!$B$20:$B$219)</f>
        <v>33000</v>
      </c>
      <c r="D21" s="54" t="s">
        <v>66</v>
      </c>
      <c r="E21" s="55"/>
      <c r="F21" s="56"/>
      <c r="G21" s="57"/>
      <c r="H21" s="23"/>
    </row>
    <row r="22" customFormat="false" ht="17.25" hidden="false" customHeight="true" outlineLevel="0" collapsed="false">
      <c r="A22" s="78" t="n">
        <f aca="false">SUM(B22:C22)-F22</f>
        <v>10141337</v>
      </c>
      <c r="B22" s="58" t="n">
        <f aca="false">附属明細表!G52</f>
        <v>59015</v>
      </c>
      <c r="C22" s="59" t="n">
        <f aca="false">SUMPRODUCT(--(SUBSTITUTE(SUBSTITUTE(入力!$A$20:$A$219," ",""),"　","")=SUBSTITUTE(SUBSTITUTE($D22," ",""),"　","")),入力!$B$20:$B$219)</f>
        <v>10082322</v>
      </c>
      <c r="D22" s="54" t="s">
        <v>67</v>
      </c>
      <c r="E22" s="61"/>
      <c r="F22" s="62"/>
      <c r="G22" s="63"/>
      <c r="H22" s="23"/>
    </row>
    <row r="23" customFormat="false" ht="17.25" hidden="false" customHeight="true" outlineLevel="0" collapsed="false">
      <c r="A23" s="78" t="n">
        <f aca="false">SUM(B23:C23)</f>
        <v>9702</v>
      </c>
      <c r="B23" s="64"/>
      <c r="C23" s="59" t="n">
        <f aca="false">SUMPRODUCT(--(SUBSTITUTE(SUBSTITUTE(入力!$A$20:$A$219," ",""),"　","")=SUBSTITUTE(SUBSTITUTE($D23," ",""),"　","")),入力!$B$20:$B$219)</f>
        <v>9702</v>
      </c>
      <c r="D23" s="54" t="s">
        <v>68</v>
      </c>
      <c r="E23" s="61"/>
      <c r="F23" s="62"/>
      <c r="G23" s="63"/>
      <c r="H23" s="23"/>
    </row>
    <row r="24" customFormat="false" ht="17.25" hidden="false" customHeight="true" outlineLevel="0" collapsed="false">
      <c r="A24" s="78" t="n">
        <f aca="false">SUM(B24:C24)</f>
        <v>343112</v>
      </c>
      <c r="B24" s="64"/>
      <c r="C24" s="59" t="n">
        <f aca="false">SUMPRODUCT(--(SUBSTITUTE(SUBSTITUTE(入力!$A$20:$A$219," ",""),"　","")=SUBSTITUTE(SUBSTITUTE($D24," ",""),"　","")),入力!$B$20:$B$219)</f>
        <v>343112</v>
      </c>
      <c r="D24" s="60" t="s">
        <v>69</v>
      </c>
      <c r="E24" s="61"/>
      <c r="F24" s="62"/>
      <c r="G24" s="63"/>
      <c r="H24" s="23"/>
    </row>
    <row r="25" customFormat="false" ht="17.25" hidden="false" customHeight="true" outlineLevel="0" collapsed="false">
      <c r="A25" s="78" t="n">
        <f aca="false">SUM(B25:C25)</f>
        <v>13993113</v>
      </c>
      <c r="B25" s="58" t="n">
        <f aca="false">附属明細表!G39</f>
        <v>846685</v>
      </c>
      <c r="C25" s="59" t="n">
        <f aca="false">SUMPRODUCT(--(SUBSTITUTE(SUBSTITUTE(入力!$A$20:$A$219," ",""),"　","")=SUBSTITUTE(SUBSTITUTE($D25," ",""),"　","")),入力!$B$20:$B$219)</f>
        <v>13146428</v>
      </c>
      <c r="D25" s="60" t="s">
        <v>70</v>
      </c>
      <c r="E25" s="61"/>
      <c r="F25" s="62"/>
      <c r="G25" s="63"/>
      <c r="H25" s="23"/>
    </row>
    <row r="26" customFormat="false" ht="17.25" hidden="false" customHeight="true" outlineLevel="0" collapsed="false">
      <c r="A26" s="78" t="n">
        <f aca="false">SUM(B26:C26)</f>
        <v>4598066</v>
      </c>
      <c r="B26" s="58" t="n">
        <f aca="false">附属明細表!G53</f>
        <v>376346</v>
      </c>
      <c r="C26" s="59" t="n">
        <f aca="false">SUMPRODUCT(--(SUBSTITUTE(SUBSTITUTE(入力!$A$20:$A$219," ",""),"　","")=SUBSTITUTE(SUBSTITUTE($D26," ",""),"　","")),入力!$B$20:$B$219)</f>
        <v>4221720</v>
      </c>
      <c r="D26" s="60" t="s">
        <v>71</v>
      </c>
      <c r="E26" s="61"/>
      <c r="F26" s="62"/>
      <c r="G26" s="63"/>
      <c r="H26" s="23"/>
    </row>
    <row r="27" customFormat="false" ht="17.25" hidden="false" customHeight="true" outlineLevel="0" collapsed="false">
      <c r="A27" s="78" t="n">
        <f aca="false">SUM(B27:C27)</f>
        <v>10084438</v>
      </c>
      <c r="B27" s="58" t="n">
        <f aca="false">附属明細表!G40</f>
        <v>1576505</v>
      </c>
      <c r="C27" s="59" t="n">
        <f aca="false">SUMPRODUCT(--(SUBSTITUTE(SUBSTITUTE(入力!$A$20:$A$219," ",""),"　","")=SUBSTITUTE(SUBSTITUTE($D27," ",""),"　","")),入力!$B$20:$B$219)</f>
        <v>8507933</v>
      </c>
      <c r="D27" s="60" t="s">
        <v>72</v>
      </c>
      <c r="E27" s="61"/>
      <c r="F27" s="62"/>
      <c r="G27" s="63"/>
      <c r="H27" s="23"/>
    </row>
    <row r="28" customFormat="false" ht="17.25" hidden="false" customHeight="true" outlineLevel="0" collapsed="false">
      <c r="A28" s="78" t="n">
        <f aca="false">SUM(B28:C28)</f>
        <v>103921</v>
      </c>
      <c r="B28" s="58" t="n">
        <f aca="false">附属明細表!G41</f>
        <v>46537</v>
      </c>
      <c r="C28" s="59" t="n">
        <f aca="false">SUMPRODUCT(--(SUBSTITUTE(SUBSTITUTE(入力!$A$20:$A$219," ",""),"　","")=SUBSTITUTE(SUBSTITUTE($D28," ",""),"　","")),入力!$B$20:$B$219)</f>
        <v>57384</v>
      </c>
      <c r="D28" s="60" t="s">
        <v>73</v>
      </c>
      <c r="E28" s="61"/>
      <c r="F28" s="79"/>
      <c r="G28" s="63"/>
      <c r="H28" s="23"/>
    </row>
    <row r="29" customFormat="false" ht="17.25" hidden="false" customHeight="true" outlineLevel="0" collapsed="false">
      <c r="A29" s="80" t="n">
        <f aca="false">SUM(B29:C29)</f>
        <v>0</v>
      </c>
      <c r="B29" s="81"/>
      <c r="C29" s="82" t="n">
        <f aca="false">SUMPRODUCT(--(SUBSTITUTE(SUBSTITUTE(入力!$A$20:$A$219," ",""),"　","")=SUBSTITUTE(SUBSTITUTE($D29," ",""),"　","")),入力!$B$20:$B$219)</f>
        <v>0</v>
      </c>
      <c r="D29" s="60" t="s">
        <v>74</v>
      </c>
      <c r="E29" s="61"/>
      <c r="F29" s="79"/>
      <c r="G29" s="63"/>
      <c r="H29" s="23"/>
    </row>
    <row r="30" customFormat="false" ht="17.25" hidden="false" customHeight="true" outlineLevel="0" collapsed="false">
      <c r="A30" s="78" t="n">
        <f aca="false">SUM(B30:C30)</f>
        <v>9430768</v>
      </c>
      <c r="B30" s="58" t="n">
        <f aca="false">附属明細表!G42</f>
        <v>1020091</v>
      </c>
      <c r="C30" s="59" t="n">
        <f aca="false">SUMPRODUCT(--(SUBSTITUTE(SUBSTITUTE(入力!$A$20:$A$219," ",""),"　","")=SUBSTITUTE(SUBSTITUTE($D30," ",""),"　","")),入力!$B$20:$B$219)</f>
        <v>8410677</v>
      </c>
      <c r="D30" s="60" t="s">
        <v>75</v>
      </c>
      <c r="E30" s="61"/>
      <c r="F30" s="79"/>
      <c r="G30" s="63"/>
      <c r="H30" s="23"/>
    </row>
    <row r="31" customFormat="false" ht="17.25" hidden="false" customHeight="true" outlineLevel="0" collapsed="false">
      <c r="A31" s="78" t="n">
        <f aca="false">SUM(B31:C31)</f>
        <v>1884714</v>
      </c>
      <c r="B31" s="58" t="n">
        <f aca="false">附属明細表!G43</f>
        <v>689790</v>
      </c>
      <c r="C31" s="59" t="n">
        <f aca="false">SUMPRODUCT(--(SUBSTITUTE(SUBSTITUTE(入力!$A$20:$A$219," ",""),"　","")=SUBSTITUTE(SUBSTITUTE($D31," ",""),"　","")),入力!$B$20:$B$219)</f>
        <v>1194924</v>
      </c>
      <c r="D31" s="60" t="s">
        <v>76</v>
      </c>
      <c r="E31" s="61"/>
      <c r="F31" s="79"/>
      <c r="G31" s="63"/>
      <c r="H31" s="23"/>
    </row>
    <row r="32" customFormat="false" ht="17.25" hidden="false" customHeight="true" outlineLevel="0" collapsed="false">
      <c r="A32" s="78" t="n">
        <f aca="false">SUM(B32:C32)</f>
        <v>2453880</v>
      </c>
      <c r="B32" s="58" t="n">
        <f aca="false">附属明細表!G44</f>
        <v>103564</v>
      </c>
      <c r="C32" s="59" t="n">
        <f aca="false">SUMPRODUCT(--(SUBSTITUTE(SUBSTITUTE(入力!$A$20:$A$219," ",""),"　","")=SUBSTITUTE(SUBSTITUTE($D32," ",""),"　","")),入力!$B$20:$B$219)</f>
        <v>2350316</v>
      </c>
      <c r="D32" s="60" t="s">
        <v>77</v>
      </c>
      <c r="E32" s="61"/>
      <c r="F32" s="83"/>
      <c r="G32" s="63"/>
      <c r="H32" s="23"/>
    </row>
    <row r="33" customFormat="false" ht="17.25" hidden="false" customHeight="true" outlineLevel="0" collapsed="false">
      <c r="A33" s="78" t="n">
        <f aca="false">SUM(B33:C33)</f>
        <v>13718352</v>
      </c>
      <c r="B33" s="64"/>
      <c r="C33" s="59" t="n">
        <f aca="false">SUMPRODUCT(--(SUBSTITUTE(SUBSTITUTE(入力!$A$20:$A$219," ",""),"　","")=SUBSTITUTE(SUBSTITUTE($D33," ",""),"　","")),入力!$B$20:$B$219)</f>
        <v>13718352</v>
      </c>
      <c r="D33" s="60" t="s">
        <v>78</v>
      </c>
      <c r="E33" s="61"/>
      <c r="F33" s="84"/>
      <c r="G33" s="63"/>
      <c r="H33" s="23"/>
    </row>
    <row r="34" customFormat="false" ht="17.25" hidden="false" customHeight="true" outlineLevel="0" collapsed="false">
      <c r="A34" s="78" t="n">
        <f aca="false">SUM(B34:C34)</f>
        <v>54153000</v>
      </c>
      <c r="B34" s="64"/>
      <c r="C34" s="59" t="n">
        <f aca="false">SUMPRODUCT(--(SUBSTITUTE(SUBSTITUTE(入力!$A$20:$A$219," ",""),"　","")=SUBSTITUTE(SUBSTITUTE($D34," ",""),"　","")),入力!$B$20:$B$219)</f>
        <v>54153000</v>
      </c>
      <c r="D34" s="71" t="s">
        <v>79</v>
      </c>
      <c r="E34" s="61"/>
      <c r="F34" s="84"/>
      <c r="G34" s="63"/>
      <c r="H34" s="23"/>
    </row>
    <row r="35" customFormat="false" ht="17.25" hidden="false" customHeight="true" outlineLevel="0" collapsed="false">
      <c r="A35" s="78" t="n">
        <f aca="false">SUM(B35:C35)</f>
        <v>176556</v>
      </c>
      <c r="B35" s="58" t="n">
        <f aca="false">附属明細表!P77</f>
        <v>176556</v>
      </c>
      <c r="C35" s="59" t="n">
        <f aca="false">SUMPRODUCT(--(SUBSTITUTE(SUBSTITUTE(入力!$A$20:$A$219," ",""),"　","")=SUBSTITUTE(SUBSTITUTE($D35," ",""),"　","")),入力!$B$20:$B$219)</f>
        <v>0</v>
      </c>
      <c r="D35" s="85" t="s">
        <v>131</v>
      </c>
      <c r="E35" s="61"/>
      <c r="F35" s="84"/>
      <c r="G35" s="63"/>
      <c r="H35" s="23"/>
    </row>
    <row r="36" customFormat="false" ht="17.25" hidden="false" customHeight="true" outlineLevel="0" collapsed="false">
      <c r="A36" s="78" t="n">
        <f aca="false">SUM(B36:C36)</f>
        <v>0</v>
      </c>
      <c r="B36" s="64"/>
      <c r="C36" s="59" t="n">
        <f aca="false">SUMPRODUCT(--(SUBSTITUTE(SUBSTITUTE(入力!$A$20:$A$219," ",""),"　","")=SUBSTITUTE(SUBSTITUTE($D36," ",""),"　","")),入力!$B$20:$B$219)</f>
        <v>0</v>
      </c>
      <c r="D36" s="85" t="s">
        <v>132</v>
      </c>
      <c r="E36" s="61"/>
      <c r="F36" s="84"/>
      <c r="G36" s="63"/>
      <c r="H36" s="23"/>
    </row>
    <row r="37" customFormat="false" ht="17.25" hidden="true" customHeight="true" outlineLevel="0" collapsed="false">
      <c r="A37" s="78" t="n">
        <f aca="false">SUM(B37:C37)</f>
        <v>0</v>
      </c>
      <c r="B37" s="64" t="n">
        <v>0</v>
      </c>
      <c r="C37" s="59" t="n">
        <f aca="false">SUMPRODUCT(--(SUBSTITUTE(SUBSTITUTE(入力!$A$20:$A$219," ",""),"　","")=SUBSTITUTE(SUBSTITUTE($D37," ",""),"　","")),入力!$B$20:$B$219)</f>
        <v>0</v>
      </c>
      <c r="D37" s="60" t="s">
        <v>133</v>
      </c>
      <c r="E37" s="61"/>
      <c r="F37" s="62"/>
      <c r="G37" s="63"/>
      <c r="H37" s="23"/>
    </row>
    <row r="38" customFormat="false" ht="17.25" hidden="false" customHeight="true" outlineLevel="0" collapsed="false">
      <c r="A38" s="78" t="n">
        <f aca="false">SUM(B38:C38)</f>
        <v>3603510</v>
      </c>
      <c r="B38" s="64" t="n">
        <f aca="false">MAX(SUM(G39:G45)-SUM(A21:A37),0)</f>
        <v>3603510</v>
      </c>
      <c r="C38" s="68"/>
      <c r="D38" s="60" t="s">
        <v>134</v>
      </c>
      <c r="E38" s="61"/>
      <c r="F38" s="62"/>
      <c r="G38" s="63"/>
      <c r="H38" s="23"/>
    </row>
    <row r="39" customFormat="false" ht="17.25" hidden="false" customHeight="true" outlineLevel="0" collapsed="false">
      <c r="A39" s="78"/>
      <c r="B39" s="58" t="n">
        <f aca="false">附属明細表!G45</f>
        <v>5312157</v>
      </c>
      <c r="C39" s="86"/>
      <c r="D39" s="60" t="s">
        <v>77</v>
      </c>
      <c r="E39" s="69" t="n">
        <f aca="false">SUMPRODUCT(--(SUBSTITUTE(SUBSTITUTE(入力!$A$20:$A$219," ",""),"　","")=SUBSTITUTE(SUBSTITUTE($D39," ",""),"　","")),入力!$C$20:$C$219)</f>
        <v>94968000</v>
      </c>
      <c r="F39" s="64"/>
      <c r="G39" s="66" t="n">
        <f aca="false">SUM(E39:F39)-B39</f>
        <v>89655843</v>
      </c>
      <c r="H39" s="23"/>
    </row>
    <row r="40" customFormat="false" ht="17.25" hidden="false" customHeight="true" outlineLevel="0" collapsed="false">
      <c r="A40" s="67"/>
      <c r="B40" s="79"/>
      <c r="C40" s="86"/>
      <c r="D40" s="60" t="s">
        <v>83</v>
      </c>
      <c r="E40" s="69" t="n">
        <f aca="false">SUMPRODUCT(--(SUBSTITUTE(SUBSTITUTE(入力!$A$20:$A$219," ",""),"　","")=SUBSTITUTE(SUBSTITUTE($D40," ",""),"　","")),入力!$C$20:$C$219)</f>
        <v>77607</v>
      </c>
      <c r="F40" s="64"/>
      <c r="G40" s="66" t="n">
        <f aca="false">SUM(E40:F40)</f>
        <v>77607</v>
      </c>
      <c r="H40" s="23"/>
    </row>
    <row r="41" customFormat="false" ht="17.25" hidden="false" customHeight="true" outlineLevel="0" collapsed="false">
      <c r="A41" s="67"/>
      <c r="B41" s="79"/>
      <c r="C41" s="86"/>
      <c r="D41" s="60" t="s">
        <v>135</v>
      </c>
      <c r="E41" s="69" t="n">
        <f aca="false">SUMPRODUCT(--(SUBSTITUTE(SUBSTITUTE(入力!$A$20:$A$219," ",""),"　","")=SUBSTITUTE(SUBSTITUTE($D41," ",""),"　","")),入力!$C$20:$C$219)</f>
        <v>0</v>
      </c>
      <c r="F41" s="64"/>
      <c r="G41" s="66" t="n">
        <f aca="false">SUM(E41:F41)</f>
        <v>0</v>
      </c>
      <c r="H41" s="23"/>
    </row>
    <row r="42" customFormat="false" ht="17.25" hidden="false" customHeight="true" outlineLevel="0" collapsed="false">
      <c r="A42" s="67"/>
      <c r="B42" s="79"/>
      <c r="C42" s="86"/>
      <c r="D42" s="60" t="s">
        <v>84</v>
      </c>
      <c r="E42" s="69" t="n">
        <f aca="false">SUMPRODUCT(--(SUBSTITUTE(SUBSTITUTE(入力!$A$20:$A$219," ",""),"　","")=SUBSTITUTE(SUBSTITUTE($D42," ",""),"　","")),入力!$C$20:$C$219)</f>
        <v>23159738</v>
      </c>
      <c r="F42" s="64"/>
      <c r="G42" s="66" t="n">
        <f aca="false">SUM(E42:F42)</f>
        <v>23159738</v>
      </c>
      <c r="H42" s="23"/>
    </row>
    <row r="43" customFormat="false" ht="17.25" hidden="true" customHeight="true" outlineLevel="0" collapsed="false">
      <c r="A43" s="67"/>
      <c r="B43" s="79"/>
      <c r="C43" s="86"/>
      <c r="D43" s="60" t="s">
        <v>136</v>
      </c>
      <c r="E43" s="69" t="n">
        <f aca="false">SUMPRODUCT(--(SUBSTITUTE(SUBSTITUTE(入力!$A$20:$A$219," ",""),"　","")=SUBSTITUTE(SUBSTITUTE($D43," ",""),"　","")),入力!$C$20:$C$219)</f>
        <v>0</v>
      </c>
      <c r="F43" s="64"/>
      <c r="G43" s="66" t="n">
        <f aca="false">SUM(E43:F43)</f>
        <v>0</v>
      </c>
      <c r="H43" s="23"/>
    </row>
    <row r="44" customFormat="false" ht="17.25" hidden="false" customHeight="true" outlineLevel="0" collapsed="false">
      <c r="A44" s="67"/>
      <c r="B44" s="79"/>
      <c r="C44" s="86"/>
      <c r="D44" s="60" t="s">
        <v>137</v>
      </c>
      <c r="E44" s="69" t="n">
        <f aca="false">SUMPRODUCT(--(SUBSTITUTE(SUBSTITUTE(入力!$A$20:$A$219," ",""),"　","")=SUBSTITUTE(SUBSTITUTE($D44," ",""),"　","")),入力!$C$20:$C$219)</f>
        <v>0</v>
      </c>
      <c r="F44" s="58" t="n">
        <f aca="false">附属明細表!G31</f>
        <v>11834281</v>
      </c>
      <c r="G44" s="66" t="n">
        <f aca="false">SUM(E44:F44)</f>
        <v>11834281</v>
      </c>
      <c r="H44" s="23"/>
    </row>
    <row r="45" customFormat="false" ht="17.25" hidden="false" customHeight="true" outlineLevel="0" collapsed="false">
      <c r="A45" s="67"/>
      <c r="B45" s="62"/>
      <c r="C45" s="87"/>
      <c r="D45" s="60" t="s">
        <v>138</v>
      </c>
      <c r="E45" s="69" t="n">
        <f aca="false">SUMPRODUCT(--(SUBSTITUTE(SUBSTITUTE(入力!$A$20:$A$219," ",""),"　","")=SUBSTITUTE(SUBSTITUTE($D45," ",""),"　","")),入力!$C$20:$C$219)</f>
        <v>0</v>
      </c>
      <c r="F45" s="64"/>
      <c r="G45" s="66" t="n">
        <f aca="false">SUM(E45:F45)</f>
        <v>0</v>
      </c>
      <c r="H45" s="23"/>
    </row>
    <row r="46" customFormat="false" ht="17.25" hidden="false" customHeight="true" outlineLevel="0" collapsed="false">
      <c r="A46" s="67"/>
      <c r="B46" s="62"/>
      <c r="C46" s="86"/>
      <c r="D46" s="60" t="s">
        <v>139</v>
      </c>
      <c r="E46" s="69" t="n">
        <f aca="false">SUMPRODUCT(--(SUBSTITUTE(SUBSTITUTE(入力!$A$20:$A$219," ",""),"　","")=SUBSTITUTE(SUBSTITUTE($D46," ",""),"　","")),入力!$C$20:$C$219)</f>
        <v>0</v>
      </c>
      <c r="F46" s="58" t="n">
        <f aca="false">MAX(SUM(A21:A37)-SUM(G39:G45),0)</f>
        <v>0</v>
      </c>
      <c r="G46" s="66" t="n">
        <f aca="false">SUM(E46:F46)</f>
        <v>0</v>
      </c>
      <c r="H46" s="23"/>
    </row>
    <row r="47" customFormat="false" ht="18" hidden="false" customHeight="true" outlineLevel="0" collapsed="false">
      <c r="A47" s="72" t="n">
        <f aca="false">SUM(A21:A46)</f>
        <v>124727469</v>
      </c>
      <c r="B47" s="73" t="n">
        <f aca="false">SUM(B21:B46)</f>
        <v>13810756</v>
      </c>
      <c r="C47" s="74" t="n">
        <f aca="false">SUM(C21:C46)</f>
        <v>116228870</v>
      </c>
      <c r="D47" s="75" t="s">
        <v>130</v>
      </c>
      <c r="E47" s="76" t="n">
        <f aca="false">SUM(E21:E46)</f>
        <v>118205345</v>
      </c>
      <c r="F47" s="73" t="n">
        <f aca="false">SUM(F21:F46)</f>
        <v>11834281</v>
      </c>
      <c r="G47" s="77" t="n">
        <f aca="false">SUM(G21:G46)</f>
        <v>124727469</v>
      </c>
      <c r="H47" s="23"/>
    </row>
    <row r="48" customFormat="false" ht="18" hidden="false" customHeight="true" outlineLevel="0" collapsed="false">
      <c r="A48" s="72" t="n">
        <f aca="false">SUM(A20+A47)</f>
        <v>209902719</v>
      </c>
      <c r="B48" s="73" t="n">
        <f aca="false">SUM(B47,B20)</f>
        <v>29250903</v>
      </c>
      <c r="C48" s="74" t="n">
        <f aca="false">SUM(C47,C20)</f>
        <v>189744039</v>
      </c>
      <c r="D48" s="75" t="s">
        <v>140</v>
      </c>
      <c r="E48" s="76" t="n">
        <f aca="false">SUM(E20+E47)</f>
        <v>189744039</v>
      </c>
      <c r="F48" s="73" t="n">
        <f aca="false">SUM(F47,F20)</f>
        <v>29250903</v>
      </c>
      <c r="G48" s="77" t="n">
        <f aca="false">SUM(G47,G20)</f>
        <v>209902719</v>
      </c>
      <c r="H48" s="23"/>
    </row>
    <row r="49" customFormat="false" ht="13.5" hidden="false" customHeight="true" outlineLevel="0" collapsed="false">
      <c r="A49" s="88"/>
      <c r="B49" s="89"/>
      <c r="C49" s="90"/>
      <c r="D49" s="91"/>
      <c r="E49" s="90"/>
      <c r="F49" s="90"/>
      <c r="G49" s="92"/>
      <c r="H49" s="23"/>
    </row>
    <row r="50" s="98" customFormat="true" ht="21" hidden="false" customHeight="true" outlineLevel="0" collapsed="false">
      <c r="A50" s="93" t="str">
        <f aca="false">入力!$B$6</f>
        <v>令和８年４月２２日</v>
      </c>
      <c r="B50" s="93"/>
      <c r="C50" s="94"/>
      <c r="D50" s="94"/>
      <c r="E50" s="95" t="str">
        <f aca="false">"    出納主任   "&amp;入力!$B$7</f>
        <v>    出納主任   村　井　慶　子</v>
      </c>
      <c r="F50" s="95"/>
      <c r="G50" s="96"/>
      <c r="H50" s="97"/>
    </row>
    <row r="51" customFormat="false" ht="13.5" hidden="false" customHeight="true" outlineLevel="0" collapsed="false">
      <c r="A51" s="99"/>
      <c r="B51" s="90"/>
      <c r="C51" s="90"/>
      <c r="D51" s="90"/>
      <c r="E51" s="90"/>
      <c r="F51" s="90"/>
      <c r="G51" s="92"/>
      <c r="H51" s="23"/>
    </row>
    <row r="52" customFormat="false" ht="13.5" hidden="false" customHeight="true" outlineLevel="0" collapsed="false">
      <c r="A52" s="100" t="s">
        <v>141</v>
      </c>
      <c r="B52" s="100"/>
      <c r="C52" s="100"/>
      <c r="D52" s="100"/>
      <c r="E52" s="100"/>
      <c r="F52" s="100"/>
      <c r="G52" s="100"/>
      <c r="H52" s="23"/>
    </row>
    <row r="53" customFormat="false" ht="13.5" hidden="false" customHeight="true" outlineLevel="0" collapsed="false">
      <c r="A53" s="101" t="str">
        <f aca="false">入力!$B$6</f>
        <v>令和８年４月２２日</v>
      </c>
      <c r="B53" s="101"/>
      <c r="C53" s="102"/>
      <c r="D53" s="102"/>
      <c r="E53" s="102"/>
      <c r="F53" s="102"/>
      <c r="G53" s="103"/>
      <c r="H53" s="23"/>
    </row>
    <row r="54" s="98" customFormat="true" ht="21" hidden="false" customHeight="true" outlineLevel="0" collapsed="false">
      <c r="A54" s="104"/>
      <c r="B54" s="105"/>
      <c r="C54" s="105"/>
      <c r="D54" s="105"/>
      <c r="E54" s="106" t="str">
        <f aca="false">"    出 納 役   "&amp;入力!$B$8</f>
        <v>    出 納 役   榎　本　聡　子</v>
      </c>
      <c r="F54" s="106"/>
      <c r="G54" s="106"/>
      <c r="H54" s="97"/>
    </row>
    <row r="55" customFormat="false" ht="13.5" hidden="false" customHeight="true" outlineLevel="0" collapsed="false">
      <c r="A55" s="23"/>
      <c r="B55" s="23"/>
      <c r="C55" s="23"/>
      <c r="D55" s="23"/>
      <c r="E55" s="23"/>
      <c r="F55" s="23"/>
      <c r="G55" s="23"/>
      <c r="H55" s="23"/>
    </row>
    <row r="56" customFormat="false" ht="13.5" hidden="false" customHeight="true" outlineLevel="0" collapsed="false">
      <c r="A56" s="23"/>
      <c r="B56" s="23"/>
      <c r="C56" s="23"/>
      <c r="D56" s="23"/>
      <c r="E56" s="23"/>
      <c r="F56" s="23"/>
      <c r="G56" s="23"/>
      <c r="H56" s="23"/>
    </row>
  </sheetData>
  <mergeCells count="9">
    <mergeCell ref="C1:E1"/>
    <mergeCell ref="C3:E3"/>
    <mergeCell ref="A6:C6"/>
    <mergeCell ref="D6:D7"/>
    <mergeCell ref="E6:G6"/>
    <mergeCell ref="A50:B50"/>
    <mergeCell ref="A52:G52"/>
    <mergeCell ref="A53:B53"/>
    <mergeCell ref="E54:G54"/>
  </mergeCells>
  <printOptions headings="false" gridLines="false" gridLinesSet="true" horizontalCentered="false" verticalCentered="false"/>
  <pageMargins left="0.7875" right="0.39375" top="0" bottom="0.39375" header="0.511811023622047" footer="0.315277777777778"/>
  <pageSetup paperSize="9" scale="95" fitToWidth="1" fitToHeight="1" pageOrder="downThenOver" orientation="portrait" blackAndWhite="false" draft="false" cellComments="none" firstPageNumber="51" useFirstPageNumber="true" horizontalDpi="300" verticalDpi="300" copies="1"/>
  <headerFooter differentFirst="false" differentOddEven="false">
    <oddHeader/>
    <oddFooter>&amp;C&amp;"ＭＳ 明朝,Regular"- &amp;P -</oddFooter>
  </headerFooter>
  <rowBreaks count="1" manualBreakCount="1">
    <brk id="54" man="true" max="16383" min="0"/>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3671875" defaultRowHeight="10.5" zeroHeight="false" outlineLevelRow="0" outlineLevelCol="0"/>
  <cols>
    <col collapsed="false" customWidth="true" hidden="false" outlineLevel="0" max="1" min="1" style="107" width="11.99"/>
    <col collapsed="false" customWidth="true" hidden="false" outlineLevel="0" max="2" min="2" style="107" width="10.87"/>
    <col collapsed="false" customWidth="false" hidden="false" outlineLevel="0" max="4" min="3" style="107" width="11.37"/>
    <col collapsed="false" customWidth="true" hidden="false" outlineLevel="0" max="5" min="5" style="107" width="11.99"/>
    <col collapsed="false" customWidth="true" hidden="false" outlineLevel="0" max="6" min="6" style="107" width="10.87"/>
    <col collapsed="false" customWidth="false" hidden="false" outlineLevel="0" max="257" min="7" style="107" width="11.37"/>
  </cols>
  <sheetData>
    <row r="1" customFormat="false" ht="18.75" hidden="false" customHeight="true" outlineLevel="0" collapsed="false">
      <c r="B1" s="108"/>
      <c r="D1" s="109" t="s">
        <v>142</v>
      </c>
      <c r="E1" s="109"/>
      <c r="F1" s="110"/>
      <c r="G1" s="108"/>
      <c r="H1" s="108"/>
    </row>
    <row r="2" customFormat="false" ht="18.75" hidden="false" customHeight="true" outlineLevel="0" collapsed="false">
      <c r="B2" s="108"/>
      <c r="D2" s="111" t="s">
        <v>143</v>
      </c>
      <c r="E2" s="111"/>
      <c r="F2" s="110"/>
      <c r="G2" s="108"/>
      <c r="H2" s="108"/>
    </row>
    <row r="3" customFormat="false" ht="12" hidden="false" customHeight="true" outlineLevel="0" collapsed="false">
      <c r="A3" s="112"/>
      <c r="B3" s="112"/>
      <c r="C3" s="113"/>
      <c r="D3" s="113"/>
      <c r="E3" s="112"/>
      <c r="F3" s="112"/>
      <c r="G3" s="114" t="str">
        <f aca="false">"令和"&amp;JIS(入力!$B$5+1)&amp;"年３月３１日現在"</f>
        <v>令和８年３月３１日現在</v>
      </c>
      <c r="H3" s="114"/>
    </row>
    <row r="4" s="118" customFormat="true" ht="13.5" hidden="false" customHeight="true" outlineLevel="0" collapsed="false">
      <c r="A4" s="115" t="s">
        <v>144</v>
      </c>
      <c r="B4" s="115"/>
      <c r="C4" s="115"/>
      <c r="D4" s="116" t="s">
        <v>145</v>
      </c>
      <c r="E4" s="117" t="s">
        <v>146</v>
      </c>
      <c r="F4" s="117"/>
      <c r="G4" s="117"/>
      <c r="H4" s="115" t="s">
        <v>145</v>
      </c>
    </row>
    <row r="5" customFormat="false" ht="10.5" hidden="false" customHeight="true" outlineLevel="0" collapsed="false">
      <c r="A5" s="119"/>
      <c r="B5" s="120" t="s">
        <v>122</v>
      </c>
      <c r="C5" s="121" t="s">
        <v>122</v>
      </c>
      <c r="D5" s="122" t="s">
        <v>122</v>
      </c>
      <c r="E5" s="123"/>
      <c r="F5" s="120" t="s">
        <v>122</v>
      </c>
      <c r="G5" s="121" t="s">
        <v>122</v>
      </c>
      <c r="H5" s="124" t="s">
        <v>122</v>
      </c>
    </row>
    <row r="6" customFormat="false" ht="15.75" hidden="false" customHeight="true" outlineLevel="0" collapsed="false">
      <c r="A6" s="125" t="s">
        <v>147</v>
      </c>
      <c r="B6" s="126"/>
      <c r="C6" s="127"/>
      <c r="D6" s="128" t="n">
        <f aca="false">SUM(C7:C9)</f>
        <v>84967860</v>
      </c>
      <c r="E6" s="129" t="s">
        <v>148</v>
      </c>
      <c r="F6" s="130"/>
      <c r="G6" s="131"/>
      <c r="H6" s="132" t="n">
        <f aca="false">SUM(G7:G10)</f>
        <v>10477829</v>
      </c>
    </row>
    <row r="7" customFormat="false" ht="15.75" hidden="false" customHeight="true" outlineLevel="0" collapsed="false">
      <c r="A7" s="133" t="s">
        <v>63</v>
      </c>
      <c r="B7" s="112"/>
      <c r="C7" s="134" t="n">
        <f aca="false">決算精算表!A9</f>
        <v>72939159</v>
      </c>
      <c r="D7" s="135"/>
      <c r="E7" s="136" t="s">
        <v>127</v>
      </c>
      <c r="F7" s="112"/>
      <c r="G7" s="130" t="n">
        <f aca="false">決算精算表!G14</f>
        <v>9597685</v>
      </c>
      <c r="H7" s="137"/>
    </row>
    <row r="8" customFormat="false" ht="15.75" hidden="false" customHeight="true" outlineLevel="0" collapsed="false">
      <c r="A8" s="133" t="s">
        <v>64</v>
      </c>
      <c r="B8" s="112"/>
      <c r="C8" s="134" t="n">
        <f aca="false">決算精算表!A10</f>
        <v>194420</v>
      </c>
      <c r="D8" s="138"/>
      <c r="E8" s="136" t="s">
        <v>128</v>
      </c>
      <c r="F8" s="130"/>
      <c r="G8" s="130" t="n">
        <f aca="false">決算精算表!G15</f>
        <v>435361</v>
      </c>
      <c r="H8" s="137"/>
    </row>
    <row r="9" customFormat="false" ht="15.75" hidden="false" customHeight="true" outlineLevel="0" collapsed="false">
      <c r="A9" s="133" t="s">
        <v>125</v>
      </c>
      <c r="B9" s="112"/>
      <c r="C9" s="134" t="n">
        <f aca="false">決算精算表!A12</f>
        <v>11834281</v>
      </c>
      <c r="D9" s="138"/>
      <c r="E9" s="136" t="s">
        <v>80</v>
      </c>
      <c r="F9" s="130"/>
      <c r="G9" s="130" t="n">
        <f aca="false">決算精算表!G16</f>
        <v>227940</v>
      </c>
      <c r="H9" s="137"/>
    </row>
    <row r="10" customFormat="false" ht="15.75" hidden="false" customHeight="true" outlineLevel="0" collapsed="false">
      <c r="A10" s="139"/>
      <c r="B10" s="140"/>
      <c r="C10" s="141"/>
      <c r="D10" s="138"/>
      <c r="E10" s="136" t="s">
        <v>81</v>
      </c>
      <c r="F10" s="130"/>
      <c r="G10" s="130" t="n">
        <f aca="false">決算精算表!G17</f>
        <v>216843</v>
      </c>
      <c r="H10" s="137"/>
    </row>
    <row r="11" customFormat="false" ht="9" hidden="false" customHeight="true" outlineLevel="0" collapsed="false">
      <c r="A11" s="125"/>
      <c r="B11" s="130"/>
      <c r="C11" s="142"/>
      <c r="D11" s="138"/>
      <c r="E11" s="136"/>
      <c r="F11" s="130"/>
      <c r="G11" s="130"/>
      <c r="H11" s="137"/>
    </row>
    <row r="12" customFormat="false" ht="15.75" hidden="false" customHeight="true" outlineLevel="0" collapsed="false">
      <c r="A12" s="125" t="s">
        <v>149</v>
      </c>
      <c r="B12" s="130"/>
      <c r="C12" s="142"/>
      <c r="D12" s="143" t="n">
        <f aca="false">SUM(C13)</f>
        <v>207390</v>
      </c>
      <c r="E12" s="144" t="s">
        <v>150</v>
      </c>
      <c r="F12" s="130"/>
      <c r="G12" s="131"/>
      <c r="H12" s="132" t="n">
        <f aca="false">SUM(H2:H11)</f>
        <v>10477829</v>
      </c>
    </row>
    <row r="13" customFormat="false" ht="15.75" hidden="false" customHeight="true" outlineLevel="0" collapsed="false">
      <c r="A13" s="145" t="s">
        <v>151</v>
      </c>
      <c r="B13" s="130"/>
      <c r="C13" s="146" t="n">
        <f aca="false">SUM(B14)</f>
        <v>207390</v>
      </c>
      <c r="D13" s="138"/>
      <c r="E13" s="147"/>
      <c r="F13" s="130"/>
      <c r="G13" s="148"/>
      <c r="H13" s="137"/>
    </row>
    <row r="14" customFormat="false" ht="15.75" hidden="false" customHeight="true" outlineLevel="0" collapsed="false">
      <c r="A14" s="133" t="s">
        <v>65</v>
      </c>
      <c r="B14" s="130" t="n">
        <f aca="false">決算精算表!A13</f>
        <v>207390</v>
      </c>
      <c r="C14" s="142"/>
      <c r="D14" s="138"/>
      <c r="E14" s="129" t="s">
        <v>152</v>
      </c>
      <c r="F14" s="130"/>
      <c r="G14" s="131"/>
      <c r="H14" s="132" t="n">
        <f aca="false">SUM(G15:G16)</f>
        <v>74697421</v>
      </c>
    </row>
    <row r="15" customFormat="false" ht="18" hidden="false" customHeight="true" outlineLevel="0" collapsed="false">
      <c r="A15" s="133"/>
      <c r="B15" s="130"/>
      <c r="C15" s="142"/>
      <c r="D15" s="138"/>
      <c r="E15" s="149" t="s">
        <v>82</v>
      </c>
      <c r="F15" s="130"/>
      <c r="G15" s="150" t="n">
        <f aca="false">F16+F17</f>
        <v>74697421</v>
      </c>
      <c r="H15" s="137"/>
    </row>
    <row r="16" customFormat="false" ht="18" hidden="false" customHeight="true" outlineLevel="0" collapsed="false">
      <c r="A16" s="133"/>
      <c r="B16" s="130"/>
      <c r="C16" s="142"/>
      <c r="D16" s="138"/>
      <c r="E16" s="136" t="s">
        <v>153</v>
      </c>
      <c r="F16" s="130" t="n">
        <f aca="false">決算精算表!G19</f>
        <v>74697421</v>
      </c>
      <c r="G16" s="131"/>
      <c r="H16" s="137"/>
    </row>
    <row r="17" customFormat="false" ht="6.75" hidden="false" customHeight="true" outlineLevel="0" collapsed="false">
      <c r="A17" s="125"/>
      <c r="B17" s="130"/>
      <c r="C17" s="142"/>
      <c r="D17" s="143"/>
      <c r="E17" s="129"/>
      <c r="F17" s="130"/>
      <c r="G17" s="131"/>
      <c r="H17" s="137"/>
    </row>
    <row r="18" customFormat="false" ht="15.75" hidden="false" customHeight="true" outlineLevel="0" collapsed="false">
      <c r="A18" s="145"/>
      <c r="B18" s="130"/>
      <c r="C18" s="142"/>
      <c r="D18" s="138"/>
      <c r="E18" s="144"/>
      <c r="F18" s="130"/>
      <c r="G18" s="130"/>
      <c r="H18" s="132"/>
    </row>
    <row r="19" customFormat="false" ht="18" hidden="false" customHeight="true" outlineLevel="0" collapsed="false">
      <c r="A19" s="133"/>
      <c r="B19" s="130"/>
      <c r="C19" s="142"/>
      <c r="D19" s="138"/>
      <c r="E19" s="144" t="s">
        <v>154</v>
      </c>
      <c r="F19" s="130"/>
      <c r="G19" s="130"/>
      <c r="H19" s="132" t="n">
        <f aca="false">SUM(H14:H18)</f>
        <v>74697421</v>
      </c>
    </row>
    <row r="20" customFormat="false" ht="15.75" hidden="false" customHeight="true" outlineLevel="0" collapsed="false">
      <c r="A20" s="145"/>
      <c r="B20" s="130"/>
      <c r="C20" s="134"/>
      <c r="D20" s="138"/>
      <c r="E20" s="144"/>
      <c r="F20" s="130"/>
      <c r="G20" s="130"/>
      <c r="H20" s="132"/>
    </row>
    <row r="21" customFormat="false" ht="15.75" hidden="false" customHeight="true" outlineLevel="0" collapsed="false">
      <c r="A21" s="145"/>
      <c r="B21" s="130"/>
      <c r="C21" s="134"/>
      <c r="D21" s="138"/>
      <c r="E21" s="136"/>
      <c r="F21" s="148"/>
      <c r="G21" s="131"/>
      <c r="H21" s="137"/>
    </row>
    <row r="22" customFormat="false" ht="6" hidden="false" customHeight="true" outlineLevel="0" collapsed="false">
      <c r="A22" s="133"/>
      <c r="B22" s="130"/>
      <c r="C22" s="142"/>
      <c r="D22" s="138"/>
      <c r="E22" s="129"/>
      <c r="F22" s="130"/>
      <c r="G22" s="131"/>
      <c r="H22" s="137"/>
    </row>
    <row r="23" customFormat="false" ht="15.75" hidden="false" customHeight="true" outlineLevel="0" collapsed="false">
      <c r="A23" s="119"/>
      <c r="B23" s="130"/>
      <c r="C23" s="134"/>
      <c r="D23" s="138"/>
      <c r="E23" s="144"/>
      <c r="F23" s="130"/>
      <c r="G23" s="130"/>
      <c r="H23" s="132"/>
    </row>
    <row r="24" customFormat="false" ht="7.5" hidden="false" customHeight="true" outlineLevel="0" collapsed="false">
      <c r="A24" s="119"/>
      <c r="B24" s="130"/>
      <c r="C24" s="142"/>
      <c r="D24" s="138"/>
      <c r="E24" s="151"/>
      <c r="F24" s="130"/>
      <c r="G24" s="131"/>
      <c r="H24" s="137"/>
    </row>
    <row r="25" customFormat="false" ht="15.75" hidden="false" customHeight="true" outlineLevel="0" collapsed="false">
      <c r="A25" s="152" t="s">
        <v>155</v>
      </c>
      <c r="B25" s="152"/>
      <c r="C25" s="152"/>
      <c r="D25" s="153" t="n">
        <f aca="false">SUM(D6:D24)</f>
        <v>85175250</v>
      </c>
      <c r="E25" s="154" t="s">
        <v>156</v>
      </c>
      <c r="F25" s="154"/>
      <c r="G25" s="154"/>
      <c r="H25" s="155" t="n">
        <f aca="false">H12+H19</f>
        <v>85175250</v>
      </c>
    </row>
    <row r="26" customFormat="false" ht="24" hidden="true" customHeight="true" outlineLevel="0" collapsed="false">
      <c r="A26" s="156" t="s">
        <v>157</v>
      </c>
      <c r="B26" s="156"/>
      <c r="C26" s="156"/>
      <c r="D26" s="156"/>
      <c r="E26" s="156"/>
      <c r="F26" s="156"/>
      <c r="G26" s="156"/>
      <c r="H26" s="156"/>
    </row>
    <row r="27" customFormat="false" ht="15" hidden="true" customHeight="true" outlineLevel="0" collapsed="false">
      <c r="A27" s="112"/>
      <c r="B27" s="112"/>
      <c r="C27" s="112"/>
      <c r="D27" s="112"/>
      <c r="E27" s="157"/>
      <c r="F27" s="157"/>
      <c r="G27" s="112"/>
      <c r="H27" s="112"/>
    </row>
    <row r="28" customFormat="false" ht="30" hidden="false" customHeight="true" outlineLevel="0" collapsed="false">
      <c r="A28" s="158" t="str">
        <f aca="false">"  （注）　固定資産の減価償却は、地方公務員等共済組合法施行規程第73条に基づき定額法により行っており、有形固定資産の減価償"&amp;CHAR(10)&amp;"　　　　却累計額は、"&amp;TEXT(附属明細表!Q116,"#,##0")&amp;"円である。"</f>
        <v>  （注）　固定資産の減価償却は、地方公務員等共済組合法施行規程第73条に基づき定額法により行っており、有形固定資産の減価償
　　　　却累計額は、643,460円である。</v>
      </c>
      <c r="B28" s="158"/>
      <c r="C28" s="158"/>
      <c r="D28" s="158"/>
      <c r="E28" s="158"/>
      <c r="F28" s="158"/>
      <c r="G28" s="158"/>
      <c r="H28" s="158"/>
    </row>
    <row r="29" customFormat="false" ht="1.5" hidden="false" customHeight="true" outlineLevel="0" collapsed="false">
      <c r="A29" s="112"/>
      <c r="B29" s="112"/>
      <c r="C29" s="112"/>
      <c r="D29" s="112"/>
      <c r="E29" s="157"/>
      <c r="F29" s="157"/>
      <c r="G29" s="112"/>
      <c r="H29" s="112"/>
    </row>
    <row r="30" customFormat="false" ht="18.75" hidden="false" customHeight="true" outlineLevel="0" collapsed="false">
      <c r="B30" s="159"/>
      <c r="D30" s="109" t="s">
        <v>142</v>
      </c>
      <c r="E30" s="109"/>
      <c r="F30" s="110"/>
      <c r="G30" s="159"/>
      <c r="H30" s="159"/>
    </row>
    <row r="31" customFormat="false" ht="18.75" hidden="false" customHeight="true" outlineLevel="0" collapsed="false">
      <c r="B31" s="159"/>
      <c r="D31" s="111" t="s">
        <v>158</v>
      </c>
      <c r="E31" s="111"/>
      <c r="F31" s="110"/>
      <c r="G31" s="159"/>
      <c r="H31" s="159"/>
    </row>
    <row r="32" customFormat="false" ht="10.5" hidden="false" customHeight="true" outlineLevel="0" collapsed="false">
      <c r="A32" s="113"/>
      <c r="B32" s="113"/>
      <c r="C32" s="113"/>
      <c r="D32" s="113"/>
      <c r="E32" s="113"/>
      <c r="F32" s="113"/>
      <c r="G32" s="160" t="str">
        <f aca="false">"自  令和"&amp;JIS(入力!$B$5)&amp;"年４月  １日"</f>
        <v>自  令和７年４月  １日</v>
      </c>
      <c r="H32" s="160"/>
    </row>
    <row r="33" customFormat="false" ht="11.25" hidden="false" customHeight="true" outlineLevel="0" collapsed="false">
      <c r="A33" s="112"/>
      <c r="B33" s="112"/>
      <c r="C33" s="113"/>
      <c r="D33" s="113"/>
      <c r="E33" s="112"/>
      <c r="F33" s="112"/>
      <c r="G33" s="160" t="str">
        <f aca="false">"至  令和"&amp;JIS(入力!$B$5+1)&amp;"年３月３１日"</f>
        <v>至  令和８年３月３１日</v>
      </c>
      <c r="H33" s="160"/>
    </row>
    <row r="34" customFormat="false" ht="11.25" hidden="false" customHeight="true" outlineLevel="0" collapsed="false">
      <c r="A34" s="161" t="s">
        <v>159</v>
      </c>
      <c r="B34" s="161"/>
      <c r="C34" s="161"/>
      <c r="D34" s="116" t="s">
        <v>145</v>
      </c>
      <c r="E34" s="162" t="s">
        <v>160</v>
      </c>
      <c r="F34" s="162"/>
      <c r="G34" s="162"/>
      <c r="H34" s="115" t="s">
        <v>145</v>
      </c>
    </row>
    <row r="35" customFormat="false" ht="13.5" hidden="false" customHeight="true" outlineLevel="0" collapsed="false">
      <c r="A35" s="119"/>
      <c r="B35" s="120" t="s">
        <v>122</v>
      </c>
      <c r="C35" s="163" t="s">
        <v>122</v>
      </c>
      <c r="D35" s="122" t="s">
        <v>122</v>
      </c>
      <c r="E35" s="123"/>
      <c r="F35" s="120" t="s">
        <v>122</v>
      </c>
      <c r="G35" s="163" t="s">
        <v>122</v>
      </c>
      <c r="H35" s="164" t="s">
        <v>122</v>
      </c>
    </row>
    <row r="36" customFormat="false" ht="15.75" hidden="false" customHeight="true" outlineLevel="0" collapsed="false">
      <c r="A36" s="125" t="s">
        <v>161</v>
      </c>
      <c r="B36" s="130"/>
      <c r="C36" s="131"/>
      <c r="D36" s="143" t="n">
        <f aca="false">SUM(C37)</f>
        <v>121123959</v>
      </c>
      <c r="E36" s="129" t="s">
        <v>162</v>
      </c>
      <c r="F36" s="165"/>
      <c r="G36" s="166"/>
      <c r="H36" s="167" t="n">
        <f aca="false">SUM(G37:G46)</f>
        <v>112893188</v>
      </c>
    </row>
    <row r="37" customFormat="false" ht="15.75" hidden="false" customHeight="true" outlineLevel="0" collapsed="false">
      <c r="A37" s="145" t="s">
        <v>163</v>
      </c>
      <c r="B37" s="130"/>
      <c r="C37" s="150" t="n">
        <f aca="false">SUM(B38:B52)</f>
        <v>121123959</v>
      </c>
      <c r="D37" s="138"/>
      <c r="E37" s="149" t="s">
        <v>164</v>
      </c>
      <c r="F37" s="165"/>
      <c r="G37" s="168" t="n">
        <f aca="false">SUM(F38:F40)</f>
        <v>89733450</v>
      </c>
      <c r="H37" s="169"/>
    </row>
    <row r="38" customFormat="false" ht="15.75" hidden="false" customHeight="true" outlineLevel="0" collapsed="false">
      <c r="A38" s="170" t="s">
        <v>66</v>
      </c>
      <c r="B38" s="130" t="n">
        <f aca="false">決算精算表!A21</f>
        <v>33000</v>
      </c>
      <c r="C38" s="131"/>
      <c r="D38" s="138"/>
      <c r="E38" s="136" t="s">
        <v>77</v>
      </c>
      <c r="F38" s="130" t="n">
        <f aca="false">決算精算表!G39</f>
        <v>89655843</v>
      </c>
      <c r="G38" s="131"/>
      <c r="H38" s="137"/>
    </row>
    <row r="39" customFormat="false" ht="15.75" hidden="false" customHeight="true" outlineLevel="0" collapsed="false">
      <c r="A39" s="170" t="s">
        <v>67</v>
      </c>
      <c r="B39" s="130" t="n">
        <f aca="false">決算精算表!A22</f>
        <v>10141337</v>
      </c>
      <c r="C39" s="131"/>
      <c r="D39" s="138"/>
      <c r="E39" s="136" t="s">
        <v>83</v>
      </c>
      <c r="F39" s="130" t="n">
        <f aca="false">決算精算表!G40</f>
        <v>77607</v>
      </c>
      <c r="G39" s="131"/>
      <c r="H39" s="137"/>
    </row>
    <row r="40" customFormat="false" ht="15.75" hidden="false" customHeight="true" outlineLevel="0" collapsed="false">
      <c r="A40" s="170" t="s">
        <v>68</v>
      </c>
      <c r="B40" s="130" t="n">
        <f aca="false">決算精算表!A23</f>
        <v>9702</v>
      </c>
      <c r="C40" s="131"/>
      <c r="D40" s="138"/>
      <c r="E40" s="136"/>
      <c r="F40" s="130"/>
      <c r="G40" s="131"/>
      <c r="H40" s="137"/>
    </row>
    <row r="41" customFormat="false" ht="15.75" hidden="false" customHeight="true" outlineLevel="0" collapsed="false">
      <c r="A41" s="170" t="s">
        <v>69</v>
      </c>
      <c r="B41" s="130" t="n">
        <f aca="false">決算精算表!A24</f>
        <v>343112</v>
      </c>
      <c r="C41" s="131"/>
      <c r="D41" s="138"/>
      <c r="E41" s="149" t="s">
        <v>165</v>
      </c>
      <c r="F41" s="130"/>
      <c r="G41" s="150" t="n">
        <f aca="false">SUM(F42:F43)</f>
        <v>23159738</v>
      </c>
      <c r="H41" s="137"/>
    </row>
    <row r="42" customFormat="false" ht="15.75" hidden="false" customHeight="true" outlineLevel="0" collapsed="false">
      <c r="A42" s="170" t="s">
        <v>166</v>
      </c>
      <c r="B42" s="130" t="n">
        <f aca="false">決算精算表!A25</f>
        <v>13993113</v>
      </c>
      <c r="C42" s="131"/>
      <c r="D42" s="138"/>
      <c r="E42" s="136" t="s">
        <v>84</v>
      </c>
      <c r="F42" s="130" t="n">
        <f aca="false">決算精算表!G42</f>
        <v>23159738</v>
      </c>
      <c r="G42" s="171"/>
      <c r="H42" s="137"/>
    </row>
    <row r="43" customFormat="false" ht="15.75" hidden="false" customHeight="true" outlineLevel="0" collapsed="false">
      <c r="A43" s="172" t="s">
        <v>71</v>
      </c>
      <c r="B43" s="130" t="n">
        <f aca="false">決算精算表!A26</f>
        <v>4598066</v>
      </c>
      <c r="C43" s="131"/>
      <c r="D43" s="138"/>
      <c r="E43" s="173" t="s">
        <v>167</v>
      </c>
      <c r="F43" s="130"/>
      <c r="G43" s="171" t="n">
        <f aca="false">SUM(F44)</f>
        <v>0</v>
      </c>
      <c r="H43" s="137"/>
    </row>
    <row r="44" customFormat="false" ht="15.75" hidden="false" customHeight="true" outlineLevel="0" collapsed="false">
      <c r="A44" s="172" t="s">
        <v>168</v>
      </c>
      <c r="B44" s="130" t="n">
        <f aca="false">決算精算表!A27</f>
        <v>10084438</v>
      </c>
      <c r="C44" s="131"/>
      <c r="D44" s="138"/>
      <c r="E44" s="174" t="s">
        <v>169</v>
      </c>
      <c r="F44" s="130" t="n">
        <f aca="false">決算精算表!G43</f>
        <v>0</v>
      </c>
      <c r="G44" s="171"/>
      <c r="H44" s="137"/>
    </row>
    <row r="45" customFormat="false" ht="15.75" hidden="false" customHeight="true" outlineLevel="0" collapsed="false">
      <c r="A45" s="172" t="s">
        <v>73</v>
      </c>
      <c r="B45" s="130" t="n">
        <f aca="false">決算精算表!A28</f>
        <v>103921</v>
      </c>
      <c r="C45" s="131"/>
      <c r="D45" s="138"/>
      <c r="E45" s="174"/>
      <c r="F45" s="130"/>
      <c r="H45" s="132"/>
    </row>
    <row r="46" customFormat="false" ht="15.75" hidden="false" customHeight="true" outlineLevel="0" collapsed="false">
      <c r="A46" s="172" t="s">
        <v>74</v>
      </c>
      <c r="B46" s="130" t="n">
        <f aca="false">決算精算表!A29</f>
        <v>0</v>
      </c>
      <c r="C46" s="131"/>
      <c r="D46" s="138"/>
      <c r="E46" s="129" t="s">
        <v>170</v>
      </c>
      <c r="F46" s="130"/>
      <c r="G46" s="171"/>
      <c r="H46" s="132" t="n">
        <f aca="false">G47</f>
        <v>11834281</v>
      </c>
    </row>
    <row r="47" customFormat="false" ht="15.75" hidden="false" customHeight="true" outlineLevel="0" collapsed="false">
      <c r="A47" s="170" t="s">
        <v>171</v>
      </c>
      <c r="B47" s="130" t="n">
        <f aca="false">決算精算表!A30</f>
        <v>9430768</v>
      </c>
      <c r="C47" s="131"/>
      <c r="D47" s="138"/>
      <c r="E47" s="175" t="s">
        <v>137</v>
      </c>
      <c r="F47" s="130"/>
      <c r="G47" s="176" t="n">
        <f aca="false">決算精算表!G44</f>
        <v>11834281</v>
      </c>
      <c r="H47" s="132"/>
    </row>
    <row r="48" customFormat="false" ht="15.75" hidden="false" customHeight="true" outlineLevel="0" collapsed="false">
      <c r="A48" s="170" t="s">
        <v>172</v>
      </c>
      <c r="B48" s="130" t="n">
        <f aca="false">決算精算表!A31</f>
        <v>1884714</v>
      </c>
      <c r="C48" s="131"/>
      <c r="D48" s="138"/>
      <c r="E48" s="175"/>
      <c r="F48" s="130"/>
      <c r="G48" s="176"/>
      <c r="H48" s="177"/>
    </row>
    <row r="49" customFormat="false" ht="15.75" hidden="false" customHeight="true" outlineLevel="0" collapsed="false">
      <c r="A49" s="172" t="s">
        <v>173</v>
      </c>
      <c r="B49" s="130" t="n">
        <f aca="false">決算精算表!A32</f>
        <v>2453880</v>
      </c>
      <c r="C49" s="131"/>
      <c r="D49" s="138"/>
      <c r="E49" s="125" t="s">
        <v>174</v>
      </c>
      <c r="F49" s="130"/>
      <c r="G49" s="131"/>
      <c r="H49" s="132" t="n">
        <f aca="false">SUM(G50)</f>
        <v>0</v>
      </c>
    </row>
    <row r="50" customFormat="false" ht="15.75" hidden="false" customHeight="true" outlineLevel="0" collapsed="false">
      <c r="A50" s="133" t="s">
        <v>78</v>
      </c>
      <c r="B50" s="130" t="n">
        <f aca="false">決算精算表!A33</f>
        <v>13718352</v>
      </c>
      <c r="C50" s="131"/>
      <c r="D50" s="138"/>
      <c r="E50" s="174" t="s">
        <v>175</v>
      </c>
      <c r="F50" s="130"/>
      <c r="G50" s="131" t="n">
        <f aca="false">決算精算表!G45</f>
        <v>0</v>
      </c>
      <c r="H50" s="132"/>
    </row>
    <row r="51" customFormat="false" ht="15.75" hidden="false" customHeight="true" outlineLevel="0" collapsed="false">
      <c r="A51" s="178" t="s">
        <v>176</v>
      </c>
      <c r="B51" s="130" t="n">
        <f aca="false">決算精算表!A34</f>
        <v>54153000</v>
      </c>
      <c r="C51" s="131"/>
      <c r="D51" s="138"/>
      <c r="E51" s="174"/>
      <c r="F51" s="130"/>
      <c r="G51" s="131"/>
      <c r="H51" s="137"/>
    </row>
    <row r="52" customFormat="false" ht="15.75" hidden="false" customHeight="true" outlineLevel="0" collapsed="false">
      <c r="A52" s="133" t="s">
        <v>131</v>
      </c>
      <c r="B52" s="130" t="n">
        <f aca="false">決算精算表!A35</f>
        <v>176556</v>
      </c>
      <c r="C52" s="131"/>
      <c r="D52" s="138"/>
      <c r="E52" s="129"/>
      <c r="F52" s="130"/>
      <c r="G52" s="131"/>
      <c r="H52" s="132"/>
    </row>
    <row r="53" customFormat="false" ht="15.75" hidden="false" customHeight="true" outlineLevel="0" collapsed="false">
      <c r="A53" s="125" t="s">
        <v>177</v>
      </c>
      <c r="B53" s="130"/>
      <c r="C53" s="131"/>
      <c r="D53" s="143" t="n">
        <f aca="false">SUM(C54)</f>
        <v>0</v>
      </c>
      <c r="E53" s="129" t="s">
        <v>139</v>
      </c>
      <c r="F53" s="130"/>
      <c r="G53" s="131"/>
      <c r="H53" s="132" t="n">
        <f aca="false">SUM(G54)</f>
        <v>0</v>
      </c>
    </row>
    <row r="54" customFormat="false" ht="15.75" hidden="false" customHeight="true" outlineLevel="0" collapsed="false">
      <c r="A54" s="179" t="s">
        <v>133</v>
      </c>
      <c r="B54" s="130"/>
      <c r="C54" s="131" t="n">
        <f aca="false">決算精算表!A37</f>
        <v>0</v>
      </c>
      <c r="D54" s="138"/>
      <c r="E54" s="173" t="s">
        <v>178</v>
      </c>
      <c r="F54" s="130"/>
      <c r="G54" s="131" t="n">
        <f aca="false">決算精算表!G46</f>
        <v>0</v>
      </c>
      <c r="H54" s="132"/>
    </row>
    <row r="55" customFormat="false" ht="8.25" hidden="false" customHeight="true" outlineLevel="0" collapsed="false">
      <c r="A55" s="180"/>
      <c r="B55" s="130"/>
      <c r="C55" s="131"/>
      <c r="D55" s="138"/>
      <c r="E55" s="129"/>
      <c r="F55" s="130"/>
      <c r="G55" s="131"/>
      <c r="H55" s="132"/>
    </row>
    <row r="56" customFormat="false" ht="15.75" hidden="false" customHeight="true" outlineLevel="0" collapsed="false">
      <c r="A56" s="125" t="s">
        <v>134</v>
      </c>
      <c r="B56" s="130"/>
      <c r="C56" s="131"/>
      <c r="D56" s="143" t="n">
        <f aca="false">C57</f>
        <v>3603510</v>
      </c>
      <c r="E56" s="129"/>
      <c r="F56" s="130"/>
      <c r="G56" s="131"/>
      <c r="H56" s="132"/>
    </row>
    <row r="57" customFormat="false" ht="15.75" hidden="false" customHeight="true" outlineLevel="0" collapsed="false">
      <c r="A57" s="181" t="s">
        <v>179</v>
      </c>
      <c r="B57" s="130"/>
      <c r="C57" s="131" t="n">
        <f aca="false">決算精算表!A38</f>
        <v>3603510</v>
      </c>
      <c r="D57" s="138"/>
      <c r="E57" s="173"/>
      <c r="F57" s="130"/>
      <c r="G57" s="131"/>
      <c r="H57" s="132"/>
    </row>
    <row r="58" customFormat="false" ht="15.75" hidden="false" customHeight="true" outlineLevel="0" collapsed="false">
      <c r="A58" s="182"/>
      <c r="B58" s="130"/>
      <c r="C58" s="131"/>
      <c r="D58" s="183"/>
      <c r="E58" s="184"/>
      <c r="F58" s="130"/>
      <c r="G58" s="131"/>
      <c r="H58" s="137"/>
    </row>
    <row r="59" customFormat="false" ht="15.75" hidden="false" customHeight="true" outlineLevel="0" collapsed="false">
      <c r="A59" s="152" t="s">
        <v>180</v>
      </c>
      <c r="B59" s="152"/>
      <c r="C59" s="152"/>
      <c r="D59" s="153" t="n">
        <f aca="false">SUM(D36:D57)</f>
        <v>124727469</v>
      </c>
      <c r="E59" s="154" t="s">
        <v>181</v>
      </c>
      <c r="F59" s="154"/>
      <c r="G59" s="154"/>
      <c r="H59" s="155" t="n">
        <f aca="false">SUM(H36:H58)</f>
        <v>124727469</v>
      </c>
    </row>
    <row r="60" customFormat="false" ht="13.5" hidden="false" customHeight="true" outlineLevel="0" collapsed="false">
      <c r="A60" s="112"/>
      <c r="B60" s="112"/>
      <c r="C60" s="112"/>
      <c r="D60" s="112"/>
      <c r="E60" s="112"/>
      <c r="F60" s="112"/>
      <c r="G60" s="112"/>
      <c r="H60" s="112"/>
    </row>
    <row r="61" customFormat="false" ht="10.5" hidden="false" customHeight="true" outlineLevel="0" collapsed="false">
      <c r="A61" s="112"/>
      <c r="B61" s="112"/>
      <c r="C61" s="112"/>
      <c r="D61" s="112"/>
      <c r="E61" s="112"/>
      <c r="F61" s="112"/>
      <c r="G61" s="112"/>
      <c r="H61" s="112"/>
    </row>
    <row r="62" customFormat="false" ht="10.5" hidden="false" customHeight="true" outlineLevel="0" collapsed="false">
      <c r="A62" s="112"/>
      <c r="B62" s="112"/>
      <c r="C62" s="112"/>
      <c r="D62" s="112"/>
      <c r="E62" s="112"/>
      <c r="F62" s="112"/>
      <c r="G62" s="112"/>
      <c r="H62" s="112"/>
    </row>
    <row r="63" customFormat="false" ht="10.5" hidden="false" customHeight="true" outlineLevel="0" collapsed="false">
      <c r="A63" s="112"/>
      <c r="B63" s="112"/>
      <c r="C63" s="112"/>
      <c r="D63" s="112"/>
      <c r="E63" s="112"/>
      <c r="F63" s="112"/>
      <c r="G63" s="112"/>
      <c r="H63" s="112"/>
    </row>
    <row r="64" customFormat="false" ht="10.5" hidden="false" customHeight="true" outlineLevel="0" collapsed="false">
      <c r="A64" s="112"/>
      <c r="B64" s="112"/>
      <c r="C64" s="112"/>
      <c r="D64" s="112"/>
      <c r="E64" s="112"/>
      <c r="F64" s="112"/>
      <c r="G64" s="112"/>
      <c r="H64" s="112"/>
    </row>
    <row r="65" customFormat="false" ht="10.5" hidden="false" customHeight="true" outlineLevel="0" collapsed="false">
      <c r="A65" s="112"/>
      <c r="B65" s="112"/>
      <c r="C65" s="112"/>
      <c r="D65" s="112"/>
      <c r="E65" s="112"/>
      <c r="F65" s="112"/>
      <c r="G65" s="112"/>
      <c r="H65" s="112"/>
    </row>
  </sheetData>
  <mergeCells count="16">
    <mergeCell ref="D1:E1"/>
    <mergeCell ref="D2:E2"/>
    <mergeCell ref="G3:H3"/>
    <mergeCell ref="A4:C4"/>
    <mergeCell ref="E4:G4"/>
    <mergeCell ref="A25:C25"/>
    <mergeCell ref="E25:G25"/>
    <mergeCell ref="A28:H28"/>
    <mergeCell ref="D30:E30"/>
    <mergeCell ref="D31:E31"/>
    <mergeCell ref="G32:H32"/>
    <mergeCell ref="G33:H33"/>
    <mergeCell ref="A34:C34"/>
    <mergeCell ref="E34:G34"/>
    <mergeCell ref="A59:C59"/>
    <mergeCell ref="E59:G59"/>
  </mergeCells>
  <printOptions headings="false" gridLines="false" gridLinesSet="true" horizontalCentered="false" verticalCentered="false"/>
  <pageMargins left="0.7875" right="0.39375" top="0.275694444444444" bottom="0.315277777777778" header="0.511811023622047" footer="0.315277777777778"/>
  <pageSetup paperSize="9" scale="100" fitToWidth="1" fitToHeight="1" pageOrder="downThenOver" orientation="portrait" blackAndWhite="false" draft="false" cellComments="none" firstPageNumber="47" useFirstPageNumber="true" horizontalDpi="300" verticalDpi="300" copies="1"/>
  <headerFooter differentFirst="false" differentOddEven="false">
    <oddHeader/>
    <oddFooter>&amp;C&amp;"ＭＳ 明朝,Regular"- &amp;P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50"/>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E126" activeCellId="0" sqref="E126"/>
    </sheetView>
  </sheetViews>
  <sheetFormatPr defaultColWidth="10.62109375" defaultRowHeight="13.5" zeroHeight="false" outlineLevelRow="0" outlineLevelCol="0"/>
  <cols>
    <col collapsed="false" customWidth="true" hidden="false" outlineLevel="0" max="6" min="1" style="185" width="3.74"/>
    <col collapsed="false" customWidth="true" hidden="false" outlineLevel="0" max="7" min="7" style="185" width="3.99"/>
    <col collapsed="false" customWidth="true" hidden="false" outlineLevel="0" max="23" min="8" style="185" width="3.74"/>
    <col collapsed="false" customWidth="true" hidden="false" outlineLevel="0" max="24" min="24" style="185" width="3.62"/>
    <col collapsed="false" customWidth="true" hidden="false" outlineLevel="0" max="25" min="25" style="185" width="2.99"/>
    <col collapsed="false" customWidth="true" hidden="false" outlineLevel="0" max="26" min="26" style="185" width="13.12"/>
    <col collapsed="false" customWidth="false" hidden="false" outlineLevel="0" max="257" min="27" style="185" width="10.62"/>
  </cols>
  <sheetData>
    <row r="1" customFormat="false" ht="21.75" hidden="false" customHeight="true" outlineLevel="0" collapsed="false">
      <c r="I1" s="186" t="s">
        <v>182</v>
      </c>
      <c r="J1" s="186"/>
      <c r="K1" s="186"/>
      <c r="L1" s="186"/>
      <c r="M1" s="186"/>
      <c r="N1" s="186"/>
      <c r="O1" s="186"/>
      <c r="P1" s="186"/>
      <c r="Q1" s="187"/>
      <c r="R1" s="187"/>
      <c r="S1" s="187"/>
      <c r="T1" s="187"/>
      <c r="U1" s="187"/>
      <c r="V1" s="187"/>
      <c r="W1" s="187"/>
      <c r="X1" s="187"/>
    </row>
    <row r="2" customFormat="false" ht="9.75" hidden="false" customHeight="true" outlineLevel="0" collapsed="false">
      <c r="A2" s="188"/>
      <c r="B2" s="189"/>
      <c r="C2" s="189"/>
      <c r="D2" s="189"/>
      <c r="E2" s="189"/>
      <c r="F2" s="189"/>
      <c r="G2" s="189"/>
      <c r="H2" s="189"/>
      <c r="I2" s="189"/>
      <c r="J2" s="189"/>
      <c r="K2" s="189"/>
      <c r="L2" s="189"/>
      <c r="M2" s="189"/>
      <c r="N2" s="189"/>
      <c r="O2" s="189"/>
      <c r="P2" s="189"/>
      <c r="Q2" s="189"/>
      <c r="R2" s="189"/>
      <c r="S2" s="189"/>
      <c r="T2" s="189"/>
      <c r="U2" s="189"/>
      <c r="V2" s="189"/>
      <c r="W2" s="189"/>
      <c r="X2" s="189"/>
    </row>
    <row r="3" s="193" customFormat="true" ht="21" hidden="false" customHeight="true" outlineLevel="0" collapsed="false">
      <c r="A3" s="190" t="s">
        <v>183</v>
      </c>
      <c r="B3" s="190"/>
      <c r="C3" s="190"/>
      <c r="D3" s="190"/>
      <c r="E3" s="190"/>
      <c r="F3" s="190"/>
      <c r="G3" s="191" t="s">
        <v>184</v>
      </c>
      <c r="H3" s="191"/>
      <c r="I3" s="191"/>
      <c r="J3" s="191"/>
      <c r="K3" s="191"/>
      <c r="L3" s="191"/>
      <c r="M3" s="191" t="s">
        <v>185</v>
      </c>
      <c r="N3" s="191"/>
      <c r="O3" s="191"/>
      <c r="P3" s="191"/>
      <c r="Q3" s="191"/>
      <c r="R3" s="191"/>
      <c r="S3" s="192" t="s">
        <v>186</v>
      </c>
      <c r="T3" s="192"/>
      <c r="U3" s="192"/>
      <c r="V3" s="192"/>
      <c r="W3" s="192"/>
      <c r="X3" s="192"/>
    </row>
    <row r="4" s="193" customFormat="true" ht="9" hidden="false" customHeight="true" outlineLevel="0" collapsed="false">
      <c r="A4" s="194"/>
      <c r="B4" s="195"/>
      <c r="C4" s="195"/>
      <c r="D4" s="195"/>
      <c r="E4" s="195"/>
      <c r="F4" s="196"/>
      <c r="G4" s="197"/>
      <c r="H4" s="195"/>
      <c r="I4" s="195"/>
      <c r="J4" s="195"/>
      <c r="K4" s="195"/>
      <c r="L4" s="196"/>
      <c r="M4" s="197"/>
      <c r="N4" s="195"/>
      <c r="O4" s="195"/>
      <c r="P4" s="195"/>
      <c r="Q4" s="195"/>
      <c r="R4" s="198" t="s">
        <v>122</v>
      </c>
      <c r="S4" s="197"/>
      <c r="T4" s="195"/>
      <c r="U4" s="195"/>
      <c r="V4" s="195"/>
      <c r="W4" s="195"/>
      <c r="X4" s="199"/>
    </row>
    <row r="5" s="205" customFormat="true" ht="21.75" hidden="false" customHeight="true" outlineLevel="0" collapsed="false">
      <c r="A5" s="200" t="s">
        <v>187</v>
      </c>
      <c r="B5" s="200"/>
      <c r="C5" s="200"/>
      <c r="D5" s="200"/>
      <c r="E5" s="200"/>
      <c r="F5" s="200"/>
      <c r="G5" s="201" t="s">
        <v>188</v>
      </c>
      <c r="H5" s="201"/>
      <c r="I5" s="201"/>
      <c r="J5" s="201"/>
      <c r="K5" s="201"/>
      <c r="L5" s="201"/>
      <c r="M5" s="202" t="n">
        <v>72939159</v>
      </c>
      <c r="N5" s="202"/>
      <c r="O5" s="202"/>
      <c r="P5" s="202"/>
      <c r="Q5" s="202"/>
      <c r="R5" s="203"/>
      <c r="S5" s="204" t="s">
        <v>189</v>
      </c>
      <c r="T5" s="204"/>
      <c r="U5" s="204"/>
      <c r="V5" s="204"/>
      <c r="W5" s="204"/>
      <c r="X5" s="204"/>
    </row>
    <row r="6" s="193" customFormat="true" ht="18.75" hidden="false" customHeight="true" outlineLevel="0" collapsed="false">
      <c r="A6" s="206" t="s">
        <v>190</v>
      </c>
      <c r="B6" s="206"/>
      <c r="C6" s="206"/>
      <c r="D6" s="206"/>
      <c r="E6" s="206"/>
      <c r="F6" s="206"/>
      <c r="G6" s="207"/>
      <c r="H6" s="207"/>
      <c r="I6" s="207"/>
      <c r="J6" s="207"/>
      <c r="K6" s="207"/>
      <c r="L6" s="207"/>
      <c r="M6" s="208" t="n">
        <f aca="false">SUM(M5)</f>
        <v>72939159</v>
      </c>
      <c r="N6" s="208"/>
      <c r="O6" s="208"/>
      <c r="P6" s="208"/>
      <c r="Q6" s="208"/>
      <c r="R6" s="209"/>
      <c r="S6" s="210"/>
      <c r="T6" s="210"/>
      <c r="U6" s="210"/>
      <c r="V6" s="210"/>
      <c r="W6" s="210"/>
      <c r="X6" s="210"/>
    </row>
    <row r="7" customFormat="false" ht="14.25" hidden="false" customHeight="true" outlineLevel="0" collapsed="false">
      <c r="B7" s="211"/>
      <c r="C7" s="212"/>
      <c r="D7" s="212"/>
      <c r="E7" s="212"/>
      <c r="F7" s="212"/>
      <c r="G7" s="212"/>
    </row>
    <row r="8" customFormat="false" ht="21" hidden="false" customHeight="true" outlineLevel="0" collapsed="false">
      <c r="I8" s="186" t="s">
        <v>191</v>
      </c>
      <c r="J8" s="186"/>
      <c r="K8" s="186"/>
      <c r="L8" s="186"/>
      <c r="M8" s="186"/>
      <c r="N8" s="186"/>
      <c r="O8" s="186"/>
      <c r="P8" s="186"/>
      <c r="Q8" s="187"/>
      <c r="R8" s="187"/>
      <c r="S8" s="187"/>
      <c r="T8" s="187"/>
      <c r="U8" s="187"/>
      <c r="V8" s="187"/>
      <c r="W8" s="187"/>
      <c r="X8" s="187"/>
    </row>
    <row r="9" customFormat="false" ht="9.75" hidden="false" customHeight="true" outlineLevel="0" collapsed="false"/>
    <row r="10" customFormat="false" ht="20.25" hidden="false" customHeight="true" outlineLevel="0" collapsed="false">
      <c r="A10" s="213" t="s">
        <v>192</v>
      </c>
      <c r="B10" s="213"/>
      <c r="C10" s="213"/>
      <c r="D10" s="213"/>
      <c r="E10" s="213"/>
      <c r="F10" s="213"/>
      <c r="G10" s="191" t="s">
        <v>185</v>
      </c>
      <c r="H10" s="191"/>
      <c r="I10" s="191"/>
      <c r="J10" s="191"/>
      <c r="K10" s="191"/>
      <c r="L10" s="191"/>
      <c r="M10" s="191" t="s">
        <v>193</v>
      </c>
      <c r="N10" s="191"/>
      <c r="O10" s="191"/>
      <c r="P10" s="191"/>
      <c r="Q10" s="191"/>
      <c r="R10" s="191"/>
      <c r="S10" s="192" t="s">
        <v>186</v>
      </c>
      <c r="T10" s="192"/>
      <c r="U10" s="192"/>
      <c r="V10" s="192"/>
      <c r="W10" s="192"/>
      <c r="X10" s="192"/>
    </row>
    <row r="11" customFormat="false" ht="9" hidden="false" customHeight="true" outlineLevel="0" collapsed="false">
      <c r="A11" s="194"/>
      <c r="B11" s="195"/>
      <c r="C11" s="195"/>
      <c r="D11" s="195"/>
      <c r="E11" s="195"/>
      <c r="F11" s="196"/>
      <c r="G11" s="197"/>
      <c r="H11" s="195"/>
      <c r="I11" s="195"/>
      <c r="J11" s="195"/>
      <c r="K11" s="195"/>
      <c r="L11" s="198" t="s">
        <v>122</v>
      </c>
      <c r="M11" s="197"/>
      <c r="N11" s="195"/>
      <c r="O11" s="195"/>
      <c r="P11" s="195"/>
      <c r="Q11" s="195"/>
      <c r="R11" s="214"/>
      <c r="S11" s="197"/>
      <c r="T11" s="195"/>
      <c r="U11" s="195"/>
      <c r="V11" s="195"/>
      <c r="W11" s="195"/>
      <c r="X11" s="199"/>
    </row>
    <row r="12" s="205" customFormat="true" ht="21.75" hidden="false" customHeight="true" outlineLevel="0" collapsed="false">
      <c r="A12" s="215" t="s">
        <v>64</v>
      </c>
      <c r="B12" s="215"/>
      <c r="C12" s="215"/>
      <c r="D12" s="215"/>
      <c r="E12" s="215"/>
      <c r="F12" s="215"/>
      <c r="G12" s="202" t="n">
        <v>194420</v>
      </c>
      <c r="H12" s="202"/>
      <c r="I12" s="202"/>
      <c r="J12" s="202"/>
      <c r="K12" s="202"/>
      <c r="L12" s="216"/>
      <c r="M12" s="217" t="s">
        <v>194</v>
      </c>
      <c r="N12" s="217"/>
      <c r="O12" s="217"/>
      <c r="P12" s="217"/>
      <c r="Q12" s="217"/>
      <c r="R12" s="217"/>
      <c r="S12" s="218" t="s">
        <v>195</v>
      </c>
      <c r="T12" s="218"/>
      <c r="U12" s="218"/>
      <c r="V12" s="218"/>
      <c r="W12" s="218"/>
      <c r="X12" s="218"/>
    </row>
    <row r="13" s="205" customFormat="true" ht="21.75" hidden="true" customHeight="true" outlineLevel="0" collapsed="false">
      <c r="A13" s="215" t="s">
        <v>196</v>
      </c>
      <c r="B13" s="215"/>
      <c r="C13" s="215"/>
      <c r="D13" s="215"/>
      <c r="E13" s="215"/>
      <c r="F13" s="215"/>
      <c r="G13" s="202"/>
      <c r="H13" s="202"/>
      <c r="I13" s="202"/>
      <c r="J13" s="202"/>
      <c r="K13" s="202"/>
      <c r="L13" s="216"/>
      <c r="M13" s="217" t="s">
        <v>197</v>
      </c>
      <c r="N13" s="217"/>
      <c r="O13" s="217"/>
      <c r="P13" s="217"/>
      <c r="Q13" s="217"/>
      <c r="R13" s="217"/>
      <c r="S13" s="218" t="s">
        <v>198</v>
      </c>
      <c r="T13" s="218"/>
      <c r="U13" s="218"/>
      <c r="V13" s="218"/>
      <c r="W13" s="218"/>
      <c r="X13" s="218"/>
    </row>
    <row r="14" customFormat="false" ht="21" hidden="false" customHeight="true" outlineLevel="0" collapsed="false">
      <c r="A14" s="206" t="s">
        <v>190</v>
      </c>
      <c r="B14" s="206"/>
      <c r="C14" s="206"/>
      <c r="D14" s="206"/>
      <c r="E14" s="206"/>
      <c r="F14" s="206"/>
      <c r="G14" s="208" t="n">
        <f aca="false">SUM(G12:K13)</f>
        <v>194420</v>
      </c>
      <c r="H14" s="208"/>
      <c r="I14" s="208"/>
      <c r="J14" s="208"/>
      <c r="K14" s="208"/>
      <c r="L14" s="219"/>
      <c r="M14" s="220"/>
      <c r="N14" s="220"/>
      <c r="O14" s="220"/>
      <c r="P14" s="220"/>
      <c r="Q14" s="220"/>
      <c r="R14" s="220"/>
      <c r="S14" s="210"/>
      <c r="T14" s="210"/>
      <c r="U14" s="210"/>
      <c r="V14" s="210"/>
      <c r="W14" s="210"/>
      <c r="X14" s="210"/>
    </row>
    <row r="15" customFormat="false" ht="14.25" hidden="false" customHeight="true" outlineLevel="0" collapsed="false"/>
    <row r="16" customFormat="false" ht="21" hidden="true" customHeight="true" outlineLevel="0" collapsed="false">
      <c r="I16" s="186" t="s">
        <v>199</v>
      </c>
      <c r="J16" s="186"/>
      <c r="K16" s="186"/>
      <c r="L16" s="186"/>
      <c r="M16" s="186"/>
      <c r="N16" s="186"/>
      <c r="O16" s="186"/>
      <c r="P16" s="186"/>
      <c r="Q16" s="187"/>
      <c r="R16" s="187"/>
      <c r="S16" s="187"/>
      <c r="T16" s="187"/>
      <c r="U16" s="187"/>
      <c r="V16" s="187"/>
      <c r="W16" s="187"/>
      <c r="X16" s="187"/>
    </row>
    <row r="17" customFormat="false" ht="9.75" hidden="true" customHeight="true" outlineLevel="0" collapsed="false"/>
    <row r="18" customFormat="false" ht="20.25" hidden="true" customHeight="true" outlineLevel="0" collapsed="false">
      <c r="A18" s="213" t="s">
        <v>200</v>
      </c>
      <c r="B18" s="213"/>
      <c r="C18" s="213"/>
      <c r="D18" s="191" t="s">
        <v>201</v>
      </c>
      <c r="E18" s="191"/>
      <c r="F18" s="191"/>
      <c r="G18" s="191"/>
      <c r="H18" s="191"/>
      <c r="I18" s="191"/>
      <c r="J18" s="191"/>
      <c r="K18" s="191" t="s">
        <v>202</v>
      </c>
      <c r="L18" s="191"/>
      <c r="M18" s="191"/>
      <c r="N18" s="191"/>
      <c r="O18" s="191"/>
      <c r="P18" s="191"/>
      <c r="Q18" s="191"/>
      <c r="R18" s="191"/>
      <c r="S18" s="221" t="s">
        <v>203</v>
      </c>
      <c r="T18" s="221"/>
      <c r="U18" s="221"/>
      <c r="V18" s="192" t="s">
        <v>204</v>
      </c>
      <c r="W18" s="192"/>
      <c r="X18" s="192"/>
    </row>
    <row r="19" customFormat="false" ht="20.25" hidden="true" customHeight="true" outlineLevel="0" collapsed="false">
      <c r="A19" s="213"/>
      <c r="B19" s="213"/>
      <c r="C19" s="213"/>
      <c r="D19" s="191"/>
      <c r="E19" s="191"/>
      <c r="F19" s="191"/>
      <c r="G19" s="191"/>
      <c r="H19" s="191"/>
      <c r="I19" s="191"/>
      <c r="J19" s="191"/>
      <c r="K19" s="222" t="s">
        <v>205</v>
      </c>
      <c r="L19" s="222"/>
      <c r="M19" s="222"/>
      <c r="N19" s="222" t="s">
        <v>206</v>
      </c>
      <c r="O19" s="222"/>
      <c r="P19" s="222" t="s">
        <v>207</v>
      </c>
      <c r="Q19" s="222"/>
      <c r="R19" s="222"/>
      <c r="S19" s="221"/>
      <c r="T19" s="221"/>
      <c r="U19" s="221"/>
      <c r="V19" s="192"/>
      <c r="W19" s="192"/>
      <c r="X19" s="192"/>
    </row>
    <row r="20" customFormat="false" ht="9" hidden="true" customHeight="true" outlineLevel="0" collapsed="false">
      <c r="A20" s="194"/>
      <c r="B20" s="195"/>
      <c r="C20" s="196"/>
      <c r="D20" s="197"/>
      <c r="E20" s="195"/>
      <c r="F20" s="195"/>
      <c r="G20" s="195"/>
      <c r="H20" s="195"/>
      <c r="I20" s="195"/>
      <c r="J20" s="196"/>
      <c r="K20" s="195"/>
      <c r="L20" s="223"/>
      <c r="M20" s="195"/>
      <c r="N20" s="197"/>
      <c r="O20" s="196"/>
      <c r="P20" s="197"/>
      <c r="Q20" s="195"/>
      <c r="R20" s="198" t="s">
        <v>122</v>
      </c>
      <c r="S20" s="197"/>
      <c r="T20" s="195"/>
      <c r="U20" s="198" t="s">
        <v>122</v>
      </c>
      <c r="V20" s="197"/>
      <c r="W20" s="195"/>
      <c r="X20" s="199"/>
    </row>
    <row r="21" s="205" customFormat="true" ht="21.75" hidden="true" customHeight="true" outlineLevel="0" collapsed="false">
      <c r="A21" s="224" t="s">
        <v>208</v>
      </c>
      <c r="B21" s="224"/>
      <c r="C21" s="224"/>
      <c r="D21" s="225"/>
      <c r="E21" s="225"/>
      <c r="F21" s="225"/>
      <c r="G21" s="225"/>
      <c r="H21" s="225"/>
      <c r="I21" s="225"/>
      <c r="J21" s="225"/>
      <c r="K21" s="226"/>
      <c r="L21" s="226"/>
      <c r="M21" s="226"/>
      <c r="N21" s="227"/>
      <c r="O21" s="227"/>
      <c r="P21" s="228"/>
      <c r="Q21" s="228"/>
      <c r="R21" s="229"/>
      <c r="S21" s="228"/>
      <c r="T21" s="228"/>
      <c r="U21" s="230"/>
      <c r="V21" s="231"/>
      <c r="W21" s="231"/>
      <c r="X21" s="231"/>
    </row>
    <row r="22" s="205" customFormat="true" ht="21.75" hidden="true" customHeight="true" outlineLevel="0" collapsed="false">
      <c r="A22" s="224" t="s">
        <v>208</v>
      </c>
      <c r="B22" s="224"/>
      <c r="C22" s="224"/>
      <c r="D22" s="232"/>
      <c r="E22" s="232"/>
      <c r="F22" s="232"/>
      <c r="G22" s="232"/>
      <c r="H22" s="232"/>
      <c r="I22" s="232"/>
      <c r="J22" s="232"/>
      <c r="K22" s="226"/>
      <c r="L22" s="226"/>
      <c r="M22" s="226"/>
      <c r="N22" s="227"/>
      <c r="O22" s="227"/>
      <c r="P22" s="233"/>
      <c r="Q22" s="233"/>
      <c r="R22" s="234"/>
      <c r="S22" s="233"/>
      <c r="T22" s="233"/>
      <c r="U22" s="235"/>
      <c r="V22" s="236"/>
      <c r="W22" s="236"/>
      <c r="X22" s="236"/>
    </row>
    <row r="23" customFormat="false" ht="21" hidden="true" customHeight="true" outlineLevel="0" collapsed="false">
      <c r="A23" s="206" t="s">
        <v>209</v>
      </c>
      <c r="B23" s="206"/>
      <c r="C23" s="206"/>
      <c r="D23" s="206"/>
      <c r="E23" s="206"/>
      <c r="F23" s="206"/>
      <c r="G23" s="206"/>
      <c r="H23" s="206"/>
      <c r="I23" s="206"/>
      <c r="J23" s="206"/>
      <c r="K23" s="206"/>
      <c r="L23" s="206"/>
      <c r="M23" s="206"/>
      <c r="N23" s="206"/>
      <c r="O23" s="206"/>
      <c r="P23" s="208" t="n">
        <f aca="false">SUM(P21:Q22)</f>
        <v>0</v>
      </c>
      <c r="Q23" s="208"/>
      <c r="R23" s="237"/>
      <c r="S23" s="238" t="n">
        <f aca="false">SUM(S21:T22)</f>
        <v>0</v>
      </c>
      <c r="T23" s="238"/>
      <c r="U23" s="239"/>
      <c r="V23" s="240"/>
      <c r="W23" s="240"/>
      <c r="X23" s="240"/>
    </row>
    <row r="24" customFormat="false" ht="14.25" hidden="true" customHeight="true" outlineLevel="0" collapsed="false"/>
    <row r="25" customFormat="false" ht="21" hidden="false" customHeight="true" outlineLevel="0" collapsed="false">
      <c r="I25" s="186" t="s">
        <v>210</v>
      </c>
      <c r="J25" s="186"/>
      <c r="K25" s="186"/>
      <c r="L25" s="186"/>
      <c r="M25" s="186"/>
      <c r="N25" s="186"/>
      <c r="O25" s="186"/>
      <c r="P25" s="186"/>
      <c r="Q25" s="187"/>
      <c r="R25" s="187"/>
      <c r="S25" s="187"/>
      <c r="T25" s="187"/>
      <c r="U25" s="187"/>
      <c r="V25" s="187"/>
      <c r="W25" s="187"/>
      <c r="X25" s="187"/>
    </row>
    <row r="26" customFormat="false" ht="9.75" hidden="false" customHeight="true" outlineLevel="0" collapsed="false">
      <c r="A26" s="188"/>
      <c r="B26" s="189"/>
      <c r="C26" s="189"/>
      <c r="D26" s="189"/>
      <c r="E26" s="189"/>
      <c r="F26" s="189"/>
      <c r="G26" s="189"/>
      <c r="H26" s="189"/>
      <c r="I26" s="189"/>
      <c r="J26" s="189"/>
      <c r="K26" s="189"/>
      <c r="L26" s="189"/>
      <c r="M26" s="189"/>
      <c r="N26" s="189"/>
      <c r="O26" s="189"/>
      <c r="P26" s="189"/>
      <c r="Q26" s="189"/>
      <c r="R26" s="189"/>
      <c r="S26" s="189"/>
      <c r="T26" s="189"/>
      <c r="U26" s="189"/>
      <c r="V26" s="189"/>
      <c r="W26" s="189"/>
      <c r="X26" s="189"/>
    </row>
    <row r="27" s="193" customFormat="true" ht="21" hidden="false" customHeight="true" outlineLevel="0" collapsed="false">
      <c r="A27" s="213" t="s">
        <v>192</v>
      </c>
      <c r="B27" s="213"/>
      <c r="C27" s="213"/>
      <c r="D27" s="213"/>
      <c r="E27" s="213"/>
      <c r="F27" s="213"/>
      <c r="G27" s="191" t="s">
        <v>185</v>
      </c>
      <c r="H27" s="191"/>
      <c r="I27" s="191"/>
      <c r="J27" s="191"/>
      <c r="K27" s="191"/>
      <c r="L27" s="191"/>
      <c r="M27" s="191" t="s">
        <v>193</v>
      </c>
      <c r="N27" s="191"/>
      <c r="O27" s="191"/>
      <c r="P27" s="191"/>
      <c r="Q27" s="191"/>
      <c r="R27" s="191"/>
      <c r="S27" s="192" t="s">
        <v>186</v>
      </c>
      <c r="T27" s="192"/>
      <c r="U27" s="192"/>
      <c r="V27" s="192"/>
      <c r="W27" s="192"/>
      <c r="X27" s="192"/>
    </row>
    <row r="28" s="193" customFormat="true" ht="9" hidden="false" customHeight="true" outlineLevel="0" collapsed="false">
      <c r="A28" s="194"/>
      <c r="B28" s="195"/>
      <c r="C28" s="195"/>
      <c r="D28" s="195"/>
      <c r="E28" s="195"/>
      <c r="F28" s="196"/>
      <c r="G28" s="197"/>
      <c r="H28" s="195"/>
      <c r="I28" s="195"/>
      <c r="J28" s="195"/>
      <c r="K28" s="195"/>
      <c r="L28" s="198" t="s">
        <v>122</v>
      </c>
      <c r="M28" s="197"/>
      <c r="N28" s="195"/>
      <c r="O28" s="195"/>
      <c r="P28" s="195"/>
      <c r="Q28" s="195"/>
      <c r="R28" s="214"/>
      <c r="S28" s="197"/>
      <c r="T28" s="195"/>
      <c r="U28" s="195"/>
      <c r="V28" s="195"/>
      <c r="W28" s="195"/>
      <c r="X28" s="199"/>
    </row>
    <row r="29" s="193" customFormat="true" ht="21.75" hidden="true" customHeight="true" outlineLevel="0" collapsed="false">
      <c r="A29" s="215" t="s">
        <v>77</v>
      </c>
      <c r="B29" s="215"/>
      <c r="C29" s="215"/>
      <c r="D29" s="215"/>
      <c r="E29" s="215"/>
      <c r="F29" s="215"/>
      <c r="G29" s="202"/>
      <c r="H29" s="202"/>
      <c r="I29" s="202"/>
      <c r="J29" s="202"/>
      <c r="K29" s="202"/>
      <c r="L29" s="216"/>
      <c r="M29" s="241" t="s">
        <v>211</v>
      </c>
      <c r="N29" s="241"/>
      <c r="O29" s="241"/>
      <c r="P29" s="241"/>
      <c r="Q29" s="241"/>
      <c r="R29" s="241"/>
      <c r="S29" s="242" t="s">
        <v>212</v>
      </c>
      <c r="T29" s="242"/>
      <c r="U29" s="242"/>
      <c r="V29" s="242"/>
      <c r="W29" s="242"/>
      <c r="X29" s="242"/>
    </row>
    <row r="30" s="193" customFormat="true" ht="21.75" hidden="true" customHeight="true" outlineLevel="0" collapsed="false">
      <c r="A30" s="215" t="s">
        <v>77</v>
      </c>
      <c r="B30" s="215"/>
      <c r="C30" s="215"/>
      <c r="D30" s="215"/>
      <c r="E30" s="215"/>
      <c r="F30" s="215"/>
      <c r="G30" s="202"/>
      <c r="H30" s="202"/>
      <c r="I30" s="202"/>
      <c r="J30" s="202"/>
      <c r="K30" s="202"/>
      <c r="L30" s="216"/>
      <c r="M30" s="241" t="s">
        <v>213</v>
      </c>
      <c r="N30" s="241"/>
      <c r="O30" s="241"/>
      <c r="P30" s="241"/>
      <c r="Q30" s="241"/>
      <c r="R30" s="241"/>
      <c r="S30" s="242" t="s">
        <v>214</v>
      </c>
      <c r="T30" s="242"/>
      <c r="U30" s="242"/>
      <c r="V30" s="242"/>
      <c r="W30" s="242"/>
      <c r="X30" s="242"/>
    </row>
    <row r="31" s="244" customFormat="true" ht="21.75" hidden="false" customHeight="true" outlineLevel="0" collapsed="false">
      <c r="A31" s="215" t="s">
        <v>137</v>
      </c>
      <c r="B31" s="215"/>
      <c r="C31" s="215"/>
      <c r="D31" s="215"/>
      <c r="E31" s="215"/>
      <c r="F31" s="215"/>
      <c r="G31" s="202" t="n">
        <v>11834281</v>
      </c>
      <c r="H31" s="202"/>
      <c r="I31" s="202"/>
      <c r="J31" s="202"/>
      <c r="K31" s="202"/>
      <c r="L31" s="216"/>
      <c r="M31" s="241" t="s">
        <v>215</v>
      </c>
      <c r="N31" s="241"/>
      <c r="O31" s="241"/>
      <c r="P31" s="241"/>
      <c r="Q31" s="241"/>
      <c r="R31" s="241"/>
      <c r="S31" s="243" t="s">
        <v>216</v>
      </c>
      <c r="T31" s="243"/>
      <c r="U31" s="243"/>
      <c r="V31" s="243"/>
      <c r="W31" s="243"/>
      <c r="X31" s="243"/>
    </row>
    <row r="32" s="244" customFormat="true" ht="18.75" hidden="false" customHeight="true" outlineLevel="0" collapsed="false">
      <c r="A32" s="206" t="s">
        <v>190</v>
      </c>
      <c r="B32" s="206"/>
      <c r="C32" s="206"/>
      <c r="D32" s="206"/>
      <c r="E32" s="206"/>
      <c r="F32" s="206"/>
      <c r="G32" s="208" t="n">
        <f aca="false">SUM(G29:K31)</f>
        <v>11834281</v>
      </c>
      <c r="H32" s="208"/>
      <c r="I32" s="208"/>
      <c r="J32" s="208"/>
      <c r="K32" s="208"/>
      <c r="L32" s="219"/>
      <c r="M32" s="220"/>
      <c r="N32" s="220"/>
      <c r="O32" s="220"/>
      <c r="P32" s="220"/>
      <c r="Q32" s="220"/>
      <c r="R32" s="220"/>
      <c r="S32" s="210"/>
      <c r="T32" s="210"/>
      <c r="U32" s="210"/>
      <c r="V32" s="210"/>
      <c r="W32" s="210"/>
      <c r="X32" s="210"/>
    </row>
    <row r="33" customFormat="false" ht="14.25" hidden="false" customHeight="true" outlineLevel="0" collapsed="false">
      <c r="B33" s="211"/>
      <c r="C33" s="212"/>
      <c r="D33" s="212"/>
      <c r="E33" s="212"/>
      <c r="F33" s="212"/>
      <c r="G33" s="212"/>
    </row>
    <row r="34" customFormat="false" ht="20.25" hidden="false" customHeight="true" outlineLevel="0" collapsed="false">
      <c r="I34" s="186" t="s">
        <v>217</v>
      </c>
      <c r="J34" s="186"/>
      <c r="K34" s="186"/>
      <c r="L34" s="186"/>
      <c r="M34" s="186"/>
      <c r="N34" s="186"/>
      <c r="O34" s="186"/>
      <c r="P34" s="186"/>
      <c r="Q34" s="187"/>
      <c r="R34" s="187"/>
      <c r="S34" s="187"/>
      <c r="T34" s="187"/>
      <c r="U34" s="187"/>
      <c r="V34" s="187"/>
      <c r="W34" s="187"/>
      <c r="X34" s="187"/>
    </row>
    <row r="35" customFormat="false" ht="9.75" hidden="false" customHeight="true" outlineLevel="0" collapsed="false">
      <c r="A35" s="188"/>
      <c r="B35" s="189"/>
      <c r="C35" s="189"/>
      <c r="D35" s="189"/>
      <c r="E35" s="189"/>
      <c r="F35" s="189"/>
      <c r="G35" s="189"/>
      <c r="H35" s="189"/>
      <c r="I35" s="189"/>
      <c r="J35" s="189"/>
      <c r="K35" s="189"/>
      <c r="L35" s="189"/>
      <c r="M35" s="189"/>
      <c r="N35" s="189"/>
      <c r="O35" s="189"/>
      <c r="P35" s="189"/>
      <c r="Q35" s="189"/>
      <c r="R35" s="189"/>
      <c r="S35" s="189"/>
      <c r="T35" s="189"/>
      <c r="U35" s="189"/>
      <c r="V35" s="189"/>
      <c r="W35" s="189"/>
      <c r="X35" s="189"/>
    </row>
    <row r="36" s="193" customFormat="true" ht="21" hidden="false" customHeight="true" outlineLevel="0" collapsed="false">
      <c r="A36" s="213" t="s">
        <v>192</v>
      </c>
      <c r="B36" s="213"/>
      <c r="C36" s="213"/>
      <c r="D36" s="213"/>
      <c r="E36" s="213"/>
      <c r="F36" s="213"/>
      <c r="G36" s="191" t="s">
        <v>185</v>
      </c>
      <c r="H36" s="191"/>
      <c r="I36" s="191"/>
      <c r="J36" s="191"/>
      <c r="K36" s="191"/>
      <c r="L36" s="191"/>
      <c r="M36" s="191" t="s">
        <v>193</v>
      </c>
      <c r="N36" s="191"/>
      <c r="O36" s="191"/>
      <c r="P36" s="191"/>
      <c r="Q36" s="191"/>
      <c r="R36" s="191"/>
      <c r="S36" s="192" t="s">
        <v>186</v>
      </c>
      <c r="T36" s="192"/>
      <c r="U36" s="192"/>
      <c r="V36" s="192"/>
      <c r="W36" s="192"/>
      <c r="X36" s="192"/>
    </row>
    <row r="37" s="193" customFormat="true" ht="9" hidden="false" customHeight="true" outlineLevel="0" collapsed="false">
      <c r="A37" s="194"/>
      <c r="B37" s="195"/>
      <c r="C37" s="195"/>
      <c r="D37" s="195"/>
      <c r="E37" s="195"/>
      <c r="F37" s="196"/>
      <c r="G37" s="197"/>
      <c r="H37" s="195"/>
      <c r="I37" s="195"/>
      <c r="J37" s="195"/>
      <c r="K37" s="195"/>
      <c r="L37" s="198" t="s">
        <v>122</v>
      </c>
      <c r="M37" s="197"/>
      <c r="N37" s="195"/>
      <c r="O37" s="195"/>
      <c r="P37" s="195"/>
      <c r="Q37" s="195"/>
      <c r="R37" s="214"/>
      <c r="S37" s="197"/>
      <c r="T37" s="195"/>
      <c r="U37" s="195"/>
      <c r="V37" s="195"/>
      <c r="W37" s="195"/>
      <c r="X37" s="199"/>
    </row>
    <row r="38" s="193" customFormat="true" ht="21.75" hidden="false" customHeight="true" outlineLevel="0" collapsed="false">
      <c r="A38" s="215" t="s">
        <v>64</v>
      </c>
      <c r="B38" s="215"/>
      <c r="C38" s="215"/>
      <c r="D38" s="215"/>
      <c r="E38" s="215"/>
      <c r="F38" s="215"/>
      <c r="G38" s="245" t="n">
        <v>2356</v>
      </c>
      <c r="H38" s="245"/>
      <c r="I38" s="245"/>
      <c r="J38" s="245"/>
      <c r="K38" s="245"/>
      <c r="L38" s="246"/>
      <c r="M38" s="247" t="s">
        <v>218</v>
      </c>
      <c r="N38" s="247"/>
      <c r="O38" s="247"/>
      <c r="P38" s="247"/>
      <c r="Q38" s="247"/>
      <c r="R38" s="247"/>
      <c r="S38" s="242" t="s">
        <v>219</v>
      </c>
      <c r="T38" s="242"/>
      <c r="U38" s="242"/>
      <c r="V38" s="242"/>
      <c r="W38" s="242"/>
      <c r="X38" s="242"/>
    </row>
    <row r="39" s="205" customFormat="true" ht="21.75" hidden="false" customHeight="true" outlineLevel="0" collapsed="false">
      <c r="A39" s="248" t="s">
        <v>70</v>
      </c>
      <c r="B39" s="248"/>
      <c r="C39" s="248"/>
      <c r="D39" s="248"/>
      <c r="E39" s="248"/>
      <c r="F39" s="248"/>
      <c r="G39" s="249" t="n">
        <v>846685</v>
      </c>
      <c r="H39" s="249"/>
      <c r="I39" s="249"/>
      <c r="J39" s="249"/>
      <c r="K39" s="249"/>
      <c r="L39" s="250"/>
      <c r="M39" s="251" t="s">
        <v>220</v>
      </c>
      <c r="N39" s="251"/>
      <c r="O39" s="251"/>
      <c r="P39" s="251"/>
      <c r="Q39" s="251"/>
      <c r="R39" s="251"/>
      <c r="S39" s="252" t="s">
        <v>221</v>
      </c>
      <c r="T39" s="252"/>
      <c r="U39" s="252"/>
      <c r="V39" s="252"/>
      <c r="W39" s="252"/>
      <c r="X39" s="252"/>
    </row>
    <row r="40" s="205" customFormat="true" ht="21.75" hidden="false" customHeight="true" outlineLevel="0" collapsed="false">
      <c r="A40" s="248" t="s">
        <v>72</v>
      </c>
      <c r="B40" s="248"/>
      <c r="C40" s="248"/>
      <c r="D40" s="248"/>
      <c r="E40" s="248"/>
      <c r="F40" s="248"/>
      <c r="G40" s="249" t="n">
        <v>1576505</v>
      </c>
      <c r="H40" s="249"/>
      <c r="I40" s="249"/>
      <c r="J40" s="249"/>
      <c r="K40" s="249"/>
      <c r="L40" s="250"/>
      <c r="M40" s="253" t="s">
        <v>222</v>
      </c>
      <c r="N40" s="253"/>
      <c r="O40" s="253"/>
      <c r="P40" s="253"/>
      <c r="Q40" s="253"/>
      <c r="R40" s="253"/>
      <c r="S40" s="252" t="s">
        <v>223</v>
      </c>
      <c r="T40" s="252"/>
      <c r="U40" s="252"/>
      <c r="V40" s="252"/>
      <c r="W40" s="252"/>
      <c r="X40" s="252"/>
    </row>
    <row r="41" s="205" customFormat="true" ht="21.75" hidden="false" customHeight="true" outlineLevel="0" collapsed="false">
      <c r="A41" s="248" t="s">
        <v>73</v>
      </c>
      <c r="B41" s="248"/>
      <c r="C41" s="248"/>
      <c r="D41" s="248"/>
      <c r="E41" s="248"/>
      <c r="F41" s="248"/>
      <c r="G41" s="249" t="n">
        <v>46537</v>
      </c>
      <c r="H41" s="249"/>
      <c r="I41" s="249"/>
      <c r="J41" s="249"/>
      <c r="K41" s="249"/>
      <c r="L41" s="250"/>
      <c r="M41" s="254" t="s">
        <v>224</v>
      </c>
      <c r="N41" s="254"/>
      <c r="O41" s="254"/>
      <c r="P41" s="254"/>
      <c r="Q41" s="254"/>
      <c r="R41" s="254"/>
      <c r="S41" s="255" t="s">
        <v>225</v>
      </c>
      <c r="T41" s="255"/>
      <c r="U41" s="255"/>
      <c r="V41" s="255"/>
      <c r="W41" s="255"/>
      <c r="X41" s="255"/>
    </row>
    <row r="42" s="205" customFormat="true" ht="21.75" hidden="false" customHeight="true" outlineLevel="0" collapsed="false">
      <c r="A42" s="248" t="s">
        <v>75</v>
      </c>
      <c r="B42" s="248"/>
      <c r="C42" s="248"/>
      <c r="D42" s="248"/>
      <c r="E42" s="248"/>
      <c r="F42" s="248"/>
      <c r="G42" s="202" t="n">
        <v>1020091</v>
      </c>
      <c r="H42" s="202"/>
      <c r="I42" s="202"/>
      <c r="J42" s="202"/>
      <c r="K42" s="202"/>
      <c r="L42" s="250"/>
      <c r="M42" s="256" t="s">
        <v>226</v>
      </c>
      <c r="N42" s="256"/>
      <c r="O42" s="256"/>
      <c r="P42" s="256"/>
      <c r="Q42" s="256"/>
      <c r="R42" s="256"/>
      <c r="S42" s="257" t="s">
        <v>227</v>
      </c>
      <c r="T42" s="257"/>
      <c r="U42" s="257"/>
      <c r="V42" s="257"/>
      <c r="W42" s="257"/>
      <c r="X42" s="257"/>
    </row>
    <row r="43" s="205" customFormat="true" ht="21.75" hidden="false" customHeight="true" outlineLevel="0" collapsed="false">
      <c r="A43" s="248" t="s">
        <v>76</v>
      </c>
      <c r="B43" s="248"/>
      <c r="C43" s="248"/>
      <c r="D43" s="248"/>
      <c r="E43" s="248"/>
      <c r="F43" s="248"/>
      <c r="G43" s="202" t="n">
        <v>689790</v>
      </c>
      <c r="H43" s="202"/>
      <c r="I43" s="202"/>
      <c r="J43" s="202"/>
      <c r="K43" s="202"/>
      <c r="L43" s="250"/>
      <c r="M43" s="256" t="s">
        <v>228</v>
      </c>
      <c r="N43" s="256"/>
      <c r="O43" s="256"/>
      <c r="P43" s="256"/>
      <c r="Q43" s="256"/>
      <c r="R43" s="256"/>
      <c r="S43" s="243" t="s">
        <v>229</v>
      </c>
      <c r="T43" s="243"/>
      <c r="U43" s="243"/>
      <c r="V43" s="243"/>
      <c r="W43" s="243"/>
      <c r="X43" s="243"/>
    </row>
    <row r="44" s="205" customFormat="true" ht="21.75" hidden="false" customHeight="true" outlineLevel="0" collapsed="false">
      <c r="A44" s="248" t="s">
        <v>77</v>
      </c>
      <c r="B44" s="248"/>
      <c r="C44" s="248"/>
      <c r="D44" s="248"/>
      <c r="E44" s="248"/>
      <c r="F44" s="248"/>
      <c r="G44" s="202" t="n">
        <v>103564</v>
      </c>
      <c r="H44" s="202"/>
      <c r="I44" s="202"/>
      <c r="J44" s="202"/>
      <c r="K44" s="202"/>
      <c r="L44" s="250"/>
      <c r="M44" s="258" t="s">
        <v>230</v>
      </c>
      <c r="N44" s="258"/>
      <c r="O44" s="258"/>
      <c r="P44" s="258"/>
      <c r="Q44" s="258"/>
      <c r="R44" s="258"/>
      <c r="S44" s="243" t="s">
        <v>231</v>
      </c>
      <c r="T44" s="243"/>
      <c r="U44" s="243"/>
      <c r="V44" s="243"/>
      <c r="W44" s="243"/>
      <c r="X44" s="243"/>
    </row>
    <row r="45" s="205" customFormat="true" ht="21.75" hidden="false" customHeight="true" outlineLevel="0" collapsed="false">
      <c r="A45" s="248" t="s">
        <v>77</v>
      </c>
      <c r="B45" s="248"/>
      <c r="C45" s="248"/>
      <c r="D45" s="248"/>
      <c r="E45" s="248"/>
      <c r="F45" s="248"/>
      <c r="G45" s="202" t="n">
        <v>5312157</v>
      </c>
      <c r="H45" s="202"/>
      <c r="I45" s="202"/>
      <c r="J45" s="202"/>
      <c r="K45" s="202"/>
      <c r="L45" s="250"/>
      <c r="M45" s="258" t="s">
        <v>232</v>
      </c>
      <c r="N45" s="258"/>
      <c r="O45" s="258"/>
      <c r="P45" s="258"/>
      <c r="Q45" s="258"/>
      <c r="R45" s="258"/>
      <c r="S45" s="259" t="s">
        <v>233</v>
      </c>
      <c r="T45" s="259"/>
      <c r="U45" s="259"/>
      <c r="V45" s="259"/>
      <c r="W45" s="259"/>
      <c r="X45" s="259"/>
    </row>
    <row r="46" s="193" customFormat="true" ht="21.75" hidden="false" customHeight="true" outlineLevel="0" collapsed="false">
      <c r="A46" s="206" t="s">
        <v>190</v>
      </c>
      <c r="B46" s="206"/>
      <c r="C46" s="206"/>
      <c r="D46" s="206"/>
      <c r="E46" s="206"/>
      <c r="F46" s="206"/>
      <c r="G46" s="260" t="n">
        <f aca="false">SUM(G38:K45)</f>
        <v>9597685</v>
      </c>
      <c r="H46" s="260"/>
      <c r="I46" s="260"/>
      <c r="J46" s="260"/>
      <c r="K46" s="260"/>
      <c r="L46" s="261"/>
      <c r="M46" s="262"/>
      <c r="N46" s="262"/>
      <c r="O46" s="262"/>
      <c r="P46" s="262"/>
      <c r="Q46" s="262"/>
      <c r="R46" s="262"/>
      <c r="S46" s="263"/>
      <c r="T46" s="263"/>
      <c r="U46" s="263"/>
      <c r="V46" s="263"/>
      <c r="W46" s="263"/>
      <c r="X46" s="263"/>
    </row>
    <row r="47" customFormat="false" ht="14.25" hidden="false" customHeight="true" outlineLevel="0" collapsed="false">
      <c r="L47" s="211"/>
      <c r="M47" s="212"/>
      <c r="N47" s="212"/>
      <c r="O47" s="212"/>
      <c r="P47" s="212"/>
      <c r="Q47" s="212"/>
      <c r="R47" s="212"/>
      <c r="S47" s="212"/>
      <c r="T47" s="212"/>
    </row>
    <row r="48" customFormat="false" ht="21" hidden="false" customHeight="true" outlineLevel="0" collapsed="false">
      <c r="I48" s="186" t="s">
        <v>234</v>
      </c>
      <c r="J48" s="186"/>
      <c r="K48" s="186"/>
      <c r="L48" s="186"/>
      <c r="M48" s="186"/>
      <c r="N48" s="186"/>
      <c r="O48" s="186"/>
      <c r="P48" s="186"/>
      <c r="Q48" s="187"/>
      <c r="R48" s="187"/>
      <c r="S48" s="187"/>
      <c r="T48" s="187"/>
      <c r="U48" s="187"/>
      <c r="V48" s="187"/>
      <c r="W48" s="187"/>
      <c r="X48" s="187"/>
    </row>
    <row r="49" customFormat="false" ht="9.75" hidden="false" customHeight="true" outlineLevel="0" collapsed="false">
      <c r="A49" s="188"/>
      <c r="B49" s="189"/>
      <c r="C49" s="189"/>
      <c r="D49" s="189"/>
      <c r="E49" s="189"/>
      <c r="F49" s="189"/>
      <c r="G49" s="189"/>
      <c r="H49" s="189"/>
      <c r="I49" s="189"/>
      <c r="J49" s="189"/>
      <c r="K49" s="189"/>
      <c r="L49" s="189"/>
      <c r="M49" s="189"/>
      <c r="N49" s="189"/>
      <c r="O49" s="189"/>
      <c r="P49" s="189"/>
      <c r="Q49" s="189"/>
      <c r="R49" s="189"/>
      <c r="S49" s="189"/>
      <c r="T49" s="189"/>
      <c r="U49" s="189"/>
      <c r="V49" s="189"/>
      <c r="W49" s="189"/>
      <c r="X49" s="189"/>
    </row>
    <row r="50" s="193" customFormat="true" ht="21" hidden="false" customHeight="true" outlineLevel="0" collapsed="false">
      <c r="A50" s="213" t="s">
        <v>192</v>
      </c>
      <c r="B50" s="213"/>
      <c r="C50" s="213"/>
      <c r="D50" s="213"/>
      <c r="E50" s="213"/>
      <c r="F50" s="213"/>
      <c r="G50" s="191" t="s">
        <v>185</v>
      </c>
      <c r="H50" s="191"/>
      <c r="I50" s="191"/>
      <c r="J50" s="191"/>
      <c r="K50" s="191"/>
      <c r="L50" s="191"/>
      <c r="M50" s="191" t="s">
        <v>193</v>
      </c>
      <c r="N50" s="191"/>
      <c r="O50" s="191"/>
      <c r="P50" s="191"/>
      <c r="Q50" s="191"/>
      <c r="R50" s="191"/>
      <c r="S50" s="192" t="s">
        <v>186</v>
      </c>
      <c r="T50" s="192"/>
      <c r="U50" s="192"/>
      <c r="V50" s="192"/>
      <c r="W50" s="192"/>
      <c r="X50" s="192"/>
    </row>
    <row r="51" s="193" customFormat="true" ht="9" hidden="false" customHeight="true" outlineLevel="0" collapsed="false">
      <c r="A51" s="194"/>
      <c r="B51" s="195"/>
      <c r="C51" s="195"/>
      <c r="D51" s="195"/>
      <c r="E51" s="195"/>
      <c r="F51" s="196"/>
      <c r="G51" s="197"/>
      <c r="H51" s="195"/>
      <c r="I51" s="195"/>
      <c r="J51" s="195"/>
      <c r="K51" s="195"/>
      <c r="L51" s="198" t="s">
        <v>122</v>
      </c>
      <c r="M51" s="197"/>
      <c r="N51" s="195"/>
      <c r="O51" s="195"/>
      <c r="P51" s="195"/>
      <c r="Q51" s="195"/>
      <c r="R51" s="214"/>
      <c r="S51" s="197"/>
      <c r="T51" s="195"/>
      <c r="U51" s="195"/>
      <c r="V51" s="195"/>
      <c r="W51" s="195"/>
      <c r="X51" s="199"/>
    </row>
    <row r="52" s="244" customFormat="true" ht="18.75" hidden="false" customHeight="true" outlineLevel="0" collapsed="false">
      <c r="A52" s="215" t="s">
        <v>235</v>
      </c>
      <c r="B52" s="215"/>
      <c r="C52" s="215"/>
      <c r="D52" s="215"/>
      <c r="E52" s="215"/>
      <c r="F52" s="215"/>
      <c r="G52" s="202" t="n">
        <v>59015</v>
      </c>
      <c r="H52" s="202"/>
      <c r="I52" s="202"/>
      <c r="J52" s="202"/>
      <c r="K52" s="202"/>
      <c r="L52" s="216"/>
      <c r="M52" s="241" t="s">
        <v>236</v>
      </c>
      <c r="N52" s="241"/>
      <c r="O52" s="241"/>
      <c r="P52" s="241"/>
      <c r="Q52" s="241"/>
      <c r="R52" s="241"/>
      <c r="S52" s="264" t="s">
        <v>237</v>
      </c>
      <c r="T52" s="264"/>
      <c r="U52" s="264"/>
      <c r="V52" s="264"/>
      <c r="W52" s="264"/>
      <c r="X52" s="264"/>
    </row>
    <row r="53" s="244" customFormat="true" ht="18.75" hidden="false" customHeight="true" outlineLevel="0" collapsed="false">
      <c r="A53" s="215" t="s">
        <v>71</v>
      </c>
      <c r="B53" s="215"/>
      <c r="C53" s="215"/>
      <c r="D53" s="215"/>
      <c r="E53" s="215"/>
      <c r="F53" s="215"/>
      <c r="G53" s="202" t="n">
        <v>376346</v>
      </c>
      <c r="H53" s="202"/>
      <c r="I53" s="202"/>
      <c r="J53" s="202"/>
      <c r="K53" s="202"/>
      <c r="L53" s="216"/>
      <c r="M53" s="241" t="s">
        <v>238</v>
      </c>
      <c r="N53" s="241"/>
      <c r="O53" s="241"/>
      <c r="P53" s="241"/>
      <c r="Q53" s="241"/>
      <c r="R53" s="241"/>
      <c r="S53" s="264" t="s">
        <v>239</v>
      </c>
      <c r="T53" s="264"/>
      <c r="U53" s="264"/>
      <c r="V53" s="264"/>
      <c r="W53" s="264"/>
      <c r="X53" s="264"/>
    </row>
    <row r="54" s="244" customFormat="true" ht="18.75" hidden="false" customHeight="true" outlineLevel="0" collapsed="false">
      <c r="A54" s="206" t="s">
        <v>190</v>
      </c>
      <c r="B54" s="206"/>
      <c r="C54" s="206"/>
      <c r="D54" s="206"/>
      <c r="E54" s="206"/>
      <c r="F54" s="206"/>
      <c r="G54" s="208" t="n">
        <f aca="false">SUM(G52:K53)</f>
        <v>435361</v>
      </c>
      <c r="H54" s="208"/>
      <c r="I54" s="208"/>
      <c r="J54" s="208"/>
      <c r="K54" s="208"/>
      <c r="L54" s="219"/>
      <c r="M54" s="220"/>
      <c r="N54" s="220"/>
      <c r="O54" s="220"/>
      <c r="P54" s="220"/>
      <c r="Q54" s="220"/>
      <c r="R54" s="220"/>
      <c r="S54" s="210"/>
      <c r="T54" s="210"/>
      <c r="U54" s="210"/>
      <c r="V54" s="210"/>
      <c r="W54" s="210"/>
      <c r="X54" s="210"/>
    </row>
    <row r="55" customFormat="false" ht="14.25" hidden="false" customHeight="true" outlineLevel="0" collapsed="false"/>
    <row r="56" customFormat="false" ht="21.75" hidden="false" customHeight="true" outlineLevel="0" collapsed="false">
      <c r="I56" s="186" t="s">
        <v>240</v>
      </c>
      <c r="J56" s="186"/>
      <c r="K56" s="186"/>
      <c r="L56" s="186"/>
      <c r="M56" s="186"/>
      <c r="N56" s="186"/>
      <c r="O56" s="186"/>
      <c r="P56" s="186"/>
    </row>
    <row r="57" customFormat="false" ht="9.75" hidden="false" customHeight="true" outlineLevel="0" collapsed="false"/>
    <row r="58" customFormat="false" ht="21.75" hidden="false" customHeight="true" outlineLevel="0" collapsed="false">
      <c r="A58" s="213" t="s">
        <v>192</v>
      </c>
      <c r="B58" s="213"/>
      <c r="C58" s="213"/>
      <c r="D58" s="213"/>
      <c r="E58" s="213"/>
      <c r="F58" s="213"/>
      <c r="G58" s="265" t="s">
        <v>185</v>
      </c>
      <c r="H58" s="265"/>
      <c r="I58" s="265"/>
      <c r="J58" s="265"/>
      <c r="K58" s="265"/>
      <c r="L58" s="191" t="s">
        <v>193</v>
      </c>
      <c r="M58" s="191"/>
      <c r="N58" s="191"/>
      <c r="O58" s="191"/>
      <c r="P58" s="191"/>
      <c r="Q58" s="191"/>
      <c r="R58" s="192" t="s">
        <v>186</v>
      </c>
      <c r="S58" s="192"/>
      <c r="T58" s="192"/>
      <c r="U58" s="192"/>
      <c r="V58" s="192"/>
      <c r="W58" s="192"/>
      <c r="X58" s="192"/>
    </row>
    <row r="59" customFormat="false" ht="9" hidden="false" customHeight="true" outlineLevel="0" collapsed="false">
      <c r="A59" s="194"/>
      <c r="B59" s="195"/>
      <c r="C59" s="195"/>
      <c r="D59" s="195"/>
      <c r="E59" s="195"/>
      <c r="F59" s="196"/>
      <c r="G59" s="197"/>
      <c r="H59" s="195"/>
      <c r="I59" s="195"/>
      <c r="J59" s="195"/>
      <c r="K59" s="266" t="s">
        <v>122</v>
      </c>
      <c r="L59" s="197"/>
      <c r="M59" s="195"/>
      <c r="N59" s="195"/>
      <c r="O59" s="195"/>
      <c r="P59" s="195"/>
      <c r="Q59" s="214"/>
      <c r="R59" s="197"/>
      <c r="S59" s="195"/>
      <c r="T59" s="195"/>
      <c r="U59" s="195"/>
      <c r="V59" s="195"/>
      <c r="W59" s="195"/>
      <c r="X59" s="199"/>
    </row>
    <row r="60" customFormat="false" ht="18.75" hidden="false" customHeight="true" outlineLevel="0" collapsed="false">
      <c r="A60" s="215" t="s">
        <v>241</v>
      </c>
      <c r="B60" s="215"/>
      <c r="C60" s="215"/>
      <c r="D60" s="215"/>
      <c r="E60" s="215"/>
      <c r="F60" s="215"/>
      <c r="G60" s="202" t="n">
        <v>203327</v>
      </c>
      <c r="H60" s="202"/>
      <c r="I60" s="202"/>
      <c r="J60" s="202"/>
      <c r="K60" s="267"/>
      <c r="L60" s="241" t="s">
        <v>242</v>
      </c>
      <c r="M60" s="241"/>
      <c r="N60" s="241"/>
      <c r="O60" s="241"/>
      <c r="P60" s="241"/>
      <c r="Q60" s="241"/>
      <c r="R60" s="264" t="s">
        <v>243</v>
      </c>
      <c r="S60" s="264"/>
      <c r="T60" s="264"/>
      <c r="U60" s="264"/>
      <c r="V60" s="264"/>
      <c r="W60" s="264"/>
      <c r="X60" s="264"/>
    </row>
    <row r="61" customFormat="false" ht="18.75" hidden="false" customHeight="true" outlineLevel="0" collapsed="false">
      <c r="A61" s="215" t="s">
        <v>244</v>
      </c>
      <c r="B61" s="215"/>
      <c r="C61" s="215"/>
      <c r="D61" s="215"/>
      <c r="E61" s="215"/>
      <c r="F61" s="215"/>
      <c r="G61" s="202" t="n">
        <v>24613</v>
      </c>
      <c r="H61" s="202"/>
      <c r="I61" s="202"/>
      <c r="J61" s="202"/>
      <c r="K61" s="267"/>
      <c r="L61" s="258" t="s">
        <v>230</v>
      </c>
      <c r="M61" s="258"/>
      <c r="N61" s="258"/>
      <c r="O61" s="258"/>
      <c r="P61" s="258"/>
      <c r="Q61" s="258"/>
      <c r="R61" s="264" t="s">
        <v>243</v>
      </c>
      <c r="S61" s="264"/>
      <c r="T61" s="264"/>
      <c r="U61" s="264"/>
      <c r="V61" s="264"/>
      <c r="W61" s="264"/>
      <c r="X61" s="264"/>
    </row>
    <row r="62" customFormat="false" ht="18.75" hidden="false" customHeight="true" outlineLevel="0" collapsed="false">
      <c r="A62" s="206" t="s">
        <v>190</v>
      </c>
      <c r="B62" s="206"/>
      <c r="C62" s="206"/>
      <c r="D62" s="206"/>
      <c r="E62" s="206"/>
      <c r="F62" s="206"/>
      <c r="G62" s="208" t="n">
        <f aca="false">SUM(G60:K61)</f>
        <v>227940</v>
      </c>
      <c r="H62" s="208"/>
      <c r="I62" s="208"/>
      <c r="J62" s="208"/>
      <c r="K62" s="268"/>
      <c r="L62" s="269"/>
      <c r="M62" s="269"/>
      <c r="N62" s="269"/>
      <c r="O62" s="269"/>
      <c r="P62" s="269"/>
      <c r="Q62" s="269"/>
      <c r="R62" s="270"/>
      <c r="S62" s="270"/>
      <c r="T62" s="270"/>
      <c r="U62" s="270"/>
      <c r="V62" s="270"/>
      <c r="W62" s="270"/>
      <c r="X62" s="270"/>
    </row>
    <row r="63" customFormat="false" ht="12.75" hidden="false" customHeight="true" outlineLevel="0" collapsed="false">
      <c r="A63" s="271"/>
      <c r="B63" s="271"/>
      <c r="C63" s="271"/>
      <c r="D63" s="271"/>
      <c r="E63" s="271"/>
      <c r="F63" s="271"/>
      <c r="G63" s="272"/>
      <c r="H63" s="272"/>
      <c r="I63" s="272"/>
      <c r="J63" s="272"/>
      <c r="K63" s="273"/>
      <c r="L63" s="274"/>
      <c r="M63" s="274"/>
      <c r="N63" s="274"/>
      <c r="O63" s="275"/>
      <c r="P63" s="275"/>
      <c r="Q63" s="275"/>
      <c r="R63" s="276"/>
      <c r="S63" s="276"/>
      <c r="T63" s="276"/>
      <c r="U63" s="276"/>
      <c r="V63" s="276"/>
      <c r="W63" s="276"/>
      <c r="X63" s="276"/>
    </row>
    <row r="64" customFormat="false" ht="21.75" hidden="false" customHeight="true" outlineLevel="0" collapsed="false">
      <c r="A64" s="277"/>
      <c r="B64" s="277"/>
      <c r="C64" s="277"/>
      <c r="D64" s="277"/>
      <c r="E64" s="277"/>
      <c r="F64" s="277"/>
      <c r="G64" s="277"/>
      <c r="H64" s="277"/>
      <c r="I64" s="278" t="s">
        <v>245</v>
      </c>
      <c r="J64" s="278"/>
      <c r="K64" s="278"/>
      <c r="L64" s="278"/>
      <c r="M64" s="278"/>
      <c r="N64" s="278"/>
      <c r="O64" s="278"/>
      <c r="P64" s="278"/>
      <c r="Q64" s="279"/>
      <c r="R64" s="279"/>
      <c r="S64" s="279"/>
      <c r="T64" s="279"/>
      <c r="U64" s="279"/>
      <c r="V64" s="279"/>
      <c r="W64" s="279"/>
      <c r="X64" s="279"/>
      <c r="Y64" s="280"/>
    </row>
    <row r="65" customFormat="false" ht="12.75" hidden="false" customHeight="true" outlineLevel="0" collapsed="false">
      <c r="A65" s="281"/>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0"/>
    </row>
    <row r="66" customFormat="false" ht="21.75" hidden="false" customHeight="true" outlineLevel="0" collapsed="false">
      <c r="A66" s="283" t="s">
        <v>192</v>
      </c>
      <c r="B66" s="283"/>
      <c r="C66" s="283"/>
      <c r="D66" s="283"/>
      <c r="E66" s="283"/>
      <c r="F66" s="283"/>
      <c r="G66" s="284" t="s">
        <v>185</v>
      </c>
      <c r="H66" s="284"/>
      <c r="I66" s="284"/>
      <c r="J66" s="284"/>
      <c r="K66" s="284"/>
      <c r="L66" s="284"/>
      <c r="M66" s="284" t="s">
        <v>193</v>
      </c>
      <c r="N66" s="284"/>
      <c r="O66" s="284"/>
      <c r="P66" s="284"/>
      <c r="Q66" s="284"/>
      <c r="R66" s="284"/>
      <c r="S66" s="285" t="s">
        <v>186</v>
      </c>
      <c r="T66" s="285"/>
      <c r="U66" s="285"/>
      <c r="V66" s="285"/>
      <c r="W66" s="285"/>
      <c r="X66" s="285"/>
      <c r="Y66" s="280"/>
    </row>
    <row r="67" customFormat="false" ht="12.75" hidden="false" customHeight="true" outlineLevel="0" collapsed="false">
      <c r="A67" s="286"/>
      <c r="B67" s="287"/>
      <c r="C67" s="287"/>
      <c r="D67" s="287"/>
      <c r="E67" s="287"/>
      <c r="F67" s="288"/>
      <c r="G67" s="289"/>
      <c r="H67" s="287"/>
      <c r="I67" s="287"/>
      <c r="J67" s="287"/>
      <c r="K67" s="287"/>
      <c r="L67" s="290" t="s">
        <v>122</v>
      </c>
      <c r="M67" s="289"/>
      <c r="N67" s="287"/>
      <c r="O67" s="287"/>
      <c r="P67" s="287"/>
      <c r="Q67" s="287"/>
      <c r="R67" s="291"/>
      <c r="S67" s="289"/>
      <c r="T67" s="287"/>
      <c r="U67" s="287"/>
      <c r="V67" s="287"/>
      <c r="W67" s="287"/>
      <c r="X67" s="292"/>
      <c r="Y67" s="280"/>
    </row>
    <row r="68" customFormat="false" ht="18.75" hidden="false" customHeight="true" outlineLevel="0" collapsed="false">
      <c r="A68" s="293" t="s">
        <v>81</v>
      </c>
      <c r="B68" s="293"/>
      <c r="C68" s="293"/>
      <c r="D68" s="293"/>
      <c r="E68" s="293"/>
      <c r="F68" s="293"/>
      <c r="G68" s="294" t="n">
        <v>216843</v>
      </c>
      <c r="H68" s="294"/>
      <c r="I68" s="294"/>
      <c r="J68" s="294"/>
      <c r="K68" s="294"/>
      <c r="L68" s="295"/>
      <c r="M68" s="296" t="s">
        <v>246</v>
      </c>
      <c r="N68" s="296"/>
      <c r="O68" s="296"/>
      <c r="P68" s="296"/>
      <c r="Q68" s="296"/>
      <c r="R68" s="296"/>
      <c r="S68" s="297" t="s">
        <v>247</v>
      </c>
      <c r="T68" s="297"/>
      <c r="U68" s="297"/>
      <c r="V68" s="297"/>
      <c r="W68" s="297"/>
      <c r="X68" s="297"/>
      <c r="Y68" s="280"/>
    </row>
    <row r="69" customFormat="false" ht="18.75" hidden="false" customHeight="true" outlineLevel="0" collapsed="false">
      <c r="A69" s="298" t="s">
        <v>190</v>
      </c>
      <c r="B69" s="298"/>
      <c r="C69" s="298"/>
      <c r="D69" s="298"/>
      <c r="E69" s="298"/>
      <c r="F69" s="298"/>
      <c r="G69" s="299" t="n">
        <f aca="false">SUM(G68:K68)</f>
        <v>216843</v>
      </c>
      <c r="H69" s="299"/>
      <c r="I69" s="299"/>
      <c r="J69" s="299"/>
      <c r="K69" s="299"/>
      <c r="L69" s="300"/>
      <c r="M69" s="301"/>
      <c r="N69" s="301"/>
      <c r="O69" s="301"/>
      <c r="P69" s="301"/>
      <c r="Q69" s="301"/>
      <c r="R69" s="301"/>
      <c r="S69" s="302"/>
      <c r="T69" s="302"/>
      <c r="U69" s="302"/>
      <c r="V69" s="302"/>
      <c r="W69" s="302"/>
      <c r="X69" s="302"/>
      <c r="Y69" s="280"/>
    </row>
    <row r="70" customFormat="false" ht="12.75" hidden="false" customHeight="true" outlineLevel="0" collapsed="false">
      <c r="A70" s="271"/>
      <c r="B70" s="271"/>
      <c r="C70" s="271"/>
      <c r="D70" s="271"/>
      <c r="E70" s="271"/>
      <c r="F70" s="271"/>
      <c r="G70" s="303"/>
      <c r="H70" s="303"/>
      <c r="I70" s="303"/>
      <c r="J70" s="303"/>
      <c r="K70" s="273"/>
      <c r="L70" s="304"/>
      <c r="M70" s="304"/>
      <c r="N70" s="304"/>
      <c r="O70" s="275"/>
      <c r="P70" s="275"/>
      <c r="Q70" s="275"/>
      <c r="R70" s="276"/>
      <c r="S70" s="276"/>
      <c r="T70" s="276"/>
      <c r="U70" s="276"/>
      <c r="V70" s="276"/>
      <c r="W70" s="276"/>
      <c r="X70" s="276"/>
    </row>
    <row r="71" customFormat="false" ht="12.75" hidden="false" customHeight="true" outlineLevel="0" collapsed="false">
      <c r="A71" s="271"/>
      <c r="B71" s="271"/>
      <c r="C71" s="271"/>
      <c r="D71" s="271"/>
      <c r="E71" s="271"/>
      <c r="F71" s="271"/>
      <c r="G71" s="303"/>
      <c r="H71" s="303"/>
      <c r="I71" s="303"/>
      <c r="J71" s="303"/>
      <c r="K71" s="273"/>
      <c r="L71" s="304"/>
      <c r="M71" s="304"/>
      <c r="N71" s="304"/>
      <c r="O71" s="275"/>
      <c r="P71" s="275"/>
      <c r="Q71" s="275"/>
      <c r="R71" s="276"/>
      <c r="S71" s="276"/>
      <c r="T71" s="276"/>
      <c r="U71" s="276"/>
      <c r="V71" s="276"/>
      <c r="W71" s="276"/>
      <c r="X71" s="276"/>
    </row>
    <row r="72" customFormat="false" ht="20.25" hidden="false" customHeight="true" outlineLevel="0" collapsed="false">
      <c r="I72" s="186" t="s">
        <v>248</v>
      </c>
      <c r="J72" s="186"/>
      <c r="K72" s="186"/>
      <c r="L72" s="186"/>
      <c r="M72" s="186"/>
      <c r="N72" s="186"/>
      <c r="O72" s="186"/>
      <c r="P72" s="186"/>
      <c r="Q72" s="187"/>
      <c r="R72" s="187"/>
      <c r="S72" s="187"/>
      <c r="T72" s="187"/>
      <c r="U72" s="187"/>
      <c r="V72" s="187"/>
      <c r="W72" s="187"/>
      <c r="X72" s="187"/>
    </row>
    <row r="73" customFormat="false" ht="12.75" hidden="false" customHeight="true" outlineLevel="0" collapsed="false"/>
    <row r="74" customFormat="false" ht="21.75" hidden="false" customHeight="true" outlineLevel="0" collapsed="false">
      <c r="A74" s="213" t="s">
        <v>249</v>
      </c>
      <c r="B74" s="213"/>
      <c r="C74" s="213"/>
      <c r="D74" s="305" t="s">
        <v>250</v>
      </c>
      <c r="E74" s="305"/>
      <c r="F74" s="305"/>
      <c r="G74" s="306" t="s">
        <v>251</v>
      </c>
      <c r="H74" s="306"/>
      <c r="I74" s="306"/>
      <c r="J74" s="306" t="s">
        <v>252</v>
      </c>
      <c r="K74" s="306"/>
      <c r="L74" s="306"/>
      <c r="M74" s="305" t="s">
        <v>253</v>
      </c>
      <c r="N74" s="305"/>
      <c r="O74" s="305"/>
      <c r="P74" s="306" t="s">
        <v>254</v>
      </c>
      <c r="Q74" s="306"/>
      <c r="R74" s="306"/>
      <c r="S74" s="307" t="s">
        <v>255</v>
      </c>
      <c r="T74" s="307"/>
      <c r="U74" s="307"/>
      <c r="V74" s="308" t="s">
        <v>256</v>
      </c>
      <c r="W74" s="308"/>
      <c r="X74" s="308"/>
    </row>
    <row r="75" customFormat="false" ht="12.75" hidden="false" customHeight="true" outlineLevel="0" collapsed="false">
      <c r="A75" s="309"/>
      <c r="B75" s="271"/>
      <c r="C75" s="310" t="s">
        <v>257</v>
      </c>
      <c r="D75" s="311"/>
      <c r="E75" s="271"/>
      <c r="F75" s="310" t="s">
        <v>122</v>
      </c>
      <c r="G75" s="273"/>
      <c r="H75" s="273"/>
      <c r="I75" s="310" t="s">
        <v>122</v>
      </c>
      <c r="J75" s="312"/>
      <c r="K75" s="273"/>
      <c r="L75" s="310" t="s">
        <v>122</v>
      </c>
      <c r="M75" s="275"/>
      <c r="N75" s="275"/>
      <c r="O75" s="310" t="s">
        <v>122</v>
      </c>
      <c r="P75" s="313"/>
      <c r="Q75" s="275"/>
      <c r="R75" s="310" t="s">
        <v>122</v>
      </c>
      <c r="S75" s="276"/>
      <c r="T75" s="276"/>
      <c r="U75" s="310" t="s">
        <v>122</v>
      </c>
      <c r="V75" s="314"/>
      <c r="W75" s="276"/>
      <c r="X75" s="315"/>
    </row>
    <row r="76" customFormat="false" ht="24.75" hidden="false" customHeight="true" outlineLevel="0" collapsed="false">
      <c r="A76" s="224" t="s">
        <v>65</v>
      </c>
      <c r="B76" s="224"/>
      <c r="C76" s="224"/>
      <c r="D76" s="316" t="n">
        <v>383946</v>
      </c>
      <c r="E76" s="316"/>
      <c r="F76" s="316"/>
      <c r="G76" s="316" t="n">
        <v>0</v>
      </c>
      <c r="H76" s="316"/>
      <c r="I76" s="316"/>
      <c r="J76" s="316" t="n">
        <v>0</v>
      </c>
      <c r="K76" s="316"/>
      <c r="L76" s="316"/>
      <c r="M76" s="317" t="n">
        <f aca="false">D76+G76-J76</f>
        <v>383946</v>
      </c>
      <c r="N76" s="317"/>
      <c r="O76" s="317"/>
      <c r="P76" s="316" t="n">
        <f aca="false">H85</f>
        <v>176556</v>
      </c>
      <c r="Q76" s="316"/>
      <c r="R76" s="316"/>
      <c r="S76" s="317" t="n">
        <f aca="false">M76-P76</f>
        <v>207390</v>
      </c>
      <c r="T76" s="317"/>
      <c r="U76" s="317"/>
      <c r="V76" s="318"/>
      <c r="W76" s="318"/>
      <c r="X76" s="318"/>
    </row>
    <row r="77" customFormat="false" ht="24.75" hidden="false" customHeight="true" outlineLevel="0" collapsed="false">
      <c r="A77" s="206" t="s">
        <v>258</v>
      </c>
      <c r="B77" s="206"/>
      <c r="C77" s="206"/>
      <c r="D77" s="319" t="n">
        <f aca="false">SUM(D76)</f>
        <v>383946</v>
      </c>
      <c r="E77" s="319"/>
      <c r="F77" s="319"/>
      <c r="G77" s="319" t="n">
        <f aca="false">SUM(G76)</f>
        <v>0</v>
      </c>
      <c r="H77" s="319"/>
      <c r="I77" s="319"/>
      <c r="J77" s="319" t="n">
        <f aca="false">SUM(J76)</f>
        <v>0</v>
      </c>
      <c r="K77" s="319"/>
      <c r="L77" s="319"/>
      <c r="M77" s="320" t="n">
        <f aca="false">D77+G77-J77</f>
        <v>383946</v>
      </c>
      <c r="N77" s="320"/>
      <c r="O77" s="320"/>
      <c r="P77" s="319" t="n">
        <f aca="false">SUM(P76)</f>
        <v>176556</v>
      </c>
      <c r="Q77" s="319"/>
      <c r="R77" s="319"/>
      <c r="S77" s="320" t="n">
        <f aca="false">M77-P77</f>
        <v>207390</v>
      </c>
      <c r="T77" s="320"/>
      <c r="U77" s="320"/>
      <c r="V77" s="270"/>
      <c r="W77" s="270"/>
      <c r="X77" s="270"/>
    </row>
    <row r="78" customFormat="false" ht="14.25" hidden="false" customHeight="true" outlineLevel="0" collapsed="false">
      <c r="A78" s="271"/>
      <c r="B78" s="271"/>
      <c r="C78" s="271"/>
      <c r="D78" s="271"/>
      <c r="E78" s="271"/>
      <c r="F78" s="271"/>
      <c r="G78" s="273"/>
      <c r="H78" s="273"/>
      <c r="I78" s="273"/>
      <c r="J78" s="273"/>
      <c r="K78" s="273"/>
      <c r="L78" s="275"/>
      <c r="M78" s="275"/>
      <c r="N78" s="275"/>
      <c r="O78" s="275"/>
      <c r="P78" s="275"/>
      <c r="Q78" s="275"/>
      <c r="R78" s="276"/>
      <c r="S78" s="276"/>
      <c r="T78" s="276"/>
      <c r="U78" s="276"/>
      <c r="V78" s="276"/>
      <c r="W78" s="276"/>
      <c r="X78" s="276"/>
    </row>
    <row r="79" customFormat="false" ht="19.5" hidden="false" customHeight="true" outlineLevel="0" collapsed="false">
      <c r="I79" s="186" t="s">
        <v>259</v>
      </c>
      <c r="J79" s="186"/>
      <c r="K79" s="186"/>
      <c r="L79" s="186"/>
      <c r="M79" s="186"/>
      <c r="N79" s="186"/>
      <c r="O79" s="186"/>
      <c r="P79" s="186"/>
      <c r="Q79" s="187"/>
      <c r="R79" s="187"/>
      <c r="S79" s="187"/>
      <c r="T79" s="187"/>
      <c r="U79" s="187"/>
      <c r="V79" s="187"/>
      <c r="W79" s="187"/>
      <c r="X79" s="187"/>
    </row>
    <row r="80" customFormat="false" ht="12.75" hidden="false" customHeight="true" outlineLevel="0" collapsed="false"/>
    <row r="81" customFormat="false" ht="12.75" hidden="false" customHeight="true" outlineLevel="0" collapsed="false">
      <c r="A81" s="213" t="s">
        <v>249</v>
      </c>
      <c r="B81" s="213"/>
      <c r="C81" s="213"/>
      <c r="D81" s="191" t="s">
        <v>260</v>
      </c>
      <c r="E81" s="191"/>
      <c r="F81" s="191" t="s">
        <v>261</v>
      </c>
      <c r="G81" s="191"/>
      <c r="H81" s="321" t="s">
        <v>254</v>
      </c>
      <c r="I81" s="321"/>
      <c r="J81" s="321"/>
      <c r="K81" s="321" t="s">
        <v>262</v>
      </c>
      <c r="L81" s="321"/>
      <c r="M81" s="321"/>
      <c r="N81" s="321" t="s">
        <v>263</v>
      </c>
      <c r="O81" s="321"/>
      <c r="P81" s="321"/>
      <c r="Q81" s="322" t="s">
        <v>264</v>
      </c>
      <c r="R81" s="322"/>
      <c r="S81" s="308" t="s">
        <v>265</v>
      </c>
      <c r="T81" s="308"/>
      <c r="U81" s="308"/>
      <c r="V81" s="308"/>
      <c r="W81" s="308"/>
      <c r="X81" s="308"/>
    </row>
    <row r="82" customFormat="false" ht="10.5" hidden="false" customHeight="true" outlineLevel="0" collapsed="false">
      <c r="A82" s="323"/>
      <c r="B82" s="324"/>
      <c r="C82" s="325" t="s">
        <v>257</v>
      </c>
      <c r="D82" s="326"/>
      <c r="E82" s="325"/>
      <c r="F82" s="327" t="s">
        <v>122</v>
      </c>
      <c r="G82" s="328"/>
      <c r="H82" s="329"/>
      <c r="I82" s="330" t="s">
        <v>257</v>
      </c>
      <c r="J82" s="331" t="s">
        <v>122</v>
      </c>
      <c r="K82" s="329"/>
      <c r="L82" s="330" t="s">
        <v>257</v>
      </c>
      <c r="M82" s="331" t="s">
        <v>122</v>
      </c>
      <c r="N82" s="329"/>
      <c r="O82" s="330" t="s">
        <v>257</v>
      </c>
      <c r="P82" s="331" t="s">
        <v>122</v>
      </c>
      <c r="Q82" s="332"/>
      <c r="R82" s="333" t="s">
        <v>266</v>
      </c>
      <c r="S82" s="334"/>
      <c r="T82" s="334"/>
      <c r="U82" s="330" t="s">
        <v>257</v>
      </c>
      <c r="V82" s="334"/>
      <c r="W82" s="334"/>
      <c r="X82" s="335"/>
    </row>
    <row r="83" customFormat="false" ht="36" hidden="false" customHeight="true" outlineLevel="0" collapsed="false">
      <c r="A83" s="336" t="s">
        <v>65</v>
      </c>
      <c r="B83" s="336"/>
      <c r="C83" s="336"/>
      <c r="D83" s="337" t="s">
        <v>267</v>
      </c>
      <c r="E83" s="337"/>
      <c r="F83" s="337" t="n">
        <v>723140</v>
      </c>
      <c r="G83" s="337"/>
      <c r="H83" s="338" t="n">
        <v>144628</v>
      </c>
      <c r="I83" s="338"/>
      <c r="J83" s="338"/>
      <c r="K83" s="338" t="n">
        <v>542355</v>
      </c>
      <c r="L83" s="338"/>
      <c r="M83" s="338"/>
      <c r="N83" s="338" t="n">
        <f aca="false">F83-K83</f>
        <v>180785</v>
      </c>
      <c r="O83" s="338"/>
      <c r="P83" s="338"/>
      <c r="Q83" s="339" t="n">
        <f aca="false">ROUNDDOWN(K83/F83*100,3)</f>
        <v>75</v>
      </c>
      <c r="R83" s="339"/>
      <c r="S83" s="340" t="s">
        <v>268</v>
      </c>
      <c r="T83" s="340"/>
      <c r="U83" s="340"/>
      <c r="V83" s="340"/>
      <c r="W83" s="340"/>
      <c r="X83" s="340"/>
    </row>
    <row r="84" customFormat="false" ht="36" hidden="false" customHeight="true" outlineLevel="0" collapsed="false">
      <c r="A84" s="224" t="s">
        <v>269</v>
      </c>
      <c r="B84" s="224"/>
      <c r="C84" s="224"/>
      <c r="D84" s="341" t="s">
        <v>270</v>
      </c>
      <c r="E84" s="341"/>
      <c r="F84" s="341" t="n">
        <v>127710</v>
      </c>
      <c r="G84" s="341"/>
      <c r="H84" s="316" t="n">
        <v>31928</v>
      </c>
      <c r="I84" s="316"/>
      <c r="J84" s="316"/>
      <c r="K84" s="316" t="n">
        <v>101105</v>
      </c>
      <c r="L84" s="316"/>
      <c r="M84" s="316"/>
      <c r="N84" s="316" t="n">
        <f aca="false">F84-K84</f>
        <v>26605</v>
      </c>
      <c r="O84" s="316"/>
      <c r="P84" s="316"/>
      <c r="Q84" s="342" t="n">
        <f aca="false">ROUNDDOWN(K84/F84*100,3)</f>
        <v>79.167</v>
      </c>
      <c r="R84" s="342"/>
      <c r="S84" s="343" t="s">
        <v>271</v>
      </c>
      <c r="T84" s="343"/>
      <c r="U84" s="343"/>
      <c r="V84" s="343"/>
      <c r="W84" s="343"/>
      <c r="X84" s="343"/>
    </row>
    <row r="85" customFormat="false" ht="26.25" hidden="false" customHeight="true" outlineLevel="0" collapsed="false">
      <c r="A85" s="206" t="s">
        <v>258</v>
      </c>
      <c r="B85" s="206"/>
      <c r="C85" s="206"/>
      <c r="D85" s="344" t="s">
        <v>257</v>
      </c>
      <c r="E85" s="344"/>
      <c r="F85" s="345" t="n">
        <f aca="false">SUM(F83:G84)</f>
        <v>850850</v>
      </c>
      <c r="G85" s="345"/>
      <c r="H85" s="319" t="n">
        <f aca="false">SUM(H83:J84)</f>
        <v>176556</v>
      </c>
      <c r="I85" s="319"/>
      <c r="J85" s="319"/>
      <c r="K85" s="319" t="n">
        <f aca="false">SUM(K83:M84)</f>
        <v>643460</v>
      </c>
      <c r="L85" s="319"/>
      <c r="M85" s="319"/>
      <c r="N85" s="319" t="n">
        <f aca="false">SUM(N83:P84)</f>
        <v>207390</v>
      </c>
      <c r="O85" s="319"/>
      <c r="P85" s="319"/>
      <c r="Q85" s="344" t="s">
        <v>257</v>
      </c>
      <c r="R85" s="344"/>
      <c r="S85" s="346" t="s">
        <v>257</v>
      </c>
      <c r="T85" s="346"/>
      <c r="U85" s="346"/>
      <c r="V85" s="346"/>
      <c r="W85" s="346"/>
      <c r="X85" s="346"/>
    </row>
    <row r="86" customFormat="false" ht="14.25" hidden="false" customHeight="true" outlineLevel="0" collapsed="false">
      <c r="A86" s="271"/>
      <c r="B86" s="271"/>
      <c r="C86" s="271"/>
      <c r="D86" s="271"/>
      <c r="E86" s="271"/>
      <c r="F86" s="271"/>
      <c r="G86" s="273"/>
      <c r="H86" s="273"/>
      <c r="I86" s="273"/>
      <c r="J86" s="273"/>
      <c r="K86" s="273"/>
      <c r="L86" s="275"/>
      <c r="M86" s="275"/>
      <c r="N86" s="275"/>
      <c r="O86" s="275"/>
      <c r="P86" s="275"/>
      <c r="Q86" s="275"/>
      <c r="R86" s="276"/>
      <c r="S86" s="276"/>
      <c r="T86" s="276"/>
      <c r="U86" s="276"/>
      <c r="V86" s="276"/>
      <c r="W86" s="276"/>
      <c r="X86" s="276"/>
    </row>
    <row r="87" customFormat="false" ht="21" hidden="false" customHeight="true" outlineLevel="0" collapsed="false">
      <c r="I87" s="186" t="s">
        <v>272</v>
      </c>
      <c r="J87" s="186"/>
      <c r="K87" s="186"/>
      <c r="L87" s="186"/>
      <c r="M87" s="186"/>
      <c r="N87" s="186"/>
      <c r="O87" s="186"/>
      <c r="P87" s="186"/>
      <c r="Q87" s="187"/>
      <c r="R87" s="187"/>
      <c r="S87" s="187"/>
      <c r="T87" s="187"/>
      <c r="U87" s="187"/>
      <c r="V87" s="187"/>
      <c r="W87" s="187"/>
      <c r="X87" s="187"/>
    </row>
    <row r="88" customFormat="false" ht="9.75" hidden="false" customHeight="true" outlineLevel="0" collapsed="false"/>
    <row r="89" customFormat="false" ht="21" hidden="false" customHeight="true" outlineLevel="0" collapsed="false">
      <c r="A89" s="213" t="s">
        <v>273</v>
      </c>
      <c r="B89" s="213"/>
      <c r="C89" s="213"/>
      <c r="D89" s="213"/>
      <c r="E89" s="305" t="s">
        <v>274</v>
      </c>
      <c r="F89" s="305"/>
      <c r="G89" s="305"/>
      <c r="H89" s="305"/>
      <c r="I89" s="305" t="s">
        <v>251</v>
      </c>
      <c r="J89" s="305"/>
      <c r="K89" s="305"/>
      <c r="L89" s="305"/>
      <c r="M89" s="305" t="s">
        <v>252</v>
      </c>
      <c r="N89" s="305"/>
      <c r="O89" s="305"/>
      <c r="P89" s="305"/>
      <c r="Q89" s="347" t="s">
        <v>275</v>
      </c>
      <c r="R89" s="347"/>
      <c r="S89" s="347"/>
      <c r="T89" s="347"/>
      <c r="U89" s="192" t="s">
        <v>276</v>
      </c>
      <c r="V89" s="192"/>
      <c r="W89" s="192"/>
      <c r="X89" s="192"/>
    </row>
    <row r="90" customFormat="false" ht="9" hidden="false" customHeight="true" outlineLevel="0" collapsed="false">
      <c r="A90" s="348"/>
      <c r="B90" s="348"/>
      <c r="C90" s="348"/>
      <c r="D90" s="348"/>
      <c r="E90" s="349" t="s">
        <v>122</v>
      </c>
      <c r="F90" s="349"/>
      <c r="G90" s="349"/>
      <c r="H90" s="349"/>
      <c r="I90" s="349" t="s">
        <v>122</v>
      </c>
      <c r="J90" s="349"/>
      <c r="K90" s="349"/>
      <c r="L90" s="349"/>
      <c r="M90" s="349" t="s">
        <v>122</v>
      </c>
      <c r="N90" s="349"/>
      <c r="O90" s="349"/>
      <c r="P90" s="349"/>
      <c r="Q90" s="349" t="s">
        <v>122</v>
      </c>
      <c r="R90" s="349"/>
      <c r="S90" s="349"/>
      <c r="T90" s="349"/>
      <c r="U90" s="350"/>
      <c r="V90" s="350"/>
      <c r="W90" s="350"/>
      <c r="X90" s="350"/>
    </row>
    <row r="91" s="193" customFormat="true" ht="21" hidden="false" customHeight="true" outlineLevel="0" collapsed="false">
      <c r="A91" s="200" t="s">
        <v>277</v>
      </c>
      <c r="B91" s="200"/>
      <c r="C91" s="200"/>
      <c r="D91" s="200"/>
      <c r="E91" s="351" t="n">
        <f aca="false">決算精算表!E19</f>
        <v>71093911</v>
      </c>
      <c r="F91" s="351"/>
      <c r="G91" s="351"/>
      <c r="H91" s="351"/>
      <c r="I91" s="351" t="n">
        <f aca="false">決算精算表!A38</f>
        <v>3603510</v>
      </c>
      <c r="J91" s="351"/>
      <c r="K91" s="351"/>
      <c r="L91" s="351"/>
      <c r="M91" s="351" t="n">
        <f aca="false">決算精算表!F46</f>
        <v>0</v>
      </c>
      <c r="N91" s="351"/>
      <c r="O91" s="351"/>
      <c r="P91" s="351"/>
      <c r="Q91" s="351" t="n">
        <f aca="false">E91+I91-M91</f>
        <v>74697421</v>
      </c>
      <c r="R91" s="351"/>
      <c r="S91" s="351"/>
      <c r="T91" s="351"/>
      <c r="U91" s="352"/>
      <c r="V91" s="352"/>
      <c r="W91" s="352"/>
      <c r="X91" s="352"/>
    </row>
    <row r="92" s="193" customFormat="true" ht="19.5" hidden="false" customHeight="true" outlineLevel="0" collapsed="false">
      <c r="A92" s="206" t="s">
        <v>278</v>
      </c>
      <c r="B92" s="206"/>
      <c r="C92" s="206"/>
      <c r="D92" s="206"/>
      <c r="E92" s="353" t="n">
        <f aca="false">SUM(E91:H91)</f>
        <v>71093911</v>
      </c>
      <c r="F92" s="353"/>
      <c r="G92" s="353"/>
      <c r="H92" s="353"/>
      <c r="I92" s="353" t="n">
        <f aca="false">SUM(I91:L91)</f>
        <v>3603510</v>
      </c>
      <c r="J92" s="353"/>
      <c r="K92" s="353"/>
      <c r="L92" s="353"/>
      <c r="M92" s="354" t="n">
        <f aca="false">SUM(M91:P91)</f>
        <v>0</v>
      </c>
      <c r="N92" s="354"/>
      <c r="O92" s="354"/>
      <c r="P92" s="354"/>
      <c r="Q92" s="353" t="n">
        <f aca="false">SUM(Q91:T91)</f>
        <v>74697421</v>
      </c>
      <c r="R92" s="353"/>
      <c r="S92" s="353"/>
      <c r="T92" s="353"/>
      <c r="U92" s="355"/>
      <c r="V92" s="355"/>
      <c r="W92" s="355"/>
      <c r="X92" s="355"/>
    </row>
    <row r="93" customFormat="false" ht="14.25" hidden="false" customHeight="true" outlineLevel="0" collapsed="false">
      <c r="A93" s="271"/>
      <c r="B93" s="271"/>
      <c r="C93" s="271"/>
      <c r="D93" s="271"/>
      <c r="E93" s="271"/>
      <c r="F93" s="271"/>
      <c r="G93" s="273"/>
      <c r="H93" s="273"/>
      <c r="I93" s="273"/>
      <c r="J93" s="273"/>
      <c r="K93" s="273"/>
      <c r="L93" s="275"/>
      <c r="M93" s="275"/>
      <c r="N93" s="275"/>
      <c r="O93" s="275"/>
      <c r="P93" s="275"/>
      <c r="Q93" s="275"/>
      <c r="R93" s="276"/>
      <c r="S93" s="276"/>
      <c r="T93" s="276"/>
      <c r="U93" s="276"/>
      <c r="V93" s="276"/>
      <c r="W93" s="276"/>
      <c r="X93" s="276"/>
    </row>
    <row r="94" customFormat="false" ht="21" hidden="true" customHeight="true" outlineLevel="0" collapsed="false">
      <c r="A94" s="356"/>
      <c r="B94" s="356"/>
      <c r="C94" s="356"/>
      <c r="D94" s="356"/>
      <c r="E94" s="356"/>
      <c r="F94" s="356"/>
      <c r="G94" s="356"/>
      <c r="H94" s="356"/>
      <c r="I94" s="357" t="s">
        <v>259</v>
      </c>
      <c r="J94" s="357"/>
      <c r="K94" s="357"/>
      <c r="L94" s="357"/>
      <c r="M94" s="357"/>
      <c r="N94" s="357"/>
      <c r="O94" s="357"/>
      <c r="P94" s="357"/>
      <c r="Q94" s="358"/>
      <c r="R94" s="358"/>
      <c r="S94" s="358"/>
      <c r="T94" s="358"/>
      <c r="U94" s="358"/>
      <c r="V94" s="358"/>
      <c r="W94" s="358"/>
      <c r="X94" s="358"/>
    </row>
    <row r="95" customFormat="false" ht="9.75" hidden="true" customHeight="true" outlineLevel="0" collapsed="false">
      <c r="A95" s="356"/>
      <c r="B95" s="356"/>
      <c r="C95" s="356"/>
      <c r="D95" s="359"/>
      <c r="E95" s="356"/>
      <c r="F95" s="356"/>
      <c r="G95" s="356"/>
      <c r="H95" s="356"/>
      <c r="I95" s="356"/>
      <c r="J95" s="356"/>
      <c r="K95" s="356"/>
      <c r="L95" s="356"/>
      <c r="M95" s="356"/>
      <c r="N95" s="356"/>
      <c r="O95" s="356"/>
      <c r="P95" s="356"/>
      <c r="Q95" s="356"/>
      <c r="R95" s="356"/>
      <c r="S95" s="356"/>
      <c r="T95" s="356"/>
      <c r="U95" s="356"/>
      <c r="V95" s="356"/>
      <c r="W95" s="356"/>
      <c r="X95" s="356"/>
    </row>
    <row r="96" s="364" customFormat="true" ht="21" hidden="true" customHeight="true" outlineLevel="0" collapsed="false">
      <c r="A96" s="360" t="s">
        <v>249</v>
      </c>
      <c r="B96" s="360"/>
      <c r="C96" s="360"/>
      <c r="D96" s="361" t="s">
        <v>260</v>
      </c>
      <c r="E96" s="361"/>
      <c r="F96" s="362" t="s">
        <v>261</v>
      </c>
      <c r="G96" s="362"/>
      <c r="H96" s="362" t="s">
        <v>254</v>
      </c>
      <c r="I96" s="362"/>
      <c r="J96" s="362" t="s">
        <v>262</v>
      </c>
      <c r="K96" s="362"/>
      <c r="L96" s="362" t="s">
        <v>263</v>
      </c>
      <c r="M96" s="362"/>
      <c r="N96" s="362" t="s">
        <v>264</v>
      </c>
      <c r="O96" s="362"/>
      <c r="P96" s="363" t="s">
        <v>279</v>
      </c>
      <c r="Q96" s="363"/>
      <c r="R96" s="363"/>
      <c r="S96" s="363"/>
      <c r="T96" s="363"/>
      <c r="U96" s="363"/>
      <c r="V96" s="363"/>
      <c r="W96" s="363"/>
      <c r="X96" s="363"/>
    </row>
    <row r="97" customFormat="false" ht="9" hidden="true" customHeight="true" outlineLevel="0" collapsed="false">
      <c r="A97" s="365"/>
      <c r="B97" s="365"/>
      <c r="C97" s="365"/>
      <c r="D97" s="366" t="s">
        <v>280</v>
      </c>
      <c r="E97" s="366"/>
      <c r="F97" s="367" t="s">
        <v>122</v>
      </c>
      <c r="G97" s="367"/>
      <c r="H97" s="367" t="s">
        <v>122</v>
      </c>
      <c r="I97" s="367"/>
      <c r="J97" s="367" t="s">
        <v>122</v>
      </c>
      <c r="K97" s="367"/>
      <c r="L97" s="367" t="s">
        <v>122</v>
      </c>
      <c r="M97" s="367"/>
      <c r="N97" s="367" t="s">
        <v>266</v>
      </c>
      <c r="O97" s="367"/>
      <c r="P97" s="368" t="s">
        <v>281</v>
      </c>
      <c r="Q97" s="368"/>
      <c r="R97" s="368"/>
      <c r="S97" s="368"/>
      <c r="T97" s="368"/>
      <c r="U97" s="368"/>
      <c r="V97" s="368"/>
      <c r="W97" s="368"/>
      <c r="X97" s="368"/>
    </row>
    <row r="98" s="205" customFormat="true" ht="19.5" hidden="true" customHeight="true" outlineLevel="0" collapsed="false">
      <c r="A98" s="369" t="s">
        <v>65</v>
      </c>
      <c r="B98" s="369"/>
      <c r="C98" s="369"/>
      <c r="D98" s="370" t="s">
        <v>282</v>
      </c>
      <c r="E98" s="370"/>
      <c r="F98" s="371" t="n">
        <v>169470</v>
      </c>
      <c r="G98" s="371"/>
      <c r="H98" s="371" t="n">
        <v>0</v>
      </c>
      <c r="I98" s="371"/>
      <c r="J98" s="371" t="n">
        <v>152520</v>
      </c>
      <c r="K98" s="371"/>
      <c r="L98" s="371" t="n">
        <v>16950</v>
      </c>
      <c r="M98" s="371"/>
      <c r="N98" s="372" t="n">
        <f aca="false">ROUND(J98/F98*100,1)</f>
        <v>90</v>
      </c>
      <c r="O98" s="372"/>
      <c r="P98" s="368"/>
      <c r="Q98" s="368"/>
      <c r="R98" s="368"/>
      <c r="S98" s="368"/>
      <c r="T98" s="368"/>
      <c r="U98" s="368"/>
      <c r="V98" s="368"/>
      <c r="W98" s="368"/>
      <c r="X98" s="368"/>
    </row>
    <row r="99" s="193" customFormat="true" ht="21" hidden="true" customHeight="true" outlineLevel="0" collapsed="false">
      <c r="A99" s="373" t="s">
        <v>283</v>
      </c>
      <c r="B99" s="373"/>
      <c r="C99" s="373"/>
      <c r="D99" s="374" t="n">
        <v>10</v>
      </c>
      <c r="E99" s="374"/>
      <c r="F99" s="375" t="n">
        <v>90825</v>
      </c>
      <c r="G99" s="375"/>
      <c r="H99" s="375" t="n">
        <v>9082</v>
      </c>
      <c r="I99" s="375"/>
      <c r="J99" s="376" t="s">
        <v>284</v>
      </c>
      <c r="K99" s="376"/>
      <c r="L99" s="375" t="n">
        <v>18926</v>
      </c>
      <c r="M99" s="375"/>
      <c r="N99" s="376" t="s">
        <v>284</v>
      </c>
      <c r="O99" s="376"/>
      <c r="P99" s="368" t="s">
        <v>285</v>
      </c>
      <c r="Q99" s="368"/>
      <c r="R99" s="368"/>
      <c r="S99" s="368"/>
      <c r="T99" s="368"/>
      <c r="U99" s="368"/>
      <c r="V99" s="368"/>
      <c r="W99" s="368"/>
      <c r="X99" s="368"/>
    </row>
    <row r="100" customFormat="false" ht="19.5" hidden="true" customHeight="true" outlineLevel="0" collapsed="false">
      <c r="A100" s="377" t="s">
        <v>286</v>
      </c>
      <c r="B100" s="377"/>
      <c r="C100" s="377"/>
      <c r="D100" s="378"/>
      <c r="E100" s="378"/>
      <c r="F100" s="379" t="n">
        <f aca="false">SUM(F98:G99)</f>
        <v>260295</v>
      </c>
      <c r="G100" s="379"/>
      <c r="H100" s="379" t="n">
        <f aca="false">SUM(H98:I99)</f>
        <v>9082</v>
      </c>
      <c r="I100" s="379"/>
      <c r="J100" s="379" t="n">
        <f aca="false">SUM(J98:K99)</f>
        <v>152520</v>
      </c>
      <c r="K100" s="379"/>
      <c r="L100" s="379" t="n">
        <f aca="false">SUM(L98:M99)</f>
        <v>35876</v>
      </c>
      <c r="M100" s="379"/>
      <c r="N100" s="380"/>
      <c r="O100" s="380"/>
      <c r="P100" s="381"/>
      <c r="Q100" s="381"/>
      <c r="R100" s="381"/>
      <c r="S100" s="381"/>
      <c r="T100" s="381"/>
      <c r="U100" s="381"/>
      <c r="V100" s="381"/>
      <c r="W100" s="381"/>
      <c r="X100" s="381"/>
    </row>
    <row r="101" customFormat="false" ht="20.25" hidden="true" customHeight="true" outlineLevel="0" collapsed="false">
      <c r="A101" s="356"/>
      <c r="B101" s="356"/>
      <c r="C101" s="356"/>
      <c r="D101" s="356"/>
      <c r="E101" s="356"/>
      <c r="F101" s="356"/>
      <c r="G101" s="356"/>
      <c r="H101" s="356"/>
      <c r="I101" s="356"/>
      <c r="J101" s="356"/>
      <c r="K101" s="356"/>
      <c r="L101" s="356"/>
      <c r="M101" s="356"/>
      <c r="N101" s="356"/>
      <c r="O101" s="356"/>
      <c r="P101" s="356"/>
      <c r="Q101" s="356"/>
      <c r="R101" s="356"/>
      <c r="S101" s="356"/>
      <c r="T101" s="356"/>
      <c r="U101" s="356"/>
      <c r="V101" s="356"/>
      <c r="W101" s="356"/>
      <c r="X101" s="356"/>
    </row>
    <row r="102" customFormat="false" ht="21" hidden="true" customHeight="true" outlineLevel="0" collapsed="false">
      <c r="A102" s="356"/>
      <c r="B102" s="356"/>
      <c r="C102" s="356"/>
      <c r="D102" s="356"/>
      <c r="E102" s="356"/>
      <c r="F102" s="356"/>
      <c r="G102" s="356"/>
      <c r="H102" s="356"/>
      <c r="I102" s="382" t="s">
        <v>287</v>
      </c>
      <c r="J102" s="382"/>
      <c r="K102" s="382"/>
      <c r="L102" s="382"/>
      <c r="M102" s="382"/>
      <c r="N102" s="382"/>
      <c r="O102" s="382"/>
      <c r="P102" s="382"/>
      <c r="Q102" s="358"/>
      <c r="R102" s="358"/>
      <c r="S102" s="358"/>
      <c r="T102" s="358"/>
      <c r="U102" s="358"/>
      <c r="V102" s="358"/>
      <c r="W102" s="358"/>
      <c r="X102" s="358"/>
    </row>
    <row r="103" customFormat="false" ht="9.75" hidden="true" customHeight="true" outlineLevel="0" collapsed="false">
      <c r="A103" s="356"/>
      <c r="B103" s="356"/>
      <c r="C103" s="356"/>
      <c r="D103" s="356"/>
      <c r="E103" s="356"/>
      <c r="F103" s="356"/>
      <c r="G103" s="356"/>
      <c r="H103" s="356"/>
      <c r="I103" s="356"/>
      <c r="J103" s="356"/>
      <c r="K103" s="356"/>
      <c r="L103" s="356"/>
      <c r="M103" s="356"/>
      <c r="N103" s="356"/>
      <c r="O103" s="356"/>
      <c r="P103" s="356"/>
      <c r="Q103" s="356"/>
      <c r="R103" s="356"/>
      <c r="S103" s="356"/>
      <c r="T103" s="356"/>
      <c r="U103" s="356"/>
      <c r="V103" s="356"/>
      <c r="W103" s="356"/>
      <c r="X103" s="356"/>
    </row>
    <row r="104" s="387" customFormat="true" ht="21" hidden="true" customHeight="true" outlineLevel="0" collapsed="false">
      <c r="A104" s="383" t="s">
        <v>273</v>
      </c>
      <c r="B104" s="383"/>
      <c r="C104" s="383"/>
      <c r="D104" s="383"/>
      <c r="E104" s="384" t="s">
        <v>274</v>
      </c>
      <c r="F104" s="384"/>
      <c r="G104" s="384"/>
      <c r="H104" s="384"/>
      <c r="I104" s="384" t="s">
        <v>251</v>
      </c>
      <c r="J104" s="384"/>
      <c r="K104" s="384"/>
      <c r="L104" s="384"/>
      <c r="M104" s="384" t="s">
        <v>252</v>
      </c>
      <c r="N104" s="384"/>
      <c r="O104" s="384"/>
      <c r="P104" s="384"/>
      <c r="Q104" s="385" t="s">
        <v>275</v>
      </c>
      <c r="R104" s="385"/>
      <c r="S104" s="385"/>
      <c r="T104" s="385"/>
      <c r="U104" s="386" t="s">
        <v>276</v>
      </c>
      <c r="V104" s="386"/>
      <c r="W104" s="386"/>
      <c r="X104" s="386"/>
    </row>
    <row r="105" s="387" customFormat="true" ht="9" hidden="true" customHeight="true" outlineLevel="0" collapsed="false">
      <c r="A105" s="365"/>
      <c r="B105" s="365"/>
      <c r="C105" s="365"/>
      <c r="D105" s="365"/>
      <c r="E105" s="367" t="s">
        <v>122</v>
      </c>
      <c r="F105" s="367"/>
      <c r="G105" s="367"/>
      <c r="H105" s="367"/>
      <c r="I105" s="367" t="s">
        <v>122</v>
      </c>
      <c r="J105" s="367"/>
      <c r="K105" s="367"/>
      <c r="L105" s="367"/>
      <c r="M105" s="367" t="s">
        <v>122</v>
      </c>
      <c r="N105" s="367"/>
      <c r="O105" s="367"/>
      <c r="P105" s="367"/>
      <c r="Q105" s="367" t="s">
        <v>122</v>
      </c>
      <c r="R105" s="367"/>
      <c r="S105" s="367"/>
      <c r="T105" s="367"/>
      <c r="U105" s="388"/>
      <c r="V105" s="388"/>
      <c r="W105" s="388"/>
      <c r="X105" s="388"/>
    </row>
    <row r="106" s="392" customFormat="true" ht="19.5" hidden="true" customHeight="true" outlineLevel="0" collapsed="false">
      <c r="A106" s="389" t="s">
        <v>288</v>
      </c>
      <c r="B106" s="389"/>
      <c r="C106" s="389"/>
      <c r="D106" s="389"/>
      <c r="E106" s="390" t="n">
        <v>152520</v>
      </c>
      <c r="F106" s="390"/>
      <c r="G106" s="390"/>
      <c r="H106" s="390"/>
      <c r="I106" s="390" t="n">
        <v>0</v>
      </c>
      <c r="J106" s="390"/>
      <c r="K106" s="390"/>
      <c r="L106" s="390"/>
      <c r="M106" s="390" t="n">
        <v>0</v>
      </c>
      <c r="N106" s="390"/>
      <c r="O106" s="390"/>
      <c r="P106" s="390"/>
      <c r="Q106" s="390" t="n">
        <f aca="false">E106+I106-M106</f>
        <v>152520</v>
      </c>
      <c r="R106" s="390"/>
      <c r="S106" s="390"/>
      <c r="T106" s="390"/>
      <c r="U106" s="391"/>
      <c r="V106" s="391"/>
      <c r="W106" s="391"/>
      <c r="X106" s="391"/>
    </row>
    <row r="107" s="387" customFormat="true" ht="19.5" hidden="true" customHeight="true" outlineLevel="0" collapsed="false">
      <c r="A107" s="393" t="s">
        <v>278</v>
      </c>
      <c r="B107" s="393"/>
      <c r="C107" s="393"/>
      <c r="D107" s="393"/>
      <c r="E107" s="394" t="n">
        <f aca="false">SUM(E106:H106)</f>
        <v>152520</v>
      </c>
      <c r="F107" s="394"/>
      <c r="G107" s="394"/>
      <c r="H107" s="394"/>
      <c r="I107" s="394" t="n">
        <f aca="false">SUM(I106:L106)</f>
        <v>0</v>
      </c>
      <c r="J107" s="394"/>
      <c r="K107" s="394"/>
      <c r="L107" s="394"/>
      <c r="M107" s="394" t="n">
        <f aca="false">SUM(M106:P106)</f>
        <v>0</v>
      </c>
      <c r="N107" s="394"/>
      <c r="O107" s="394"/>
      <c r="P107" s="394"/>
      <c r="Q107" s="394" t="n">
        <f aca="false">SUM(Q106:T106)</f>
        <v>152520</v>
      </c>
      <c r="R107" s="394"/>
      <c r="S107" s="394"/>
      <c r="T107" s="394"/>
      <c r="U107" s="395"/>
      <c r="V107" s="395"/>
      <c r="W107" s="395"/>
      <c r="X107" s="395"/>
    </row>
    <row r="108" customFormat="false" ht="14.25" hidden="true" customHeight="true" outlineLevel="0" collapsed="false">
      <c r="A108" s="356"/>
      <c r="B108" s="356"/>
      <c r="C108" s="356"/>
      <c r="D108" s="356"/>
      <c r="E108" s="356"/>
      <c r="F108" s="356"/>
      <c r="G108" s="356"/>
      <c r="H108" s="356"/>
      <c r="I108" s="356"/>
      <c r="J108" s="356"/>
      <c r="K108" s="356"/>
      <c r="L108" s="356"/>
      <c r="M108" s="356"/>
      <c r="N108" s="356"/>
      <c r="O108" s="356"/>
      <c r="P108" s="356"/>
      <c r="Q108" s="356"/>
      <c r="R108" s="356"/>
      <c r="S108" s="356"/>
      <c r="T108" s="356"/>
      <c r="U108" s="356"/>
      <c r="V108" s="356"/>
      <c r="W108" s="356"/>
      <c r="X108" s="356"/>
    </row>
    <row r="109" customFormat="false" ht="14.25" hidden="true" customHeight="true" outlineLevel="0" collapsed="false">
      <c r="A109" s="356"/>
      <c r="B109" s="356"/>
      <c r="C109" s="356"/>
      <c r="D109" s="356"/>
      <c r="E109" s="356"/>
      <c r="F109" s="356"/>
      <c r="G109" s="356"/>
      <c r="H109" s="356"/>
      <c r="I109" s="356"/>
      <c r="J109" s="356"/>
      <c r="K109" s="356"/>
      <c r="L109" s="356"/>
      <c r="M109" s="356"/>
      <c r="N109" s="356"/>
      <c r="O109" s="356"/>
      <c r="P109" s="356"/>
      <c r="Q109" s="356"/>
      <c r="R109" s="356"/>
      <c r="S109" s="356"/>
      <c r="T109" s="356"/>
      <c r="U109" s="356"/>
      <c r="V109" s="356"/>
      <c r="W109" s="356"/>
      <c r="X109" s="356"/>
    </row>
    <row r="110" customFormat="false" ht="14.25" hidden="true" customHeight="true" outlineLevel="0" collapsed="false">
      <c r="A110" s="356"/>
      <c r="B110" s="356"/>
      <c r="C110" s="356"/>
      <c r="D110" s="356"/>
      <c r="E110" s="356"/>
      <c r="F110" s="356"/>
      <c r="G110" s="356"/>
      <c r="H110" s="356"/>
      <c r="I110" s="356"/>
      <c r="J110" s="356"/>
      <c r="K110" s="356"/>
      <c r="L110" s="356"/>
      <c r="M110" s="356"/>
      <c r="N110" s="356"/>
      <c r="O110" s="356"/>
      <c r="P110" s="356"/>
      <c r="Q110" s="356"/>
      <c r="R110" s="356"/>
      <c r="S110" s="356"/>
      <c r="T110" s="356"/>
      <c r="U110" s="356"/>
      <c r="V110" s="356"/>
      <c r="W110" s="356"/>
      <c r="X110" s="356"/>
    </row>
    <row r="111" customFormat="false" ht="21" hidden="false" customHeight="true" outlineLevel="0" collapsed="false">
      <c r="I111" s="396" t="s">
        <v>287</v>
      </c>
      <c r="J111" s="396"/>
      <c r="K111" s="396"/>
      <c r="L111" s="396"/>
      <c r="M111" s="396"/>
      <c r="N111" s="396"/>
      <c r="O111" s="396"/>
      <c r="P111" s="396"/>
      <c r="Q111" s="187"/>
      <c r="R111" s="187"/>
      <c r="S111" s="187"/>
      <c r="T111" s="187"/>
      <c r="U111" s="187"/>
      <c r="V111" s="187"/>
      <c r="W111" s="187"/>
      <c r="X111" s="187"/>
    </row>
    <row r="112" customFormat="false" ht="14.25" hidden="false" customHeight="true" outlineLevel="0" collapsed="false"/>
    <row r="113" customFormat="false" ht="22.5" hidden="false" customHeight="true" outlineLevel="0" collapsed="false">
      <c r="A113" s="213" t="s">
        <v>273</v>
      </c>
      <c r="B113" s="213"/>
      <c r="C113" s="213"/>
      <c r="D113" s="213"/>
      <c r="E113" s="305" t="s">
        <v>274</v>
      </c>
      <c r="F113" s="305"/>
      <c r="G113" s="305"/>
      <c r="H113" s="305"/>
      <c r="I113" s="305" t="s">
        <v>251</v>
      </c>
      <c r="J113" s="305"/>
      <c r="K113" s="305"/>
      <c r="L113" s="305"/>
      <c r="M113" s="305" t="s">
        <v>252</v>
      </c>
      <c r="N113" s="305"/>
      <c r="O113" s="305"/>
      <c r="P113" s="305"/>
      <c r="Q113" s="347" t="s">
        <v>275</v>
      </c>
      <c r="R113" s="347"/>
      <c r="S113" s="347"/>
      <c r="T113" s="347"/>
      <c r="U113" s="192" t="s">
        <v>276</v>
      </c>
      <c r="V113" s="192"/>
      <c r="W113" s="192"/>
      <c r="X113" s="192"/>
    </row>
    <row r="114" customFormat="false" ht="9.75" hidden="false" customHeight="true" outlineLevel="0" collapsed="false">
      <c r="A114" s="348"/>
      <c r="B114" s="348"/>
      <c r="C114" s="348"/>
      <c r="D114" s="348"/>
      <c r="E114" s="349" t="s">
        <v>122</v>
      </c>
      <c r="F114" s="349"/>
      <c r="G114" s="349"/>
      <c r="H114" s="349"/>
      <c r="I114" s="349" t="s">
        <v>122</v>
      </c>
      <c r="J114" s="349"/>
      <c r="K114" s="349"/>
      <c r="L114" s="349"/>
      <c r="M114" s="349" t="s">
        <v>122</v>
      </c>
      <c r="N114" s="349"/>
      <c r="O114" s="349"/>
      <c r="P114" s="349"/>
      <c r="Q114" s="349" t="s">
        <v>122</v>
      </c>
      <c r="R114" s="349"/>
      <c r="S114" s="349"/>
      <c r="T114" s="349"/>
      <c r="U114" s="397" t="s">
        <v>289</v>
      </c>
      <c r="V114" s="397"/>
      <c r="W114" s="397"/>
      <c r="X114" s="397"/>
    </row>
    <row r="115" customFormat="false" ht="18.75" hidden="false" customHeight="true" outlineLevel="0" collapsed="false">
      <c r="A115" s="398" t="s">
        <v>288</v>
      </c>
      <c r="B115" s="398"/>
      <c r="C115" s="398"/>
      <c r="D115" s="398"/>
      <c r="E115" s="351" t="n">
        <v>466904</v>
      </c>
      <c r="F115" s="351"/>
      <c r="G115" s="351"/>
      <c r="H115" s="351"/>
      <c r="I115" s="351" t="n">
        <f aca="false">H85</f>
        <v>176556</v>
      </c>
      <c r="J115" s="351"/>
      <c r="K115" s="351"/>
      <c r="L115" s="351"/>
      <c r="M115" s="351"/>
      <c r="N115" s="351"/>
      <c r="O115" s="351"/>
      <c r="P115" s="351"/>
      <c r="Q115" s="399" t="n">
        <f aca="false">E115+I115-M115</f>
        <v>643460</v>
      </c>
      <c r="R115" s="399"/>
      <c r="S115" s="399"/>
      <c r="T115" s="399"/>
      <c r="U115" s="397"/>
      <c r="V115" s="397"/>
      <c r="W115" s="397"/>
      <c r="X115" s="397"/>
    </row>
    <row r="116" customFormat="false" ht="22.5" hidden="false" customHeight="true" outlineLevel="0" collapsed="false">
      <c r="A116" s="206" t="s">
        <v>278</v>
      </c>
      <c r="B116" s="206"/>
      <c r="C116" s="206"/>
      <c r="D116" s="206"/>
      <c r="E116" s="353" t="n">
        <f aca="false">SUM(E115)</f>
        <v>466904</v>
      </c>
      <c r="F116" s="353"/>
      <c r="G116" s="353"/>
      <c r="H116" s="353"/>
      <c r="I116" s="353" t="n">
        <f aca="false">SUM(I115)</f>
        <v>176556</v>
      </c>
      <c r="J116" s="353"/>
      <c r="K116" s="353"/>
      <c r="L116" s="353"/>
      <c r="M116" s="353" t="n">
        <f aca="false">SUM(M115)</f>
        <v>0</v>
      </c>
      <c r="N116" s="353"/>
      <c r="O116" s="353"/>
      <c r="P116" s="353"/>
      <c r="Q116" s="353" t="n">
        <f aca="false">SUM(Q115)</f>
        <v>643460</v>
      </c>
      <c r="R116" s="353"/>
      <c r="S116" s="353"/>
      <c r="T116" s="353"/>
      <c r="U116" s="355"/>
      <c r="V116" s="355"/>
      <c r="W116" s="355"/>
      <c r="X116" s="355"/>
    </row>
    <row r="117" customFormat="false" ht="14.25" hidden="false" customHeight="true" outlineLevel="0" collapsed="false"/>
    <row r="118" customFormat="false" ht="20.25" hidden="false" customHeight="true" outlineLevel="0" collapsed="false">
      <c r="I118" s="186" t="s">
        <v>290</v>
      </c>
      <c r="J118" s="186"/>
      <c r="K118" s="186"/>
      <c r="L118" s="186"/>
      <c r="M118" s="186"/>
      <c r="N118" s="186"/>
      <c r="O118" s="186"/>
      <c r="P118" s="186"/>
      <c r="Q118" s="187"/>
      <c r="R118" s="187"/>
      <c r="S118" s="187"/>
      <c r="T118" s="187"/>
      <c r="U118" s="187"/>
      <c r="V118" s="187"/>
      <c r="W118" s="187"/>
      <c r="X118" s="187"/>
    </row>
    <row r="119" customFormat="false" ht="9.75" hidden="false" customHeight="true" outlineLevel="0" collapsed="false"/>
    <row r="120" s="193" customFormat="true" ht="21" hidden="false" customHeight="true" outlineLevel="0" collapsed="false">
      <c r="A120" s="213" t="s">
        <v>291</v>
      </c>
      <c r="B120" s="213"/>
      <c r="C120" s="213"/>
      <c r="D120" s="213"/>
      <c r="E120" s="305" t="s">
        <v>292</v>
      </c>
      <c r="F120" s="305"/>
      <c r="G120" s="305"/>
      <c r="H120" s="305"/>
      <c r="I120" s="305"/>
      <c r="J120" s="305" t="s">
        <v>293</v>
      </c>
      <c r="K120" s="305"/>
      <c r="L120" s="305"/>
      <c r="M120" s="305"/>
      <c r="N120" s="305"/>
      <c r="O120" s="305" t="s">
        <v>294</v>
      </c>
      <c r="P120" s="305"/>
      <c r="Q120" s="305"/>
      <c r="R120" s="305"/>
      <c r="S120" s="305"/>
      <c r="T120" s="192" t="s">
        <v>295</v>
      </c>
      <c r="U120" s="192"/>
      <c r="V120" s="192"/>
      <c r="W120" s="192"/>
      <c r="X120" s="192"/>
    </row>
    <row r="121" s="193" customFormat="true" ht="9" hidden="false" customHeight="true" outlineLevel="0" collapsed="false">
      <c r="A121" s="400"/>
      <c r="B121" s="400"/>
      <c r="C121" s="400"/>
      <c r="D121" s="400"/>
      <c r="E121" s="349" t="s">
        <v>122</v>
      </c>
      <c r="F121" s="349"/>
      <c r="G121" s="349"/>
      <c r="H121" s="349"/>
      <c r="I121" s="349"/>
      <c r="J121" s="349" t="s">
        <v>122</v>
      </c>
      <c r="K121" s="349"/>
      <c r="L121" s="349"/>
      <c r="M121" s="349"/>
      <c r="N121" s="349"/>
      <c r="O121" s="349" t="s">
        <v>122</v>
      </c>
      <c r="P121" s="349"/>
      <c r="Q121" s="349"/>
      <c r="R121" s="349"/>
      <c r="S121" s="349"/>
      <c r="T121" s="401" t="s">
        <v>122</v>
      </c>
      <c r="U121" s="401"/>
      <c r="V121" s="401"/>
      <c r="W121" s="401"/>
      <c r="X121" s="401"/>
    </row>
    <row r="122" s="193" customFormat="true" ht="19.5" hidden="false" customHeight="true" outlineLevel="0" collapsed="false">
      <c r="A122" s="200" t="s">
        <v>66</v>
      </c>
      <c r="B122" s="200"/>
      <c r="C122" s="200"/>
      <c r="D122" s="200"/>
      <c r="E122" s="351" t="n">
        <f aca="false">業務経理P19!M5</f>
        <v>33000</v>
      </c>
      <c r="F122" s="351"/>
      <c r="G122" s="351"/>
      <c r="H122" s="351"/>
      <c r="I122" s="351"/>
      <c r="J122" s="351" t="n">
        <f aca="false">決算精算表!C21</f>
        <v>33000</v>
      </c>
      <c r="K122" s="351"/>
      <c r="L122" s="351"/>
      <c r="M122" s="351"/>
      <c r="N122" s="351"/>
      <c r="O122" s="351" t="n">
        <f aca="false">決算精算表!B21</f>
        <v>0</v>
      </c>
      <c r="P122" s="351"/>
      <c r="Q122" s="351"/>
      <c r="R122" s="351"/>
      <c r="S122" s="351"/>
      <c r="T122" s="402" t="n">
        <f aca="false">E122-J122-O122</f>
        <v>0</v>
      </c>
      <c r="U122" s="402"/>
      <c r="V122" s="402"/>
      <c r="W122" s="402"/>
      <c r="X122" s="402"/>
    </row>
    <row r="123" s="193" customFormat="true" ht="19.5" hidden="false" customHeight="true" outlineLevel="0" collapsed="false">
      <c r="A123" s="403" t="s">
        <v>67</v>
      </c>
      <c r="B123" s="403"/>
      <c r="C123" s="403"/>
      <c r="D123" s="403"/>
      <c r="E123" s="404" t="n">
        <f aca="false">業務経理P19!M6</f>
        <v>11428000</v>
      </c>
      <c r="F123" s="404"/>
      <c r="G123" s="404"/>
      <c r="H123" s="404"/>
      <c r="I123" s="404"/>
      <c r="J123" s="404" t="n">
        <f aca="false">決算精算表!C22</f>
        <v>10082322</v>
      </c>
      <c r="K123" s="404"/>
      <c r="L123" s="404"/>
      <c r="M123" s="404"/>
      <c r="N123" s="404"/>
      <c r="O123" s="404" t="n">
        <f aca="false">決算精算表!B22</f>
        <v>59015</v>
      </c>
      <c r="P123" s="404"/>
      <c r="Q123" s="404"/>
      <c r="R123" s="404"/>
      <c r="S123" s="404"/>
      <c r="T123" s="405" t="n">
        <f aca="false">E123-J123-O123</f>
        <v>1286663</v>
      </c>
      <c r="U123" s="405"/>
      <c r="V123" s="405"/>
      <c r="W123" s="405"/>
      <c r="X123" s="405"/>
    </row>
    <row r="124" s="193" customFormat="true" ht="19.5" hidden="false" customHeight="true" outlineLevel="0" collapsed="false">
      <c r="A124" s="403" t="s">
        <v>296</v>
      </c>
      <c r="B124" s="403"/>
      <c r="C124" s="403"/>
      <c r="D124" s="403"/>
      <c r="E124" s="404" t="n">
        <f aca="false">業務経理P19!M8</f>
        <v>1675000</v>
      </c>
      <c r="F124" s="404"/>
      <c r="G124" s="404"/>
      <c r="H124" s="404"/>
      <c r="I124" s="404"/>
      <c r="J124" s="404" t="n">
        <f aca="false">決算精算表!C24</f>
        <v>343112</v>
      </c>
      <c r="K124" s="404"/>
      <c r="L124" s="404"/>
      <c r="M124" s="404"/>
      <c r="N124" s="404"/>
      <c r="O124" s="404" t="n">
        <f aca="false">決算精算表!B24</f>
        <v>0</v>
      </c>
      <c r="P124" s="404"/>
      <c r="Q124" s="404"/>
      <c r="R124" s="404"/>
      <c r="S124" s="404"/>
      <c r="T124" s="405" t="n">
        <f aca="false">E124-J124-O124</f>
        <v>1331888</v>
      </c>
      <c r="U124" s="405"/>
      <c r="V124" s="405"/>
      <c r="W124" s="405"/>
      <c r="X124" s="405"/>
      <c r="Y124" s="193" t="s">
        <v>297</v>
      </c>
    </row>
    <row r="125" s="193" customFormat="true" ht="19.5" hidden="false" customHeight="true" outlineLevel="0" collapsed="false">
      <c r="A125" s="403" t="s">
        <v>70</v>
      </c>
      <c r="B125" s="403"/>
      <c r="C125" s="403"/>
      <c r="D125" s="403"/>
      <c r="E125" s="404" t="n">
        <v>17238000</v>
      </c>
      <c r="F125" s="404"/>
      <c r="G125" s="404"/>
      <c r="H125" s="404"/>
      <c r="I125" s="404"/>
      <c r="J125" s="404" t="n">
        <f aca="false">決算精算表!C25</f>
        <v>13146428</v>
      </c>
      <c r="K125" s="404"/>
      <c r="L125" s="404"/>
      <c r="M125" s="404"/>
      <c r="N125" s="404"/>
      <c r="O125" s="404" t="n">
        <f aca="false">決算精算表!B25</f>
        <v>846685</v>
      </c>
      <c r="P125" s="404"/>
      <c r="Q125" s="404"/>
      <c r="R125" s="404"/>
      <c r="S125" s="404"/>
      <c r="T125" s="405" t="n">
        <f aca="false">E125-J125-O125</f>
        <v>3244887</v>
      </c>
      <c r="U125" s="405"/>
      <c r="V125" s="405"/>
      <c r="W125" s="405"/>
      <c r="X125" s="405"/>
      <c r="Y125" s="193" t="s">
        <v>298</v>
      </c>
    </row>
    <row r="126" s="193" customFormat="true" ht="19.5" hidden="false" customHeight="true" outlineLevel="0" collapsed="false">
      <c r="A126" s="206" t="s">
        <v>278</v>
      </c>
      <c r="B126" s="206"/>
      <c r="C126" s="206"/>
      <c r="D126" s="206"/>
      <c r="E126" s="353" t="n">
        <f aca="false">SUM(E122:I125)</f>
        <v>30374000</v>
      </c>
      <c r="F126" s="353"/>
      <c r="G126" s="353"/>
      <c r="H126" s="353"/>
      <c r="I126" s="353"/>
      <c r="J126" s="353" t="n">
        <f aca="false">SUM(J122:N125)</f>
        <v>23604862</v>
      </c>
      <c r="K126" s="353"/>
      <c r="L126" s="353"/>
      <c r="M126" s="353"/>
      <c r="N126" s="353"/>
      <c r="O126" s="353" t="n">
        <f aca="false">SUM(O122:S125)</f>
        <v>905700</v>
      </c>
      <c r="P126" s="353"/>
      <c r="Q126" s="353"/>
      <c r="R126" s="353"/>
      <c r="S126" s="353"/>
      <c r="T126" s="406" t="n">
        <f aca="false">SUM(T122:X125)</f>
        <v>5863438</v>
      </c>
      <c r="U126" s="406"/>
      <c r="V126" s="406"/>
      <c r="W126" s="406"/>
      <c r="X126" s="406"/>
    </row>
    <row r="127" customFormat="false" ht="17.25" hidden="false" customHeight="true" outlineLevel="0" collapsed="false"/>
    <row r="128" customFormat="false" ht="14.25" hidden="false" customHeight="true" outlineLevel="0" collapsed="false"/>
    <row r="129" s="193" customFormat="true" ht="21" hidden="false" customHeight="true" outlineLevel="0" collapsed="false">
      <c r="B129" s="407"/>
      <c r="C129" s="407"/>
      <c r="D129" s="407"/>
      <c r="E129" s="407"/>
      <c r="F129" s="407"/>
      <c r="G129" s="185"/>
      <c r="H129" s="185"/>
      <c r="I129" s="186" t="s">
        <v>299</v>
      </c>
      <c r="J129" s="186"/>
      <c r="K129" s="186"/>
      <c r="L129" s="186"/>
      <c r="M129" s="186"/>
      <c r="N129" s="186"/>
      <c r="O129" s="186"/>
      <c r="P129" s="186"/>
      <c r="Q129" s="187"/>
      <c r="R129" s="187"/>
      <c r="S129" s="187"/>
      <c r="T129" s="187"/>
      <c r="U129" s="187"/>
      <c r="V129" s="187"/>
      <c r="W129" s="187"/>
      <c r="X129" s="187"/>
    </row>
    <row r="130" s="193" customFormat="true" ht="11.25" hidden="false" customHeight="true" outlineLevel="0" collapsed="false"/>
    <row r="131" s="193" customFormat="true" ht="20.25" hidden="false" customHeight="true" outlineLevel="0" collapsed="false">
      <c r="A131" s="244"/>
      <c r="B131" s="244"/>
      <c r="C131" s="244"/>
      <c r="D131" s="244"/>
      <c r="E131" s="244"/>
      <c r="F131" s="244"/>
      <c r="G131" s="408" t="str">
        <f aca="false">"自 令和"&amp;JIS(入力!$B$5)&amp;"年４月１日  至 令和"&amp;JIS(入力!$B$5+1)&amp;"年３月３１日"</f>
        <v>自 令和７年４月１日  至 令和８年３月３１日</v>
      </c>
      <c r="H131" s="408"/>
      <c r="I131" s="408"/>
      <c r="J131" s="408"/>
      <c r="K131" s="408"/>
      <c r="L131" s="408"/>
      <c r="M131" s="408"/>
      <c r="N131" s="408"/>
      <c r="O131" s="408"/>
      <c r="P131" s="408"/>
      <c r="Q131" s="408"/>
      <c r="R131" s="408"/>
      <c r="S131" s="244"/>
      <c r="T131" s="244"/>
      <c r="U131" s="244"/>
      <c r="V131" s="244"/>
      <c r="W131" s="244"/>
    </row>
    <row r="132" s="193" customFormat="true" ht="20.25" hidden="false" customHeight="true" outlineLevel="0" collapsed="false">
      <c r="A132" s="244"/>
      <c r="B132" s="244"/>
      <c r="C132" s="244"/>
      <c r="D132" s="244"/>
      <c r="E132" s="244"/>
      <c r="F132" s="244"/>
      <c r="G132" s="244"/>
      <c r="H132" s="244"/>
      <c r="I132" s="244"/>
      <c r="J132" s="244"/>
      <c r="K132" s="244"/>
      <c r="L132" s="244"/>
      <c r="M132" s="244"/>
      <c r="N132" s="244"/>
      <c r="O132" s="244"/>
      <c r="P132" s="244"/>
      <c r="Q132" s="244"/>
      <c r="R132" s="244"/>
      <c r="S132" s="244"/>
      <c r="T132" s="244"/>
      <c r="U132" s="244"/>
      <c r="V132" s="244"/>
      <c r="W132" s="244"/>
    </row>
    <row r="133" s="193" customFormat="true" ht="20.25" hidden="false" customHeight="true" outlineLevel="0" collapsed="false">
      <c r="A133" s="244"/>
      <c r="B133" s="244"/>
      <c r="C133" s="409" t="s">
        <v>300</v>
      </c>
      <c r="D133" s="410" t="s">
        <v>277</v>
      </c>
      <c r="E133" s="410"/>
      <c r="F133" s="410"/>
      <c r="G133" s="410"/>
      <c r="H133" s="410"/>
      <c r="I133" s="410"/>
      <c r="J133" s="410"/>
      <c r="K133" s="410"/>
      <c r="L133" s="244"/>
      <c r="M133" s="244"/>
      <c r="N133" s="244"/>
      <c r="O133" s="244"/>
      <c r="P133" s="411" t="n">
        <f aca="false">E91</f>
        <v>71093911</v>
      </c>
      <c r="Q133" s="411"/>
      <c r="R133" s="411"/>
      <c r="S133" s="411"/>
      <c r="T133" s="411"/>
      <c r="U133" s="411"/>
      <c r="V133" s="412" t="s">
        <v>122</v>
      </c>
      <c r="W133" s="412"/>
    </row>
    <row r="134" s="193" customFormat="true" ht="20.25" hidden="false" customHeight="true" outlineLevel="0" collapsed="false">
      <c r="A134" s="412"/>
      <c r="B134" s="412"/>
      <c r="C134" s="409" t="s">
        <v>301</v>
      </c>
      <c r="D134" s="410" t="s">
        <v>134</v>
      </c>
      <c r="E134" s="410"/>
      <c r="F134" s="410"/>
      <c r="G134" s="410"/>
      <c r="H134" s="410"/>
      <c r="I134" s="410"/>
      <c r="J134" s="410"/>
      <c r="K134" s="410"/>
      <c r="L134" s="412"/>
      <c r="M134" s="412"/>
      <c r="N134" s="412"/>
      <c r="O134" s="412"/>
      <c r="P134" s="413" t="n">
        <f aca="false">決算精算表!A38-決算精算表!F46</f>
        <v>3603510</v>
      </c>
      <c r="Q134" s="413"/>
      <c r="R134" s="413"/>
      <c r="S134" s="413"/>
      <c r="T134" s="413"/>
      <c r="U134" s="413"/>
      <c r="V134" s="412" t="s">
        <v>122</v>
      </c>
      <c r="W134" s="412"/>
    </row>
    <row r="135" s="193" customFormat="true" ht="20.25" hidden="false" customHeight="true" outlineLevel="0" collapsed="false">
      <c r="A135" s="412"/>
      <c r="B135" s="412"/>
      <c r="C135" s="409" t="s">
        <v>302</v>
      </c>
      <c r="D135" s="410" t="s">
        <v>303</v>
      </c>
      <c r="E135" s="410"/>
      <c r="F135" s="410"/>
      <c r="G135" s="410"/>
      <c r="H135" s="410"/>
      <c r="I135" s="410"/>
      <c r="J135" s="410"/>
      <c r="K135" s="410"/>
      <c r="L135" s="412"/>
      <c r="M135" s="412"/>
      <c r="N135" s="412"/>
      <c r="O135" s="412"/>
      <c r="P135" s="413" t="n">
        <v>0</v>
      </c>
      <c r="Q135" s="413"/>
      <c r="R135" s="413"/>
      <c r="S135" s="413"/>
      <c r="T135" s="413"/>
      <c r="U135" s="413"/>
      <c r="V135" s="412" t="s">
        <v>122</v>
      </c>
      <c r="W135" s="412"/>
    </row>
    <row r="136" s="193" customFormat="true" ht="20.25" hidden="true" customHeight="true" outlineLevel="0" collapsed="false">
      <c r="A136" s="412"/>
      <c r="B136" s="412"/>
      <c r="C136" s="412"/>
      <c r="D136" s="412"/>
      <c r="E136" s="410" t="s">
        <v>304</v>
      </c>
      <c r="F136" s="410"/>
      <c r="G136" s="410"/>
      <c r="H136" s="410"/>
      <c r="I136" s="410"/>
      <c r="J136" s="410"/>
      <c r="K136" s="414" t="n">
        <v>0</v>
      </c>
      <c r="L136" s="414"/>
      <c r="M136" s="414"/>
      <c r="N136" s="412" t="s">
        <v>122</v>
      </c>
      <c r="O136" s="412"/>
      <c r="P136" s="412"/>
      <c r="Q136" s="412"/>
      <c r="R136" s="412"/>
      <c r="S136" s="412"/>
      <c r="T136" s="412"/>
      <c r="U136" s="412"/>
      <c r="V136" s="412"/>
      <c r="W136" s="412"/>
    </row>
    <row r="137" s="193" customFormat="true" ht="20.25" hidden="true" customHeight="true" outlineLevel="0" collapsed="false">
      <c r="A137" s="412"/>
      <c r="B137" s="412"/>
      <c r="C137" s="412"/>
      <c r="D137" s="412"/>
      <c r="E137" s="410" t="s">
        <v>305</v>
      </c>
      <c r="F137" s="410"/>
      <c r="G137" s="410"/>
      <c r="H137" s="410"/>
      <c r="I137" s="410"/>
      <c r="J137" s="410"/>
      <c r="K137" s="414" t="n">
        <v>0</v>
      </c>
      <c r="L137" s="414"/>
      <c r="M137" s="414"/>
      <c r="N137" s="412" t="s">
        <v>122</v>
      </c>
      <c r="O137" s="412"/>
      <c r="P137" s="412"/>
      <c r="Q137" s="412"/>
      <c r="R137" s="412"/>
      <c r="S137" s="412"/>
      <c r="T137" s="412"/>
      <c r="U137" s="412"/>
      <c r="V137" s="412"/>
      <c r="W137" s="412"/>
    </row>
    <row r="138" s="193" customFormat="true" ht="20.25" hidden="true" customHeight="true" outlineLevel="0" collapsed="false">
      <c r="A138" s="412"/>
      <c r="B138" s="412"/>
      <c r="C138" s="412"/>
      <c r="D138" s="412"/>
      <c r="E138" s="410"/>
      <c r="F138" s="410"/>
      <c r="G138" s="410"/>
      <c r="H138" s="410"/>
      <c r="I138" s="410"/>
      <c r="J138" s="410"/>
      <c r="K138" s="414"/>
      <c r="L138" s="414"/>
      <c r="M138" s="414"/>
      <c r="N138" s="412"/>
      <c r="O138" s="412"/>
      <c r="P138" s="412"/>
      <c r="Q138" s="412"/>
      <c r="R138" s="412"/>
      <c r="S138" s="412"/>
      <c r="T138" s="412"/>
      <c r="U138" s="412"/>
      <c r="V138" s="412"/>
      <c r="W138" s="412"/>
    </row>
    <row r="139" s="193" customFormat="true" ht="20.25" hidden="false" customHeight="true" outlineLevel="0" collapsed="false">
      <c r="A139" s="412"/>
      <c r="B139" s="412"/>
      <c r="C139" s="412"/>
      <c r="D139" s="410" t="s">
        <v>277</v>
      </c>
      <c r="E139" s="410"/>
      <c r="F139" s="410"/>
      <c r="G139" s="410"/>
      <c r="H139" s="410"/>
      <c r="I139" s="410"/>
      <c r="J139" s="410"/>
      <c r="K139" s="410"/>
      <c r="L139" s="412"/>
      <c r="M139" s="412"/>
      <c r="N139" s="412"/>
      <c r="O139" s="412"/>
      <c r="Q139" s="415" t="n">
        <f aca="false">P133+P134-P135</f>
        <v>74697421</v>
      </c>
      <c r="R139" s="415"/>
      <c r="S139" s="415"/>
      <c r="T139" s="415"/>
      <c r="U139" s="415"/>
      <c r="V139" s="416" t="s">
        <v>122</v>
      </c>
      <c r="W139" s="412"/>
    </row>
    <row r="140" s="193" customFormat="true" ht="20.25" hidden="false" customHeight="true" outlineLevel="0" collapsed="false"/>
    <row r="141" s="193" customFormat="true" ht="13.5" hidden="false" customHeight="true" outlineLevel="0" collapsed="false"/>
    <row r="143" customFormat="false" ht="14.25" hidden="false" customHeight="true" outlineLevel="0" collapsed="false">
      <c r="Q143" s="417" t="s">
        <v>306</v>
      </c>
      <c r="R143" s="412"/>
      <c r="S143" s="412"/>
    </row>
    <row r="144" customFormat="false" ht="13.5" hidden="false" customHeight="true" outlineLevel="0" collapsed="false">
      <c r="Q144" s="418" t="s">
        <v>307</v>
      </c>
      <c r="R144" s="418"/>
      <c r="S144" s="418"/>
      <c r="T144" s="418"/>
      <c r="U144" s="418"/>
      <c r="V144" s="419"/>
      <c r="W144" s="420"/>
    </row>
    <row r="145" customFormat="false" ht="14.25" hidden="false" customHeight="true" outlineLevel="0" collapsed="false">
      <c r="Q145" s="421" t="n">
        <f aca="false">E124+E125</f>
        <v>18913000</v>
      </c>
      <c r="R145" s="421"/>
      <c r="S145" s="421"/>
      <c r="T145" s="421"/>
      <c r="U145" s="422" t="s">
        <v>122</v>
      </c>
      <c r="V145" s="423" t="s">
        <v>308</v>
      </c>
      <c r="W145" s="423"/>
    </row>
    <row r="146" customFormat="false" ht="13.5" hidden="false" customHeight="true" outlineLevel="0" collapsed="false">
      <c r="Q146" s="418" t="s">
        <v>309</v>
      </c>
      <c r="R146" s="418"/>
      <c r="S146" s="418"/>
      <c r="T146" s="418"/>
      <c r="U146" s="418"/>
      <c r="V146" s="424"/>
      <c r="W146" s="425"/>
    </row>
    <row r="147" customFormat="false" ht="14.25" hidden="false" customHeight="true" outlineLevel="0" collapsed="false">
      <c r="Q147" s="421" t="n">
        <f aca="false">J124+J125+O124+O125</f>
        <v>14336225</v>
      </c>
      <c r="R147" s="421"/>
      <c r="S147" s="421"/>
      <c r="T147" s="421"/>
      <c r="U147" s="422" t="s">
        <v>122</v>
      </c>
      <c r="V147" s="423" t="s">
        <v>310</v>
      </c>
      <c r="W147" s="423"/>
    </row>
    <row r="148" customFormat="false" ht="13.5" hidden="false" customHeight="true" outlineLevel="0" collapsed="false">
      <c r="Q148" s="418" t="s">
        <v>311</v>
      </c>
      <c r="R148" s="418"/>
      <c r="S148" s="418"/>
      <c r="T148" s="418"/>
      <c r="U148" s="418"/>
      <c r="V148" s="419"/>
      <c r="W148" s="420"/>
    </row>
    <row r="149" customFormat="false" ht="14.25" hidden="false" customHeight="true" outlineLevel="0" collapsed="false">
      <c r="Q149" s="421" t="n">
        <f aca="false">Q145-Q147</f>
        <v>4576775</v>
      </c>
      <c r="R149" s="421"/>
      <c r="S149" s="421"/>
      <c r="T149" s="421"/>
      <c r="U149" s="426" t="s">
        <v>122</v>
      </c>
      <c r="V149" s="427" t="s">
        <v>312</v>
      </c>
      <c r="W149" s="427"/>
    </row>
    <row r="150" customFormat="false" ht="13.5" hidden="false" customHeight="true" outlineLevel="0" collapsed="false">
      <c r="Q150" s="428" t="n">
        <f aca="false">T124+T125</f>
        <v>4576775</v>
      </c>
      <c r="R150" s="428"/>
      <c r="S150" s="428"/>
      <c r="T150" s="428"/>
      <c r="V150" s="429" t="s">
        <v>313</v>
      </c>
      <c r="W150" s="429"/>
    </row>
  </sheetData>
  <mergeCells count="418">
    <mergeCell ref="I1:P1"/>
    <mergeCell ref="Q1:X1"/>
    <mergeCell ref="A3:F3"/>
    <mergeCell ref="G3:L3"/>
    <mergeCell ref="M3:R3"/>
    <mergeCell ref="S3:X3"/>
    <mergeCell ref="A5:F5"/>
    <mergeCell ref="G5:L5"/>
    <mergeCell ref="M5:Q5"/>
    <mergeCell ref="S5:X5"/>
    <mergeCell ref="A6:F6"/>
    <mergeCell ref="G6:L6"/>
    <mergeCell ref="M6:Q6"/>
    <mergeCell ref="S6:X6"/>
    <mergeCell ref="I8:P8"/>
    <mergeCell ref="Q8:X8"/>
    <mergeCell ref="A10:F10"/>
    <mergeCell ref="G10:L10"/>
    <mergeCell ref="M10:R10"/>
    <mergeCell ref="S10:X10"/>
    <mergeCell ref="A12:F12"/>
    <mergeCell ref="G12:K12"/>
    <mergeCell ref="M12:R12"/>
    <mergeCell ref="S12:X12"/>
    <mergeCell ref="A13:F13"/>
    <mergeCell ref="G13:K13"/>
    <mergeCell ref="M13:R13"/>
    <mergeCell ref="S13:X13"/>
    <mergeCell ref="A14:F14"/>
    <mergeCell ref="G14:K14"/>
    <mergeCell ref="M14:R14"/>
    <mergeCell ref="S14:X14"/>
    <mergeCell ref="I16:P16"/>
    <mergeCell ref="Q16:X16"/>
    <mergeCell ref="A18:C19"/>
    <mergeCell ref="D18:J19"/>
    <mergeCell ref="K18:R18"/>
    <mergeCell ref="S18:U19"/>
    <mergeCell ref="V18:X19"/>
    <mergeCell ref="K19:M19"/>
    <mergeCell ref="N19:O19"/>
    <mergeCell ref="P19:R19"/>
    <mergeCell ref="A21:C21"/>
    <mergeCell ref="D21:J21"/>
    <mergeCell ref="K21:M21"/>
    <mergeCell ref="N21:O21"/>
    <mergeCell ref="P21:Q21"/>
    <mergeCell ref="S21:T21"/>
    <mergeCell ref="V21:X21"/>
    <mergeCell ref="A22:C22"/>
    <mergeCell ref="D22:J22"/>
    <mergeCell ref="K22:M22"/>
    <mergeCell ref="N22:O22"/>
    <mergeCell ref="P22:Q22"/>
    <mergeCell ref="S22:T22"/>
    <mergeCell ref="V22:X22"/>
    <mergeCell ref="A23:O23"/>
    <mergeCell ref="P23:Q23"/>
    <mergeCell ref="S23:T23"/>
    <mergeCell ref="V23:X23"/>
    <mergeCell ref="I25:P25"/>
    <mergeCell ref="Q25:X25"/>
    <mergeCell ref="A27:F27"/>
    <mergeCell ref="G27:L27"/>
    <mergeCell ref="M27:R27"/>
    <mergeCell ref="S27:X27"/>
    <mergeCell ref="A29:F29"/>
    <mergeCell ref="G29:K29"/>
    <mergeCell ref="M29:R29"/>
    <mergeCell ref="S29:X29"/>
    <mergeCell ref="A30:F30"/>
    <mergeCell ref="G30:K30"/>
    <mergeCell ref="M30:R30"/>
    <mergeCell ref="S30:X30"/>
    <mergeCell ref="A31:F31"/>
    <mergeCell ref="G31:K31"/>
    <mergeCell ref="M31:R31"/>
    <mergeCell ref="S31:X31"/>
    <mergeCell ref="A32:F32"/>
    <mergeCell ref="G32:K32"/>
    <mergeCell ref="M32:R32"/>
    <mergeCell ref="S32:X32"/>
    <mergeCell ref="I34:P34"/>
    <mergeCell ref="Q34:X34"/>
    <mergeCell ref="A36:F36"/>
    <mergeCell ref="G36:L36"/>
    <mergeCell ref="M36:R36"/>
    <mergeCell ref="S36:X36"/>
    <mergeCell ref="A38:F38"/>
    <mergeCell ref="G38:K38"/>
    <mergeCell ref="M38:R38"/>
    <mergeCell ref="S38:X38"/>
    <mergeCell ref="A39:F39"/>
    <mergeCell ref="G39:K39"/>
    <mergeCell ref="M39:R39"/>
    <mergeCell ref="S39:X39"/>
    <mergeCell ref="A40:F40"/>
    <mergeCell ref="G40:K40"/>
    <mergeCell ref="M40:R40"/>
    <mergeCell ref="S40:X40"/>
    <mergeCell ref="A41:F41"/>
    <mergeCell ref="G41:K41"/>
    <mergeCell ref="M41:R41"/>
    <mergeCell ref="S41:X41"/>
    <mergeCell ref="A42:F42"/>
    <mergeCell ref="G42:K42"/>
    <mergeCell ref="M42:R42"/>
    <mergeCell ref="S42:X42"/>
    <mergeCell ref="A43:F43"/>
    <mergeCell ref="G43:K43"/>
    <mergeCell ref="M43:R43"/>
    <mergeCell ref="S43:X43"/>
    <mergeCell ref="A44:F44"/>
    <mergeCell ref="G44:K44"/>
    <mergeCell ref="M44:R44"/>
    <mergeCell ref="S44:X44"/>
    <mergeCell ref="A45:F45"/>
    <mergeCell ref="G45:K45"/>
    <mergeCell ref="M45:R45"/>
    <mergeCell ref="S45:X45"/>
    <mergeCell ref="A46:F46"/>
    <mergeCell ref="G46:K46"/>
    <mergeCell ref="M46:R46"/>
    <mergeCell ref="S46:X46"/>
    <mergeCell ref="I48:P48"/>
    <mergeCell ref="Q48:X48"/>
    <mergeCell ref="A50:F50"/>
    <mergeCell ref="G50:L50"/>
    <mergeCell ref="M50:R50"/>
    <mergeCell ref="S50:X50"/>
    <mergeCell ref="A52:F52"/>
    <mergeCell ref="G52:K52"/>
    <mergeCell ref="M52:R52"/>
    <mergeCell ref="S52:X52"/>
    <mergeCell ref="A53:F53"/>
    <mergeCell ref="G53:K53"/>
    <mergeCell ref="M53:R53"/>
    <mergeCell ref="S53:X53"/>
    <mergeCell ref="A54:F54"/>
    <mergeCell ref="G54:K54"/>
    <mergeCell ref="M54:R54"/>
    <mergeCell ref="S54:X54"/>
    <mergeCell ref="I56:P56"/>
    <mergeCell ref="A58:F58"/>
    <mergeCell ref="G58:K58"/>
    <mergeCell ref="L58:Q58"/>
    <mergeCell ref="R58:X58"/>
    <mergeCell ref="A60:F60"/>
    <mergeCell ref="G60:J60"/>
    <mergeCell ref="L60:Q60"/>
    <mergeCell ref="R60:X60"/>
    <mergeCell ref="A61:F61"/>
    <mergeCell ref="G61:J61"/>
    <mergeCell ref="L61:Q61"/>
    <mergeCell ref="R61:X61"/>
    <mergeCell ref="A62:F62"/>
    <mergeCell ref="G62:J62"/>
    <mergeCell ref="L62:Q62"/>
    <mergeCell ref="R62:X62"/>
    <mergeCell ref="G63:J63"/>
    <mergeCell ref="L63:N63"/>
    <mergeCell ref="I64:P64"/>
    <mergeCell ref="Q64:X64"/>
    <mergeCell ref="A66:F66"/>
    <mergeCell ref="G66:L66"/>
    <mergeCell ref="M66:R66"/>
    <mergeCell ref="S66:X66"/>
    <mergeCell ref="A68:F68"/>
    <mergeCell ref="G68:K68"/>
    <mergeCell ref="M68:R68"/>
    <mergeCell ref="S68:X68"/>
    <mergeCell ref="A69:F69"/>
    <mergeCell ref="G69:K69"/>
    <mergeCell ref="M69:R69"/>
    <mergeCell ref="S69:X69"/>
    <mergeCell ref="I72:P72"/>
    <mergeCell ref="Q72:X72"/>
    <mergeCell ref="A74:C74"/>
    <mergeCell ref="D74:F74"/>
    <mergeCell ref="G74:I74"/>
    <mergeCell ref="J74:L74"/>
    <mergeCell ref="M74:O74"/>
    <mergeCell ref="P74:R74"/>
    <mergeCell ref="S74:U74"/>
    <mergeCell ref="V74:X74"/>
    <mergeCell ref="A76:C76"/>
    <mergeCell ref="D76:F76"/>
    <mergeCell ref="G76:I76"/>
    <mergeCell ref="J76:L76"/>
    <mergeCell ref="M76:O76"/>
    <mergeCell ref="P76:R76"/>
    <mergeCell ref="S76:U76"/>
    <mergeCell ref="V76:X76"/>
    <mergeCell ref="A77:C77"/>
    <mergeCell ref="D77:F77"/>
    <mergeCell ref="G77:I77"/>
    <mergeCell ref="J77:L77"/>
    <mergeCell ref="M77:O77"/>
    <mergeCell ref="P77:R77"/>
    <mergeCell ref="S77:U77"/>
    <mergeCell ref="V77:X77"/>
    <mergeCell ref="I79:P79"/>
    <mergeCell ref="Q79:X79"/>
    <mergeCell ref="A81:C81"/>
    <mergeCell ref="D81:E81"/>
    <mergeCell ref="F81:G81"/>
    <mergeCell ref="H81:J81"/>
    <mergeCell ref="K81:M81"/>
    <mergeCell ref="N81:P81"/>
    <mergeCell ref="Q81:R81"/>
    <mergeCell ref="S81:X81"/>
    <mergeCell ref="A83:C83"/>
    <mergeCell ref="D83:E83"/>
    <mergeCell ref="F83:G83"/>
    <mergeCell ref="H83:J83"/>
    <mergeCell ref="K83:M83"/>
    <mergeCell ref="N83:P83"/>
    <mergeCell ref="Q83:R83"/>
    <mergeCell ref="S83:X83"/>
    <mergeCell ref="A84:C84"/>
    <mergeCell ref="D84:E84"/>
    <mergeCell ref="F84:G84"/>
    <mergeCell ref="H84:J84"/>
    <mergeCell ref="K84:M84"/>
    <mergeCell ref="N84:P84"/>
    <mergeCell ref="Q84:R84"/>
    <mergeCell ref="S84:X84"/>
    <mergeCell ref="A85:C85"/>
    <mergeCell ref="D85:E85"/>
    <mergeCell ref="F85:G85"/>
    <mergeCell ref="H85:J85"/>
    <mergeCell ref="K85:M85"/>
    <mergeCell ref="N85:P85"/>
    <mergeCell ref="Q85:R85"/>
    <mergeCell ref="S85:X85"/>
    <mergeCell ref="I87:P87"/>
    <mergeCell ref="Q87:X87"/>
    <mergeCell ref="A89:D89"/>
    <mergeCell ref="E89:H89"/>
    <mergeCell ref="I89:L89"/>
    <mergeCell ref="M89:P89"/>
    <mergeCell ref="Q89:T89"/>
    <mergeCell ref="U89:X89"/>
    <mergeCell ref="A90:D90"/>
    <mergeCell ref="E90:H90"/>
    <mergeCell ref="I90:L90"/>
    <mergeCell ref="M90:P90"/>
    <mergeCell ref="Q90:T90"/>
    <mergeCell ref="U90:X90"/>
    <mergeCell ref="A91:D91"/>
    <mergeCell ref="E91:H91"/>
    <mergeCell ref="I91:L91"/>
    <mergeCell ref="M91:P91"/>
    <mergeCell ref="Q91:T91"/>
    <mergeCell ref="U91:X91"/>
    <mergeCell ref="A92:D92"/>
    <mergeCell ref="E92:H92"/>
    <mergeCell ref="I92:L92"/>
    <mergeCell ref="M92:P92"/>
    <mergeCell ref="Q92:T92"/>
    <mergeCell ref="U92:X92"/>
    <mergeCell ref="I94:P94"/>
    <mergeCell ref="Q94:X94"/>
    <mergeCell ref="A96:C96"/>
    <mergeCell ref="D96:E96"/>
    <mergeCell ref="F96:G96"/>
    <mergeCell ref="H96:I96"/>
    <mergeCell ref="J96:K96"/>
    <mergeCell ref="L96:M96"/>
    <mergeCell ref="N96:O96"/>
    <mergeCell ref="P96:X96"/>
    <mergeCell ref="A97:C97"/>
    <mergeCell ref="D97:E97"/>
    <mergeCell ref="F97:G97"/>
    <mergeCell ref="H97:I97"/>
    <mergeCell ref="J97:K97"/>
    <mergeCell ref="L97:M97"/>
    <mergeCell ref="N97:O97"/>
    <mergeCell ref="P97:X98"/>
    <mergeCell ref="A98:C98"/>
    <mergeCell ref="D98:E98"/>
    <mergeCell ref="F98:G98"/>
    <mergeCell ref="H98:I98"/>
    <mergeCell ref="J98:K98"/>
    <mergeCell ref="L98:M98"/>
    <mergeCell ref="N98:O98"/>
    <mergeCell ref="A99:C99"/>
    <mergeCell ref="D99:E99"/>
    <mergeCell ref="F99:G99"/>
    <mergeCell ref="H99:I99"/>
    <mergeCell ref="J99:K99"/>
    <mergeCell ref="L99:M99"/>
    <mergeCell ref="N99:O99"/>
    <mergeCell ref="P99:X99"/>
    <mergeCell ref="A100:C100"/>
    <mergeCell ref="D100:E100"/>
    <mergeCell ref="F100:G100"/>
    <mergeCell ref="H100:I100"/>
    <mergeCell ref="J100:K100"/>
    <mergeCell ref="L100:M100"/>
    <mergeCell ref="N100:O100"/>
    <mergeCell ref="P100:X100"/>
    <mergeCell ref="I102:P102"/>
    <mergeCell ref="Q102:X102"/>
    <mergeCell ref="A104:D104"/>
    <mergeCell ref="E104:H104"/>
    <mergeCell ref="I104:L104"/>
    <mergeCell ref="M104:P104"/>
    <mergeCell ref="Q104:T104"/>
    <mergeCell ref="U104:X104"/>
    <mergeCell ref="A105:D105"/>
    <mergeCell ref="E105:H105"/>
    <mergeCell ref="I105:L105"/>
    <mergeCell ref="M105:P105"/>
    <mergeCell ref="Q105:T105"/>
    <mergeCell ref="U105:X105"/>
    <mergeCell ref="A106:D106"/>
    <mergeCell ref="E106:H106"/>
    <mergeCell ref="I106:L106"/>
    <mergeCell ref="M106:P106"/>
    <mergeCell ref="Q106:T106"/>
    <mergeCell ref="U106:X106"/>
    <mergeCell ref="A107:D107"/>
    <mergeCell ref="E107:H107"/>
    <mergeCell ref="I107:L107"/>
    <mergeCell ref="M107:P107"/>
    <mergeCell ref="Q107:T107"/>
    <mergeCell ref="U107:X107"/>
    <mergeCell ref="I111:P111"/>
    <mergeCell ref="Q111:X111"/>
    <mergeCell ref="A113:D113"/>
    <mergeCell ref="E113:H113"/>
    <mergeCell ref="I113:L113"/>
    <mergeCell ref="M113:P113"/>
    <mergeCell ref="Q113:T113"/>
    <mergeCell ref="U113:X113"/>
    <mergeCell ref="A114:D114"/>
    <mergeCell ref="E114:H114"/>
    <mergeCell ref="I114:L114"/>
    <mergeCell ref="M114:P114"/>
    <mergeCell ref="Q114:T114"/>
    <mergeCell ref="U114:X115"/>
    <mergeCell ref="A115:D115"/>
    <mergeCell ref="E115:H115"/>
    <mergeCell ref="I115:L115"/>
    <mergeCell ref="M115:P115"/>
    <mergeCell ref="Q115:T115"/>
    <mergeCell ref="A116:D116"/>
    <mergeCell ref="E116:H116"/>
    <mergeCell ref="I116:L116"/>
    <mergeCell ref="M116:P116"/>
    <mergeCell ref="Q116:T116"/>
    <mergeCell ref="U116:X116"/>
    <mergeCell ref="I118:P118"/>
    <mergeCell ref="Q118:X118"/>
    <mergeCell ref="A120:D120"/>
    <mergeCell ref="E120:I120"/>
    <mergeCell ref="J120:N120"/>
    <mergeCell ref="O120:S120"/>
    <mergeCell ref="T120:X120"/>
    <mergeCell ref="A121:D121"/>
    <mergeCell ref="E121:I121"/>
    <mergeCell ref="J121:N121"/>
    <mergeCell ref="O121:S121"/>
    <mergeCell ref="T121:X121"/>
    <mergeCell ref="A122:D122"/>
    <mergeCell ref="E122:I122"/>
    <mergeCell ref="J122:N122"/>
    <mergeCell ref="O122:S122"/>
    <mergeCell ref="T122:X122"/>
    <mergeCell ref="A123:D123"/>
    <mergeCell ref="E123:I123"/>
    <mergeCell ref="J123:N123"/>
    <mergeCell ref="O123:S123"/>
    <mergeCell ref="T123:X123"/>
    <mergeCell ref="A124:D124"/>
    <mergeCell ref="E124:I124"/>
    <mergeCell ref="J124:N124"/>
    <mergeCell ref="O124:S124"/>
    <mergeCell ref="T124:X124"/>
    <mergeCell ref="A125:D125"/>
    <mergeCell ref="E125:I125"/>
    <mergeCell ref="J125:N125"/>
    <mergeCell ref="O125:S125"/>
    <mergeCell ref="T125:X125"/>
    <mergeCell ref="A126:D126"/>
    <mergeCell ref="E126:I126"/>
    <mergeCell ref="J126:N126"/>
    <mergeCell ref="O126:S126"/>
    <mergeCell ref="T126:X126"/>
    <mergeCell ref="I129:P129"/>
    <mergeCell ref="Q129:X129"/>
    <mergeCell ref="G131:R131"/>
    <mergeCell ref="D133:K133"/>
    <mergeCell ref="P133:U133"/>
    <mergeCell ref="D134:K134"/>
    <mergeCell ref="P134:U134"/>
    <mergeCell ref="D135:K135"/>
    <mergeCell ref="P135:U135"/>
    <mergeCell ref="E136:J136"/>
    <mergeCell ref="K136:M136"/>
    <mergeCell ref="E137:J137"/>
    <mergeCell ref="K137:M137"/>
    <mergeCell ref="E138:J138"/>
    <mergeCell ref="K138:M138"/>
    <mergeCell ref="D139:K139"/>
    <mergeCell ref="Q139:U139"/>
    <mergeCell ref="Q144:U144"/>
    <mergeCell ref="Q145:T145"/>
    <mergeCell ref="V145:W145"/>
    <mergeCell ref="Q146:U146"/>
    <mergeCell ref="Q147:T147"/>
    <mergeCell ref="V147:W147"/>
    <mergeCell ref="Q148:U148"/>
    <mergeCell ref="Q149:T149"/>
    <mergeCell ref="V149:W149"/>
    <mergeCell ref="Q150:T150"/>
    <mergeCell ref="V150:W150"/>
  </mergeCells>
  <printOptions headings="false" gridLines="false" gridLinesSet="true" horizontalCentered="false" verticalCentered="false"/>
  <pageMargins left="0.7875" right="0.39375" top="0.590277777777778" bottom="0.590972222222222" header="0.511811023622047" footer="0.315277777777778"/>
  <pageSetup paperSize="9" scale="96" fitToWidth="1" fitToHeight="1" pageOrder="downThenOver" orientation="portrait" blackAndWhite="false" draft="false" cellComments="none" firstPageNumber="48" useFirstPageNumber="true" horizontalDpi="300" verticalDpi="300" copies="1"/>
  <headerFooter differentFirst="false" differentOddEven="false">
    <oddHeader/>
    <oddFooter>&amp;C&amp;"ＭＳ 明朝,Regular"- &amp;P -</oddFooter>
  </headerFooter>
  <rowBreaks count="3" manualBreakCount="3">
    <brk id="54" man="true" max="16383" min="0"/>
    <brk id="116" man="true" max="16383" min="0"/>
    <brk id="140" man="true" max="16383" min="0"/>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N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257" min="1" style="0" width="1.62"/>
  </cols>
  <sheetData>
    <row r="1" customFormat="false" ht="24.75" hidden="false" customHeight="true" outlineLevel="0" collapsed="false">
      <c r="A1" s="430" t="s">
        <v>314</v>
      </c>
      <c r="B1" s="430"/>
      <c r="C1" s="430"/>
      <c r="D1" s="430"/>
      <c r="E1" s="430"/>
      <c r="F1" s="430"/>
      <c r="G1" s="430"/>
      <c r="H1" s="430"/>
      <c r="I1" s="430"/>
      <c r="J1" s="430"/>
      <c r="K1" s="430"/>
      <c r="L1" s="430"/>
      <c r="M1" s="430"/>
      <c r="N1" s="430"/>
      <c r="O1" s="430"/>
      <c r="P1" s="430"/>
    </row>
    <row r="2" customFormat="false" ht="25.5" hidden="false" customHeight="true" outlineLevel="0" collapsed="false">
      <c r="A2" s="431" t="s">
        <v>315</v>
      </c>
      <c r="B2" s="431"/>
      <c r="C2" s="431"/>
      <c r="D2" s="431"/>
      <c r="E2" s="431"/>
      <c r="F2" s="431"/>
      <c r="G2" s="431"/>
      <c r="H2" s="431"/>
      <c r="I2" s="431"/>
      <c r="J2" s="431"/>
      <c r="K2" s="431"/>
      <c r="L2" s="431"/>
      <c r="M2" s="431"/>
      <c r="N2" s="431"/>
      <c r="O2" s="431"/>
      <c r="P2" s="431"/>
      <c r="Q2" s="431"/>
      <c r="R2" s="431"/>
      <c r="S2" s="431"/>
      <c r="T2" s="431"/>
      <c r="U2" s="431"/>
      <c r="V2" s="431"/>
      <c r="W2" s="431"/>
      <c r="X2" s="431"/>
      <c r="Y2" s="431"/>
      <c r="Z2" s="431"/>
      <c r="AA2" s="431"/>
      <c r="AB2" s="431"/>
      <c r="AC2" s="431"/>
      <c r="AD2" s="431"/>
      <c r="AE2" s="431"/>
      <c r="AF2" s="431"/>
      <c r="AG2" s="431"/>
      <c r="AH2" s="431"/>
      <c r="AI2" s="431"/>
      <c r="AJ2" s="431"/>
      <c r="AK2" s="431"/>
      <c r="AL2" s="431"/>
      <c r="AM2" s="431"/>
      <c r="AN2" s="431"/>
      <c r="AO2" s="431"/>
    </row>
    <row r="3" customFormat="false" ht="18" hidden="false" customHeight="true" outlineLevel="0" collapsed="false">
      <c r="A3" s="432"/>
      <c r="B3" s="433" t="s">
        <v>316</v>
      </c>
      <c r="C3" s="432"/>
      <c r="D3" s="432"/>
      <c r="E3" s="432"/>
      <c r="F3" s="432"/>
      <c r="G3" s="432"/>
      <c r="H3" s="432"/>
      <c r="I3" s="432"/>
      <c r="J3" s="432"/>
      <c r="K3" s="432"/>
      <c r="L3" s="432"/>
      <c r="M3" s="432"/>
      <c r="N3" s="432"/>
      <c r="O3" s="432"/>
      <c r="P3" s="432"/>
      <c r="Q3" s="432"/>
      <c r="R3" s="432"/>
      <c r="S3" s="432"/>
      <c r="T3" s="432"/>
      <c r="U3" s="432"/>
      <c r="V3" s="432"/>
      <c r="W3" s="432"/>
      <c r="X3" s="432"/>
      <c r="Y3" s="432"/>
      <c r="Z3" s="432"/>
      <c r="AA3" s="432"/>
      <c r="AB3" s="432"/>
      <c r="AC3" s="432"/>
      <c r="AD3" s="432"/>
      <c r="AE3" s="432"/>
      <c r="AF3" s="432"/>
      <c r="AG3" s="432"/>
      <c r="AH3" s="432"/>
      <c r="AI3" s="432"/>
      <c r="AJ3" s="432"/>
      <c r="AK3" s="432"/>
      <c r="AL3" s="432"/>
      <c r="AM3" s="432"/>
      <c r="AN3" s="432"/>
      <c r="AO3" s="432"/>
    </row>
    <row r="4" customFormat="false" ht="18" hidden="false" customHeight="true" outlineLevel="0" collapsed="false">
      <c r="A4" s="434"/>
      <c r="B4" s="435" t="s">
        <v>317</v>
      </c>
      <c r="C4" s="435"/>
      <c r="D4" s="435"/>
      <c r="E4" s="435"/>
      <c r="F4" s="435"/>
      <c r="G4" s="435"/>
      <c r="H4" s="435"/>
      <c r="I4" s="435"/>
      <c r="J4" s="435"/>
      <c r="K4" s="435"/>
      <c r="L4" s="435"/>
      <c r="M4" s="435"/>
      <c r="N4" s="435"/>
      <c r="AU4" s="436" t="s">
        <v>318</v>
      </c>
      <c r="AV4" s="436"/>
      <c r="AW4" s="436"/>
      <c r="AX4" s="436"/>
      <c r="AY4" s="436"/>
      <c r="AZ4" s="436"/>
      <c r="BA4" s="436"/>
      <c r="BB4" s="436"/>
      <c r="BC4" s="436"/>
      <c r="BD4" s="436"/>
      <c r="BE4" s="436"/>
    </row>
    <row r="5" customFormat="false" ht="30" hidden="false" customHeight="true" outlineLevel="0" collapsed="false">
      <c r="A5" s="437" t="s">
        <v>319</v>
      </c>
      <c r="B5" s="437"/>
      <c r="C5" s="437"/>
      <c r="D5" s="437"/>
      <c r="E5" s="437"/>
      <c r="F5" s="437"/>
      <c r="G5" s="437"/>
      <c r="H5" s="437"/>
      <c r="I5" s="437"/>
      <c r="J5" s="437"/>
      <c r="K5" s="437"/>
      <c r="L5" s="437"/>
      <c r="M5" s="437"/>
      <c r="N5" s="437"/>
      <c r="O5" s="437"/>
      <c r="P5" s="437"/>
      <c r="Q5" s="437"/>
      <c r="R5" s="437"/>
      <c r="S5" s="437"/>
      <c r="T5" s="437"/>
      <c r="U5" s="437"/>
      <c r="V5" s="437"/>
      <c r="W5" s="437"/>
      <c r="X5" s="437"/>
      <c r="Y5" s="438" t="str">
        <f aca="false">"令和"&amp;JIS(入力!$B$5-1)&amp;"年度"</f>
        <v>令和６年度</v>
      </c>
      <c r="Z5" s="438"/>
      <c r="AA5" s="438"/>
      <c r="AB5" s="438"/>
      <c r="AC5" s="438"/>
      <c r="AD5" s="438"/>
      <c r="AE5" s="438"/>
      <c r="AF5" s="438"/>
      <c r="AG5" s="438"/>
      <c r="AH5" s="438"/>
      <c r="AI5" s="438"/>
      <c r="AJ5" s="438" t="str">
        <f aca="false">"令和"&amp;JIS(入力!$B$5)&amp;"年度"</f>
        <v>令和７年度</v>
      </c>
      <c r="AK5" s="438"/>
      <c r="AL5" s="438"/>
      <c r="AM5" s="438"/>
      <c r="AN5" s="438"/>
      <c r="AO5" s="438"/>
      <c r="AP5" s="438"/>
      <c r="AQ5" s="438"/>
      <c r="AR5" s="438"/>
      <c r="AS5" s="438"/>
      <c r="AT5" s="438"/>
      <c r="AU5" s="437" t="s">
        <v>320</v>
      </c>
      <c r="AV5" s="437"/>
      <c r="AW5" s="437"/>
      <c r="AX5" s="437"/>
      <c r="AY5" s="437"/>
      <c r="AZ5" s="437"/>
      <c r="BA5" s="437"/>
      <c r="BB5" s="437"/>
      <c r="BC5" s="437"/>
      <c r="BD5" s="437"/>
      <c r="BE5" s="437"/>
    </row>
    <row r="6" customFormat="false" ht="22.5" hidden="false" customHeight="true" outlineLevel="0" collapsed="false">
      <c r="A6" s="439"/>
      <c r="B6" s="440"/>
      <c r="C6" s="441"/>
      <c r="D6" s="442" t="s">
        <v>321</v>
      </c>
      <c r="E6" s="442"/>
      <c r="F6" s="442"/>
      <c r="G6" s="442"/>
      <c r="H6" s="442"/>
      <c r="I6" s="442"/>
      <c r="J6" s="442"/>
      <c r="K6" s="442"/>
      <c r="L6" s="442"/>
      <c r="M6" s="442"/>
      <c r="N6" s="442"/>
      <c r="O6" s="442"/>
      <c r="P6" s="442"/>
      <c r="Q6" s="442"/>
      <c r="R6" s="442"/>
      <c r="S6" s="442"/>
      <c r="T6" s="442"/>
      <c r="U6" s="442"/>
      <c r="V6" s="443"/>
      <c r="W6" s="443"/>
      <c r="X6" s="444"/>
      <c r="Y6" s="445" t="n">
        <v>4883</v>
      </c>
      <c r="Z6" s="445"/>
      <c r="AA6" s="445"/>
      <c r="AB6" s="445"/>
      <c r="AC6" s="445"/>
      <c r="AD6" s="445"/>
      <c r="AE6" s="445"/>
      <c r="AF6" s="445"/>
      <c r="AG6" s="445"/>
      <c r="AH6" s="445"/>
      <c r="AI6" s="445"/>
      <c r="AJ6" s="445" t="n">
        <f aca="false">SUM(AJ8:AT11)</f>
        <v>5114</v>
      </c>
      <c r="AK6" s="445"/>
      <c r="AL6" s="445"/>
      <c r="AM6" s="445"/>
      <c r="AN6" s="445"/>
      <c r="AO6" s="445"/>
      <c r="AP6" s="445"/>
      <c r="AQ6" s="445"/>
      <c r="AR6" s="445"/>
      <c r="AS6" s="445"/>
      <c r="AT6" s="445"/>
      <c r="AU6" s="446" t="n">
        <f aca="false">AJ6-Y6</f>
        <v>231</v>
      </c>
      <c r="AV6" s="446"/>
      <c r="AW6" s="446"/>
      <c r="AX6" s="446"/>
      <c r="AY6" s="446"/>
      <c r="AZ6" s="446"/>
      <c r="BA6" s="446"/>
      <c r="BB6" s="446"/>
      <c r="BC6" s="446"/>
      <c r="BD6" s="446"/>
      <c r="BE6" s="446"/>
    </row>
    <row r="7" customFormat="false" ht="27" hidden="false" customHeight="true" outlineLevel="0" collapsed="false">
      <c r="A7" s="447" t="s">
        <v>322</v>
      </c>
      <c r="B7" s="447"/>
      <c r="C7" s="439"/>
      <c r="D7" s="448" t="s">
        <v>323</v>
      </c>
      <c r="E7" s="448"/>
      <c r="F7" s="448"/>
      <c r="G7" s="448"/>
      <c r="H7" s="448"/>
      <c r="I7" s="448"/>
      <c r="J7" s="448"/>
      <c r="K7" s="448"/>
      <c r="L7" s="448"/>
      <c r="M7" s="448"/>
      <c r="N7" s="448"/>
      <c r="O7" s="448"/>
      <c r="P7" s="448"/>
      <c r="Q7" s="448"/>
      <c r="R7" s="448"/>
      <c r="S7" s="448"/>
      <c r="T7" s="448"/>
      <c r="U7" s="449"/>
      <c r="V7" s="450"/>
      <c r="W7" s="440"/>
      <c r="X7" s="444"/>
      <c r="Y7" s="451" t="n">
        <v>5508</v>
      </c>
      <c r="Z7" s="451"/>
      <c r="AA7" s="451"/>
      <c r="AB7" s="451"/>
      <c r="AC7" s="451"/>
      <c r="AD7" s="451"/>
      <c r="AE7" s="451"/>
      <c r="AF7" s="451"/>
      <c r="AG7" s="451"/>
      <c r="AH7" s="451"/>
      <c r="AI7" s="451"/>
      <c r="AJ7" s="451" t="n">
        <f aca="false">ROUND(業務経理P19!V21/入力!$B$12,0)+AJ8</f>
        <v>6038</v>
      </c>
      <c r="AK7" s="451"/>
      <c r="AL7" s="451"/>
      <c r="AM7" s="451"/>
      <c r="AN7" s="451"/>
      <c r="AO7" s="451"/>
      <c r="AP7" s="451"/>
      <c r="AQ7" s="451"/>
      <c r="AR7" s="451"/>
      <c r="AS7" s="451"/>
      <c r="AT7" s="451"/>
      <c r="AU7" s="446" t="n">
        <f aca="false">AJ7-Y7</f>
        <v>530</v>
      </c>
      <c r="AV7" s="446"/>
      <c r="AW7" s="446"/>
      <c r="AX7" s="446"/>
      <c r="AY7" s="446"/>
      <c r="AZ7" s="446"/>
      <c r="BA7" s="446"/>
      <c r="BB7" s="446"/>
      <c r="BC7" s="446"/>
      <c r="BD7" s="446"/>
      <c r="BE7" s="446"/>
    </row>
    <row r="8" customFormat="false" ht="27" hidden="false" customHeight="true" outlineLevel="0" collapsed="false">
      <c r="A8" s="447"/>
      <c r="B8" s="447"/>
      <c r="C8" s="452"/>
      <c r="D8" s="453"/>
      <c r="E8" s="454"/>
      <c r="F8" s="455" t="s">
        <v>324</v>
      </c>
      <c r="G8" s="455"/>
      <c r="H8" s="455"/>
      <c r="I8" s="455"/>
      <c r="J8" s="455"/>
      <c r="K8" s="455"/>
      <c r="L8" s="455"/>
      <c r="M8" s="455"/>
      <c r="N8" s="455"/>
      <c r="O8" s="455"/>
      <c r="P8" s="455"/>
      <c r="Q8" s="455"/>
      <c r="R8" s="455"/>
      <c r="S8" s="455"/>
      <c r="T8" s="455"/>
      <c r="U8" s="456"/>
      <c r="V8" s="457" t="s">
        <v>325</v>
      </c>
      <c r="W8" s="458"/>
      <c r="X8" s="459"/>
      <c r="Y8" s="460" t="n">
        <v>1847</v>
      </c>
      <c r="Z8" s="460"/>
      <c r="AA8" s="460"/>
      <c r="AB8" s="460"/>
      <c r="AC8" s="460"/>
      <c r="AD8" s="460"/>
      <c r="AE8" s="460"/>
      <c r="AF8" s="460"/>
      <c r="AG8" s="460"/>
      <c r="AH8" s="460"/>
      <c r="AI8" s="460"/>
      <c r="AJ8" s="460" t="n">
        <f aca="false">ROUND(入力!$B$13/入力!$B$11,0)</f>
        <v>1863</v>
      </c>
      <c r="AK8" s="460"/>
      <c r="AL8" s="460"/>
      <c r="AM8" s="460"/>
      <c r="AN8" s="460"/>
      <c r="AO8" s="460"/>
      <c r="AP8" s="460"/>
      <c r="AQ8" s="460"/>
      <c r="AR8" s="460"/>
      <c r="AS8" s="460"/>
      <c r="AT8" s="460"/>
      <c r="AU8" s="461" t="n">
        <f aca="false">AJ8-Y8</f>
        <v>16</v>
      </c>
      <c r="AV8" s="461"/>
      <c r="AW8" s="461"/>
      <c r="AX8" s="461"/>
      <c r="AY8" s="461"/>
      <c r="AZ8" s="461"/>
      <c r="BA8" s="461"/>
      <c r="BB8" s="461"/>
      <c r="BC8" s="461"/>
      <c r="BD8" s="461"/>
      <c r="BE8" s="461"/>
    </row>
    <row r="9" customFormat="false" ht="27" hidden="false" customHeight="true" outlineLevel="0" collapsed="false">
      <c r="A9" s="447"/>
      <c r="B9" s="447"/>
      <c r="C9" s="462"/>
      <c r="D9" s="463" t="s">
        <v>137</v>
      </c>
      <c r="E9" s="463"/>
      <c r="F9" s="463"/>
      <c r="G9" s="463"/>
      <c r="H9" s="463"/>
      <c r="I9" s="463"/>
      <c r="J9" s="463"/>
      <c r="K9" s="463"/>
      <c r="L9" s="463"/>
      <c r="M9" s="463"/>
      <c r="N9" s="463"/>
      <c r="O9" s="463"/>
      <c r="P9" s="463"/>
      <c r="Q9" s="463"/>
      <c r="R9" s="463"/>
      <c r="S9" s="463"/>
      <c r="T9" s="463"/>
      <c r="U9" s="464"/>
      <c r="V9" s="465" t="s">
        <v>326</v>
      </c>
      <c r="W9" s="466"/>
      <c r="X9" s="467"/>
      <c r="Y9" s="468" t="n">
        <v>1570</v>
      </c>
      <c r="Z9" s="468"/>
      <c r="AA9" s="468"/>
      <c r="AB9" s="468"/>
      <c r="AC9" s="468"/>
      <c r="AD9" s="468"/>
      <c r="AE9" s="468"/>
      <c r="AF9" s="468"/>
      <c r="AG9" s="468"/>
      <c r="AH9" s="468"/>
      <c r="AI9" s="468"/>
      <c r="AJ9" s="468" t="n">
        <v>1635</v>
      </c>
      <c r="AK9" s="468"/>
      <c r="AL9" s="468"/>
      <c r="AM9" s="468"/>
      <c r="AN9" s="468"/>
      <c r="AO9" s="468"/>
      <c r="AP9" s="468"/>
      <c r="AQ9" s="468"/>
      <c r="AR9" s="468"/>
      <c r="AS9" s="468"/>
      <c r="AT9" s="468"/>
      <c r="AU9" s="469" t="n">
        <f aca="false">AJ9-Y9</f>
        <v>65</v>
      </c>
      <c r="AV9" s="469"/>
      <c r="AW9" s="469"/>
      <c r="AX9" s="469"/>
      <c r="AY9" s="469"/>
      <c r="AZ9" s="469"/>
      <c r="BA9" s="469"/>
      <c r="BB9" s="469"/>
      <c r="BC9" s="469"/>
      <c r="BD9" s="469"/>
      <c r="BE9" s="469"/>
    </row>
    <row r="10" customFormat="false" ht="27" hidden="false" customHeight="true" outlineLevel="0" collapsed="false">
      <c r="A10" s="447"/>
      <c r="B10" s="447"/>
      <c r="C10" s="462"/>
      <c r="D10" s="463" t="s">
        <v>84</v>
      </c>
      <c r="E10" s="463"/>
      <c r="F10" s="463"/>
      <c r="G10" s="463"/>
      <c r="H10" s="463"/>
      <c r="I10" s="463"/>
      <c r="J10" s="463"/>
      <c r="K10" s="463"/>
      <c r="L10" s="463"/>
      <c r="M10" s="463"/>
      <c r="N10" s="463"/>
      <c r="O10" s="463"/>
      <c r="P10" s="463"/>
      <c r="Q10" s="463"/>
      <c r="R10" s="463"/>
      <c r="S10" s="463"/>
      <c r="T10" s="463"/>
      <c r="U10" s="464"/>
      <c r="V10" s="465" t="s">
        <v>327</v>
      </c>
      <c r="W10" s="466"/>
      <c r="X10" s="467"/>
      <c r="Y10" s="468" t="n">
        <v>1466</v>
      </c>
      <c r="Z10" s="468"/>
      <c r="AA10" s="468"/>
      <c r="AB10" s="468"/>
      <c r="AC10" s="468"/>
      <c r="AD10" s="468"/>
      <c r="AE10" s="468"/>
      <c r="AF10" s="468"/>
      <c r="AG10" s="468"/>
      <c r="AH10" s="468"/>
      <c r="AI10" s="468"/>
      <c r="AJ10" s="468" t="n">
        <f aca="false">ROUND((業務経理P18!V28-入力!$B$14)/入力!$B$12,0)</f>
        <v>1616</v>
      </c>
      <c r="AK10" s="468"/>
      <c r="AL10" s="468"/>
      <c r="AM10" s="468"/>
      <c r="AN10" s="468"/>
      <c r="AO10" s="468"/>
      <c r="AP10" s="468"/>
      <c r="AQ10" s="468"/>
      <c r="AR10" s="468"/>
      <c r="AS10" s="468"/>
      <c r="AT10" s="468"/>
      <c r="AU10" s="469" t="n">
        <f aca="false">AJ10-Y10</f>
        <v>150</v>
      </c>
      <c r="AV10" s="469"/>
      <c r="AW10" s="469"/>
      <c r="AX10" s="469"/>
      <c r="AY10" s="469"/>
      <c r="AZ10" s="469"/>
      <c r="BA10" s="469"/>
      <c r="BB10" s="469"/>
      <c r="BC10" s="469"/>
      <c r="BD10" s="469"/>
      <c r="BE10" s="469"/>
    </row>
    <row r="11" customFormat="false" ht="27" hidden="false" customHeight="true" outlineLevel="0" collapsed="false">
      <c r="A11" s="447"/>
      <c r="B11" s="447"/>
      <c r="C11" s="462"/>
      <c r="D11" s="463" t="s">
        <v>328</v>
      </c>
      <c r="E11" s="463"/>
      <c r="F11" s="463"/>
      <c r="G11" s="463"/>
      <c r="H11" s="463"/>
      <c r="I11" s="463"/>
      <c r="J11" s="463"/>
      <c r="K11" s="463"/>
      <c r="L11" s="463"/>
      <c r="M11" s="463"/>
      <c r="N11" s="463"/>
      <c r="O11" s="463"/>
      <c r="P11" s="463"/>
      <c r="Q11" s="463"/>
      <c r="R11" s="463"/>
      <c r="S11" s="463"/>
      <c r="T11" s="463"/>
      <c r="U11" s="464"/>
      <c r="V11" s="465" t="s">
        <v>329</v>
      </c>
      <c r="W11" s="466"/>
      <c r="X11" s="467"/>
      <c r="Y11" s="468" t="n">
        <v>0</v>
      </c>
      <c r="Z11" s="468"/>
      <c r="AA11" s="468"/>
      <c r="AB11" s="468"/>
      <c r="AC11" s="468"/>
      <c r="AD11" s="468"/>
      <c r="AE11" s="468"/>
      <c r="AF11" s="468"/>
      <c r="AG11" s="468"/>
      <c r="AH11" s="468"/>
      <c r="AI11" s="468"/>
      <c r="AJ11" s="468" t="n">
        <v>0</v>
      </c>
      <c r="AK11" s="468"/>
      <c r="AL11" s="468"/>
      <c r="AM11" s="468"/>
      <c r="AN11" s="468"/>
      <c r="AO11" s="468"/>
      <c r="AP11" s="468"/>
      <c r="AQ11" s="468"/>
      <c r="AR11" s="468"/>
      <c r="AS11" s="468"/>
      <c r="AT11" s="468"/>
      <c r="AU11" s="469" t="n">
        <f aca="false">AJ11-Y11</f>
        <v>0</v>
      </c>
      <c r="AV11" s="469"/>
      <c r="AW11" s="469"/>
      <c r="AX11" s="469"/>
      <c r="AY11" s="469"/>
      <c r="AZ11" s="469"/>
      <c r="BA11" s="469"/>
      <c r="BB11" s="469"/>
      <c r="BC11" s="469"/>
      <c r="BD11" s="469"/>
      <c r="BE11" s="469"/>
    </row>
    <row r="12" customFormat="false" ht="18" hidden="false" customHeight="true" outlineLevel="0" collapsed="false">
      <c r="A12" s="440" t="s">
        <v>330</v>
      </c>
      <c r="B12" s="440"/>
      <c r="C12" s="470" t="s">
        <v>331</v>
      </c>
      <c r="D12" s="471"/>
      <c r="E12" s="471"/>
      <c r="F12" s="471"/>
      <c r="G12" s="471"/>
      <c r="H12" s="471"/>
      <c r="I12" s="471"/>
      <c r="J12" s="471"/>
      <c r="K12" s="471"/>
      <c r="L12" s="471"/>
      <c r="M12" s="471"/>
      <c r="N12" s="471"/>
      <c r="O12" s="471"/>
      <c r="P12" s="471"/>
      <c r="Q12" s="471"/>
      <c r="R12" s="471"/>
      <c r="S12" s="471"/>
      <c r="T12" s="471"/>
      <c r="U12" s="471"/>
      <c r="V12" s="471"/>
      <c r="W12" s="471"/>
      <c r="X12" s="471"/>
      <c r="Y12" s="471"/>
      <c r="Z12" s="471"/>
      <c r="AA12" s="471"/>
      <c r="AB12" s="471"/>
      <c r="AC12" s="471"/>
      <c r="AD12" s="471"/>
      <c r="AE12" s="471"/>
      <c r="AF12" s="471"/>
      <c r="AG12" s="471"/>
      <c r="AH12" s="471"/>
      <c r="AI12" s="471"/>
      <c r="AJ12" s="471"/>
      <c r="AK12" s="471"/>
      <c r="AL12" s="471"/>
      <c r="AM12" s="471"/>
      <c r="AN12" s="471"/>
      <c r="AO12" s="471"/>
      <c r="AP12" s="471"/>
      <c r="AQ12" s="471"/>
      <c r="AR12" s="471"/>
      <c r="AS12" s="471"/>
      <c r="AT12" s="471"/>
      <c r="AU12" s="471"/>
      <c r="AV12" s="471"/>
      <c r="AW12" s="471"/>
      <c r="AX12" s="471"/>
      <c r="AY12" s="471"/>
      <c r="AZ12" s="471"/>
      <c r="BA12" s="471"/>
      <c r="BB12" s="471"/>
      <c r="BC12" s="443"/>
    </row>
    <row r="13" customFormat="false" ht="18" hidden="false" customHeight="true" outlineLevel="0" collapsed="false">
      <c r="C13" s="433" t="s">
        <v>332</v>
      </c>
      <c r="D13" s="433"/>
      <c r="E13" s="433"/>
      <c r="F13" s="433"/>
      <c r="G13" s="433"/>
      <c r="H13" s="433"/>
      <c r="I13" s="433"/>
      <c r="J13" s="433"/>
      <c r="K13" s="433"/>
      <c r="L13" s="433"/>
      <c r="M13" s="433"/>
      <c r="N13" s="433"/>
      <c r="O13" s="433"/>
      <c r="P13" s="433"/>
      <c r="Q13" s="433"/>
      <c r="R13" s="433"/>
      <c r="S13" s="433"/>
      <c r="T13" s="433"/>
      <c r="U13" s="433"/>
      <c r="V13" s="433"/>
      <c r="W13" s="433"/>
      <c r="X13" s="433"/>
      <c r="Y13" s="433"/>
      <c r="Z13" s="433"/>
      <c r="AA13" s="433"/>
      <c r="AB13" s="433"/>
      <c r="AC13" s="433"/>
      <c r="AD13" s="433"/>
      <c r="AE13" s="433"/>
      <c r="AF13" s="433"/>
      <c r="AG13" s="433"/>
      <c r="AH13" s="433"/>
      <c r="AI13" s="433"/>
      <c r="AJ13" s="433"/>
      <c r="AK13" s="433"/>
      <c r="AL13" s="433"/>
      <c r="AM13" s="433"/>
      <c r="AN13" s="433"/>
      <c r="AO13" s="433"/>
      <c r="AP13" s="433"/>
      <c r="AQ13" s="433"/>
      <c r="AR13" s="433"/>
      <c r="AS13" s="433"/>
      <c r="AT13" s="433"/>
      <c r="AU13" s="433"/>
      <c r="AV13" s="433"/>
      <c r="AW13" s="433"/>
      <c r="AX13" s="433"/>
      <c r="AY13" s="433"/>
      <c r="AZ13" s="433"/>
      <c r="BA13" s="433"/>
      <c r="BB13" s="433"/>
    </row>
    <row r="14" customFormat="false" ht="18" hidden="false" customHeight="true" outlineLevel="0" collapsed="false">
      <c r="C14" s="433" t="s">
        <v>333</v>
      </c>
      <c r="D14" s="433"/>
      <c r="E14" s="433"/>
      <c r="F14" s="433"/>
      <c r="G14" s="433"/>
      <c r="H14" s="433"/>
      <c r="I14" s="433"/>
      <c r="J14" s="433"/>
      <c r="K14" s="433"/>
      <c r="L14" s="433"/>
      <c r="M14" s="433"/>
      <c r="N14" s="433"/>
      <c r="O14" s="433"/>
      <c r="P14" s="433"/>
      <c r="Q14" s="433"/>
      <c r="R14" s="433"/>
      <c r="S14" s="433"/>
      <c r="T14" s="433"/>
      <c r="U14" s="433"/>
      <c r="V14" s="433"/>
      <c r="W14" s="433"/>
      <c r="X14" s="433"/>
      <c r="Y14" s="433"/>
      <c r="Z14" s="433"/>
      <c r="AA14" s="433"/>
      <c r="AB14" s="433"/>
      <c r="AC14" s="433"/>
      <c r="AD14" s="433"/>
      <c r="AE14" s="433"/>
      <c r="AF14" s="433"/>
      <c r="AG14" s="433"/>
      <c r="AH14" s="433"/>
      <c r="AI14" s="433"/>
      <c r="AJ14" s="433"/>
      <c r="AK14" s="433"/>
      <c r="AL14" s="433"/>
      <c r="AM14" s="433"/>
      <c r="AN14" s="433"/>
      <c r="AO14" s="433"/>
      <c r="AP14" s="433"/>
      <c r="AQ14" s="433"/>
      <c r="AR14" s="433"/>
      <c r="AS14" s="433"/>
      <c r="AT14" s="433"/>
      <c r="AU14" s="433"/>
      <c r="AV14" s="433"/>
      <c r="AW14" s="433"/>
      <c r="AX14" s="433"/>
      <c r="AY14" s="433"/>
      <c r="AZ14" s="433"/>
      <c r="BA14" s="433"/>
      <c r="BB14" s="433"/>
    </row>
    <row r="15" customFormat="false" ht="17.25" hidden="false" customHeight="true" outlineLevel="0" collapsed="false">
      <c r="C15" s="412" t="s">
        <v>334</v>
      </c>
    </row>
    <row r="16" customFormat="false" ht="17.25" hidden="false" customHeight="true" outlineLevel="0" collapsed="false">
      <c r="C16" s="412" t="s">
        <v>335</v>
      </c>
    </row>
    <row r="17" customFormat="false" ht="13.5" hidden="false" customHeight="true" outlineLevel="0" collapsed="false"/>
    <row r="18" customFormat="false" ht="18" hidden="false" customHeight="true" outlineLevel="0" collapsed="false">
      <c r="A18" s="412" t="s">
        <v>336</v>
      </c>
      <c r="B18" s="434"/>
      <c r="C18" s="434"/>
      <c r="D18" s="434"/>
      <c r="E18" s="434"/>
    </row>
    <row r="19" customFormat="false" ht="18" hidden="false" customHeight="true" outlineLevel="0" collapsed="false">
      <c r="A19" s="412" t="s">
        <v>317</v>
      </c>
      <c r="B19" s="434"/>
      <c r="C19" s="434"/>
      <c r="D19" s="434"/>
      <c r="AD19" s="472"/>
      <c r="AY19" s="433" t="s">
        <v>318</v>
      </c>
      <c r="BH19" s="433" t="s">
        <v>336</v>
      </c>
    </row>
    <row r="20" customFormat="false" ht="18" hidden="false" customHeight="true" outlineLevel="0" collapsed="false">
      <c r="A20" s="438" t="s">
        <v>337</v>
      </c>
      <c r="B20" s="438"/>
      <c r="C20" s="438"/>
      <c r="D20" s="438"/>
      <c r="E20" s="438"/>
      <c r="F20" s="438"/>
      <c r="G20" s="438"/>
      <c r="H20" s="438"/>
      <c r="I20" s="438"/>
      <c r="J20" s="438"/>
      <c r="K20" s="438"/>
      <c r="L20" s="438"/>
      <c r="M20" s="438"/>
      <c r="N20" s="438"/>
      <c r="O20" s="438"/>
      <c r="P20" s="438"/>
      <c r="Q20" s="438"/>
      <c r="R20" s="438"/>
      <c r="S20" s="438"/>
      <c r="T20" s="438"/>
      <c r="U20" s="438"/>
      <c r="V20" s="438"/>
      <c r="W20" s="438"/>
      <c r="X20" s="438"/>
      <c r="Y20" s="438" t="str">
        <f aca="false">"令和"&amp;JIS(入力!$B$5-1)&amp;"年度"</f>
        <v>令和６年度</v>
      </c>
      <c r="Z20" s="438"/>
      <c r="AA20" s="438"/>
      <c r="AB20" s="438"/>
      <c r="AC20" s="438"/>
      <c r="AD20" s="438"/>
      <c r="AE20" s="438"/>
      <c r="AF20" s="438"/>
      <c r="AG20" s="438"/>
      <c r="AH20" s="438"/>
      <c r="AI20" s="438"/>
      <c r="AJ20" s="438" t="str">
        <f aca="false">"令和"&amp;JIS(入力!$B$5)&amp;"年度"</f>
        <v>令和７年度</v>
      </c>
      <c r="AK20" s="438"/>
      <c r="AL20" s="438"/>
      <c r="AM20" s="438"/>
      <c r="AN20" s="438"/>
      <c r="AO20" s="438"/>
      <c r="AP20" s="438"/>
      <c r="AQ20" s="438"/>
      <c r="AR20" s="438"/>
      <c r="AS20" s="438"/>
      <c r="AT20" s="438"/>
      <c r="AU20" s="438" t="s">
        <v>338</v>
      </c>
      <c r="AV20" s="438"/>
      <c r="AW20" s="438"/>
      <c r="AX20" s="438"/>
      <c r="AY20" s="438"/>
      <c r="AZ20" s="438"/>
      <c r="BA20" s="438"/>
      <c r="BB20" s="438"/>
      <c r="BC20" s="438"/>
      <c r="BD20" s="438"/>
      <c r="BE20" s="438"/>
      <c r="BH20" s="433" t="s">
        <v>317</v>
      </c>
      <c r="BN20" s="433" t="s">
        <v>318</v>
      </c>
    </row>
    <row r="21" customFormat="false" ht="23.25" hidden="false" customHeight="true" outlineLevel="0" collapsed="false">
      <c r="A21" s="473" t="s">
        <v>339</v>
      </c>
      <c r="B21" s="473"/>
      <c r="C21" s="473"/>
      <c r="D21" s="473"/>
      <c r="E21" s="473"/>
      <c r="F21" s="473"/>
      <c r="G21" s="473"/>
      <c r="H21" s="473"/>
      <c r="I21" s="473"/>
      <c r="J21" s="473"/>
      <c r="K21" s="473"/>
      <c r="L21" s="473"/>
      <c r="M21" s="473"/>
      <c r="N21" s="473"/>
      <c r="O21" s="473"/>
      <c r="P21" s="473"/>
      <c r="Q21" s="473"/>
      <c r="R21" s="473"/>
      <c r="S21" s="473"/>
      <c r="T21" s="473"/>
      <c r="U21" s="473"/>
      <c r="V21" s="473"/>
      <c r="W21" s="473"/>
      <c r="X21" s="473"/>
      <c r="Y21" s="474" t="n">
        <v>151</v>
      </c>
      <c r="Z21" s="474"/>
      <c r="AA21" s="474"/>
      <c r="AB21" s="474"/>
      <c r="AC21" s="474"/>
      <c r="AD21" s="474"/>
      <c r="AE21" s="474"/>
      <c r="AF21" s="474"/>
      <c r="AG21" s="474"/>
      <c r="AH21" s="474"/>
      <c r="AI21" s="474"/>
      <c r="AJ21" s="474" t="n">
        <f aca="false">ROUND(入力!$B$14/入力!$B$12,0)</f>
        <v>170</v>
      </c>
      <c r="AK21" s="474"/>
      <c r="AL21" s="474"/>
      <c r="AM21" s="474"/>
      <c r="AN21" s="474"/>
      <c r="AO21" s="474"/>
      <c r="AP21" s="474"/>
      <c r="AQ21" s="474"/>
      <c r="AR21" s="474"/>
      <c r="AS21" s="474"/>
      <c r="AT21" s="474"/>
      <c r="AU21" s="475" t="n">
        <f aca="false">AJ21-Y21</f>
        <v>19</v>
      </c>
      <c r="AV21" s="475"/>
      <c r="AW21" s="475"/>
      <c r="AX21" s="475"/>
      <c r="AY21" s="475"/>
      <c r="AZ21" s="475"/>
      <c r="BA21" s="475"/>
      <c r="BB21" s="475"/>
      <c r="BC21" s="475"/>
      <c r="BD21" s="475"/>
      <c r="BE21" s="475"/>
      <c r="BH21" s="433" t="s">
        <v>337</v>
      </c>
      <c r="BL21" s="433" t="s">
        <v>340</v>
      </c>
      <c r="BM21" s="433" t="s">
        <v>340</v>
      </c>
      <c r="BN21" s="433" t="s">
        <v>338</v>
      </c>
    </row>
    <row r="22" customFormat="false" ht="18" hidden="false" customHeight="true" outlineLevel="0" collapsed="false">
      <c r="A22" s="440" t="s">
        <v>330</v>
      </c>
      <c r="B22" s="476"/>
      <c r="C22" s="477"/>
      <c r="D22" s="478" t="s">
        <v>341</v>
      </c>
      <c r="E22" s="479"/>
      <c r="F22" s="479"/>
      <c r="G22" s="479"/>
      <c r="H22" s="479"/>
      <c r="I22" s="479"/>
      <c r="J22" s="479"/>
      <c r="K22" s="479"/>
      <c r="L22" s="479"/>
      <c r="M22" s="479"/>
      <c r="N22" s="479"/>
      <c r="O22" s="479"/>
      <c r="P22" s="479"/>
      <c r="Q22" s="479"/>
      <c r="R22" s="479"/>
      <c r="S22" s="479"/>
      <c r="T22" s="479"/>
      <c r="U22" s="479"/>
      <c r="V22" s="479"/>
      <c r="W22" s="479"/>
      <c r="X22" s="479"/>
      <c r="Y22" s="480"/>
      <c r="Z22" s="480"/>
      <c r="AA22" s="480"/>
      <c r="AB22" s="480"/>
      <c r="AC22" s="480"/>
      <c r="AD22" s="480"/>
      <c r="AE22" s="480"/>
      <c r="AF22" s="480"/>
      <c r="AG22" s="480"/>
      <c r="AH22" s="480"/>
      <c r="AI22" s="480"/>
      <c r="BH22" s="481" t="s">
        <v>342</v>
      </c>
      <c r="BI22" s="433" t="s">
        <v>84</v>
      </c>
    </row>
    <row r="23" customFormat="false" ht="25.5" hidden="false" customHeight="true" outlineLevel="0" collapsed="false">
      <c r="A23" s="431" t="s">
        <v>343</v>
      </c>
      <c r="B23" s="431"/>
      <c r="C23" s="431"/>
      <c r="D23" s="431"/>
      <c r="E23" s="431"/>
      <c r="F23" s="431"/>
      <c r="G23" s="431"/>
      <c r="H23" s="431"/>
      <c r="I23" s="431"/>
      <c r="J23" s="431"/>
      <c r="K23" s="431"/>
      <c r="L23" s="431"/>
      <c r="M23" s="431"/>
    </row>
    <row r="24" customFormat="false" ht="18" hidden="false" customHeight="true" outlineLevel="0" collapsed="false">
      <c r="AR24" s="482" t="s">
        <v>318</v>
      </c>
      <c r="AS24" s="482"/>
      <c r="AT24" s="482"/>
      <c r="AU24" s="482"/>
      <c r="AV24" s="482"/>
      <c r="AW24" s="482"/>
      <c r="AX24" s="482"/>
      <c r="AY24" s="482"/>
      <c r="AZ24" s="482"/>
      <c r="BA24" s="482"/>
      <c r="BB24" s="482"/>
      <c r="BC24" s="482"/>
      <c r="BD24" s="482"/>
      <c r="BE24" s="482"/>
      <c r="BF24" s="22"/>
      <c r="BG24" s="22"/>
      <c r="BH24" s="483" t="s">
        <v>344</v>
      </c>
      <c r="BJ24" s="481" t="s">
        <v>345</v>
      </c>
    </row>
    <row r="25" customFormat="false" ht="18" hidden="false" customHeight="true" outlineLevel="0" collapsed="false">
      <c r="A25" s="484" t="s">
        <v>346</v>
      </c>
      <c r="B25" s="484"/>
      <c r="C25" s="484"/>
      <c r="D25" s="484"/>
      <c r="E25" s="484"/>
      <c r="F25" s="484"/>
      <c r="G25" s="484"/>
      <c r="H25" s="484"/>
      <c r="I25" s="484"/>
      <c r="J25" s="484"/>
      <c r="K25" s="484"/>
      <c r="L25" s="484"/>
      <c r="M25" s="437" t="s">
        <v>347</v>
      </c>
      <c r="N25" s="437"/>
      <c r="O25" s="437"/>
      <c r="P25" s="437"/>
      <c r="Q25" s="437"/>
      <c r="R25" s="437"/>
      <c r="S25" s="437"/>
      <c r="T25" s="437"/>
      <c r="U25" s="437"/>
      <c r="V25" s="485" t="s">
        <v>348</v>
      </c>
      <c r="W25" s="485"/>
      <c r="X25" s="485"/>
      <c r="Y25" s="485"/>
      <c r="Z25" s="485"/>
      <c r="AA25" s="485"/>
      <c r="AB25" s="485"/>
      <c r="AC25" s="485"/>
      <c r="AD25" s="485"/>
      <c r="AE25" s="437" t="s">
        <v>349</v>
      </c>
      <c r="AF25" s="437"/>
      <c r="AG25" s="437"/>
      <c r="AH25" s="437"/>
      <c r="AI25" s="437"/>
      <c r="AJ25" s="437"/>
      <c r="AK25" s="437"/>
      <c r="AL25" s="437"/>
      <c r="AM25" s="437"/>
      <c r="AN25" s="437" t="s">
        <v>350</v>
      </c>
      <c r="AO25" s="437"/>
      <c r="AP25" s="437"/>
      <c r="AQ25" s="437"/>
      <c r="AR25" s="437"/>
      <c r="AS25" s="437"/>
      <c r="AT25" s="437"/>
      <c r="AU25" s="437"/>
      <c r="AV25" s="437"/>
      <c r="AW25" s="437"/>
      <c r="AX25" s="437"/>
      <c r="AY25" s="437"/>
      <c r="AZ25" s="437"/>
      <c r="BA25" s="437"/>
      <c r="BB25" s="437"/>
      <c r="BC25" s="437"/>
      <c r="BD25" s="437"/>
      <c r="BE25" s="437"/>
      <c r="BJ25" s="481" t="s">
        <v>351</v>
      </c>
    </row>
    <row r="26" customFormat="false" ht="18" hidden="false" customHeight="true" outlineLevel="0" collapsed="false">
      <c r="A26" s="486" t="s">
        <v>352</v>
      </c>
      <c r="B26" s="486"/>
      <c r="C26" s="486"/>
      <c r="D26" s="486"/>
      <c r="E26" s="486"/>
      <c r="F26" s="486"/>
      <c r="G26" s="486"/>
      <c r="H26" s="486"/>
      <c r="I26" s="486"/>
      <c r="J26" s="486"/>
      <c r="K26" s="486"/>
      <c r="L26" s="486"/>
      <c r="M26" s="437"/>
      <c r="N26" s="437"/>
      <c r="O26" s="437"/>
      <c r="P26" s="437"/>
      <c r="Q26" s="437"/>
      <c r="R26" s="437"/>
      <c r="S26" s="437"/>
      <c r="T26" s="437"/>
      <c r="U26" s="437"/>
      <c r="V26" s="485"/>
      <c r="W26" s="485"/>
      <c r="X26" s="485"/>
      <c r="Y26" s="485"/>
      <c r="Z26" s="485"/>
      <c r="AA26" s="485"/>
      <c r="AB26" s="485"/>
      <c r="AC26" s="485"/>
      <c r="AD26" s="485"/>
      <c r="AE26" s="437"/>
      <c r="AF26" s="437"/>
      <c r="AG26" s="437"/>
      <c r="AH26" s="437"/>
      <c r="AI26" s="437"/>
      <c r="AJ26" s="437"/>
      <c r="AK26" s="437"/>
      <c r="AL26" s="437"/>
      <c r="AM26" s="437"/>
      <c r="AN26" s="437" t="s">
        <v>353</v>
      </c>
      <c r="AO26" s="437"/>
      <c r="AP26" s="437"/>
      <c r="AQ26" s="437"/>
      <c r="AR26" s="437"/>
      <c r="AS26" s="437"/>
      <c r="AT26" s="437"/>
      <c r="AU26" s="437"/>
      <c r="AV26" s="437"/>
      <c r="AW26" s="487" t="s">
        <v>349</v>
      </c>
      <c r="AX26" s="487"/>
      <c r="AY26" s="487"/>
      <c r="AZ26" s="487"/>
      <c r="BA26" s="487"/>
      <c r="BB26" s="487"/>
      <c r="BC26" s="487"/>
      <c r="BD26" s="487"/>
      <c r="BE26" s="487"/>
    </row>
    <row r="27" customFormat="false" ht="18" hidden="false" customHeight="true" outlineLevel="0" collapsed="false">
      <c r="A27" s="488"/>
      <c r="B27" s="463" t="s">
        <v>77</v>
      </c>
      <c r="C27" s="463"/>
      <c r="D27" s="463"/>
      <c r="E27" s="463"/>
      <c r="F27" s="463"/>
      <c r="G27" s="463"/>
      <c r="H27" s="463"/>
      <c r="I27" s="463"/>
      <c r="J27" s="463"/>
      <c r="K27" s="463"/>
      <c r="L27" s="432"/>
      <c r="M27" s="489" t="n">
        <v>94968000</v>
      </c>
      <c r="N27" s="489"/>
      <c r="O27" s="489"/>
      <c r="P27" s="489"/>
      <c r="Q27" s="489"/>
      <c r="R27" s="489"/>
      <c r="S27" s="489"/>
      <c r="T27" s="489"/>
      <c r="U27" s="490"/>
      <c r="V27" s="491" t="n">
        <f aca="false">決算精算表!G39</f>
        <v>89655843</v>
      </c>
      <c r="W27" s="491"/>
      <c r="X27" s="491"/>
      <c r="Y27" s="491"/>
      <c r="Z27" s="491"/>
      <c r="AA27" s="491"/>
      <c r="AB27" s="491"/>
      <c r="AC27" s="491"/>
      <c r="AD27" s="492"/>
      <c r="AE27" s="493" t="n">
        <f aca="false">V27-M27</f>
        <v>-5312157</v>
      </c>
      <c r="AF27" s="493"/>
      <c r="AG27" s="493"/>
      <c r="AH27" s="493"/>
      <c r="AI27" s="493"/>
      <c r="AJ27" s="493"/>
      <c r="AK27" s="493"/>
      <c r="AL27" s="493"/>
      <c r="AM27" s="494"/>
      <c r="AN27" s="491" t="n">
        <v>82167559</v>
      </c>
      <c r="AO27" s="491"/>
      <c r="AP27" s="491"/>
      <c r="AQ27" s="491"/>
      <c r="AR27" s="491"/>
      <c r="AS27" s="491"/>
      <c r="AT27" s="491"/>
      <c r="AU27" s="491"/>
      <c r="AV27" s="494"/>
      <c r="AW27" s="495" t="n">
        <f aca="false">V27-AN27</f>
        <v>7488284</v>
      </c>
      <c r="AX27" s="495"/>
      <c r="AY27" s="495"/>
      <c r="AZ27" s="495"/>
      <c r="BA27" s="495"/>
      <c r="BB27" s="495"/>
      <c r="BC27" s="495"/>
      <c r="BD27" s="495"/>
      <c r="BE27" s="496"/>
    </row>
    <row r="28" customFormat="false" ht="18" hidden="false" customHeight="true" outlineLevel="0" collapsed="false">
      <c r="A28" s="462"/>
      <c r="B28" s="463" t="s">
        <v>84</v>
      </c>
      <c r="C28" s="463"/>
      <c r="D28" s="463"/>
      <c r="E28" s="463"/>
      <c r="F28" s="463"/>
      <c r="G28" s="463"/>
      <c r="H28" s="463"/>
      <c r="I28" s="463"/>
      <c r="J28" s="463"/>
      <c r="K28" s="463"/>
      <c r="L28" s="466"/>
      <c r="M28" s="497" t="n">
        <v>23147000</v>
      </c>
      <c r="N28" s="497"/>
      <c r="O28" s="497"/>
      <c r="P28" s="497"/>
      <c r="Q28" s="497"/>
      <c r="R28" s="497"/>
      <c r="S28" s="497"/>
      <c r="T28" s="497"/>
      <c r="U28" s="498"/>
      <c r="V28" s="499" t="n">
        <f aca="false">決算精算表!G42</f>
        <v>23159738</v>
      </c>
      <c r="W28" s="499"/>
      <c r="X28" s="499"/>
      <c r="Y28" s="499"/>
      <c r="Z28" s="499"/>
      <c r="AA28" s="499"/>
      <c r="AB28" s="499"/>
      <c r="AC28" s="499"/>
      <c r="AD28" s="500"/>
      <c r="AE28" s="501" t="n">
        <f aca="false">V28-M28</f>
        <v>12738</v>
      </c>
      <c r="AF28" s="501"/>
      <c r="AG28" s="501"/>
      <c r="AH28" s="501"/>
      <c r="AI28" s="501"/>
      <c r="AJ28" s="501"/>
      <c r="AK28" s="501"/>
      <c r="AL28" s="501"/>
      <c r="AM28" s="502"/>
      <c r="AN28" s="499" t="n">
        <v>20856594</v>
      </c>
      <c r="AO28" s="499"/>
      <c r="AP28" s="499"/>
      <c r="AQ28" s="499"/>
      <c r="AR28" s="499"/>
      <c r="AS28" s="499"/>
      <c r="AT28" s="499"/>
      <c r="AU28" s="499"/>
      <c r="AV28" s="502"/>
      <c r="AW28" s="503" t="n">
        <f aca="false">V28-AN28</f>
        <v>2303144</v>
      </c>
      <c r="AX28" s="503"/>
      <c r="AY28" s="503"/>
      <c r="AZ28" s="503"/>
      <c r="BA28" s="503"/>
      <c r="BB28" s="503"/>
      <c r="BC28" s="503"/>
      <c r="BD28" s="503"/>
      <c r="BE28" s="467"/>
    </row>
    <row r="29" customFormat="false" ht="18" hidden="false" customHeight="true" outlineLevel="0" collapsed="false">
      <c r="A29" s="462"/>
      <c r="B29" s="463" t="s">
        <v>136</v>
      </c>
      <c r="C29" s="463"/>
      <c r="D29" s="463"/>
      <c r="E29" s="463"/>
      <c r="F29" s="463"/>
      <c r="G29" s="463"/>
      <c r="H29" s="463"/>
      <c r="I29" s="463"/>
      <c r="J29" s="463"/>
      <c r="K29" s="463"/>
      <c r="L29" s="466"/>
      <c r="M29" s="497" t="n">
        <v>0</v>
      </c>
      <c r="N29" s="497"/>
      <c r="O29" s="497"/>
      <c r="P29" s="497"/>
      <c r="Q29" s="497"/>
      <c r="R29" s="497"/>
      <c r="S29" s="497"/>
      <c r="T29" s="497"/>
      <c r="U29" s="502"/>
      <c r="V29" s="499" t="n">
        <f aca="false">決算精算表!G43</f>
        <v>0</v>
      </c>
      <c r="W29" s="499"/>
      <c r="X29" s="499"/>
      <c r="Y29" s="499"/>
      <c r="Z29" s="499"/>
      <c r="AA29" s="499"/>
      <c r="AB29" s="499"/>
      <c r="AC29" s="499"/>
      <c r="AD29" s="500"/>
      <c r="AE29" s="501" t="n">
        <f aca="false">V29-M29</f>
        <v>0</v>
      </c>
      <c r="AF29" s="501"/>
      <c r="AG29" s="501"/>
      <c r="AH29" s="501"/>
      <c r="AI29" s="501"/>
      <c r="AJ29" s="501"/>
      <c r="AK29" s="501"/>
      <c r="AL29" s="501"/>
      <c r="AM29" s="502"/>
      <c r="AN29" s="499" t="n">
        <v>0</v>
      </c>
      <c r="AO29" s="499"/>
      <c r="AP29" s="499"/>
      <c r="AQ29" s="499"/>
      <c r="AR29" s="499"/>
      <c r="AS29" s="499"/>
      <c r="AT29" s="499"/>
      <c r="AU29" s="499"/>
      <c r="AV29" s="502"/>
      <c r="AW29" s="503" t="n">
        <f aca="false">V29-AN29</f>
        <v>0</v>
      </c>
      <c r="AX29" s="503"/>
      <c r="AY29" s="503"/>
      <c r="AZ29" s="503"/>
      <c r="BA29" s="503"/>
      <c r="BB29" s="503"/>
      <c r="BC29" s="503"/>
      <c r="BD29" s="503"/>
      <c r="BE29" s="467"/>
    </row>
    <row r="30" customFormat="false" ht="18" hidden="false" customHeight="true" outlineLevel="0" collapsed="false">
      <c r="A30" s="488"/>
      <c r="B30" s="463" t="s">
        <v>137</v>
      </c>
      <c r="C30" s="463"/>
      <c r="D30" s="463"/>
      <c r="E30" s="463"/>
      <c r="F30" s="463"/>
      <c r="G30" s="463"/>
      <c r="H30" s="463"/>
      <c r="I30" s="463"/>
      <c r="J30" s="463"/>
      <c r="K30" s="463"/>
      <c r="L30" s="432"/>
      <c r="M30" s="497" t="n">
        <v>13605000</v>
      </c>
      <c r="N30" s="497"/>
      <c r="O30" s="497"/>
      <c r="P30" s="497"/>
      <c r="Q30" s="497"/>
      <c r="R30" s="497"/>
      <c r="S30" s="497"/>
      <c r="T30" s="497"/>
      <c r="U30" s="490"/>
      <c r="V30" s="491" t="n">
        <f aca="false">決算精算表!G44</f>
        <v>11834281</v>
      </c>
      <c r="W30" s="491"/>
      <c r="X30" s="491"/>
      <c r="Y30" s="491"/>
      <c r="Z30" s="491"/>
      <c r="AA30" s="491"/>
      <c r="AB30" s="491"/>
      <c r="AC30" s="491"/>
      <c r="AD30" s="492"/>
      <c r="AE30" s="504" t="n">
        <f aca="false">V30-M30</f>
        <v>-1770719</v>
      </c>
      <c r="AF30" s="504"/>
      <c r="AG30" s="504"/>
      <c r="AH30" s="504"/>
      <c r="AI30" s="504"/>
      <c r="AJ30" s="504"/>
      <c r="AK30" s="504"/>
      <c r="AL30" s="504"/>
      <c r="AM30" s="505"/>
      <c r="AN30" s="491" t="n">
        <v>11648520</v>
      </c>
      <c r="AO30" s="491"/>
      <c r="AP30" s="491"/>
      <c r="AQ30" s="491"/>
      <c r="AR30" s="491"/>
      <c r="AS30" s="491"/>
      <c r="AT30" s="491"/>
      <c r="AU30" s="491"/>
      <c r="AV30" s="505"/>
      <c r="AW30" s="506" t="n">
        <f aca="false">V30-AN30</f>
        <v>185761</v>
      </c>
      <c r="AX30" s="506"/>
      <c r="AY30" s="506"/>
      <c r="AZ30" s="506"/>
      <c r="BA30" s="506"/>
      <c r="BB30" s="506"/>
      <c r="BC30" s="506"/>
      <c r="BD30" s="506"/>
      <c r="BE30" s="496"/>
    </row>
    <row r="31" customFormat="false" ht="18" hidden="false" customHeight="true" outlineLevel="0" collapsed="false">
      <c r="A31" s="462"/>
      <c r="B31" s="463" t="s">
        <v>328</v>
      </c>
      <c r="C31" s="463"/>
      <c r="D31" s="463"/>
      <c r="E31" s="463"/>
      <c r="F31" s="463"/>
      <c r="G31" s="463"/>
      <c r="H31" s="463"/>
      <c r="I31" s="463"/>
      <c r="J31" s="463"/>
      <c r="K31" s="463"/>
      <c r="L31" s="466"/>
      <c r="M31" s="489" t="n">
        <v>0</v>
      </c>
      <c r="N31" s="489"/>
      <c r="O31" s="489"/>
      <c r="P31" s="489"/>
      <c r="Q31" s="489"/>
      <c r="R31" s="489"/>
      <c r="S31" s="489"/>
      <c r="T31" s="489"/>
      <c r="U31" s="498"/>
      <c r="V31" s="499" t="n">
        <f aca="false">決算精算表!G40+決算精算表!G41+決算精算表!G45</f>
        <v>77607</v>
      </c>
      <c r="W31" s="499"/>
      <c r="X31" s="499"/>
      <c r="Y31" s="499"/>
      <c r="Z31" s="499"/>
      <c r="AA31" s="499"/>
      <c r="AB31" s="499"/>
      <c r="AC31" s="499"/>
      <c r="AD31" s="500"/>
      <c r="AE31" s="501" t="n">
        <f aca="false">V31-M31</f>
        <v>77607</v>
      </c>
      <c r="AF31" s="501"/>
      <c r="AG31" s="501"/>
      <c r="AH31" s="501"/>
      <c r="AI31" s="501"/>
      <c r="AJ31" s="501"/>
      <c r="AK31" s="501"/>
      <c r="AL31" s="501"/>
      <c r="AM31" s="502"/>
      <c r="AN31" s="499" t="n">
        <v>1275345</v>
      </c>
      <c r="AO31" s="499"/>
      <c r="AP31" s="499"/>
      <c r="AQ31" s="499"/>
      <c r="AR31" s="499"/>
      <c r="AS31" s="499"/>
      <c r="AT31" s="499"/>
      <c r="AU31" s="499"/>
      <c r="AV31" s="502"/>
      <c r="AW31" s="503" t="n">
        <f aca="false">V31-AN31</f>
        <v>-1197738</v>
      </c>
      <c r="AX31" s="503"/>
      <c r="AY31" s="503"/>
      <c r="AZ31" s="503"/>
      <c r="BA31" s="503"/>
      <c r="BB31" s="503"/>
      <c r="BC31" s="503"/>
      <c r="BD31" s="503"/>
      <c r="BE31" s="467"/>
    </row>
    <row r="32" customFormat="false" ht="18" hidden="false" customHeight="true" outlineLevel="0" collapsed="false">
      <c r="A32" s="462"/>
      <c r="B32" s="485" t="s">
        <v>209</v>
      </c>
      <c r="C32" s="485"/>
      <c r="D32" s="485"/>
      <c r="E32" s="485"/>
      <c r="F32" s="485"/>
      <c r="G32" s="485"/>
      <c r="H32" s="485"/>
      <c r="I32" s="485"/>
      <c r="J32" s="485"/>
      <c r="K32" s="485"/>
      <c r="L32" s="467"/>
      <c r="M32" s="507" t="n">
        <f aca="false">SUM(M27:T31)</f>
        <v>131720000</v>
      </c>
      <c r="N32" s="507"/>
      <c r="O32" s="507"/>
      <c r="P32" s="507"/>
      <c r="Q32" s="507"/>
      <c r="R32" s="507"/>
      <c r="S32" s="507"/>
      <c r="T32" s="507"/>
      <c r="U32" s="498"/>
      <c r="V32" s="508" t="n">
        <f aca="false">SUM(V27:AC31)</f>
        <v>124727469</v>
      </c>
      <c r="W32" s="508"/>
      <c r="X32" s="508"/>
      <c r="Y32" s="508"/>
      <c r="Z32" s="508"/>
      <c r="AA32" s="508"/>
      <c r="AB32" s="508"/>
      <c r="AC32" s="508"/>
      <c r="AD32" s="509"/>
      <c r="AE32" s="501" t="n">
        <f aca="false">V32-M32</f>
        <v>-6992531</v>
      </c>
      <c r="AF32" s="501"/>
      <c r="AG32" s="501"/>
      <c r="AH32" s="501"/>
      <c r="AI32" s="501"/>
      <c r="AJ32" s="501"/>
      <c r="AK32" s="501"/>
      <c r="AL32" s="501"/>
      <c r="AM32" s="498"/>
      <c r="AN32" s="508" t="n">
        <f aca="false">SUM(AN27:AU31)</f>
        <v>115948018</v>
      </c>
      <c r="AO32" s="508"/>
      <c r="AP32" s="508"/>
      <c r="AQ32" s="508"/>
      <c r="AR32" s="508"/>
      <c r="AS32" s="508"/>
      <c r="AT32" s="508"/>
      <c r="AU32" s="508"/>
      <c r="AV32" s="498"/>
      <c r="AW32" s="503" t="n">
        <f aca="false">V32-AN32</f>
        <v>8779451</v>
      </c>
      <c r="AX32" s="503"/>
      <c r="AY32" s="503"/>
      <c r="AZ32" s="503"/>
      <c r="BA32" s="503"/>
      <c r="BB32" s="503"/>
      <c r="BC32" s="503"/>
      <c r="BD32" s="503"/>
      <c r="BE32" s="467"/>
    </row>
    <row r="34" customFormat="false" ht="18" hidden="false" customHeight="true" outlineLevel="0" collapsed="false"/>
    <row r="35" customFormat="false" ht="18" hidden="false" customHeight="true" outlineLevel="0" collapsed="false"/>
    <row r="36" customFormat="false" ht="15" hidden="false" customHeight="true" outlineLevel="0" collapsed="false"/>
    <row r="37" customFormat="false" ht="19.5" hidden="false" customHeight="true" outlineLevel="0" collapsed="false"/>
    <row r="38" customFormat="false" ht="19.5" hidden="false" customHeight="true" outlineLevel="0" collapsed="false"/>
  </sheetData>
  <mergeCells count="87">
    <mergeCell ref="A1:P1"/>
    <mergeCell ref="A2:AO2"/>
    <mergeCell ref="B4:N4"/>
    <mergeCell ref="AU4:BE4"/>
    <mergeCell ref="A5:X5"/>
    <mergeCell ref="Y5:AI5"/>
    <mergeCell ref="AJ5:AT5"/>
    <mergeCell ref="AU5:BE5"/>
    <mergeCell ref="D6:U6"/>
    <mergeCell ref="Y6:AI6"/>
    <mergeCell ref="AJ6:AT6"/>
    <mergeCell ref="AU6:BE6"/>
    <mergeCell ref="A7:B11"/>
    <mergeCell ref="D7:T7"/>
    <mergeCell ref="Y7:AI7"/>
    <mergeCell ref="AJ7:AT7"/>
    <mergeCell ref="AU7:BE7"/>
    <mergeCell ref="F8:T8"/>
    <mergeCell ref="Y8:AI8"/>
    <mergeCell ref="AJ8:AT8"/>
    <mergeCell ref="AU8:BE8"/>
    <mergeCell ref="D9:T9"/>
    <mergeCell ref="Y9:AI9"/>
    <mergeCell ref="AJ9:AT9"/>
    <mergeCell ref="AU9:BE9"/>
    <mergeCell ref="D10:T10"/>
    <mergeCell ref="Y10:AI10"/>
    <mergeCell ref="AJ10:AT10"/>
    <mergeCell ref="AU10:BE10"/>
    <mergeCell ref="D11:T11"/>
    <mergeCell ref="Y11:AI11"/>
    <mergeCell ref="AJ11:AT11"/>
    <mergeCell ref="AU11:BE11"/>
    <mergeCell ref="A20:X20"/>
    <mergeCell ref="Y20:AI20"/>
    <mergeCell ref="AJ20:AT20"/>
    <mergeCell ref="AU20:BE20"/>
    <mergeCell ref="A21:X21"/>
    <mergeCell ref="Y21:AI21"/>
    <mergeCell ref="AJ21:AT21"/>
    <mergeCell ref="AU21:BE21"/>
    <mergeCell ref="A23:M23"/>
    <mergeCell ref="AR24:BE24"/>
    <mergeCell ref="A25:L25"/>
    <mergeCell ref="M25:U26"/>
    <mergeCell ref="V25:AD26"/>
    <mergeCell ref="AE25:AM26"/>
    <mergeCell ref="AN25:BE25"/>
    <mergeCell ref="A26:L26"/>
    <mergeCell ref="AN26:AV26"/>
    <mergeCell ref="AW26:BE26"/>
    <mergeCell ref="B27:K27"/>
    <mergeCell ref="M27:T27"/>
    <mergeCell ref="V27:AC27"/>
    <mergeCell ref="AE27:AL27"/>
    <mergeCell ref="AN27:AU27"/>
    <mergeCell ref="AW27:BD27"/>
    <mergeCell ref="B28:K28"/>
    <mergeCell ref="M28:T28"/>
    <mergeCell ref="V28:AC28"/>
    <mergeCell ref="AE28:AL28"/>
    <mergeCell ref="AN28:AU28"/>
    <mergeCell ref="AW28:BD28"/>
    <mergeCell ref="B29:K29"/>
    <mergeCell ref="M29:T29"/>
    <mergeCell ref="V29:AC29"/>
    <mergeCell ref="AE29:AL29"/>
    <mergeCell ref="AN29:AU29"/>
    <mergeCell ref="AW29:BD29"/>
    <mergeCell ref="B30:K30"/>
    <mergeCell ref="M30:T30"/>
    <mergeCell ref="V30:AC30"/>
    <mergeCell ref="AE30:AL30"/>
    <mergeCell ref="AN30:AU30"/>
    <mergeCell ref="AW30:BD30"/>
    <mergeCell ref="B31:K31"/>
    <mergeCell ref="M31:T31"/>
    <mergeCell ref="V31:AC31"/>
    <mergeCell ref="AE31:AL31"/>
    <mergeCell ref="AN31:AU31"/>
    <mergeCell ref="AW31:BD31"/>
    <mergeCell ref="B32:K32"/>
    <mergeCell ref="M32:T32"/>
    <mergeCell ref="V32:AC32"/>
    <mergeCell ref="AE32:AL32"/>
    <mergeCell ref="AN32:AU32"/>
    <mergeCell ref="AW32:BD32"/>
  </mergeCells>
  <printOptions headings="false" gridLines="false" gridLinesSet="true" horizontalCentered="true" verticalCentered="false"/>
  <pageMargins left="0.472222222222222" right="0.315277777777778" top="0.7875" bottom="0.590277777777778" header="0.511811023622047" footer="0.39375"/>
  <pageSetup paperSize="9" scale="100" fitToWidth="1" fitToHeight="1" pageOrder="downThenOver" orientation="portrait" blackAndWhite="false" draft="false" cellComments="none" horizontalDpi="300" verticalDpi="300" copies="1"/>
  <headerFooter differentFirst="false" differentOddEven="false">
    <oddHeader/>
    <oddFooter>&amp;C&amp;"ＭＳ 明朝,Regular"&amp;12 － &amp;P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0" min="1" style="0" width="1.62"/>
    <col collapsed="false" customWidth="true" hidden="false" outlineLevel="0" max="11" min="11" style="0" width="2.12"/>
    <col collapsed="false" customWidth="true" hidden="false" outlineLevel="0" max="13" min="12" style="0" width="1.62"/>
    <col collapsed="false" customWidth="true" hidden="false" outlineLevel="0" max="14" min="14" style="0" width="6.37"/>
    <col collapsed="false" customWidth="true" hidden="false" outlineLevel="0" max="257" min="15" style="0" width="1.62"/>
  </cols>
  <sheetData>
    <row r="1" customFormat="false" ht="18" hidden="false" customHeight="true" outlineLevel="0" collapsed="false">
      <c r="A1" s="431" t="s">
        <v>354</v>
      </c>
      <c r="B1" s="431"/>
      <c r="C1" s="431"/>
      <c r="D1" s="431"/>
      <c r="E1" s="431"/>
      <c r="F1" s="431"/>
      <c r="G1" s="431"/>
      <c r="H1" s="431"/>
      <c r="I1" s="431"/>
      <c r="J1" s="431"/>
      <c r="K1" s="431"/>
      <c r="L1" s="431"/>
    </row>
    <row r="2" customFormat="false" ht="15" hidden="false" customHeight="true" outlineLevel="0" collapsed="false">
      <c r="A2" s="432"/>
      <c r="AR2" s="482" t="s">
        <v>318</v>
      </c>
      <c r="AS2" s="482"/>
      <c r="AT2" s="482"/>
      <c r="AU2" s="482"/>
      <c r="AV2" s="482"/>
      <c r="AW2" s="482"/>
      <c r="AX2" s="482"/>
      <c r="AY2" s="482"/>
      <c r="AZ2" s="482"/>
      <c r="BA2" s="482"/>
      <c r="BB2" s="482"/>
      <c r="BC2" s="482"/>
      <c r="BD2" s="482"/>
      <c r="BE2" s="482"/>
      <c r="BF2" s="22"/>
      <c r="BG2" s="22"/>
      <c r="BH2" s="22"/>
    </row>
    <row r="3" customFormat="false" ht="19.5" hidden="false" customHeight="true" outlineLevel="0" collapsed="false">
      <c r="A3" s="510" t="s">
        <v>346</v>
      </c>
      <c r="B3" s="510"/>
      <c r="C3" s="510"/>
      <c r="D3" s="510"/>
      <c r="E3" s="510"/>
      <c r="F3" s="510"/>
      <c r="G3" s="510"/>
      <c r="H3" s="510"/>
      <c r="I3" s="510"/>
      <c r="J3" s="510"/>
      <c r="K3" s="510"/>
      <c r="L3" s="510"/>
      <c r="M3" s="437" t="s">
        <v>347</v>
      </c>
      <c r="N3" s="437"/>
      <c r="O3" s="437"/>
      <c r="P3" s="437"/>
      <c r="Q3" s="437"/>
      <c r="R3" s="437"/>
      <c r="S3" s="437"/>
      <c r="T3" s="437"/>
      <c r="U3" s="437"/>
      <c r="V3" s="485" t="s">
        <v>348</v>
      </c>
      <c r="W3" s="485"/>
      <c r="X3" s="485"/>
      <c r="Y3" s="485"/>
      <c r="Z3" s="485"/>
      <c r="AA3" s="485"/>
      <c r="AB3" s="485"/>
      <c r="AC3" s="485"/>
      <c r="AD3" s="485"/>
      <c r="AE3" s="437" t="s">
        <v>349</v>
      </c>
      <c r="AF3" s="437"/>
      <c r="AG3" s="437"/>
      <c r="AH3" s="437"/>
      <c r="AI3" s="437"/>
      <c r="AJ3" s="437"/>
      <c r="AK3" s="437"/>
      <c r="AL3" s="437"/>
      <c r="AM3" s="437"/>
      <c r="AN3" s="437" t="s">
        <v>355</v>
      </c>
      <c r="AO3" s="437"/>
      <c r="AP3" s="437"/>
      <c r="AQ3" s="437"/>
      <c r="AR3" s="437"/>
      <c r="AS3" s="437"/>
      <c r="AT3" s="437"/>
      <c r="AU3" s="437"/>
      <c r="AV3" s="437"/>
      <c r="AW3" s="437"/>
      <c r="AX3" s="437"/>
      <c r="AY3" s="437"/>
      <c r="AZ3" s="437"/>
      <c r="BA3" s="437"/>
      <c r="BB3" s="437"/>
      <c r="BC3" s="437"/>
      <c r="BD3" s="437"/>
      <c r="BE3" s="437"/>
    </row>
    <row r="4" customFormat="false" ht="21.75" hidden="false" customHeight="true" outlineLevel="0" collapsed="false">
      <c r="A4" s="511" t="s">
        <v>352</v>
      </c>
      <c r="B4" s="511"/>
      <c r="C4" s="511"/>
      <c r="D4" s="511"/>
      <c r="E4" s="511"/>
      <c r="F4" s="511"/>
      <c r="G4" s="511"/>
      <c r="H4" s="511"/>
      <c r="I4" s="511"/>
      <c r="J4" s="511"/>
      <c r="K4" s="511"/>
      <c r="L4" s="511"/>
      <c r="M4" s="437"/>
      <c r="N4" s="437"/>
      <c r="O4" s="437"/>
      <c r="P4" s="437"/>
      <c r="Q4" s="437"/>
      <c r="R4" s="437"/>
      <c r="S4" s="437"/>
      <c r="T4" s="437"/>
      <c r="U4" s="437"/>
      <c r="V4" s="485"/>
      <c r="W4" s="485"/>
      <c r="X4" s="485"/>
      <c r="Y4" s="485"/>
      <c r="Z4" s="485"/>
      <c r="AA4" s="485"/>
      <c r="AB4" s="485"/>
      <c r="AC4" s="485"/>
      <c r="AD4" s="485"/>
      <c r="AE4" s="437"/>
      <c r="AF4" s="437"/>
      <c r="AG4" s="437"/>
      <c r="AH4" s="437"/>
      <c r="AI4" s="437"/>
      <c r="AJ4" s="437"/>
      <c r="AK4" s="437"/>
      <c r="AL4" s="437"/>
      <c r="AM4" s="437"/>
      <c r="AN4" s="437" t="s">
        <v>353</v>
      </c>
      <c r="AO4" s="437"/>
      <c r="AP4" s="437"/>
      <c r="AQ4" s="437"/>
      <c r="AR4" s="437"/>
      <c r="AS4" s="437"/>
      <c r="AT4" s="437"/>
      <c r="AU4" s="437"/>
      <c r="AV4" s="437"/>
      <c r="AW4" s="487" t="s">
        <v>349</v>
      </c>
      <c r="AX4" s="487"/>
      <c r="AY4" s="487"/>
      <c r="AZ4" s="487"/>
      <c r="BA4" s="487"/>
      <c r="BB4" s="487"/>
      <c r="BC4" s="487"/>
      <c r="BD4" s="487"/>
      <c r="BE4" s="487"/>
    </row>
    <row r="5" customFormat="false" ht="21.75" hidden="false" customHeight="true" outlineLevel="0" collapsed="false">
      <c r="A5" s="488"/>
      <c r="B5" s="512" t="s">
        <v>66</v>
      </c>
      <c r="C5" s="512"/>
      <c r="D5" s="512"/>
      <c r="E5" s="512"/>
      <c r="F5" s="512"/>
      <c r="G5" s="512"/>
      <c r="H5" s="512"/>
      <c r="I5" s="512"/>
      <c r="J5" s="512"/>
      <c r="K5" s="512"/>
      <c r="L5" s="432"/>
      <c r="M5" s="489" t="n">
        <v>33000</v>
      </c>
      <c r="N5" s="489"/>
      <c r="O5" s="489"/>
      <c r="P5" s="489"/>
      <c r="Q5" s="489"/>
      <c r="R5" s="489"/>
      <c r="S5" s="489"/>
      <c r="T5" s="489"/>
      <c r="U5" s="513"/>
      <c r="V5" s="491" t="n">
        <f aca="false">決算精算表!A21</f>
        <v>33000</v>
      </c>
      <c r="W5" s="491"/>
      <c r="X5" s="491"/>
      <c r="Y5" s="491"/>
      <c r="Z5" s="491"/>
      <c r="AA5" s="491"/>
      <c r="AB5" s="491"/>
      <c r="AC5" s="491"/>
      <c r="AD5" s="492"/>
      <c r="AE5" s="493" t="n">
        <f aca="false">V5-M5</f>
        <v>0</v>
      </c>
      <c r="AF5" s="493"/>
      <c r="AG5" s="493"/>
      <c r="AH5" s="493"/>
      <c r="AI5" s="493"/>
      <c r="AJ5" s="493"/>
      <c r="AK5" s="493"/>
      <c r="AL5" s="493"/>
      <c r="AM5" s="494"/>
      <c r="AN5" s="491" t="n">
        <v>33000</v>
      </c>
      <c r="AO5" s="491"/>
      <c r="AP5" s="491"/>
      <c r="AQ5" s="491"/>
      <c r="AR5" s="491"/>
      <c r="AS5" s="491"/>
      <c r="AT5" s="491"/>
      <c r="AU5" s="491"/>
      <c r="AV5" s="494"/>
      <c r="AW5" s="495" t="n">
        <f aca="false">V5-AN5</f>
        <v>0</v>
      </c>
      <c r="AX5" s="495"/>
      <c r="AY5" s="495"/>
      <c r="AZ5" s="495"/>
      <c r="BA5" s="495"/>
      <c r="BB5" s="495"/>
      <c r="BC5" s="495"/>
      <c r="BD5" s="495"/>
      <c r="BE5" s="496"/>
    </row>
    <row r="6" customFormat="false" ht="21.75" hidden="false" customHeight="true" outlineLevel="0" collapsed="false">
      <c r="A6" s="462"/>
      <c r="B6" s="463" t="s">
        <v>67</v>
      </c>
      <c r="C6" s="463"/>
      <c r="D6" s="463"/>
      <c r="E6" s="463"/>
      <c r="F6" s="463"/>
      <c r="G6" s="463"/>
      <c r="H6" s="463"/>
      <c r="I6" s="463"/>
      <c r="J6" s="463"/>
      <c r="K6" s="463"/>
      <c r="L6" s="466"/>
      <c r="M6" s="497" t="n">
        <v>11428000</v>
      </c>
      <c r="N6" s="497"/>
      <c r="O6" s="497"/>
      <c r="P6" s="497"/>
      <c r="Q6" s="497"/>
      <c r="R6" s="497"/>
      <c r="S6" s="497"/>
      <c r="T6" s="497"/>
      <c r="U6" s="514"/>
      <c r="V6" s="499" t="n">
        <f aca="false">決算精算表!A22</f>
        <v>10141337</v>
      </c>
      <c r="W6" s="499"/>
      <c r="X6" s="499"/>
      <c r="Y6" s="499"/>
      <c r="Z6" s="499"/>
      <c r="AA6" s="499"/>
      <c r="AB6" s="499"/>
      <c r="AC6" s="499"/>
      <c r="AD6" s="500"/>
      <c r="AE6" s="501" t="n">
        <f aca="false">V6-M6</f>
        <v>-1286663</v>
      </c>
      <c r="AF6" s="501"/>
      <c r="AG6" s="501"/>
      <c r="AH6" s="501"/>
      <c r="AI6" s="501"/>
      <c r="AJ6" s="501"/>
      <c r="AK6" s="501"/>
      <c r="AL6" s="501"/>
      <c r="AM6" s="502"/>
      <c r="AN6" s="499" t="n">
        <v>9574938</v>
      </c>
      <c r="AO6" s="499"/>
      <c r="AP6" s="499"/>
      <c r="AQ6" s="499"/>
      <c r="AR6" s="499"/>
      <c r="AS6" s="499"/>
      <c r="AT6" s="499"/>
      <c r="AU6" s="499"/>
      <c r="AV6" s="502"/>
      <c r="AW6" s="503" t="n">
        <f aca="false">V6-AN6</f>
        <v>566399</v>
      </c>
      <c r="AX6" s="503"/>
      <c r="AY6" s="503"/>
      <c r="AZ6" s="503"/>
      <c r="BA6" s="503"/>
      <c r="BB6" s="503"/>
      <c r="BC6" s="503"/>
      <c r="BD6" s="503"/>
      <c r="BE6" s="467"/>
    </row>
    <row r="7" customFormat="false" ht="21.75" hidden="false" customHeight="true" outlineLevel="0" collapsed="false">
      <c r="A7" s="488"/>
      <c r="B7" s="512" t="s">
        <v>68</v>
      </c>
      <c r="C7" s="512"/>
      <c r="D7" s="512"/>
      <c r="E7" s="512"/>
      <c r="F7" s="512"/>
      <c r="G7" s="512"/>
      <c r="H7" s="512"/>
      <c r="I7" s="512"/>
      <c r="J7" s="512"/>
      <c r="K7" s="512"/>
      <c r="L7" s="432"/>
      <c r="M7" s="497" t="n">
        <v>65000</v>
      </c>
      <c r="N7" s="497"/>
      <c r="O7" s="497"/>
      <c r="P7" s="497"/>
      <c r="Q7" s="497"/>
      <c r="R7" s="497"/>
      <c r="S7" s="497"/>
      <c r="T7" s="497"/>
      <c r="U7" s="513"/>
      <c r="V7" s="491" t="n">
        <f aca="false">決算精算表!A23</f>
        <v>9702</v>
      </c>
      <c r="W7" s="491"/>
      <c r="X7" s="491"/>
      <c r="Y7" s="491"/>
      <c r="Z7" s="491"/>
      <c r="AA7" s="491"/>
      <c r="AB7" s="491"/>
      <c r="AC7" s="491"/>
      <c r="AD7" s="492"/>
      <c r="AE7" s="501" t="n">
        <f aca="false">V7-M7</f>
        <v>-55298</v>
      </c>
      <c r="AF7" s="501"/>
      <c r="AG7" s="501"/>
      <c r="AH7" s="501"/>
      <c r="AI7" s="501"/>
      <c r="AJ7" s="501"/>
      <c r="AK7" s="501"/>
      <c r="AL7" s="501"/>
      <c r="AM7" s="502"/>
      <c r="AN7" s="491" t="n">
        <v>8305</v>
      </c>
      <c r="AO7" s="491"/>
      <c r="AP7" s="491"/>
      <c r="AQ7" s="491"/>
      <c r="AR7" s="491"/>
      <c r="AS7" s="491"/>
      <c r="AT7" s="491"/>
      <c r="AU7" s="491"/>
      <c r="AV7" s="502"/>
      <c r="AW7" s="503" t="n">
        <f aca="false">V7-AN7</f>
        <v>1397</v>
      </c>
      <c r="AX7" s="503"/>
      <c r="AY7" s="503"/>
      <c r="AZ7" s="503"/>
      <c r="BA7" s="503"/>
      <c r="BB7" s="503"/>
      <c r="BC7" s="503"/>
      <c r="BD7" s="503"/>
      <c r="BE7" s="496"/>
    </row>
    <row r="8" customFormat="false" ht="24.75" hidden="false" customHeight="true" outlineLevel="0" collapsed="false">
      <c r="A8" s="462"/>
      <c r="B8" s="463" t="s">
        <v>296</v>
      </c>
      <c r="C8" s="463"/>
      <c r="D8" s="463"/>
      <c r="E8" s="463"/>
      <c r="F8" s="463"/>
      <c r="G8" s="463"/>
      <c r="H8" s="463"/>
      <c r="I8" s="463"/>
      <c r="J8" s="463"/>
      <c r="K8" s="463"/>
      <c r="L8" s="466"/>
      <c r="M8" s="497" t="n">
        <v>1675000</v>
      </c>
      <c r="N8" s="497"/>
      <c r="O8" s="497"/>
      <c r="P8" s="497"/>
      <c r="Q8" s="497"/>
      <c r="R8" s="497"/>
      <c r="S8" s="497"/>
      <c r="T8" s="497"/>
      <c r="U8" s="514"/>
      <c r="V8" s="499" t="n">
        <f aca="false">決算精算表!A24</f>
        <v>343112</v>
      </c>
      <c r="W8" s="499"/>
      <c r="X8" s="499"/>
      <c r="Y8" s="499"/>
      <c r="Z8" s="499"/>
      <c r="AA8" s="499"/>
      <c r="AB8" s="499"/>
      <c r="AC8" s="499"/>
      <c r="AD8" s="500"/>
      <c r="AE8" s="501" t="n">
        <f aca="false">V8-M8</f>
        <v>-1331888</v>
      </c>
      <c r="AF8" s="501"/>
      <c r="AG8" s="501"/>
      <c r="AH8" s="501"/>
      <c r="AI8" s="501"/>
      <c r="AJ8" s="501"/>
      <c r="AK8" s="501"/>
      <c r="AL8" s="501"/>
      <c r="AM8" s="502"/>
      <c r="AN8" s="499" t="n">
        <v>560200</v>
      </c>
      <c r="AO8" s="499"/>
      <c r="AP8" s="499"/>
      <c r="AQ8" s="499"/>
      <c r="AR8" s="499"/>
      <c r="AS8" s="499"/>
      <c r="AT8" s="499"/>
      <c r="AU8" s="499"/>
      <c r="AV8" s="502"/>
      <c r="AW8" s="503" t="n">
        <f aca="false">V8-AN8</f>
        <v>-217088</v>
      </c>
      <c r="AX8" s="503"/>
      <c r="AY8" s="503"/>
      <c r="AZ8" s="503"/>
      <c r="BA8" s="503"/>
      <c r="BB8" s="503"/>
      <c r="BC8" s="503"/>
      <c r="BD8" s="503"/>
      <c r="BE8" s="467"/>
    </row>
    <row r="9" customFormat="false" ht="24.75" hidden="false" customHeight="true" outlineLevel="0" collapsed="false">
      <c r="A9" s="488"/>
      <c r="B9" s="512" t="s">
        <v>70</v>
      </c>
      <c r="C9" s="512"/>
      <c r="D9" s="512"/>
      <c r="E9" s="512"/>
      <c r="F9" s="512"/>
      <c r="G9" s="512"/>
      <c r="H9" s="512"/>
      <c r="I9" s="512"/>
      <c r="J9" s="512"/>
      <c r="K9" s="512"/>
      <c r="L9" s="432"/>
      <c r="M9" s="497" t="n">
        <v>17717000</v>
      </c>
      <c r="N9" s="497"/>
      <c r="O9" s="497"/>
      <c r="P9" s="497"/>
      <c r="Q9" s="497"/>
      <c r="R9" s="497"/>
      <c r="S9" s="497"/>
      <c r="T9" s="497"/>
      <c r="U9" s="513"/>
      <c r="V9" s="491" t="n">
        <f aca="false">決算精算表!A25</f>
        <v>13993113</v>
      </c>
      <c r="W9" s="491"/>
      <c r="X9" s="491"/>
      <c r="Y9" s="491"/>
      <c r="Z9" s="491"/>
      <c r="AA9" s="491"/>
      <c r="AB9" s="491"/>
      <c r="AC9" s="491"/>
      <c r="AD9" s="492"/>
      <c r="AE9" s="504" t="n">
        <f aca="false">V9-M9</f>
        <v>-3723887</v>
      </c>
      <c r="AF9" s="504"/>
      <c r="AG9" s="504"/>
      <c r="AH9" s="504"/>
      <c r="AI9" s="504"/>
      <c r="AJ9" s="504"/>
      <c r="AK9" s="504"/>
      <c r="AL9" s="504"/>
      <c r="AM9" s="505"/>
      <c r="AN9" s="491" t="n">
        <v>11253363</v>
      </c>
      <c r="AO9" s="491"/>
      <c r="AP9" s="491"/>
      <c r="AQ9" s="491"/>
      <c r="AR9" s="491"/>
      <c r="AS9" s="491"/>
      <c r="AT9" s="491"/>
      <c r="AU9" s="491"/>
      <c r="AV9" s="505"/>
      <c r="AW9" s="506" t="n">
        <f aca="false">V9-AN9</f>
        <v>2739750</v>
      </c>
      <c r="AX9" s="506"/>
      <c r="AY9" s="506"/>
      <c r="AZ9" s="506"/>
      <c r="BA9" s="506"/>
      <c r="BB9" s="506"/>
      <c r="BC9" s="506"/>
      <c r="BD9" s="506"/>
      <c r="BE9" s="496"/>
    </row>
    <row r="10" customFormat="false" ht="24.75" hidden="false" customHeight="true" outlineLevel="0" collapsed="false">
      <c r="A10" s="462"/>
      <c r="B10" s="463" t="s">
        <v>71</v>
      </c>
      <c r="C10" s="463"/>
      <c r="D10" s="463"/>
      <c r="E10" s="463"/>
      <c r="F10" s="463"/>
      <c r="G10" s="463"/>
      <c r="H10" s="463"/>
      <c r="I10" s="463"/>
      <c r="J10" s="463"/>
      <c r="K10" s="463"/>
      <c r="L10" s="466"/>
      <c r="M10" s="497" t="n">
        <v>5351000</v>
      </c>
      <c r="N10" s="497"/>
      <c r="O10" s="497"/>
      <c r="P10" s="497"/>
      <c r="Q10" s="497"/>
      <c r="R10" s="497"/>
      <c r="S10" s="497"/>
      <c r="T10" s="497"/>
      <c r="U10" s="514"/>
      <c r="V10" s="499" t="n">
        <f aca="false">決算精算表!A26</f>
        <v>4598066</v>
      </c>
      <c r="W10" s="499"/>
      <c r="X10" s="499"/>
      <c r="Y10" s="499"/>
      <c r="Z10" s="499"/>
      <c r="AA10" s="499"/>
      <c r="AB10" s="499"/>
      <c r="AC10" s="499"/>
      <c r="AD10" s="500"/>
      <c r="AE10" s="501" t="n">
        <f aca="false">V10-M10</f>
        <v>-752934</v>
      </c>
      <c r="AF10" s="501"/>
      <c r="AG10" s="501"/>
      <c r="AH10" s="501"/>
      <c r="AI10" s="501"/>
      <c r="AJ10" s="501"/>
      <c r="AK10" s="501"/>
      <c r="AL10" s="501"/>
      <c r="AM10" s="502"/>
      <c r="AN10" s="499" t="n">
        <v>4198740</v>
      </c>
      <c r="AO10" s="499"/>
      <c r="AP10" s="499"/>
      <c r="AQ10" s="499"/>
      <c r="AR10" s="499"/>
      <c r="AS10" s="499"/>
      <c r="AT10" s="499"/>
      <c r="AU10" s="499"/>
      <c r="AV10" s="502"/>
      <c r="AW10" s="506" t="n">
        <f aca="false">V10-AN10</f>
        <v>399326</v>
      </c>
      <c r="AX10" s="506"/>
      <c r="AY10" s="506"/>
      <c r="AZ10" s="506"/>
      <c r="BA10" s="506"/>
      <c r="BB10" s="506"/>
      <c r="BC10" s="506"/>
      <c r="BD10" s="506"/>
      <c r="BE10" s="467"/>
    </row>
    <row r="11" customFormat="false" ht="24.75" hidden="false" customHeight="true" outlineLevel="0" collapsed="false">
      <c r="A11" s="462"/>
      <c r="B11" s="463" t="s">
        <v>72</v>
      </c>
      <c r="C11" s="463"/>
      <c r="D11" s="463"/>
      <c r="E11" s="463"/>
      <c r="F11" s="463"/>
      <c r="G11" s="463"/>
      <c r="H11" s="463"/>
      <c r="I11" s="463"/>
      <c r="J11" s="463"/>
      <c r="K11" s="463"/>
      <c r="L11" s="466"/>
      <c r="M11" s="497" t="n">
        <v>11829000</v>
      </c>
      <c r="N11" s="497"/>
      <c r="O11" s="497"/>
      <c r="P11" s="497"/>
      <c r="Q11" s="497"/>
      <c r="R11" s="497"/>
      <c r="S11" s="497"/>
      <c r="T11" s="497"/>
      <c r="U11" s="514"/>
      <c r="V11" s="499" t="n">
        <f aca="false">決算精算表!A27</f>
        <v>10084438</v>
      </c>
      <c r="W11" s="499"/>
      <c r="X11" s="499"/>
      <c r="Y11" s="499"/>
      <c r="Z11" s="499"/>
      <c r="AA11" s="499"/>
      <c r="AB11" s="499"/>
      <c r="AC11" s="499"/>
      <c r="AD11" s="500"/>
      <c r="AE11" s="501" t="n">
        <f aca="false">V11-M11</f>
        <v>-1744562</v>
      </c>
      <c r="AF11" s="501"/>
      <c r="AG11" s="501"/>
      <c r="AH11" s="501"/>
      <c r="AI11" s="501"/>
      <c r="AJ11" s="501"/>
      <c r="AK11" s="501"/>
      <c r="AL11" s="501"/>
      <c r="AM11" s="502"/>
      <c r="AN11" s="499" t="n">
        <v>17036296</v>
      </c>
      <c r="AO11" s="499"/>
      <c r="AP11" s="499"/>
      <c r="AQ11" s="499"/>
      <c r="AR11" s="499"/>
      <c r="AS11" s="499"/>
      <c r="AT11" s="499"/>
      <c r="AU11" s="499"/>
      <c r="AV11" s="502"/>
      <c r="AW11" s="503" t="n">
        <f aca="false">V11-AN11</f>
        <v>-6951858</v>
      </c>
      <c r="AX11" s="503"/>
      <c r="AY11" s="503"/>
      <c r="AZ11" s="503"/>
      <c r="BA11" s="503"/>
      <c r="BB11" s="503"/>
      <c r="BC11" s="503"/>
      <c r="BD11" s="503"/>
      <c r="BE11" s="467"/>
    </row>
    <row r="12" customFormat="false" ht="24.75" hidden="true" customHeight="true" outlineLevel="0" collapsed="false">
      <c r="A12" s="462"/>
      <c r="B12" s="463" t="s">
        <v>356</v>
      </c>
      <c r="C12" s="463"/>
      <c r="D12" s="463"/>
      <c r="E12" s="463"/>
      <c r="F12" s="463"/>
      <c r="G12" s="463"/>
      <c r="H12" s="463"/>
      <c r="I12" s="463"/>
      <c r="J12" s="463"/>
      <c r="K12" s="463"/>
      <c r="L12" s="466"/>
      <c r="M12" s="497" t="n">
        <v>0</v>
      </c>
      <c r="N12" s="497"/>
      <c r="O12" s="497"/>
      <c r="P12" s="497"/>
      <c r="Q12" s="497"/>
      <c r="R12" s="497"/>
      <c r="S12" s="497"/>
      <c r="T12" s="497"/>
      <c r="U12" s="514"/>
      <c r="V12" s="499" t="n">
        <v>0</v>
      </c>
      <c r="W12" s="499"/>
      <c r="X12" s="499"/>
      <c r="Y12" s="499"/>
      <c r="Z12" s="499"/>
      <c r="AA12" s="499"/>
      <c r="AB12" s="499"/>
      <c r="AC12" s="499"/>
      <c r="AD12" s="500"/>
      <c r="AE12" s="501" t="n">
        <f aca="false">V12-M12</f>
        <v>0</v>
      </c>
      <c r="AF12" s="501"/>
      <c r="AG12" s="501"/>
      <c r="AH12" s="501"/>
      <c r="AI12" s="501"/>
      <c r="AJ12" s="501"/>
      <c r="AK12" s="501"/>
      <c r="AL12" s="501"/>
      <c r="AM12" s="502"/>
      <c r="AN12" s="499" t="n">
        <v>0</v>
      </c>
      <c r="AO12" s="499"/>
      <c r="AP12" s="499"/>
      <c r="AQ12" s="499"/>
      <c r="AR12" s="499"/>
      <c r="AS12" s="499"/>
      <c r="AT12" s="499"/>
      <c r="AU12" s="499"/>
      <c r="AV12" s="502"/>
      <c r="AW12" s="503" t="n">
        <f aca="false">V12-AN12</f>
        <v>0</v>
      </c>
      <c r="AX12" s="503"/>
      <c r="AY12" s="503"/>
      <c r="AZ12" s="503"/>
      <c r="BA12" s="503"/>
      <c r="BB12" s="503"/>
      <c r="BC12" s="503"/>
      <c r="BD12" s="503"/>
      <c r="BE12" s="467"/>
    </row>
    <row r="13" customFormat="false" ht="24.75" hidden="false" customHeight="true" outlineLevel="0" collapsed="false">
      <c r="A13" s="462"/>
      <c r="B13" s="463" t="s">
        <v>73</v>
      </c>
      <c r="C13" s="463"/>
      <c r="D13" s="463"/>
      <c r="E13" s="463"/>
      <c r="F13" s="463"/>
      <c r="G13" s="463"/>
      <c r="H13" s="463"/>
      <c r="I13" s="463"/>
      <c r="J13" s="463"/>
      <c r="K13" s="463"/>
      <c r="L13" s="466"/>
      <c r="M13" s="497" t="n">
        <v>122000</v>
      </c>
      <c r="N13" s="497"/>
      <c r="O13" s="497"/>
      <c r="P13" s="497"/>
      <c r="Q13" s="497"/>
      <c r="R13" s="497"/>
      <c r="S13" s="497"/>
      <c r="T13" s="497"/>
      <c r="U13" s="514"/>
      <c r="V13" s="499" t="n">
        <f aca="false">決算精算表!A28</f>
        <v>103921</v>
      </c>
      <c r="W13" s="499"/>
      <c r="X13" s="499"/>
      <c r="Y13" s="499"/>
      <c r="Z13" s="499"/>
      <c r="AA13" s="499"/>
      <c r="AB13" s="499"/>
      <c r="AC13" s="499"/>
      <c r="AD13" s="500"/>
      <c r="AE13" s="501" t="n">
        <f aca="false">V13-M13</f>
        <v>-18079</v>
      </c>
      <c r="AF13" s="501"/>
      <c r="AG13" s="501"/>
      <c r="AH13" s="501"/>
      <c r="AI13" s="501"/>
      <c r="AJ13" s="501"/>
      <c r="AK13" s="501"/>
      <c r="AL13" s="501"/>
      <c r="AM13" s="502"/>
      <c r="AN13" s="499" t="n">
        <v>123594</v>
      </c>
      <c r="AO13" s="499"/>
      <c r="AP13" s="499"/>
      <c r="AQ13" s="499"/>
      <c r="AR13" s="499"/>
      <c r="AS13" s="499"/>
      <c r="AT13" s="499"/>
      <c r="AU13" s="499"/>
      <c r="AV13" s="502"/>
      <c r="AW13" s="503" t="n">
        <f aca="false">V13-AN13</f>
        <v>-19673</v>
      </c>
      <c r="AX13" s="503"/>
      <c r="AY13" s="503"/>
      <c r="AZ13" s="503"/>
      <c r="BA13" s="503"/>
      <c r="BB13" s="503"/>
      <c r="BC13" s="503"/>
      <c r="BD13" s="503"/>
      <c r="BE13" s="467"/>
    </row>
    <row r="14" customFormat="false" ht="24.75" hidden="false" customHeight="true" outlineLevel="0" collapsed="false">
      <c r="A14" s="462"/>
      <c r="B14" s="463" t="s">
        <v>74</v>
      </c>
      <c r="C14" s="463"/>
      <c r="D14" s="463"/>
      <c r="E14" s="463"/>
      <c r="F14" s="463"/>
      <c r="G14" s="463"/>
      <c r="H14" s="463"/>
      <c r="I14" s="463"/>
      <c r="J14" s="463"/>
      <c r="K14" s="463"/>
      <c r="L14" s="466"/>
      <c r="M14" s="497" t="n">
        <v>0</v>
      </c>
      <c r="N14" s="497"/>
      <c r="O14" s="497"/>
      <c r="P14" s="497"/>
      <c r="Q14" s="497"/>
      <c r="R14" s="497"/>
      <c r="S14" s="497"/>
      <c r="T14" s="497"/>
      <c r="U14" s="514"/>
      <c r="V14" s="499" t="n">
        <f aca="false">決算精算表!A29</f>
        <v>0</v>
      </c>
      <c r="W14" s="499"/>
      <c r="X14" s="499"/>
      <c r="Y14" s="499"/>
      <c r="Z14" s="499"/>
      <c r="AA14" s="499"/>
      <c r="AB14" s="499"/>
      <c r="AC14" s="499"/>
      <c r="AD14" s="500"/>
      <c r="AE14" s="501" t="n">
        <f aca="false">V14-M14</f>
        <v>0</v>
      </c>
      <c r="AF14" s="501"/>
      <c r="AG14" s="501"/>
      <c r="AH14" s="501"/>
      <c r="AI14" s="501"/>
      <c r="AJ14" s="501"/>
      <c r="AK14" s="501"/>
      <c r="AL14" s="501"/>
      <c r="AM14" s="502"/>
      <c r="AN14" s="499" t="n">
        <v>0</v>
      </c>
      <c r="AO14" s="499"/>
      <c r="AP14" s="499"/>
      <c r="AQ14" s="499"/>
      <c r="AR14" s="499"/>
      <c r="AS14" s="499"/>
      <c r="AT14" s="499"/>
      <c r="AU14" s="499"/>
      <c r="AV14" s="502"/>
      <c r="AW14" s="503" t="n">
        <f aca="false">V14-AN14</f>
        <v>0</v>
      </c>
      <c r="AX14" s="503"/>
      <c r="AY14" s="503"/>
      <c r="AZ14" s="503"/>
      <c r="BA14" s="503"/>
      <c r="BB14" s="503"/>
      <c r="BC14" s="503"/>
      <c r="BD14" s="503"/>
      <c r="BE14" s="467"/>
    </row>
    <row r="15" customFormat="false" ht="24.75" hidden="false" customHeight="true" outlineLevel="0" collapsed="false">
      <c r="A15" s="488"/>
      <c r="B15" s="512" t="s">
        <v>75</v>
      </c>
      <c r="C15" s="512"/>
      <c r="D15" s="512"/>
      <c r="E15" s="512"/>
      <c r="F15" s="512"/>
      <c r="G15" s="512"/>
      <c r="H15" s="512"/>
      <c r="I15" s="512"/>
      <c r="J15" s="512"/>
      <c r="K15" s="512"/>
      <c r="L15" s="432"/>
      <c r="M15" s="497" t="n">
        <v>9589000</v>
      </c>
      <c r="N15" s="497"/>
      <c r="O15" s="497"/>
      <c r="P15" s="497"/>
      <c r="Q15" s="497"/>
      <c r="R15" s="497"/>
      <c r="S15" s="497"/>
      <c r="T15" s="497"/>
      <c r="U15" s="513"/>
      <c r="V15" s="491" t="n">
        <f aca="false">決算精算表!A30</f>
        <v>9430768</v>
      </c>
      <c r="W15" s="491"/>
      <c r="X15" s="491"/>
      <c r="Y15" s="491"/>
      <c r="Z15" s="491"/>
      <c r="AA15" s="491"/>
      <c r="AB15" s="491"/>
      <c r="AC15" s="491"/>
      <c r="AD15" s="492"/>
      <c r="AE15" s="504" t="n">
        <f aca="false">V15-M15</f>
        <v>-158232</v>
      </c>
      <c r="AF15" s="504"/>
      <c r="AG15" s="504"/>
      <c r="AH15" s="504"/>
      <c r="AI15" s="504"/>
      <c r="AJ15" s="504"/>
      <c r="AK15" s="504"/>
      <c r="AL15" s="504"/>
      <c r="AM15" s="505"/>
      <c r="AN15" s="491" t="n">
        <v>7576231</v>
      </c>
      <c r="AO15" s="491"/>
      <c r="AP15" s="491"/>
      <c r="AQ15" s="491"/>
      <c r="AR15" s="491"/>
      <c r="AS15" s="491"/>
      <c r="AT15" s="491"/>
      <c r="AU15" s="491"/>
      <c r="AV15" s="505"/>
      <c r="AW15" s="506" t="n">
        <f aca="false">V15-AN15</f>
        <v>1854537</v>
      </c>
      <c r="AX15" s="506"/>
      <c r="AY15" s="506"/>
      <c r="AZ15" s="506"/>
      <c r="BA15" s="506"/>
      <c r="BB15" s="506"/>
      <c r="BC15" s="506"/>
      <c r="BD15" s="506"/>
      <c r="BE15" s="496"/>
    </row>
    <row r="16" customFormat="false" ht="24.75" hidden="false" customHeight="true" outlineLevel="0" collapsed="false">
      <c r="A16" s="462"/>
      <c r="B16" s="463" t="s">
        <v>76</v>
      </c>
      <c r="C16" s="463"/>
      <c r="D16" s="463"/>
      <c r="E16" s="463"/>
      <c r="F16" s="463"/>
      <c r="G16" s="463"/>
      <c r="H16" s="463"/>
      <c r="I16" s="463"/>
      <c r="J16" s="463"/>
      <c r="K16" s="463"/>
      <c r="L16" s="466"/>
      <c r="M16" s="497" t="n">
        <v>2772000</v>
      </c>
      <c r="N16" s="497"/>
      <c r="O16" s="497"/>
      <c r="P16" s="497"/>
      <c r="Q16" s="497"/>
      <c r="R16" s="497"/>
      <c r="S16" s="497"/>
      <c r="T16" s="497"/>
      <c r="U16" s="514"/>
      <c r="V16" s="499" t="n">
        <f aca="false">決算精算表!A31</f>
        <v>1884714</v>
      </c>
      <c r="W16" s="499"/>
      <c r="X16" s="499"/>
      <c r="Y16" s="499"/>
      <c r="Z16" s="499"/>
      <c r="AA16" s="499"/>
      <c r="AB16" s="499"/>
      <c r="AC16" s="499"/>
      <c r="AD16" s="500"/>
      <c r="AE16" s="501" t="n">
        <f aca="false">V16-M16</f>
        <v>-887286</v>
      </c>
      <c r="AF16" s="501"/>
      <c r="AG16" s="501"/>
      <c r="AH16" s="501"/>
      <c r="AI16" s="501"/>
      <c r="AJ16" s="501"/>
      <c r="AK16" s="501"/>
      <c r="AL16" s="501"/>
      <c r="AM16" s="502"/>
      <c r="AN16" s="499" t="n">
        <v>2063463</v>
      </c>
      <c r="AO16" s="499"/>
      <c r="AP16" s="499"/>
      <c r="AQ16" s="499"/>
      <c r="AR16" s="499"/>
      <c r="AS16" s="499"/>
      <c r="AT16" s="499"/>
      <c r="AU16" s="499"/>
      <c r="AV16" s="502"/>
      <c r="AW16" s="503" t="n">
        <f aca="false">V16-AN16</f>
        <v>-178749</v>
      </c>
      <c r="AX16" s="503"/>
      <c r="AY16" s="503"/>
      <c r="AZ16" s="503"/>
      <c r="BA16" s="503"/>
      <c r="BB16" s="503"/>
      <c r="BC16" s="503"/>
      <c r="BD16" s="503"/>
      <c r="BE16" s="467"/>
    </row>
    <row r="17" customFormat="false" ht="24.75" hidden="false" customHeight="true" outlineLevel="0" collapsed="false">
      <c r="A17" s="462"/>
      <c r="B17" s="463" t="s">
        <v>357</v>
      </c>
      <c r="C17" s="463"/>
      <c r="D17" s="463"/>
      <c r="E17" s="463"/>
      <c r="F17" s="463"/>
      <c r="G17" s="463"/>
      <c r="H17" s="463"/>
      <c r="I17" s="463"/>
      <c r="J17" s="463"/>
      <c r="K17" s="463"/>
      <c r="L17" s="466"/>
      <c r="M17" s="497" t="n">
        <v>0</v>
      </c>
      <c r="N17" s="497"/>
      <c r="O17" s="497"/>
      <c r="P17" s="497"/>
      <c r="Q17" s="497"/>
      <c r="R17" s="497"/>
      <c r="S17" s="497"/>
      <c r="T17" s="497"/>
      <c r="U17" s="514"/>
      <c r="V17" s="499" t="n">
        <v>0</v>
      </c>
      <c r="W17" s="499"/>
      <c r="X17" s="499"/>
      <c r="Y17" s="499"/>
      <c r="Z17" s="499"/>
      <c r="AA17" s="499"/>
      <c r="AB17" s="499"/>
      <c r="AC17" s="499"/>
      <c r="AD17" s="500"/>
      <c r="AE17" s="501" t="n">
        <f aca="false">V17-M17</f>
        <v>0</v>
      </c>
      <c r="AF17" s="501"/>
      <c r="AG17" s="501"/>
      <c r="AH17" s="501"/>
      <c r="AI17" s="501"/>
      <c r="AJ17" s="501"/>
      <c r="AK17" s="501"/>
      <c r="AL17" s="501"/>
      <c r="AM17" s="502"/>
      <c r="AN17" s="499" t="n">
        <v>0</v>
      </c>
      <c r="AO17" s="499"/>
      <c r="AP17" s="499"/>
      <c r="AQ17" s="499"/>
      <c r="AR17" s="499"/>
      <c r="AS17" s="499"/>
      <c r="AT17" s="499"/>
      <c r="AU17" s="499"/>
      <c r="AV17" s="502"/>
      <c r="AW17" s="503" t="n">
        <f aca="false">V17-AN17</f>
        <v>0</v>
      </c>
      <c r="AX17" s="503"/>
      <c r="AY17" s="503"/>
      <c r="AZ17" s="503"/>
      <c r="BA17" s="503"/>
      <c r="BB17" s="503"/>
      <c r="BC17" s="503"/>
      <c r="BD17" s="503"/>
      <c r="BE17" s="467"/>
    </row>
    <row r="18" customFormat="false" ht="24.75" hidden="true" customHeight="true" outlineLevel="0" collapsed="false">
      <c r="A18" s="488"/>
      <c r="B18" s="512" t="s">
        <v>358</v>
      </c>
      <c r="C18" s="512"/>
      <c r="D18" s="512"/>
      <c r="E18" s="512"/>
      <c r="F18" s="512"/>
      <c r="G18" s="512"/>
      <c r="H18" s="512"/>
      <c r="I18" s="512"/>
      <c r="J18" s="512"/>
      <c r="K18" s="512"/>
      <c r="L18" s="432"/>
      <c r="M18" s="489"/>
      <c r="N18" s="489"/>
      <c r="O18" s="489"/>
      <c r="P18" s="489"/>
      <c r="Q18" s="489"/>
      <c r="R18" s="489"/>
      <c r="S18" s="489"/>
      <c r="T18" s="489"/>
      <c r="U18" s="513"/>
      <c r="V18" s="491"/>
      <c r="W18" s="491"/>
      <c r="X18" s="491"/>
      <c r="Y18" s="491"/>
      <c r="Z18" s="491"/>
      <c r="AA18" s="491"/>
      <c r="AB18" s="491"/>
      <c r="AC18" s="491"/>
      <c r="AD18" s="492"/>
      <c r="AE18" s="501" t="n">
        <f aca="false">V18-M18</f>
        <v>0</v>
      </c>
      <c r="AF18" s="501"/>
      <c r="AG18" s="501"/>
      <c r="AH18" s="501"/>
      <c r="AI18" s="501"/>
      <c r="AJ18" s="501"/>
      <c r="AK18" s="501"/>
      <c r="AL18" s="501"/>
      <c r="AM18" s="502"/>
      <c r="AN18" s="491"/>
      <c r="AO18" s="491"/>
      <c r="AP18" s="491"/>
      <c r="AQ18" s="491"/>
      <c r="AR18" s="491"/>
      <c r="AS18" s="491"/>
      <c r="AT18" s="491"/>
      <c r="AU18" s="491"/>
      <c r="AV18" s="502"/>
      <c r="AW18" s="503" t="n">
        <f aca="false">V18-AN18</f>
        <v>0</v>
      </c>
      <c r="AX18" s="503"/>
      <c r="AY18" s="503"/>
      <c r="AZ18" s="503"/>
      <c r="BA18" s="503"/>
      <c r="BB18" s="503"/>
      <c r="BC18" s="503"/>
      <c r="BD18" s="503"/>
      <c r="BE18" s="496"/>
    </row>
    <row r="19" customFormat="false" ht="24.75" hidden="false" customHeight="true" outlineLevel="0" collapsed="false">
      <c r="A19" s="462"/>
      <c r="B19" s="463" t="s">
        <v>77</v>
      </c>
      <c r="C19" s="463"/>
      <c r="D19" s="463"/>
      <c r="E19" s="463"/>
      <c r="F19" s="463"/>
      <c r="G19" s="463"/>
      <c r="H19" s="463"/>
      <c r="I19" s="463"/>
      <c r="J19" s="463"/>
      <c r="K19" s="463"/>
      <c r="L19" s="466"/>
      <c r="M19" s="497" t="n">
        <v>2718000</v>
      </c>
      <c r="N19" s="497"/>
      <c r="O19" s="497"/>
      <c r="P19" s="497"/>
      <c r="Q19" s="497"/>
      <c r="R19" s="497"/>
      <c r="S19" s="497"/>
      <c r="T19" s="497"/>
      <c r="U19" s="514"/>
      <c r="V19" s="499" t="n">
        <f aca="false">決算精算表!A32</f>
        <v>2453880</v>
      </c>
      <c r="W19" s="499"/>
      <c r="X19" s="499"/>
      <c r="Y19" s="499"/>
      <c r="Z19" s="499"/>
      <c r="AA19" s="499"/>
      <c r="AB19" s="499"/>
      <c r="AC19" s="499"/>
      <c r="AD19" s="500"/>
      <c r="AE19" s="501" t="n">
        <f aca="false">V19-M19</f>
        <v>-264120</v>
      </c>
      <c r="AF19" s="501"/>
      <c r="AG19" s="501"/>
      <c r="AH19" s="501"/>
      <c r="AI19" s="501"/>
      <c r="AJ19" s="501"/>
      <c r="AK19" s="501"/>
      <c r="AL19" s="501"/>
      <c r="AM19" s="502"/>
      <c r="AN19" s="499" t="n">
        <v>2286386</v>
      </c>
      <c r="AO19" s="499"/>
      <c r="AP19" s="499"/>
      <c r="AQ19" s="499"/>
      <c r="AR19" s="499"/>
      <c r="AS19" s="499"/>
      <c r="AT19" s="499"/>
      <c r="AU19" s="499"/>
      <c r="AV19" s="502"/>
      <c r="AW19" s="503" t="n">
        <f aca="false">V19-AN19</f>
        <v>167494</v>
      </c>
      <c r="AX19" s="503"/>
      <c r="AY19" s="503"/>
      <c r="AZ19" s="503"/>
      <c r="BA19" s="503"/>
      <c r="BB19" s="503"/>
      <c r="BC19" s="503"/>
      <c r="BD19" s="503"/>
      <c r="BE19" s="467"/>
    </row>
    <row r="20" customFormat="false" ht="24.75" hidden="false" customHeight="true" outlineLevel="0" collapsed="false">
      <c r="A20" s="488"/>
      <c r="B20" s="512" t="s">
        <v>78</v>
      </c>
      <c r="C20" s="512"/>
      <c r="D20" s="512"/>
      <c r="E20" s="512"/>
      <c r="F20" s="512"/>
      <c r="G20" s="512"/>
      <c r="H20" s="512"/>
      <c r="I20" s="512"/>
      <c r="J20" s="512"/>
      <c r="K20" s="512"/>
      <c r="L20" s="432"/>
      <c r="M20" s="489" t="n">
        <v>14091000</v>
      </c>
      <c r="N20" s="489"/>
      <c r="O20" s="489"/>
      <c r="P20" s="489"/>
      <c r="Q20" s="489"/>
      <c r="R20" s="489"/>
      <c r="S20" s="489"/>
      <c r="T20" s="489"/>
      <c r="U20" s="513"/>
      <c r="V20" s="491" t="n">
        <f aca="false">決算精算表!A33</f>
        <v>13718352</v>
      </c>
      <c r="W20" s="491"/>
      <c r="X20" s="491"/>
      <c r="Y20" s="491"/>
      <c r="Z20" s="491"/>
      <c r="AA20" s="491"/>
      <c r="AB20" s="491"/>
      <c r="AC20" s="491"/>
      <c r="AD20" s="492"/>
      <c r="AE20" s="501" t="n">
        <f aca="false">V20-M20</f>
        <v>-372648</v>
      </c>
      <c r="AF20" s="501"/>
      <c r="AG20" s="501"/>
      <c r="AH20" s="501"/>
      <c r="AI20" s="501"/>
      <c r="AJ20" s="501"/>
      <c r="AK20" s="501"/>
      <c r="AL20" s="501"/>
      <c r="AM20" s="502"/>
      <c r="AN20" s="491" t="n">
        <v>9334157</v>
      </c>
      <c r="AO20" s="491"/>
      <c r="AP20" s="491"/>
      <c r="AQ20" s="491"/>
      <c r="AR20" s="491"/>
      <c r="AS20" s="491"/>
      <c r="AT20" s="491"/>
      <c r="AU20" s="491"/>
      <c r="AV20" s="502"/>
      <c r="AW20" s="503" t="n">
        <f aca="false">V20-AN20</f>
        <v>4384195</v>
      </c>
      <c r="AX20" s="503"/>
      <c r="AY20" s="503"/>
      <c r="AZ20" s="503"/>
      <c r="BA20" s="503"/>
      <c r="BB20" s="503"/>
      <c r="BC20" s="503"/>
      <c r="BD20" s="503"/>
      <c r="BE20" s="496"/>
    </row>
    <row r="21" customFormat="false" ht="24.75" hidden="false" customHeight="true" outlineLevel="0" collapsed="false">
      <c r="A21" s="462"/>
      <c r="B21" s="515" t="s">
        <v>79</v>
      </c>
      <c r="C21" s="515"/>
      <c r="D21" s="515"/>
      <c r="E21" s="515"/>
      <c r="F21" s="515"/>
      <c r="G21" s="515"/>
      <c r="H21" s="515"/>
      <c r="I21" s="515"/>
      <c r="J21" s="515"/>
      <c r="K21" s="515"/>
      <c r="L21" s="466"/>
      <c r="M21" s="497" t="n">
        <v>54153000</v>
      </c>
      <c r="N21" s="497"/>
      <c r="O21" s="497"/>
      <c r="P21" s="497"/>
      <c r="Q21" s="497"/>
      <c r="R21" s="497"/>
      <c r="S21" s="497"/>
      <c r="T21" s="497"/>
      <c r="U21" s="514"/>
      <c r="V21" s="499" t="n">
        <f aca="false">決算精算表!A34</f>
        <v>54153000</v>
      </c>
      <c r="W21" s="499"/>
      <c r="X21" s="499"/>
      <c r="Y21" s="499"/>
      <c r="Z21" s="499"/>
      <c r="AA21" s="499"/>
      <c r="AB21" s="499"/>
      <c r="AC21" s="499"/>
      <c r="AD21" s="500"/>
      <c r="AE21" s="501" t="n">
        <f aca="false">V21-M21</f>
        <v>0</v>
      </c>
      <c r="AF21" s="501"/>
      <c r="AG21" s="501"/>
      <c r="AH21" s="501"/>
      <c r="AI21" s="501"/>
      <c r="AJ21" s="501"/>
      <c r="AK21" s="501"/>
      <c r="AL21" s="501"/>
      <c r="AM21" s="502"/>
      <c r="AN21" s="499" t="n">
        <v>47222000</v>
      </c>
      <c r="AO21" s="499"/>
      <c r="AP21" s="499"/>
      <c r="AQ21" s="499"/>
      <c r="AR21" s="499"/>
      <c r="AS21" s="499"/>
      <c r="AT21" s="499"/>
      <c r="AU21" s="499"/>
      <c r="AV21" s="502"/>
      <c r="AW21" s="503" t="n">
        <f aca="false">V21-AN21</f>
        <v>6931000</v>
      </c>
      <c r="AX21" s="503"/>
      <c r="AY21" s="503"/>
      <c r="AZ21" s="503"/>
      <c r="BA21" s="503"/>
      <c r="BB21" s="503"/>
      <c r="BC21" s="503"/>
      <c r="BD21" s="503"/>
      <c r="BE21" s="467"/>
    </row>
    <row r="22" customFormat="false" ht="24.75" hidden="true" customHeight="true" outlineLevel="0" collapsed="false">
      <c r="A22" s="462"/>
      <c r="B22" s="463" t="s">
        <v>359</v>
      </c>
      <c r="C22" s="463"/>
      <c r="D22" s="463"/>
      <c r="E22" s="463"/>
      <c r="F22" s="463"/>
      <c r="G22" s="463"/>
      <c r="H22" s="463"/>
      <c r="I22" s="463"/>
      <c r="J22" s="463"/>
      <c r="K22" s="463"/>
      <c r="L22" s="466"/>
      <c r="M22" s="497"/>
      <c r="N22" s="497"/>
      <c r="O22" s="497"/>
      <c r="P22" s="497"/>
      <c r="Q22" s="497"/>
      <c r="R22" s="497"/>
      <c r="S22" s="497"/>
      <c r="T22" s="497"/>
      <c r="U22" s="514"/>
      <c r="V22" s="499"/>
      <c r="W22" s="499"/>
      <c r="X22" s="499"/>
      <c r="Y22" s="499"/>
      <c r="Z22" s="499"/>
      <c r="AA22" s="499"/>
      <c r="AB22" s="499"/>
      <c r="AC22" s="499"/>
      <c r="AD22" s="500"/>
      <c r="AE22" s="501" t="n">
        <f aca="false">V22-M22</f>
        <v>0</v>
      </c>
      <c r="AF22" s="501"/>
      <c r="AG22" s="501"/>
      <c r="AH22" s="501"/>
      <c r="AI22" s="501"/>
      <c r="AJ22" s="501"/>
      <c r="AK22" s="501"/>
      <c r="AL22" s="501"/>
      <c r="AM22" s="502"/>
      <c r="AN22" s="499"/>
      <c r="AO22" s="499"/>
      <c r="AP22" s="499"/>
      <c r="AQ22" s="499"/>
      <c r="AR22" s="499"/>
      <c r="AS22" s="499"/>
      <c r="AT22" s="499"/>
      <c r="AU22" s="499"/>
      <c r="AV22" s="502"/>
      <c r="AW22" s="503" t="n">
        <f aca="false">V22-AN22</f>
        <v>0</v>
      </c>
      <c r="AX22" s="503"/>
      <c r="AY22" s="503"/>
      <c r="AZ22" s="503"/>
      <c r="BA22" s="503"/>
      <c r="BB22" s="503"/>
      <c r="BC22" s="503"/>
      <c r="BD22" s="503"/>
      <c r="BE22" s="467"/>
    </row>
    <row r="23" customFormat="false" ht="24.75" hidden="false" customHeight="true" outlineLevel="0" collapsed="false">
      <c r="A23" s="462"/>
      <c r="B23" s="463" t="s">
        <v>131</v>
      </c>
      <c r="C23" s="463"/>
      <c r="D23" s="463"/>
      <c r="E23" s="463"/>
      <c r="F23" s="463"/>
      <c r="G23" s="463"/>
      <c r="H23" s="463"/>
      <c r="I23" s="463"/>
      <c r="J23" s="463"/>
      <c r="K23" s="463"/>
      <c r="L23" s="466"/>
      <c r="M23" s="497" t="n">
        <v>177000</v>
      </c>
      <c r="N23" s="497"/>
      <c r="O23" s="497"/>
      <c r="P23" s="497"/>
      <c r="Q23" s="497"/>
      <c r="R23" s="497"/>
      <c r="S23" s="497"/>
      <c r="T23" s="497"/>
      <c r="U23" s="514"/>
      <c r="V23" s="499" t="n">
        <f aca="false">決算精算表!A35</f>
        <v>176556</v>
      </c>
      <c r="W23" s="499"/>
      <c r="X23" s="499"/>
      <c r="Y23" s="499"/>
      <c r="Z23" s="499"/>
      <c r="AA23" s="499"/>
      <c r="AB23" s="499"/>
      <c r="AC23" s="499"/>
      <c r="AD23" s="500"/>
      <c r="AE23" s="501" t="n">
        <f aca="false">V23-M23</f>
        <v>-444</v>
      </c>
      <c r="AF23" s="501"/>
      <c r="AG23" s="501"/>
      <c r="AH23" s="501"/>
      <c r="AI23" s="501"/>
      <c r="AJ23" s="501"/>
      <c r="AK23" s="501"/>
      <c r="AL23" s="501"/>
      <c r="AM23" s="502"/>
      <c r="AN23" s="499" t="n">
        <v>176556</v>
      </c>
      <c r="AO23" s="499"/>
      <c r="AP23" s="499"/>
      <c r="AQ23" s="499"/>
      <c r="AR23" s="499"/>
      <c r="AS23" s="499"/>
      <c r="AT23" s="499"/>
      <c r="AU23" s="499"/>
      <c r="AV23" s="502"/>
      <c r="AW23" s="503" t="n">
        <f aca="false">V23-AN23</f>
        <v>0</v>
      </c>
      <c r="AX23" s="503"/>
      <c r="AY23" s="503"/>
      <c r="AZ23" s="503"/>
      <c r="BA23" s="503"/>
      <c r="BB23" s="503"/>
      <c r="BC23" s="503"/>
      <c r="BD23" s="503"/>
      <c r="BE23" s="467"/>
    </row>
    <row r="24" customFormat="false" ht="24.75" hidden="true" customHeight="true" outlineLevel="0" collapsed="false">
      <c r="A24" s="462"/>
      <c r="B24" s="463" t="s">
        <v>133</v>
      </c>
      <c r="C24" s="463"/>
      <c r="D24" s="463"/>
      <c r="E24" s="463"/>
      <c r="F24" s="463"/>
      <c r="G24" s="463"/>
      <c r="H24" s="463"/>
      <c r="I24" s="463"/>
      <c r="J24" s="463"/>
      <c r="K24" s="463"/>
      <c r="L24" s="466"/>
      <c r="M24" s="497" t="n">
        <v>0</v>
      </c>
      <c r="N24" s="497"/>
      <c r="O24" s="497"/>
      <c r="P24" s="497"/>
      <c r="Q24" s="497"/>
      <c r="R24" s="497"/>
      <c r="S24" s="497"/>
      <c r="T24" s="497"/>
      <c r="U24" s="514"/>
      <c r="V24" s="499" t="n">
        <f aca="false">決算精算表!A37</f>
        <v>0</v>
      </c>
      <c r="W24" s="499"/>
      <c r="X24" s="499"/>
      <c r="Y24" s="499"/>
      <c r="Z24" s="499"/>
      <c r="AA24" s="499"/>
      <c r="AB24" s="499"/>
      <c r="AC24" s="499"/>
      <c r="AD24" s="500"/>
      <c r="AE24" s="501" t="n">
        <f aca="false">V24-M24</f>
        <v>0</v>
      </c>
      <c r="AF24" s="501"/>
      <c r="AG24" s="501"/>
      <c r="AH24" s="501"/>
      <c r="AI24" s="501"/>
      <c r="AJ24" s="501"/>
      <c r="AK24" s="501"/>
      <c r="AL24" s="501"/>
      <c r="AM24" s="502"/>
      <c r="AN24" s="499" t="n">
        <v>0</v>
      </c>
      <c r="AO24" s="499"/>
      <c r="AP24" s="499"/>
      <c r="AQ24" s="499"/>
      <c r="AR24" s="499"/>
      <c r="AS24" s="499"/>
      <c r="AT24" s="499"/>
      <c r="AU24" s="499"/>
      <c r="AV24" s="502"/>
      <c r="AW24" s="503" t="n">
        <f aca="false">V24-AN24</f>
        <v>0</v>
      </c>
      <c r="AX24" s="503"/>
      <c r="AY24" s="503"/>
      <c r="AZ24" s="503"/>
      <c r="BA24" s="503"/>
      <c r="BB24" s="503"/>
      <c r="BC24" s="503"/>
      <c r="BD24" s="503"/>
      <c r="BE24" s="467"/>
    </row>
    <row r="25" customFormat="false" ht="24.75" hidden="false" customHeight="true" outlineLevel="0" collapsed="false">
      <c r="A25" s="462"/>
      <c r="B25" s="463" t="s">
        <v>132</v>
      </c>
      <c r="C25" s="463"/>
      <c r="D25" s="463"/>
      <c r="E25" s="463"/>
      <c r="F25" s="463"/>
      <c r="G25" s="463"/>
      <c r="H25" s="463"/>
      <c r="I25" s="463"/>
      <c r="J25" s="463"/>
      <c r="K25" s="463"/>
      <c r="L25" s="466"/>
      <c r="M25" s="497" t="n">
        <v>0</v>
      </c>
      <c r="N25" s="497"/>
      <c r="O25" s="497"/>
      <c r="P25" s="497"/>
      <c r="Q25" s="497"/>
      <c r="R25" s="497"/>
      <c r="S25" s="497"/>
      <c r="T25" s="497"/>
      <c r="U25" s="514"/>
      <c r="V25" s="499" t="n">
        <f aca="false">決算精算表!A36</f>
        <v>0</v>
      </c>
      <c r="W25" s="499"/>
      <c r="X25" s="499"/>
      <c r="Y25" s="499"/>
      <c r="Z25" s="499"/>
      <c r="AA25" s="499"/>
      <c r="AB25" s="499"/>
      <c r="AC25" s="499"/>
      <c r="AD25" s="500"/>
      <c r="AE25" s="501" t="n">
        <f aca="false">V25-M25</f>
        <v>0</v>
      </c>
      <c r="AF25" s="501"/>
      <c r="AG25" s="501"/>
      <c r="AH25" s="501"/>
      <c r="AI25" s="501"/>
      <c r="AJ25" s="501"/>
      <c r="AK25" s="501"/>
      <c r="AL25" s="501"/>
      <c r="AM25" s="502"/>
      <c r="AN25" s="499" t="n">
        <v>1</v>
      </c>
      <c r="AO25" s="499"/>
      <c r="AP25" s="499"/>
      <c r="AQ25" s="499"/>
      <c r="AR25" s="499"/>
      <c r="AS25" s="499"/>
      <c r="AT25" s="499"/>
      <c r="AU25" s="499"/>
      <c r="AV25" s="502"/>
      <c r="AW25" s="503" t="n">
        <f aca="false">V25-AN25</f>
        <v>-1</v>
      </c>
      <c r="AX25" s="503"/>
      <c r="AY25" s="503"/>
      <c r="AZ25" s="503"/>
      <c r="BA25" s="503"/>
      <c r="BB25" s="503"/>
      <c r="BC25" s="503"/>
      <c r="BD25" s="503"/>
      <c r="BE25" s="467"/>
    </row>
    <row r="26" customFormat="false" ht="24.75" hidden="false" customHeight="true" outlineLevel="0" collapsed="false">
      <c r="A26" s="462"/>
      <c r="B26" s="485" t="s">
        <v>360</v>
      </c>
      <c r="C26" s="485"/>
      <c r="D26" s="485"/>
      <c r="E26" s="485"/>
      <c r="F26" s="485"/>
      <c r="G26" s="485"/>
      <c r="H26" s="485"/>
      <c r="I26" s="485"/>
      <c r="J26" s="485"/>
      <c r="K26" s="485"/>
      <c r="L26" s="466"/>
      <c r="M26" s="507" t="n">
        <f aca="false">SUM(M5:T25)</f>
        <v>131720000</v>
      </c>
      <c r="N26" s="507"/>
      <c r="O26" s="507"/>
      <c r="P26" s="507"/>
      <c r="Q26" s="507"/>
      <c r="R26" s="507"/>
      <c r="S26" s="507"/>
      <c r="T26" s="507"/>
      <c r="U26" s="498"/>
      <c r="V26" s="508" t="n">
        <f aca="false">SUM(V5:AC25)</f>
        <v>121123959</v>
      </c>
      <c r="W26" s="508"/>
      <c r="X26" s="508"/>
      <c r="Y26" s="508"/>
      <c r="Z26" s="508"/>
      <c r="AA26" s="508"/>
      <c r="AB26" s="508"/>
      <c r="AC26" s="508"/>
      <c r="AD26" s="509"/>
      <c r="AE26" s="501" t="n">
        <f aca="false">V26-M26</f>
        <v>-10596041</v>
      </c>
      <c r="AF26" s="501"/>
      <c r="AG26" s="501"/>
      <c r="AH26" s="501"/>
      <c r="AI26" s="501"/>
      <c r="AJ26" s="501"/>
      <c r="AK26" s="501"/>
      <c r="AL26" s="501"/>
      <c r="AM26" s="498"/>
      <c r="AN26" s="508" t="n">
        <f aca="false">SUM(AN5:AU25)</f>
        <v>111447230</v>
      </c>
      <c r="AO26" s="508"/>
      <c r="AP26" s="508"/>
      <c r="AQ26" s="508"/>
      <c r="AR26" s="508"/>
      <c r="AS26" s="508"/>
      <c r="AT26" s="508"/>
      <c r="AU26" s="508"/>
      <c r="AV26" s="498"/>
      <c r="AW26" s="503" t="n">
        <f aca="false">V26-AN26</f>
        <v>9676729</v>
      </c>
      <c r="AX26" s="503"/>
      <c r="AY26" s="503"/>
      <c r="AZ26" s="503"/>
      <c r="BA26" s="503"/>
      <c r="BB26" s="503"/>
      <c r="BC26" s="503"/>
      <c r="BD26" s="503"/>
      <c r="BE26" s="467"/>
    </row>
    <row r="27" customFormat="false" ht="33" hidden="false" customHeight="true" outlineLevel="0" collapsed="false"/>
    <row r="28" customFormat="false" ht="22.5" hidden="false" customHeight="true" outlineLevel="0" collapsed="false">
      <c r="A28" s="431" t="s">
        <v>361</v>
      </c>
      <c r="B28" s="431"/>
      <c r="C28" s="431"/>
      <c r="D28" s="431"/>
      <c r="E28" s="431"/>
      <c r="F28" s="431"/>
      <c r="G28" s="431"/>
      <c r="H28" s="431"/>
      <c r="I28" s="431"/>
      <c r="J28" s="431"/>
      <c r="K28" s="431"/>
      <c r="L28" s="431"/>
      <c r="M28" s="431"/>
      <c r="N28" s="431"/>
      <c r="O28" s="431"/>
      <c r="P28" s="431"/>
      <c r="Q28" s="431"/>
      <c r="R28" s="431"/>
      <c r="S28" s="431"/>
      <c r="T28" s="431"/>
      <c r="U28" s="431"/>
      <c r="V28" s="431"/>
      <c r="W28" s="431"/>
      <c r="X28" s="431"/>
      <c r="Y28" s="431"/>
      <c r="Z28" s="431"/>
      <c r="AA28" s="431"/>
      <c r="AB28" s="431"/>
      <c r="AC28" s="431"/>
      <c r="AD28" s="431"/>
      <c r="AE28" s="431"/>
      <c r="AF28" s="431"/>
      <c r="AG28" s="431"/>
      <c r="AH28" s="431"/>
      <c r="AI28" s="431"/>
      <c r="AJ28" s="431"/>
      <c r="AK28" s="431"/>
      <c r="AL28" s="431"/>
      <c r="AM28" s="431"/>
      <c r="AN28" s="431"/>
      <c r="AO28" s="431"/>
      <c r="AP28" s="431"/>
      <c r="AQ28" s="431"/>
      <c r="AR28" s="431"/>
      <c r="AS28" s="431"/>
      <c r="AT28" s="431"/>
      <c r="AU28" s="431"/>
      <c r="AV28" s="431"/>
      <c r="AW28" s="431"/>
      <c r="AX28" s="431"/>
      <c r="AY28" s="431"/>
      <c r="AZ28" s="431"/>
      <c r="BA28" s="431"/>
      <c r="BB28" s="431"/>
      <c r="BC28" s="431"/>
      <c r="BD28" s="431"/>
      <c r="BE28" s="431"/>
      <c r="BH28" s="433" t="s">
        <v>362</v>
      </c>
    </row>
    <row r="29" customFormat="false" ht="22.5" hidden="false" customHeight="true" outlineLevel="0" collapsed="false">
      <c r="A29" s="433" t="str">
        <f aca="false">"　　本年度における収支決算を行った結果、当期利益金として"&amp;IF(決算精算表!A38&gt;=10000,TEXT(INT(決算精算表!A38/10000),"#,##0")&amp;"万"&amp;IF(MOD(決算精算表!A38,10000)=0,"",TEXT(MOD(決算精算表!A38,10000),"#,##0")),TEXT(決算精算表!A38,"#,##0"))&amp;"円"&amp;"を生じた。"</f>
        <v>　　本年度における収支決算を行った結果、当期利益金として360万3,510円を生じた。</v>
      </c>
      <c r="B29" s="516"/>
      <c r="C29" s="516"/>
      <c r="D29" s="516"/>
      <c r="E29" s="516"/>
      <c r="F29" s="516"/>
      <c r="G29" s="516"/>
      <c r="H29" s="516"/>
      <c r="I29" s="516"/>
      <c r="J29" s="516"/>
      <c r="K29" s="516"/>
      <c r="L29" s="516"/>
      <c r="M29" s="516"/>
      <c r="N29" s="516"/>
      <c r="O29" s="516"/>
      <c r="P29" s="516"/>
      <c r="Q29" s="516"/>
      <c r="R29" s="516"/>
      <c r="S29" s="516"/>
      <c r="T29" s="516"/>
      <c r="U29" s="516"/>
      <c r="V29" s="516"/>
      <c r="W29" s="516"/>
      <c r="X29" s="516"/>
      <c r="Y29" s="516"/>
      <c r="Z29" s="516"/>
      <c r="AA29" s="516"/>
      <c r="AB29" s="516"/>
      <c r="AC29" s="516"/>
      <c r="AD29" s="516"/>
      <c r="AE29" s="516"/>
      <c r="AF29" s="516"/>
      <c r="AG29" s="516"/>
      <c r="AH29" s="516"/>
      <c r="AI29" s="516"/>
      <c r="AJ29" s="516"/>
      <c r="AK29" s="516"/>
      <c r="AL29" s="516"/>
      <c r="AM29" s="516"/>
      <c r="AN29" s="516"/>
      <c r="AO29" s="516"/>
      <c r="AP29" s="516"/>
      <c r="AQ29" s="516"/>
      <c r="AR29" s="516"/>
      <c r="AS29" s="516"/>
      <c r="AT29" s="516"/>
      <c r="AU29" s="516"/>
      <c r="AV29" s="516"/>
      <c r="AW29" s="516"/>
      <c r="AX29" s="516"/>
      <c r="AY29" s="516"/>
      <c r="AZ29" s="516"/>
      <c r="BA29" s="516"/>
      <c r="BB29" s="516"/>
      <c r="BC29" s="516"/>
      <c r="BD29" s="516"/>
      <c r="BE29" s="516"/>
      <c r="BG29" s="517" t="s">
        <v>363</v>
      </c>
    </row>
    <row r="30" customFormat="false" ht="22.5" hidden="false" customHeight="true" outlineLevel="0" collapsed="false">
      <c r="A30" s="433" t="str">
        <f aca="false">"　　この利益金に前年度より繰り越した積立金"&amp;IF(決算精算表!E19&gt;=10000,TEXT(INT(決算精算表!E19/10000),"#,##0")&amp;"万"&amp;IF(MOD(決算精算表!E19,10000)=0,"",TEXT(MOD(決算精算表!E19,10000),"#,##0")),TEXT(決算精算表!E19,"#,##0"))&amp;"円"&amp;"を合わせ、翌年度へ繰り越す積立金は、"</f>
        <v>　　この利益金に前年度より繰り越した積立金7,109万3,911円を合わせ、翌年度へ繰り越す積立金は、</v>
      </c>
      <c r="B30" s="516"/>
      <c r="C30" s="516"/>
      <c r="D30" s="516"/>
      <c r="E30" s="516"/>
      <c r="F30" s="516"/>
      <c r="G30" s="516"/>
      <c r="H30" s="516"/>
      <c r="I30" s="516"/>
      <c r="J30" s="516"/>
      <c r="K30" s="516"/>
      <c r="L30" s="516"/>
      <c r="M30" s="516"/>
      <c r="N30" s="516"/>
      <c r="O30" s="516"/>
      <c r="P30" s="516"/>
      <c r="Q30" s="516"/>
      <c r="R30" s="516"/>
      <c r="S30" s="516"/>
      <c r="T30" s="516"/>
      <c r="U30" s="516"/>
      <c r="V30" s="516"/>
      <c r="W30" s="516"/>
      <c r="X30" s="516"/>
      <c r="Y30" s="516"/>
      <c r="Z30" s="516"/>
      <c r="AA30" s="516"/>
      <c r="AB30" s="516"/>
      <c r="AC30" s="516"/>
      <c r="AD30" s="516"/>
      <c r="AE30" s="516"/>
      <c r="AF30" s="516"/>
      <c r="AG30" s="516"/>
      <c r="AH30" s="516"/>
      <c r="AI30" s="516"/>
      <c r="AJ30" s="516"/>
      <c r="AK30" s="516"/>
      <c r="AL30" s="516"/>
      <c r="AM30" s="516"/>
      <c r="AN30" s="516"/>
      <c r="AO30" s="516"/>
      <c r="AP30" s="516"/>
      <c r="AQ30" s="516"/>
      <c r="AR30" s="516"/>
      <c r="AS30" s="516"/>
      <c r="AT30" s="516"/>
      <c r="AU30" s="516"/>
      <c r="AV30" s="516"/>
      <c r="AW30" s="516"/>
      <c r="AX30" s="516"/>
      <c r="AY30" s="516"/>
      <c r="AZ30" s="516"/>
      <c r="BA30" s="516"/>
      <c r="BB30" s="516"/>
      <c r="BC30" s="516"/>
      <c r="BD30" s="516"/>
      <c r="BE30" s="516"/>
      <c r="BG30" s="517" t="s">
        <v>364</v>
      </c>
    </row>
    <row r="31" customFormat="false" ht="22.5" hidden="false" customHeight="true" outlineLevel="0" collapsed="false">
      <c r="A31" s="433"/>
      <c r="B31" s="433"/>
      <c r="C31" s="518" t="str">
        <f aca="false">IF(決算精算表!G19&gt;=10000,TEXT(INT(決算精算表!G19/10000),"#,##0")&amp;"万"&amp;IF(MOD(決算精算表!G19,10000)=0,"",TEXT(MOD(決算精算表!G19,10000),"#,##0")),TEXT(決算精算表!G19,"#,##0"))&amp;"円"&amp;"となる。"</f>
        <v>7,469万7,421円となる。</v>
      </c>
      <c r="D31" s="433"/>
      <c r="E31" s="433"/>
      <c r="F31" s="433"/>
      <c r="G31" s="433"/>
      <c r="H31" s="433"/>
      <c r="I31" s="433"/>
      <c r="J31" s="433"/>
      <c r="K31" s="433"/>
      <c r="L31" s="433"/>
      <c r="M31" s="433"/>
      <c r="N31" s="433"/>
      <c r="O31" s="433"/>
      <c r="P31" s="433"/>
      <c r="Q31" s="433"/>
      <c r="R31" s="433"/>
      <c r="S31" s="433"/>
      <c r="T31" s="516"/>
      <c r="U31" s="516"/>
      <c r="V31" s="516"/>
      <c r="W31" s="516"/>
      <c r="X31" s="516"/>
      <c r="Y31" s="516"/>
      <c r="Z31" s="516"/>
      <c r="AA31" s="516"/>
      <c r="AB31" s="516"/>
      <c r="AC31" s="516"/>
      <c r="AD31" s="516"/>
      <c r="AE31" s="516"/>
      <c r="AF31" s="516"/>
      <c r="AG31" s="516"/>
      <c r="AH31" s="516"/>
      <c r="AI31" s="516"/>
      <c r="AJ31" s="516"/>
      <c r="AK31" s="516"/>
      <c r="AL31" s="516"/>
      <c r="AM31" s="516"/>
      <c r="AN31" s="516"/>
      <c r="AO31" s="516"/>
      <c r="AP31" s="516"/>
      <c r="AQ31" s="516"/>
      <c r="AR31" s="516"/>
      <c r="AS31" s="516"/>
      <c r="AT31" s="516"/>
      <c r="AU31" s="516"/>
      <c r="AV31" s="516"/>
      <c r="AW31" s="516"/>
      <c r="AX31" s="516"/>
      <c r="AY31" s="516"/>
      <c r="AZ31" s="516"/>
      <c r="BA31" s="516"/>
      <c r="BB31" s="516"/>
      <c r="BC31" s="516"/>
      <c r="BD31" s="516"/>
      <c r="BE31" s="516"/>
      <c r="BG31" s="517" t="s">
        <v>365</v>
      </c>
    </row>
    <row r="32" customFormat="false" ht="20.25" hidden="false" customHeight="true" outlineLevel="0" collapsed="false">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row>
    <row r="33" customFormat="false" ht="24.75" hidden="true" customHeight="true" outlineLevel="0" collapsed="false">
      <c r="A33" s="519"/>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row>
    <row r="34" customFormat="false" ht="22.5" hidden="true" customHeight="true" outlineLevel="0" collapsed="false">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row>
    <row r="35" customFormat="false" ht="19.5" hidden="true" customHeight="true" outlineLevel="0" collapsed="false"/>
    <row r="36" customFormat="false" ht="17.25" hidden="false" customHeight="true" outlineLevel="0" collapsed="false">
      <c r="A36" s="520" t="s">
        <v>366</v>
      </c>
      <c r="B36" s="521"/>
      <c r="C36" s="521"/>
      <c r="D36" s="521"/>
      <c r="E36" s="521"/>
      <c r="F36" s="521"/>
      <c r="G36" s="521"/>
      <c r="H36" s="521"/>
    </row>
    <row r="37" customFormat="false" ht="17.25" hidden="false" customHeight="true" outlineLevel="0" collapsed="false">
      <c r="A37" s="521"/>
      <c r="B37" s="521"/>
      <c r="C37" s="521"/>
      <c r="D37" s="521"/>
      <c r="E37" s="521"/>
      <c r="F37" s="521"/>
      <c r="G37" s="521"/>
      <c r="H37" s="521"/>
    </row>
    <row r="38" customFormat="false" ht="17.25" hidden="false" customHeight="true" outlineLevel="0" collapsed="false">
      <c r="A38" s="521"/>
      <c r="B38" s="522" t="s">
        <v>367</v>
      </c>
      <c r="C38" s="521"/>
      <c r="D38" s="521"/>
      <c r="E38" s="521"/>
      <c r="F38" s="521"/>
      <c r="G38" s="521"/>
      <c r="H38" s="521"/>
    </row>
    <row r="39" customFormat="false" ht="17.25" hidden="false" customHeight="true" outlineLevel="0" collapsed="false">
      <c r="A39" s="521"/>
      <c r="B39" s="522" t="s">
        <v>368</v>
      </c>
      <c r="C39" s="521"/>
      <c r="D39" s="521"/>
      <c r="E39" s="521"/>
      <c r="F39" s="521"/>
      <c r="G39" s="521"/>
      <c r="H39" s="521"/>
    </row>
    <row r="40" customFormat="false" ht="17.25" hidden="false" customHeight="true" outlineLevel="0" collapsed="false">
      <c r="A40" s="521"/>
      <c r="B40" s="522" t="s">
        <v>369</v>
      </c>
      <c r="C40" s="521"/>
      <c r="D40" s="521"/>
      <c r="E40" s="521"/>
      <c r="F40" s="521"/>
      <c r="H40" s="521"/>
      <c r="AB40" s="522" t="s">
        <v>122</v>
      </c>
    </row>
    <row r="41" customFormat="false" ht="17.25" hidden="false" customHeight="true" outlineLevel="0" collapsed="false">
      <c r="A41" s="521"/>
      <c r="B41" s="521"/>
      <c r="C41" s="522" t="s">
        <v>370</v>
      </c>
      <c r="D41" s="521"/>
      <c r="E41" s="521"/>
      <c r="F41" s="521"/>
      <c r="H41" s="521"/>
      <c r="AB41" s="522" t="s">
        <v>122</v>
      </c>
    </row>
    <row r="42" customFormat="false" ht="17.25" hidden="false" customHeight="true" outlineLevel="0" collapsed="false">
      <c r="A42" s="521"/>
      <c r="B42" s="521"/>
      <c r="C42" s="522" t="s">
        <v>370</v>
      </c>
      <c r="D42" s="521"/>
      <c r="E42" s="521"/>
      <c r="F42" s="521"/>
      <c r="H42" s="521"/>
      <c r="AB42" s="522" t="s">
        <v>122</v>
      </c>
    </row>
    <row r="43" customFormat="false" ht="17.25" hidden="false" customHeight="true" outlineLevel="0" collapsed="false">
      <c r="A43" s="521"/>
      <c r="B43" s="522" t="s">
        <v>371</v>
      </c>
      <c r="C43" s="521"/>
      <c r="D43" s="521"/>
      <c r="E43" s="521"/>
      <c r="F43" s="521"/>
      <c r="G43" s="521"/>
      <c r="H43" s="521"/>
    </row>
    <row r="44" customFormat="false" ht="17.25" hidden="false" customHeight="true" outlineLevel="0" collapsed="false">
      <c r="A44" s="521"/>
      <c r="B44" s="522" t="s">
        <v>372</v>
      </c>
      <c r="C44" s="521"/>
      <c r="D44" s="521"/>
      <c r="E44" s="521"/>
      <c r="F44" s="521"/>
      <c r="G44" s="521"/>
      <c r="H44" s="521"/>
    </row>
    <row r="45" customFormat="false" ht="17.25" hidden="false" customHeight="true" outlineLevel="0" collapsed="false">
      <c r="A45" s="521"/>
      <c r="B45" s="522" t="s">
        <v>373</v>
      </c>
      <c r="C45" s="521"/>
      <c r="D45" s="521"/>
      <c r="E45" s="521"/>
      <c r="F45" s="521"/>
      <c r="G45" s="521"/>
      <c r="H45" s="521"/>
    </row>
    <row r="46" customFormat="false" ht="17.25" hidden="false" customHeight="true" outlineLevel="0" collapsed="false">
      <c r="A46" s="521"/>
      <c r="B46" s="521"/>
      <c r="C46" s="521"/>
      <c r="D46" s="521"/>
      <c r="E46" s="521"/>
      <c r="F46" s="521"/>
      <c r="G46" s="521"/>
      <c r="H46" s="521"/>
    </row>
    <row r="47" customFormat="false" ht="17.25" hidden="false" customHeight="true" outlineLevel="0" collapsed="false">
      <c r="A47" s="521"/>
      <c r="B47" s="523" t="s">
        <v>374</v>
      </c>
      <c r="C47" s="524"/>
      <c r="D47" s="524"/>
      <c r="E47" s="524"/>
      <c r="F47" s="524"/>
      <c r="G47" s="524"/>
      <c r="H47" s="524"/>
    </row>
    <row r="48" customFormat="false" ht="17.25" hidden="false" customHeight="true" outlineLevel="0" collapsed="false">
      <c r="A48" s="521"/>
      <c r="B48" s="523" t="s">
        <v>375</v>
      </c>
      <c r="C48" s="524"/>
      <c r="D48" s="524"/>
      <c r="E48" s="524"/>
      <c r="F48" s="524"/>
      <c r="G48" s="524"/>
      <c r="H48" s="524"/>
    </row>
    <row r="49" customFormat="false" ht="17.25" hidden="false" customHeight="true" outlineLevel="0" collapsed="false">
      <c r="A49" s="521"/>
      <c r="B49" s="523" t="s">
        <v>376</v>
      </c>
      <c r="C49" s="524"/>
      <c r="D49" s="524"/>
      <c r="E49" s="524"/>
      <c r="F49" s="521"/>
      <c r="G49" s="521"/>
      <c r="H49" s="521"/>
    </row>
    <row r="50" customFormat="false" ht="17.25" hidden="false" customHeight="true" outlineLevel="0" collapsed="false">
      <c r="A50" s="521"/>
      <c r="B50" s="521"/>
      <c r="C50" s="521"/>
      <c r="D50" s="521"/>
      <c r="E50" s="521"/>
      <c r="F50" s="521"/>
      <c r="G50" s="521"/>
      <c r="H50" s="521"/>
    </row>
    <row r="51" customFormat="false" ht="17.25" hidden="false" customHeight="true" outlineLevel="0" collapsed="false">
      <c r="A51" s="521"/>
      <c r="B51" s="521"/>
      <c r="C51" s="521"/>
      <c r="D51" s="521"/>
      <c r="E51" s="521"/>
      <c r="F51" s="521"/>
      <c r="G51" s="521"/>
      <c r="H51" s="521"/>
    </row>
    <row r="52" customFormat="false" ht="17.25" hidden="false" customHeight="true" outlineLevel="0" collapsed="false">
      <c r="A52" s="520" t="s">
        <v>377</v>
      </c>
      <c r="B52" s="521"/>
      <c r="C52" s="521"/>
      <c r="D52" s="521"/>
      <c r="E52" s="521"/>
      <c r="F52" s="521"/>
      <c r="G52" s="521"/>
      <c r="H52" s="521"/>
    </row>
    <row r="53" customFormat="false" ht="17.25" hidden="false" customHeight="true" outlineLevel="0" collapsed="false">
      <c r="A53" s="521"/>
      <c r="B53" s="521"/>
      <c r="C53" s="521"/>
      <c r="D53" s="521"/>
      <c r="E53" s="521"/>
      <c r="F53" s="521"/>
      <c r="G53" s="521"/>
      <c r="H53" s="521"/>
    </row>
    <row r="54" customFormat="false" ht="17.25" hidden="false" customHeight="true" outlineLevel="0" collapsed="false">
      <c r="A54" s="521"/>
      <c r="B54" s="523" t="s">
        <v>378</v>
      </c>
      <c r="C54" s="524"/>
      <c r="D54" s="524"/>
      <c r="E54" s="524"/>
      <c r="F54" s="524"/>
      <c r="G54" s="524"/>
      <c r="H54" s="524"/>
    </row>
    <row r="55" customFormat="false" ht="17.25" hidden="false" customHeight="true" outlineLevel="0" collapsed="false">
      <c r="A55" s="521"/>
      <c r="B55" s="523" t="s">
        <v>379</v>
      </c>
      <c r="C55" s="524"/>
      <c r="D55" s="524"/>
      <c r="E55" s="524"/>
      <c r="F55" s="524"/>
      <c r="G55" s="524"/>
      <c r="H55" s="524"/>
    </row>
    <row r="56" customFormat="false" ht="17.25" hidden="false" customHeight="true" outlineLevel="0" collapsed="false">
      <c r="A56" s="521"/>
      <c r="B56" s="523" t="s">
        <v>380</v>
      </c>
      <c r="C56" s="524"/>
      <c r="D56" s="524"/>
      <c r="E56" s="524"/>
      <c r="F56" s="521"/>
      <c r="G56" s="521"/>
      <c r="H56" s="521"/>
    </row>
    <row r="57" customFormat="false" ht="17.25" hidden="false" customHeight="true" outlineLevel="0" collapsed="false">
      <c r="A57" s="521"/>
      <c r="B57" s="521"/>
      <c r="C57" s="521"/>
      <c r="D57" s="521"/>
      <c r="E57" s="521"/>
      <c r="F57" s="521"/>
      <c r="G57" s="521"/>
      <c r="H57" s="521"/>
    </row>
    <row r="58" customFormat="false" ht="17.25" hidden="false" customHeight="true" outlineLevel="0" collapsed="false">
      <c r="A58" s="521"/>
      <c r="B58" s="523" t="s">
        <v>378</v>
      </c>
      <c r="C58" s="524"/>
      <c r="D58" s="524"/>
      <c r="E58" s="524"/>
      <c r="F58" s="524"/>
      <c r="G58" s="524"/>
      <c r="H58" s="524"/>
    </row>
    <row r="59" customFormat="false" ht="17.25" hidden="false" customHeight="true" outlineLevel="0" collapsed="false">
      <c r="A59" s="521"/>
      <c r="B59" s="523" t="s">
        <v>381</v>
      </c>
      <c r="C59" s="524"/>
      <c r="D59" s="524"/>
      <c r="E59" s="524"/>
      <c r="F59" s="524"/>
      <c r="G59" s="524"/>
      <c r="H59" s="524"/>
    </row>
    <row r="60" customFormat="false" ht="17.25" hidden="false" customHeight="true" outlineLevel="0" collapsed="false">
      <c r="A60" s="521"/>
      <c r="B60" s="523" t="s">
        <v>382</v>
      </c>
      <c r="C60" s="521"/>
      <c r="D60" s="521"/>
      <c r="E60" s="521"/>
      <c r="F60" s="521"/>
      <c r="G60" s="521"/>
      <c r="H60" s="521"/>
    </row>
    <row r="61" customFormat="false" ht="24.75" hidden="false" customHeight="true" outlineLevel="0" collapsed="false">
      <c r="A61" s="521"/>
      <c r="B61" s="521"/>
      <c r="C61" s="521"/>
      <c r="D61" s="521"/>
      <c r="E61" s="521"/>
      <c r="F61" s="521"/>
      <c r="G61" s="521"/>
      <c r="H61" s="521"/>
    </row>
  </sheetData>
  <mergeCells count="143">
    <mergeCell ref="A1:L1"/>
    <mergeCell ref="AR2:BE2"/>
    <mergeCell ref="A3:L3"/>
    <mergeCell ref="M3:U4"/>
    <mergeCell ref="V3:AD4"/>
    <mergeCell ref="AE3:AM4"/>
    <mergeCell ref="AN3:BE3"/>
    <mergeCell ref="A4:L4"/>
    <mergeCell ref="AN4:AV4"/>
    <mergeCell ref="AW4:BE4"/>
    <mergeCell ref="B5:K5"/>
    <mergeCell ref="M5:T5"/>
    <mergeCell ref="V5:AC5"/>
    <mergeCell ref="AE5:AL5"/>
    <mergeCell ref="AN5:AU5"/>
    <mergeCell ref="AW5:BD5"/>
    <mergeCell ref="B6:K6"/>
    <mergeCell ref="M6:T6"/>
    <mergeCell ref="V6:AC6"/>
    <mergeCell ref="AE6:AL6"/>
    <mergeCell ref="AN6:AU6"/>
    <mergeCell ref="AW6:BD6"/>
    <mergeCell ref="B7:K7"/>
    <mergeCell ref="M7:T7"/>
    <mergeCell ref="V7:AC7"/>
    <mergeCell ref="AE7:AL7"/>
    <mergeCell ref="AN7:AU7"/>
    <mergeCell ref="AW7:BD7"/>
    <mergeCell ref="B8:K8"/>
    <mergeCell ref="M8:T8"/>
    <mergeCell ref="V8:AC8"/>
    <mergeCell ref="AE8:AL8"/>
    <mergeCell ref="AN8:AU8"/>
    <mergeCell ref="AW8:BD8"/>
    <mergeCell ref="B9:K9"/>
    <mergeCell ref="M9:T9"/>
    <mergeCell ref="V9:AC9"/>
    <mergeCell ref="AE9:AL9"/>
    <mergeCell ref="AN9:AU9"/>
    <mergeCell ref="AW9:BD9"/>
    <mergeCell ref="B10:K10"/>
    <mergeCell ref="M10:T10"/>
    <mergeCell ref="V10:AC10"/>
    <mergeCell ref="AE10:AL10"/>
    <mergeCell ref="AN10:AU10"/>
    <mergeCell ref="AW10:BD10"/>
    <mergeCell ref="B11:K11"/>
    <mergeCell ref="M11:T11"/>
    <mergeCell ref="V11:AC11"/>
    <mergeCell ref="AE11:AL11"/>
    <mergeCell ref="AN11:AU11"/>
    <mergeCell ref="AW11:BD11"/>
    <mergeCell ref="B12:K12"/>
    <mergeCell ref="M12:T12"/>
    <mergeCell ref="V12:AC12"/>
    <mergeCell ref="AE12:AL12"/>
    <mergeCell ref="AN12:AU12"/>
    <mergeCell ref="AW12:BD12"/>
    <mergeCell ref="B13:K13"/>
    <mergeCell ref="M13:T13"/>
    <mergeCell ref="V13:AC13"/>
    <mergeCell ref="AE13:AL13"/>
    <mergeCell ref="AN13:AU13"/>
    <mergeCell ref="AW13:BD13"/>
    <mergeCell ref="B14:K14"/>
    <mergeCell ref="M14:T14"/>
    <mergeCell ref="V14:AC14"/>
    <mergeCell ref="AE14:AL14"/>
    <mergeCell ref="AN14:AU14"/>
    <mergeCell ref="AW14:BD14"/>
    <mergeCell ref="B15:K15"/>
    <mergeCell ref="M15:T15"/>
    <mergeCell ref="V15:AC15"/>
    <mergeCell ref="AE15:AL15"/>
    <mergeCell ref="AN15:AU15"/>
    <mergeCell ref="AW15:BD15"/>
    <mergeCell ref="B16:K16"/>
    <mergeCell ref="M16:T16"/>
    <mergeCell ref="V16:AC16"/>
    <mergeCell ref="AE16:AL16"/>
    <mergeCell ref="AN16:AU16"/>
    <mergeCell ref="AW16:BD16"/>
    <mergeCell ref="B17:K17"/>
    <mergeCell ref="M17:T17"/>
    <mergeCell ref="V17:AC17"/>
    <mergeCell ref="AE17:AL17"/>
    <mergeCell ref="AN17:AU17"/>
    <mergeCell ref="AW17:BD17"/>
    <mergeCell ref="B18:K18"/>
    <mergeCell ref="M18:T18"/>
    <mergeCell ref="V18:AC18"/>
    <mergeCell ref="AE18:AL18"/>
    <mergeCell ref="AN18:AU18"/>
    <mergeCell ref="AW18:BD18"/>
    <mergeCell ref="B19:K19"/>
    <mergeCell ref="M19:T19"/>
    <mergeCell ref="V19:AC19"/>
    <mergeCell ref="AE19:AL19"/>
    <mergeCell ref="AN19:AU19"/>
    <mergeCell ref="AW19:BD19"/>
    <mergeCell ref="B20:K20"/>
    <mergeCell ref="M20:T20"/>
    <mergeCell ref="V20:AC20"/>
    <mergeCell ref="AE20:AL20"/>
    <mergeCell ref="AN20:AU20"/>
    <mergeCell ref="AW20:BD20"/>
    <mergeCell ref="B21:K21"/>
    <mergeCell ref="M21:T21"/>
    <mergeCell ref="V21:AC21"/>
    <mergeCell ref="AE21:AL21"/>
    <mergeCell ref="AN21:AU21"/>
    <mergeCell ref="AW21:BD21"/>
    <mergeCell ref="B22:K22"/>
    <mergeCell ref="M22:T22"/>
    <mergeCell ref="V22:AC22"/>
    <mergeCell ref="AE22:AL22"/>
    <mergeCell ref="AN22:AU22"/>
    <mergeCell ref="AW22:BD22"/>
    <mergeCell ref="B23:K23"/>
    <mergeCell ref="M23:T23"/>
    <mergeCell ref="V23:AC23"/>
    <mergeCell ref="AE23:AL23"/>
    <mergeCell ref="AN23:AU23"/>
    <mergeCell ref="AW23:BD23"/>
    <mergeCell ref="B24:K24"/>
    <mergeCell ref="M24:T24"/>
    <mergeCell ref="V24:AC24"/>
    <mergeCell ref="AE24:AL24"/>
    <mergeCell ref="AN24:AU24"/>
    <mergeCell ref="AW24:BD24"/>
    <mergeCell ref="B25:K25"/>
    <mergeCell ref="M25:T25"/>
    <mergeCell ref="V25:AC25"/>
    <mergeCell ref="AE25:AL25"/>
    <mergeCell ref="AN25:AU25"/>
    <mergeCell ref="AW25:BD25"/>
    <mergeCell ref="B26:K26"/>
    <mergeCell ref="M26:T26"/>
    <mergeCell ref="V26:AC26"/>
    <mergeCell ref="AE26:AL26"/>
    <mergeCell ref="AN26:AU26"/>
    <mergeCell ref="AW26:BD26"/>
    <mergeCell ref="A28:BE28"/>
  </mergeCells>
  <printOptions headings="false" gridLines="false" gridLinesSet="true" horizontalCentered="true" verticalCentered="false"/>
  <pageMargins left="0.472222222222222" right="0.315277777777778" top="0.7875" bottom="0.590277777777778" header="0.511811023622047" footer="0.39375"/>
  <pageSetup paperSize="9" scale="95" fitToWidth="1" fitToHeight="1" pageOrder="downThenOver" orientation="portrait" blackAndWhite="false" draft="false" cellComments="none" horizontalDpi="300" verticalDpi="300" copies="1"/>
  <headerFooter differentFirst="false" differentOddEven="false">
    <oddHeader/>
    <oddFooter>&amp;C&amp;"ＭＳ 明朝,Regular"&amp;12 － &amp;P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2.57"/>
    <col collapsed="false" customWidth="true" hidden="false" outlineLevel="0" max="2" min="2" style="0" width="1.42"/>
    <col collapsed="false" customWidth="true" hidden="false" outlineLevel="0" max="3" min="3" style="0" width="2.28"/>
    <col collapsed="false" customWidth="true" hidden="false" outlineLevel="0" max="4" min="4" style="0" width="20.99"/>
    <col collapsed="false" customWidth="true" hidden="false" outlineLevel="0" max="7" min="5" style="0" width="20.71"/>
    <col collapsed="false" customWidth="true" hidden="true" outlineLevel="0" max="8" min="8" style="0" width="17.7"/>
    <col collapsed="false" customWidth="true" hidden="true" outlineLevel="0" max="9" min="9" style="0" width="17.57"/>
    <col collapsed="false" customWidth="true" hidden="true" outlineLevel="0" max="10" min="10" style="0" width="16.71"/>
    <col collapsed="false" customWidth="true" hidden="false" outlineLevel="0" max="19" min="11" style="0" width="20.71"/>
    <col collapsed="false" customWidth="true" hidden="false" outlineLevel="0" max="257" min="20" style="0" width="17.85"/>
  </cols>
  <sheetData>
    <row r="1" customFormat="false" ht="24" hidden="false" customHeight="true" outlineLevel="0" collapsed="false">
      <c r="C1" s="525" t="str">
        <f aca="false">"令和"&amp;JIS(入力!$B$5)&amp;"年度決算総括表"</f>
        <v>令和７年度決算総括表</v>
      </c>
      <c r="D1" s="525"/>
      <c r="E1" s="525"/>
      <c r="F1" s="525"/>
      <c r="G1" s="525"/>
      <c r="H1" s="525"/>
      <c r="I1" s="525"/>
      <c r="J1" s="525"/>
      <c r="K1" s="525"/>
      <c r="L1" s="525"/>
      <c r="M1" s="525"/>
      <c r="N1" s="525"/>
      <c r="O1" s="525"/>
      <c r="P1" s="525"/>
      <c r="Q1" s="525"/>
      <c r="R1" s="525"/>
      <c r="S1" s="525"/>
    </row>
    <row r="2" customFormat="false" ht="23.25" hidden="false" customHeight="true" outlineLevel="0" collapsed="false">
      <c r="C2" s="526"/>
      <c r="D2" s="526"/>
      <c r="E2" s="526"/>
      <c r="F2" s="526"/>
      <c r="G2" s="526"/>
      <c r="H2" s="526"/>
      <c r="I2" s="526"/>
      <c r="J2" s="526"/>
      <c r="K2" s="526"/>
      <c r="L2" s="526"/>
      <c r="N2" s="526"/>
      <c r="O2" s="526"/>
      <c r="P2" s="526"/>
      <c r="Q2" s="526"/>
      <c r="R2" s="526"/>
      <c r="S2" s="526"/>
      <c r="X2" s="526"/>
    </row>
    <row r="3" customFormat="false" ht="14.25" hidden="false" customHeight="true" outlineLevel="0" collapsed="false">
      <c r="C3" s="526"/>
      <c r="D3" s="526"/>
      <c r="E3" s="526"/>
      <c r="F3" s="526"/>
      <c r="G3" s="526"/>
      <c r="H3" s="526"/>
      <c r="I3" s="526"/>
      <c r="J3" s="526"/>
      <c r="K3" s="526"/>
      <c r="L3" s="526"/>
      <c r="M3" s="526"/>
      <c r="N3" s="526"/>
      <c r="O3" s="526"/>
      <c r="P3" s="526"/>
      <c r="Q3" s="526"/>
      <c r="R3" s="526"/>
      <c r="S3" s="527" t="s">
        <v>318</v>
      </c>
    </row>
    <row r="4" customFormat="false" ht="18" hidden="false" customHeight="true" outlineLevel="0" collapsed="false">
      <c r="A4" s="528"/>
      <c r="B4" s="529"/>
      <c r="C4" s="530" t="s">
        <v>383</v>
      </c>
      <c r="D4" s="530"/>
      <c r="E4" s="531" t="s">
        <v>384</v>
      </c>
      <c r="F4" s="531"/>
      <c r="G4" s="531"/>
      <c r="H4" s="532" t="s">
        <v>385</v>
      </c>
      <c r="I4" s="532"/>
      <c r="J4" s="532"/>
      <c r="K4" s="532" t="s">
        <v>142</v>
      </c>
      <c r="L4" s="532"/>
      <c r="M4" s="532"/>
      <c r="N4" s="532" t="s">
        <v>386</v>
      </c>
      <c r="O4" s="532"/>
      <c r="P4" s="532"/>
      <c r="Q4" s="533" t="s">
        <v>387</v>
      </c>
      <c r="R4" s="533"/>
      <c r="S4" s="533"/>
    </row>
    <row r="5" customFormat="false" ht="16.5" hidden="false" customHeight="true" outlineLevel="0" collapsed="false">
      <c r="A5" s="528"/>
      <c r="B5" s="529"/>
      <c r="C5" s="530"/>
      <c r="D5" s="530"/>
      <c r="E5" s="534" t="str">
        <f aca="false">JIS(入力!$B$5)&amp;"年度"</f>
        <v>７年度</v>
      </c>
      <c r="F5" s="535" t="str">
        <f aca="false">JIS(入力!$B$5-1)&amp;"年度"</f>
        <v>６年度</v>
      </c>
      <c r="G5" s="536" t="s">
        <v>388</v>
      </c>
      <c r="H5" s="537" t="str">
        <f aca="false">E5</f>
        <v>７年度</v>
      </c>
      <c r="I5" s="538" t="str">
        <f aca="false">F5</f>
        <v>６年度</v>
      </c>
      <c r="J5" s="536" t="s">
        <v>388</v>
      </c>
      <c r="K5" s="537" t="str">
        <f aca="false">E5</f>
        <v>７年度</v>
      </c>
      <c r="L5" s="539" t="str">
        <f aca="false">F5</f>
        <v>６年度</v>
      </c>
      <c r="M5" s="536" t="s">
        <v>388</v>
      </c>
      <c r="N5" s="537" t="str">
        <f aca="false">E5</f>
        <v>７年度</v>
      </c>
      <c r="O5" s="538" t="str">
        <f aca="false">F5</f>
        <v>６年度</v>
      </c>
      <c r="P5" s="536" t="s">
        <v>388</v>
      </c>
      <c r="Q5" s="537" t="str">
        <f aca="false">E5</f>
        <v>７年度</v>
      </c>
      <c r="R5" s="538" t="str">
        <f aca="false">F5</f>
        <v>６年度</v>
      </c>
      <c r="S5" s="540" t="s">
        <v>388</v>
      </c>
    </row>
    <row r="6" customFormat="false" ht="19.5" hidden="false" customHeight="true" outlineLevel="0" collapsed="false">
      <c r="A6" s="528"/>
      <c r="B6" s="529"/>
      <c r="C6" s="541" t="s">
        <v>389</v>
      </c>
      <c r="D6" s="541"/>
      <c r="E6" s="542" t="n">
        <f aca="false">F51</f>
        <v>2237365593</v>
      </c>
      <c r="F6" s="543" t="n">
        <v>1413185083</v>
      </c>
      <c r="G6" s="544" t="n">
        <f aca="false">E6-F6</f>
        <v>824180510</v>
      </c>
      <c r="H6" s="542" t="n">
        <f aca="false">I51</f>
        <v>115269691198</v>
      </c>
      <c r="I6" s="545" t="n">
        <v>114599779620</v>
      </c>
      <c r="J6" s="544" t="n">
        <f aca="false">H6-I6</f>
        <v>669911578</v>
      </c>
      <c r="K6" s="546" t="n">
        <f aca="false">L51</f>
        <v>71093911</v>
      </c>
      <c r="L6" s="547" t="n">
        <v>66593123</v>
      </c>
      <c r="M6" s="544" t="n">
        <f aca="false">K6-L6</f>
        <v>4500788</v>
      </c>
      <c r="N6" s="548" t="n">
        <f aca="false">O51</f>
        <v>270947604</v>
      </c>
      <c r="O6" s="549" t="n">
        <v>276235825</v>
      </c>
      <c r="P6" s="544" t="n">
        <f aca="false">N6-O6</f>
        <v>-5288221</v>
      </c>
      <c r="Q6" s="546" t="n">
        <f aca="false">R51</f>
        <v>1961052168</v>
      </c>
      <c r="R6" s="550" t="n">
        <v>1966406293</v>
      </c>
      <c r="S6" s="551" t="n">
        <f aca="false">Q6-R6</f>
        <v>-5354125</v>
      </c>
    </row>
    <row r="7" customFormat="false" ht="19.5" hidden="false" customHeight="true" outlineLevel="0" collapsed="false">
      <c r="A7" s="528"/>
      <c r="B7" s="529"/>
      <c r="C7" s="552" t="s">
        <v>390</v>
      </c>
      <c r="D7" s="553" t="s">
        <v>77</v>
      </c>
      <c r="E7" s="554"/>
      <c r="F7" s="555" t="n">
        <v>5910008304</v>
      </c>
      <c r="G7" s="556" t="n">
        <f aca="false">E7-F7</f>
        <v>-5910008304</v>
      </c>
      <c r="H7" s="557" t="n">
        <v>5874630086</v>
      </c>
      <c r="I7" s="558" t="n">
        <v>10209423196</v>
      </c>
      <c r="J7" s="556" t="n">
        <f aca="false">H7-I7</f>
        <v>-4334793110</v>
      </c>
      <c r="K7" s="559" t="n">
        <f aca="false">決算精算表!G39</f>
        <v>89655843</v>
      </c>
      <c r="L7" s="560" t="n">
        <v>82167559</v>
      </c>
      <c r="M7" s="556" t="n">
        <f aca="false">K7-L7</f>
        <v>7488284</v>
      </c>
      <c r="N7" s="561"/>
      <c r="O7" s="561" t="n">
        <v>393344415</v>
      </c>
      <c r="P7" s="562" t="n">
        <f aca="false">N7-O7</f>
        <v>-393344415</v>
      </c>
      <c r="Q7" s="563"/>
      <c r="R7" s="560"/>
      <c r="S7" s="564" t="n">
        <f aca="false">Q7-R7</f>
        <v>0</v>
      </c>
    </row>
    <row r="8" customFormat="false" ht="19.5" hidden="false" customHeight="true" outlineLevel="0" collapsed="false">
      <c r="A8" s="528"/>
      <c r="B8" s="529"/>
      <c r="C8" s="552"/>
      <c r="D8" s="565" t="s">
        <v>391</v>
      </c>
      <c r="E8" s="566"/>
      <c r="F8" s="567" t="n">
        <v>5945270515</v>
      </c>
      <c r="G8" s="568" t="n">
        <f aca="false">E8-F8</f>
        <v>-5945270515</v>
      </c>
      <c r="H8" s="569" t="n">
        <v>2964516955</v>
      </c>
      <c r="I8" s="570" t="n">
        <v>6009799333</v>
      </c>
      <c r="J8" s="568" t="n">
        <f aca="false">H8-I8</f>
        <v>-3045282378</v>
      </c>
      <c r="K8" s="571"/>
      <c r="L8" s="572"/>
      <c r="M8" s="568" t="n">
        <f aca="false">K8-L8</f>
        <v>0</v>
      </c>
      <c r="N8" s="567"/>
      <c r="O8" s="567" t="n">
        <v>215569947</v>
      </c>
      <c r="P8" s="573" t="n">
        <f aca="false">N8-O8</f>
        <v>-215569947</v>
      </c>
      <c r="Q8" s="569"/>
      <c r="R8" s="572"/>
      <c r="S8" s="574" t="n">
        <f aca="false">Q8-R8</f>
        <v>0</v>
      </c>
    </row>
    <row r="9" customFormat="false" ht="19.5" hidden="false" customHeight="true" outlineLevel="0" collapsed="false">
      <c r="A9" s="528"/>
      <c r="B9" s="529"/>
      <c r="C9" s="552"/>
      <c r="D9" s="565" t="s">
        <v>136</v>
      </c>
      <c r="E9" s="566"/>
      <c r="F9" s="567" t="n">
        <v>0</v>
      </c>
      <c r="G9" s="568" t="n">
        <f aca="false">E9-F9</f>
        <v>0</v>
      </c>
      <c r="H9" s="569" t="n">
        <v>1204704253</v>
      </c>
      <c r="I9" s="570" t="n">
        <v>2333415822</v>
      </c>
      <c r="J9" s="568" t="n">
        <f aca="false">H9-I9</f>
        <v>-1128711569</v>
      </c>
      <c r="K9" s="571" t="n">
        <f aca="false">決算精算表!G43</f>
        <v>0</v>
      </c>
      <c r="L9" s="572"/>
      <c r="M9" s="568" t="n">
        <f aca="false">K9-L9</f>
        <v>0</v>
      </c>
      <c r="N9" s="567"/>
      <c r="O9" s="567" t="n">
        <v>0</v>
      </c>
      <c r="P9" s="568" t="n">
        <f aca="false">N9-O9</f>
        <v>0</v>
      </c>
      <c r="Q9" s="569"/>
      <c r="R9" s="572"/>
      <c r="S9" s="574" t="n">
        <f aca="false">Q9-R9</f>
        <v>0</v>
      </c>
    </row>
    <row r="10" customFormat="false" ht="19.5" hidden="false" customHeight="true" outlineLevel="0" collapsed="false">
      <c r="A10" s="528"/>
      <c r="B10" s="529"/>
      <c r="C10" s="552"/>
      <c r="D10" s="565" t="s">
        <v>392</v>
      </c>
      <c r="E10" s="566"/>
      <c r="F10" s="567"/>
      <c r="G10" s="568" t="n">
        <f aca="false">E10-F10</f>
        <v>0</v>
      </c>
      <c r="H10" s="569" t="n">
        <v>3820000</v>
      </c>
      <c r="I10" s="570" t="n">
        <v>14466000</v>
      </c>
      <c r="J10" s="568" t="n">
        <f aca="false">H10-I10</f>
        <v>-10646000</v>
      </c>
      <c r="K10" s="571"/>
      <c r="L10" s="572"/>
      <c r="M10" s="568" t="n">
        <f aca="false">K10-L10</f>
        <v>0</v>
      </c>
      <c r="N10" s="567"/>
      <c r="O10" s="567"/>
      <c r="P10" s="568" t="n">
        <f aca="false">N10-O10</f>
        <v>0</v>
      </c>
      <c r="Q10" s="569"/>
      <c r="R10" s="572"/>
      <c r="S10" s="574" t="n">
        <f aca="false">Q10-R10</f>
        <v>0</v>
      </c>
    </row>
    <row r="11" customFormat="false" ht="19.5" hidden="false" customHeight="true" outlineLevel="0" collapsed="false">
      <c r="A11" s="528"/>
      <c r="B11" s="529"/>
      <c r="C11" s="552"/>
      <c r="D11" s="575" t="s">
        <v>393</v>
      </c>
      <c r="E11" s="566"/>
      <c r="F11" s="567" t="n">
        <v>512653248</v>
      </c>
      <c r="G11" s="568" t="n">
        <f aca="false">E11-F11</f>
        <v>-512653248</v>
      </c>
      <c r="H11" s="576"/>
      <c r="I11" s="570"/>
      <c r="J11" s="568"/>
      <c r="K11" s="571"/>
      <c r="L11" s="572"/>
      <c r="M11" s="568" t="n">
        <f aca="false">K11-L11</f>
        <v>0</v>
      </c>
      <c r="N11" s="567"/>
      <c r="O11" s="567"/>
      <c r="P11" s="568" t="n">
        <f aca="false">N11-O11</f>
        <v>0</v>
      </c>
      <c r="Q11" s="569"/>
      <c r="R11" s="572"/>
      <c r="S11" s="574" t="n">
        <f aca="false">Q11-R11</f>
        <v>0</v>
      </c>
    </row>
    <row r="12" customFormat="false" ht="19.5" hidden="false" customHeight="true" outlineLevel="0" collapsed="false">
      <c r="A12" s="528"/>
      <c r="B12" s="529"/>
      <c r="C12" s="552"/>
      <c r="D12" s="577" t="s">
        <v>394</v>
      </c>
      <c r="E12" s="566"/>
      <c r="F12" s="567" t="n">
        <v>98548000</v>
      </c>
      <c r="G12" s="568" t="n">
        <f aca="false">E12-F12</f>
        <v>-98548000</v>
      </c>
      <c r="H12" s="576"/>
      <c r="I12" s="570"/>
      <c r="J12" s="568"/>
      <c r="K12" s="571"/>
      <c r="L12" s="572"/>
      <c r="M12" s="568"/>
      <c r="N12" s="567"/>
      <c r="O12" s="567"/>
      <c r="P12" s="568"/>
      <c r="Q12" s="569"/>
      <c r="R12" s="572"/>
      <c r="S12" s="574"/>
    </row>
    <row r="13" customFormat="false" ht="19.5" hidden="false" customHeight="true" outlineLevel="0" collapsed="false">
      <c r="A13" s="528"/>
      <c r="B13" s="529"/>
      <c r="C13" s="552"/>
      <c r="D13" s="577" t="s">
        <v>395</v>
      </c>
      <c r="E13" s="566"/>
      <c r="F13" s="567" t="n">
        <v>0</v>
      </c>
      <c r="G13" s="568" t="n">
        <f aca="false">E13-F13</f>
        <v>0</v>
      </c>
      <c r="H13" s="576"/>
      <c r="I13" s="570"/>
      <c r="J13" s="568"/>
      <c r="K13" s="571"/>
      <c r="L13" s="572"/>
      <c r="M13" s="568" t="n">
        <f aca="false">K13-L13</f>
        <v>0</v>
      </c>
      <c r="N13" s="567"/>
      <c r="O13" s="567"/>
      <c r="P13" s="568" t="n">
        <f aca="false">N13-O13</f>
        <v>0</v>
      </c>
      <c r="Q13" s="569"/>
      <c r="R13" s="572"/>
      <c r="S13" s="574"/>
    </row>
    <row r="14" customFormat="false" ht="19.5" hidden="false" customHeight="true" outlineLevel="0" collapsed="false">
      <c r="A14" s="528"/>
      <c r="B14" s="529"/>
      <c r="C14" s="552"/>
      <c r="D14" s="565" t="s">
        <v>396</v>
      </c>
      <c r="E14" s="566"/>
      <c r="F14" s="567" t="n">
        <v>2621295</v>
      </c>
      <c r="G14" s="568" t="n">
        <f aca="false">E14-F14</f>
        <v>-2621295</v>
      </c>
      <c r="H14" s="576"/>
      <c r="I14" s="570"/>
      <c r="J14" s="568"/>
      <c r="K14" s="571"/>
      <c r="L14" s="572"/>
      <c r="M14" s="568" t="n">
        <f aca="false">K14-L14</f>
        <v>0</v>
      </c>
      <c r="N14" s="567"/>
      <c r="O14" s="567"/>
      <c r="P14" s="568" t="n">
        <f aca="false">N14-O14</f>
        <v>0</v>
      </c>
      <c r="Q14" s="569"/>
      <c r="R14" s="572"/>
      <c r="S14" s="574" t="n">
        <f aca="false">Q14-R14</f>
        <v>0</v>
      </c>
    </row>
    <row r="15" customFormat="false" ht="19.5" hidden="false" customHeight="true" outlineLevel="0" collapsed="false">
      <c r="A15" s="528"/>
      <c r="B15" s="529"/>
      <c r="C15" s="552"/>
      <c r="D15" s="578" t="s">
        <v>397</v>
      </c>
      <c r="E15" s="566"/>
      <c r="F15" s="567"/>
      <c r="G15" s="568" t="n">
        <f aca="false">E15-F15</f>
        <v>0</v>
      </c>
      <c r="H15" s="569" t="n">
        <v>5464540</v>
      </c>
      <c r="I15" s="570" t="n">
        <v>11601546</v>
      </c>
      <c r="J15" s="568" t="n">
        <f aca="false">H15-I15</f>
        <v>-6137006</v>
      </c>
      <c r="K15" s="571"/>
      <c r="L15" s="572"/>
      <c r="M15" s="568" t="n">
        <f aca="false">K15-L15</f>
        <v>0</v>
      </c>
      <c r="N15" s="567"/>
      <c r="O15" s="567"/>
      <c r="P15" s="568" t="n">
        <f aca="false">N15-O15</f>
        <v>0</v>
      </c>
      <c r="Q15" s="569"/>
      <c r="R15" s="572"/>
      <c r="S15" s="574" t="n">
        <f aca="false">Q15-R15</f>
        <v>0</v>
      </c>
    </row>
    <row r="16" customFormat="false" ht="19.5" hidden="false" customHeight="true" outlineLevel="0" collapsed="false">
      <c r="A16" s="528"/>
      <c r="B16" s="529"/>
      <c r="C16" s="552"/>
      <c r="D16" s="565" t="s">
        <v>398</v>
      </c>
      <c r="E16" s="566"/>
      <c r="F16" s="567" t="n">
        <v>7979689</v>
      </c>
      <c r="G16" s="568" t="n">
        <f aca="false">E16-F16</f>
        <v>-7979689</v>
      </c>
      <c r="H16" s="569" t="n">
        <v>289600155</v>
      </c>
      <c r="I16" s="570" t="n">
        <v>639077000</v>
      </c>
      <c r="J16" s="568" t="n">
        <f aca="false">H16-I16</f>
        <v>-349476845</v>
      </c>
      <c r="K16" s="571"/>
      <c r="L16" s="572"/>
      <c r="M16" s="568" t="n">
        <f aca="false">K16-L16</f>
        <v>0</v>
      </c>
      <c r="N16" s="567"/>
      <c r="O16" s="567"/>
      <c r="P16" s="568" t="n">
        <f aca="false">N16-O16</f>
        <v>0</v>
      </c>
      <c r="Q16" s="569"/>
      <c r="R16" s="572"/>
      <c r="S16" s="574" t="n">
        <f aca="false">Q16-R16</f>
        <v>0</v>
      </c>
    </row>
    <row r="17" customFormat="false" ht="19.5" hidden="false" customHeight="true" outlineLevel="0" collapsed="false">
      <c r="A17" s="528"/>
      <c r="B17" s="529"/>
      <c r="C17" s="552"/>
      <c r="D17" s="565" t="s">
        <v>399</v>
      </c>
      <c r="E17" s="566"/>
      <c r="F17" s="567"/>
      <c r="G17" s="568" t="n">
        <f aca="false">E17-F17</f>
        <v>0</v>
      </c>
      <c r="H17" s="576"/>
      <c r="I17" s="570"/>
      <c r="J17" s="568"/>
      <c r="K17" s="571"/>
      <c r="L17" s="572"/>
      <c r="M17" s="568" t="n">
        <f aca="false">K17-L17</f>
        <v>0</v>
      </c>
      <c r="N17" s="567" t="n">
        <v>0</v>
      </c>
      <c r="O17" s="567" t="n">
        <v>0</v>
      </c>
      <c r="P17" s="568" t="n">
        <f aca="false">N17-O17</f>
        <v>0</v>
      </c>
      <c r="Q17" s="569"/>
      <c r="R17" s="572"/>
      <c r="S17" s="574" t="n">
        <f aca="false">Q17-R17</f>
        <v>0</v>
      </c>
    </row>
    <row r="18" customFormat="false" ht="19.5" hidden="false" customHeight="true" outlineLevel="0" collapsed="false">
      <c r="A18" s="528"/>
      <c r="B18" s="529"/>
      <c r="C18" s="552"/>
      <c r="D18" s="565" t="s">
        <v>400</v>
      </c>
      <c r="E18" s="566"/>
      <c r="F18" s="567" t="n">
        <v>211390</v>
      </c>
      <c r="G18" s="568" t="n">
        <f aca="false">E18-F18</f>
        <v>-211390</v>
      </c>
      <c r="H18" s="576"/>
      <c r="I18" s="570"/>
      <c r="J18" s="568"/>
      <c r="K18" s="571" t="n">
        <f aca="false">決算精算表!G40</f>
        <v>77607</v>
      </c>
      <c r="L18" s="572" t="n">
        <v>69345</v>
      </c>
      <c r="M18" s="568" t="n">
        <f aca="false">K18-L18</f>
        <v>8262</v>
      </c>
      <c r="N18" s="567"/>
      <c r="O18" s="567"/>
      <c r="P18" s="568" t="n">
        <f aca="false">N18-O18</f>
        <v>0</v>
      </c>
      <c r="Q18" s="569"/>
      <c r="R18" s="572"/>
      <c r="S18" s="574" t="n">
        <f aca="false">Q18-R18</f>
        <v>0</v>
      </c>
    </row>
    <row r="19" customFormat="false" ht="19.5" hidden="false" customHeight="true" outlineLevel="0" collapsed="false">
      <c r="A19" s="528"/>
      <c r="B19" s="529"/>
      <c r="C19" s="552"/>
      <c r="D19" s="565" t="s">
        <v>84</v>
      </c>
      <c r="E19" s="566"/>
      <c r="F19" s="567"/>
      <c r="G19" s="568" t="n">
        <f aca="false">E19-F19</f>
        <v>0</v>
      </c>
      <c r="H19" s="576"/>
      <c r="I19" s="570"/>
      <c r="J19" s="568"/>
      <c r="K19" s="571" t="n">
        <f aca="false">決算精算表!G42</f>
        <v>23159738</v>
      </c>
      <c r="L19" s="572" t="n">
        <v>20856594</v>
      </c>
      <c r="M19" s="568" t="n">
        <f aca="false">K19-L19</f>
        <v>2303144</v>
      </c>
      <c r="N19" s="567"/>
      <c r="O19" s="567"/>
      <c r="P19" s="568" t="n">
        <f aca="false">N19-O19</f>
        <v>0</v>
      </c>
      <c r="Q19" s="571"/>
      <c r="R19" s="572" t="n">
        <v>44000</v>
      </c>
      <c r="S19" s="574" t="n">
        <f aca="false">Q19-R19</f>
        <v>-44000</v>
      </c>
    </row>
    <row r="20" customFormat="false" ht="19.5" hidden="false" customHeight="true" outlineLevel="0" collapsed="false">
      <c r="A20" s="528"/>
      <c r="B20" s="529"/>
      <c r="C20" s="552"/>
      <c r="D20" s="579" t="s">
        <v>137</v>
      </c>
      <c r="E20" s="566"/>
      <c r="F20" s="567"/>
      <c r="G20" s="568" t="n">
        <f aca="false">E20-F20</f>
        <v>0</v>
      </c>
      <c r="H20" s="576"/>
      <c r="I20" s="570"/>
      <c r="J20" s="568"/>
      <c r="K20" s="571" t="n">
        <f aca="false">決算精算表!G44</f>
        <v>11834281</v>
      </c>
      <c r="L20" s="572" t="n">
        <v>11648520</v>
      </c>
      <c r="M20" s="568" t="n">
        <f aca="false">K20-L20</f>
        <v>185761</v>
      </c>
      <c r="N20" s="567"/>
      <c r="O20" s="567"/>
      <c r="P20" s="568" t="n">
        <f aca="false">N20-O20</f>
        <v>0</v>
      </c>
      <c r="Q20" s="571"/>
      <c r="R20" s="572"/>
      <c r="S20" s="574" t="n">
        <f aca="false">Q20-R20</f>
        <v>0</v>
      </c>
    </row>
    <row r="21" customFormat="false" ht="19.5" hidden="false" customHeight="true" outlineLevel="0" collapsed="false">
      <c r="A21" s="528"/>
      <c r="B21" s="529"/>
      <c r="C21" s="552"/>
      <c r="D21" s="579" t="s">
        <v>401</v>
      </c>
      <c r="E21" s="566"/>
      <c r="F21" s="567"/>
      <c r="G21" s="568" t="n">
        <f aca="false">E21-F21</f>
        <v>0</v>
      </c>
      <c r="H21" s="576"/>
      <c r="I21" s="570"/>
      <c r="J21" s="568"/>
      <c r="K21" s="576"/>
      <c r="L21" s="570"/>
      <c r="M21" s="568" t="n">
        <f aca="false">K21-L21</f>
        <v>0</v>
      </c>
      <c r="N21" s="567"/>
      <c r="O21" s="567"/>
      <c r="P21" s="568" t="n">
        <f aca="false">N21-O21</f>
        <v>0</v>
      </c>
      <c r="Q21" s="571"/>
      <c r="R21" s="572"/>
      <c r="S21" s="574" t="n">
        <f aca="false">Q21-R21</f>
        <v>0</v>
      </c>
    </row>
    <row r="22" customFormat="false" ht="19.5" hidden="false" customHeight="true" outlineLevel="0" collapsed="false">
      <c r="A22" s="528"/>
      <c r="B22" s="529"/>
      <c r="C22" s="552"/>
      <c r="D22" s="580" t="s">
        <v>402</v>
      </c>
      <c r="E22" s="566"/>
      <c r="F22" s="567"/>
      <c r="G22" s="568" t="n">
        <f aca="false">E22-F22</f>
        <v>0</v>
      </c>
      <c r="H22" s="576"/>
      <c r="I22" s="570"/>
      <c r="J22" s="568"/>
      <c r="K22" s="569"/>
      <c r="L22" s="572"/>
      <c r="M22" s="568" t="n">
        <f aca="false">K22-L22</f>
        <v>0</v>
      </c>
      <c r="N22" s="567"/>
      <c r="O22" s="567"/>
      <c r="P22" s="568" t="n">
        <f aca="false">N22-O22</f>
        <v>0</v>
      </c>
      <c r="Q22" s="571"/>
      <c r="R22" s="572" t="n">
        <v>12712000</v>
      </c>
      <c r="S22" s="574" t="n">
        <f aca="false">Q22-R22</f>
        <v>-12712000</v>
      </c>
    </row>
    <row r="23" customFormat="false" ht="19.5" hidden="false" customHeight="true" outlineLevel="0" collapsed="false">
      <c r="A23" s="528"/>
      <c r="B23" s="529"/>
      <c r="C23" s="552"/>
      <c r="D23" s="581" t="s">
        <v>135</v>
      </c>
      <c r="E23" s="582"/>
      <c r="F23" s="583" t="n">
        <v>0</v>
      </c>
      <c r="G23" s="568" t="n">
        <f aca="false">E23-F23</f>
        <v>0</v>
      </c>
      <c r="H23" s="584"/>
      <c r="I23" s="585"/>
      <c r="J23" s="586"/>
      <c r="K23" s="587" t="n">
        <f aca="false">決算精算表!G41</f>
        <v>0</v>
      </c>
      <c r="L23" s="588" t="n">
        <v>1206000</v>
      </c>
      <c r="M23" s="568" t="n">
        <f aca="false">K23-L23</f>
        <v>-1206000</v>
      </c>
      <c r="N23" s="583"/>
      <c r="O23" s="583"/>
      <c r="P23" s="568" t="n">
        <f aca="false">N23-O23</f>
        <v>0</v>
      </c>
      <c r="Q23" s="587"/>
      <c r="R23" s="588"/>
      <c r="S23" s="589" t="n">
        <f aca="false">Q23-R23</f>
        <v>0</v>
      </c>
    </row>
    <row r="24" customFormat="false" ht="19.5" hidden="false" customHeight="true" outlineLevel="0" collapsed="false">
      <c r="A24" s="528"/>
      <c r="B24" s="529"/>
      <c r="C24" s="552"/>
      <c r="D24" s="581" t="s">
        <v>403</v>
      </c>
      <c r="E24" s="582"/>
      <c r="F24" s="583"/>
      <c r="G24" s="568" t="n">
        <f aca="false">E24-F24</f>
        <v>0</v>
      </c>
      <c r="H24" s="584"/>
      <c r="I24" s="585"/>
      <c r="J24" s="586"/>
      <c r="K24" s="587"/>
      <c r="L24" s="588"/>
      <c r="M24" s="568" t="n">
        <f aca="false">K24-L24</f>
        <v>0</v>
      </c>
      <c r="N24" s="583"/>
      <c r="O24" s="583"/>
      <c r="P24" s="568" t="n">
        <f aca="false">N24-O24</f>
        <v>0</v>
      </c>
      <c r="Q24" s="587"/>
      <c r="R24" s="588"/>
      <c r="S24" s="589"/>
    </row>
    <row r="25" customFormat="false" ht="19.5" hidden="false" customHeight="true" outlineLevel="0" collapsed="false">
      <c r="A25" s="528"/>
      <c r="B25" s="529"/>
      <c r="C25" s="552"/>
      <c r="D25" s="590" t="s">
        <v>404</v>
      </c>
      <c r="E25" s="566"/>
      <c r="F25" s="583"/>
      <c r="G25" s="586" t="n">
        <f aca="false">E25-F25</f>
        <v>0</v>
      </c>
      <c r="H25" s="584"/>
      <c r="I25" s="585"/>
      <c r="J25" s="586"/>
      <c r="K25" s="587"/>
      <c r="L25" s="588"/>
      <c r="M25" s="568" t="n">
        <f aca="false">K25-L25</f>
        <v>0</v>
      </c>
      <c r="N25" s="583"/>
      <c r="O25" s="583"/>
      <c r="P25" s="568" t="n">
        <f aca="false">N25-O25</f>
        <v>0</v>
      </c>
      <c r="Q25" s="587"/>
      <c r="R25" s="588"/>
      <c r="S25" s="589" t="n">
        <f aca="false">Q25-R25</f>
        <v>0</v>
      </c>
    </row>
    <row r="26" customFormat="false" ht="19.5" hidden="false" customHeight="true" outlineLevel="0" collapsed="false">
      <c r="A26" s="528"/>
      <c r="B26" s="529"/>
      <c r="C26" s="552"/>
      <c r="D26" s="590" t="s">
        <v>138</v>
      </c>
      <c r="E26" s="582"/>
      <c r="F26" s="583" t="n">
        <v>2100931</v>
      </c>
      <c r="G26" s="586" t="n">
        <f aca="false">E26-F26</f>
        <v>-2100931</v>
      </c>
      <c r="H26" s="584"/>
      <c r="I26" s="570"/>
      <c r="J26" s="586"/>
      <c r="K26" s="587" t="n">
        <f aca="false">決算精算表!G45</f>
        <v>0</v>
      </c>
      <c r="L26" s="588"/>
      <c r="M26" s="568" t="n">
        <f aca="false">K26-L26</f>
        <v>0</v>
      </c>
      <c r="N26" s="583" t="n">
        <v>0</v>
      </c>
      <c r="O26" s="583" t="n">
        <v>0</v>
      </c>
      <c r="P26" s="568" t="n">
        <f aca="false">N26-O26</f>
        <v>0</v>
      </c>
      <c r="Q26" s="587"/>
      <c r="R26" s="588"/>
      <c r="S26" s="589" t="n">
        <f aca="false">Q26-R26</f>
        <v>0</v>
      </c>
    </row>
    <row r="27" customFormat="false" ht="19.5" hidden="false" customHeight="true" outlineLevel="0" collapsed="false">
      <c r="A27" s="528"/>
      <c r="B27" s="529"/>
      <c r="C27" s="552"/>
      <c r="D27" s="591" t="s">
        <v>405</v>
      </c>
      <c r="E27" s="592"/>
      <c r="F27" s="593" t="n">
        <v>883951850</v>
      </c>
      <c r="G27" s="586" t="n">
        <f aca="false">E27-F27</f>
        <v>-883951850</v>
      </c>
      <c r="H27" s="587"/>
      <c r="I27" s="594"/>
      <c r="J27" s="586"/>
      <c r="K27" s="595"/>
      <c r="L27" s="596"/>
      <c r="M27" s="586" t="n">
        <f aca="false">K27-L27</f>
        <v>0</v>
      </c>
      <c r="N27" s="597"/>
      <c r="O27" s="583"/>
      <c r="P27" s="586" t="n">
        <f aca="false">N27-O27</f>
        <v>0</v>
      </c>
      <c r="Q27" s="595"/>
      <c r="R27" s="596"/>
      <c r="S27" s="589" t="n">
        <f aca="false">Q27-R27</f>
        <v>0</v>
      </c>
    </row>
    <row r="28" customFormat="false" ht="28.5" hidden="false" customHeight="true" outlineLevel="0" collapsed="false">
      <c r="A28" s="528"/>
      <c r="B28" s="529"/>
      <c r="C28" s="598" t="s">
        <v>406</v>
      </c>
      <c r="D28" s="598"/>
      <c r="E28" s="546" t="n">
        <f aca="false">SUM(E7:E27)</f>
        <v>0</v>
      </c>
      <c r="F28" s="548" t="n">
        <f aca="false">SUM(F7:F27)</f>
        <v>13363345222</v>
      </c>
      <c r="G28" s="544" t="n">
        <f aca="false">SUM(G7:G27)</f>
        <v>-13363345222</v>
      </c>
      <c r="H28" s="542" t="n">
        <f aca="false">SUM(H7:H27)</f>
        <v>10342735989</v>
      </c>
      <c r="I28" s="599" t="n">
        <f aca="false">SUM(I7:I27)</f>
        <v>19217782897</v>
      </c>
      <c r="J28" s="544" t="n">
        <f aca="false">SUM(J7:J27)</f>
        <v>-8875046908</v>
      </c>
      <c r="K28" s="542" t="n">
        <f aca="false">SUM(K7:K27)</f>
        <v>124727469</v>
      </c>
      <c r="L28" s="599" t="n">
        <f aca="false">SUM(L7:L27)</f>
        <v>115948018</v>
      </c>
      <c r="M28" s="544" t="n">
        <f aca="false">SUM(M7:M27)</f>
        <v>8779451</v>
      </c>
      <c r="N28" s="548" t="n">
        <f aca="false">SUM(N7:N27)</f>
        <v>0</v>
      </c>
      <c r="O28" s="599" t="n">
        <f aca="false">SUM(O7:O27)</f>
        <v>608914362</v>
      </c>
      <c r="P28" s="544" t="n">
        <f aca="false">SUM(P7:P27)</f>
        <v>-608914362</v>
      </c>
      <c r="Q28" s="542" t="n">
        <f aca="false">SUM(Q7:Q27)</f>
        <v>0</v>
      </c>
      <c r="R28" s="599" t="n">
        <f aca="false">SUM(R7:R27)</f>
        <v>12756000</v>
      </c>
      <c r="S28" s="551" t="n">
        <f aca="false">SUM(S7:S27)</f>
        <v>-12756000</v>
      </c>
    </row>
    <row r="29" customFormat="false" ht="19.5" hidden="false" customHeight="true" outlineLevel="0" collapsed="false">
      <c r="A29" s="528"/>
      <c r="B29" s="529"/>
      <c r="C29" s="600" t="s">
        <v>407</v>
      </c>
      <c r="D29" s="601" t="s">
        <v>408</v>
      </c>
      <c r="E29" s="554"/>
      <c r="F29" s="555" t="n">
        <v>5062957780</v>
      </c>
      <c r="G29" s="562" t="n">
        <f aca="false">E29-F29</f>
        <v>-5062957780</v>
      </c>
      <c r="H29" s="602"/>
      <c r="I29" s="558"/>
      <c r="J29" s="562"/>
      <c r="K29" s="563"/>
      <c r="L29" s="560"/>
      <c r="M29" s="562" t="n">
        <f aca="false">K29-L29</f>
        <v>0</v>
      </c>
      <c r="N29" s="603"/>
      <c r="O29" s="603"/>
      <c r="P29" s="573" t="n">
        <f aca="false">N29-O29</f>
        <v>0</v>
      </c>
      <c r="Q29" s="604"/>
      <c r="R29" s="605"/>
      <c r="S29" s="606" t="n">
        <f aca="false">Q29-R29</f>
        <v>0</v>
      </c>
    </row>
    <row r="30" customFormat="false" ht="19.5" hidden="false" customHeight="true" outlineLevel="0" collapsed="false">
      <c r="A30" s="528"/>
      <c r="B30" s="529"/>
      <c r="C30" s="600"/>
      <c r="D30" s="601" t="s">
        <v>409</v>
      </c>
      <c r="E30" s="607"/>
      <c r="F30" s="561" t="n">
        <v>596910377</v>
      </c>
      <c r="G30" s="573" t="n">
        <f aca="false">E30-F30</f>
        <v>-596910377</v>
      </c>
      <c r="H30" s="576"/>
      <c r="I30" s="570"/>
      <c r="J30" s="568"/>
      <c r="K30" s="608"/>
      <c r="L30" s="609"/>
      <c r="M30" s="556" t="n">
        <f aca="false">K30-L30</f>
        <v>0</v>
      </c>
      <c r="N30" s="567"/>
      <c r="O30" s="567"/>
      <c r="P30" s="568" t="n">
        <f aca="false">N30-O30</f>
        <v>0</v>
      </c>
      <c r="Q30" s="569"/>
      <c r="R30" s="572"/>
      <c r="S30" s="574" t="n">
        <f aca="false">Q30-R30</f>
        <v>0</v>
      </c>
    </row>
    <row r="31" customFormat="false" ht="19.5" hidden="false" customHeight="true" outlineLevel="0" collapsed="false">
      <c r="A31" s="528"/>
      <c r="B31" s="529"/>
      <c r="C31" s="600"/>
      <c r="D31" s="601" t="s">
        <v>410</v>
      </c>
      <c r="E31" s="607"/>
      <c r="F31" s="561" t="n">
        <v>0</v>
      </c>
      <c r="G31" s="568" t="n">
        <f aca="false">E31-F31</f>
        <v>0</v>
      </c>
      <c r="H31" s="610"/>
      <c r="I31" s="611"/>
      <c r="J31" s="573"/>
      <c r="K31" s="569"/>
      <c r="L31" s="572"/>
      <c r="M31" s="568" t="n">
        <f aca="false">K31-L31</f>
        <v>0</v>
      </c>
      <c r="N31" s="603"/>
      <c r="O31" s="603"/>
      <c r="P31" s="573" t="n">
        <f aca="false">N31-O31</f>
        <v>0</v>
      </c>
      <c r="Q31" s="569"/>
      <c r="R31" s="572"/>
      <c r="S31" s="574" t="n">
        <f aca="false">Q31-R31</f>
        <v>0</v>
      </c>
    </row>
    <row r="32" customFormat="false" ht="19.5" hidden="false" customHeight="true" outlineLevel="0" collapsed="false">
      <c r="A32" s="528"/>
      <c r="B32" s="529"/>
      <c r="C32" s="600"/>
      <c r="D32" s="590" t="s">
        <v>411</v>
      </c>
      <c r="E32" s="607"/>
      <c r="F32" s="561" t="n">
        <v>36121513</v>
      </c>
      <c r="G32" s="568" t="n">
        <f aca="false">E32-F32</f>
        <v>-36121513</v>
      </c>
      <c r="H32" s="576"/>
      <c r="I32" s="570"/>
      <c r="J32" s="568"/>
      <c r="K32" s="569"/>
      <c r="L32" s="572"/>
      <c r="M32" s="568" t="n">
        <f aca="false">K32-L32</f>
        <v>0</v>
      </c>
      <c r="N32" s="567"/>
      <c r="O32" s="567"/>
      <c r="P32" s="568" t="n">
        <f aca="false">N32-O32</f>
        <v>0</v>
      </c>
      <c r="Q32" s="569"/>
      <c r="R32" s="572"/>
      <c r="S32" s="574" t="n">
        <f aca="false">Q32-R32</f>
        <v>0</v>
      </c>
    </row>
    <row r="33" customFormat="false" ht="19.5" hidden="false" customHeight="true" outlineLevel="0" collapsed="false">
      <c r="A33" s="528"/>
      <c r="B33" s="529"/>
      <c r="C33" s="600"/>
      <c r="D33" s="580" t="s">
        <v>412</v>
      </c>
      <c r="E33" s="607"/>
      <c r="F33" s="561" t="n">
        <v>74042318</v>
      </c>
      <c r="G33" s="568" t="n">
        <f aca="false">E33-F33</f>
        <v>-74042318</v>
      </c>
      <c r="H33" s="576"/>
      <c r="I33" s="570"/>
      <c r="J33" s="568"/>
      <c r="K33" s="608"/>
      <c r="L33" s="609"/>
      <c r="M33" s="573" t="n">
        <f aca="false">K33-L33</f>
        <v>0</v>
      </c>
      <c r="N33" s="567"/>
      <c r="O33" s="567"/>
      <c r="P33" s="568" t="n">
        <f aca="false">N33-O33</f>
        <v>0</v>
      </c>
      <c r="Q33" s="569"/>
      <c r="R33" s="572"/>
      <c r="S33" s="574" t="n">
        <f aca="false">Q33-R33</f>
        <v>0</v>
      </c>
    </row>
    <row r="34" customFormat="false" ht="19.5" hidden="false" customHeight="true" outlineLevel="0" collapsed="false">
      <c r="A34" s="528"/>
      <c r="B34" s="529"/>
      <c r="C34" s="600"/>
      <c r="D34" s="601" t="s">
        <v>413</v>
      </c>
      <c r="E34" s="566"/>
      <c r="F34" s="567" t="n">
        <v>5748963367</v>
      </c>
      <c r="G34" s="568" t="n">
        <f aca="false">E34-F34</f>
        <v>-5748963367</v>
      </c>
      <c r="H34" s="576"/>
      <c r="I34" s="570"/>
      <c r="J34" s="568"/>
      <c r="K34" s="569"/>
      <c r="L34" s="572"/>
      <c r="M34" s="568" t="n">
        <f aca="false">K34-L34</f>
        <v>0</v>
      </c>
      <c r="N34" s="567"/>
      <c r="O34" s="567"/>
      <c r="P34" s="568" t="n">
        <f aca="false">N34-O34</f>
        <v>0</v>
      </c>
      <c r="Q34" s="608"/>
      <c r="R34" s="609"/>
      <c r="S34" s="606" t="n">
        <f aca="false">Q34-R34</f>
        <v>0</v>
      </c>
    </row>
    <row r="35" customFormat="false" ht="19.5" hidden="false" customHeight="true" outlineLevel="0" collapsed="false">
      <c r="A35" s="528"/>
      <c r="B35" s="529"/>
      <c r="C35" s="600"/>
      <c r="D35" s="612" t="s">
        <v>414</v>
      </c>
      <c r="E35" s="566"/>
      <c r="F35" s="567"/>
      <c r="G35" s="568" t="n">
        <f aca="false">E35-F35</f>
        <v>0</v>
      </c>
      <c r="H35" s="576"/>
      <c r="I35" s="570"/>
      <c r="J35" s="568"/>
      <c r="K35" s="569"/>
      <c r="L35" s="572"/>
      <c r="M35" s="568" t="n">
        <f aca="false">K35-L35</f>
        <v>0</v>
      </c>
      <c r="N35" s="567"/>
      <c r="O35" s="567"/>
      <c r="P35" s="568" t="n">
        <f aca="false">N35-O35</f>
        <v>0</v>
      </c>
      <c r="Q35" s="569"/>
      <c r="R35" s="572"/>
      <c r="S35" s="574" t="n">
        <f aca="false">Q35-R35</f>
        <v>0</v>
      </c>
    </row>
    <row r="36" customFormat="false" ht="19.5" hidden="false" customHeight="true" outlineLevel="0" collapsed="false">
      <c r="A36" s="528"/>
      <c r="B36" s="529"/>
      <c r="C36" s="600"/>
      <c r="D36" s="601" t="s">
        <v>415</v>
      </c>
      <c r="E36" s="566"/>
      <c r="F36" s="567"/>
      <c r="G36" s="568" t="n">
        <f aca="false">E36-F36</f>
        <v>0</v>
      </c>
      <c r="H36" s="569" t="n">
        <v>5516016459</v>
      </c>
      <c r="I36" s="570" t="n">
        <v>10787321768</v>
      </c>
      <c r="J36" s="568" t="n">
        <f aca="false">H36-I36</f>
        <v>-5271305309</v>
      </c>
      <c r="K36" s="569"/>
      <c r="L36" s="572"/>
      <c r="M36" s="568" t="n">
        <f aca="false">K36-L36</f>
        <v>0</v>
      </c>
      <c r="N36" s="567"/>
      <c r="O36" s="567"/>
      <c r="P36" s="568" t="n">
        <f aca="false">N36-O36</f>
        <v>0</v>
      </c>
      <c r="Q36" s="569"/>
      <c r="R36" s="572"/>
      <c r="S36" s="574" t="n">
        <f aca="false">Q36-R36</f>
        <v>0</v>
      </c>
    </row>
    <row r="37" customFormat="false" ht="19.5" hidden="false" customHeight="true" outlineLevel="0" collapsed="false">
      <c r="A37" s="528"/>
      <c r="B37" s="529"/>
      <c r="C37" s="600"/>
      <c r="D37" s="601" t="s">
        <v>416</v>
      </c>
      <c r="E37" s="613"/>
      <c r="F37" s="614"/>
      <c r="G37" s="568" t="n">
        <f aca="false">E37-F37</f>
        <v>0</v>
      </c>
      <c r="H37" s="615" t="n">
        <v>45220684</v>
      </c>
      <c r="I37" s="616" t="n">
        <v>87548431</v>
      </c>
      <c r="J37" s="568" t="n">
        <f aca="false">H37-I37</f>
        <v>-42327747</v>
      </c>
      <c r="K37" s="615"/>
      <c r="L37" s="617"/>
      <c r="M37" s="568" t="n">
        <f aca="false">K37-L37</f>
        <v>0</v>
      </c>
      <c r="N37" s="614"/>
      <c r="O37" s="614"/>
      <c r="P37" s="568" t="n">
        <f aca="false">N37-O37</f>
        <v>0</v>
      </c>
      <c r="Q37" s="615"/>
      <c r="R37" s="617"/>
      <c r="S37" s="574" t="n">
        <f aca="false">Q37-R37</f>
        <v>0</v>
      </c>
    </row>
    <row r="38" customFormat="false" ht="19.5" hidden="false" customHeight="true" outlineLevel="0" collapsed="false">
      <c r="A38" s="528"/>
      <c r="B38" s="529"/>
      <c r="C38" s="600"/>
      <c r="D38" s="601" t="s">
        <v>417</v>
      </c>
      <c r="E38" s="566"/>
      <c r="F38" s="567"/>
      <c r="G38" s="568" t="n">
        <f aca="false">E38-F38</f>
        <v>0</v>
      </c>
      <c r="H38" s="569" t="n">
        <v>995045755</v>
      </c>
      <c r="I38" s="570" t="n">
        <v>2016533515</v>
      </c>
      <c r="J38" s="568" t="n">
        <f aca="false">H38-I38</f>
        <v>-1021487760</v>
      </c>
      <c r="K38" s="569"/>
      <c r="L38" s="572"/>
      <c r="M38" s="568" t="n">
        <f aca="false">K38-L38</f>
        <v>0</v>
      </c>
      <c r="N38" s="567"/>
      <c r="O38" s="567"/>
      <c r="P38" s="568" t="n">
        <f aca="false">N38-O38</f>
        <v>0</v>
      </c>
      <c r="Q38" s="569"/>
      <c r="R38" s="572"/>
      <c r="S38" s="574" t="n">
        <f aca="false">Q38-R38</f>
        <v>0</v>
      </c>
    </row>
    <row r="39" customFormat="false" ht="19.5" hidden="false" customHeight="true" outlineLevel="0" collapsed="false">
      <c r="A39" s="528"/>
      <c r="B39" s="529"/>
      <c r="C39" s="600"/>
      <c r="D39" s="618" t="s">
        <v>418</v>
      </c>
      <c r="E39" s="566"/>
      <c r="F39" s="567"/>
      <c r="G39" s="568" t="n">
        <f aca="false">E39-F39</f>
        <v>0</v>
      </c>
      <c r="H39" s="569" t="n">
        <v>2802837274</v>
      </c>
      <c r="I39" s="570" t="n">
        <v>5376398659</v>
      </c>
      <c r="J39" s="568" t="n">
        <f aca="false">H39-I39</f>
        <v>-2573561385</v>
      </c>
      <c r="K39" s="569"/>
      <c r="L39" s="572"/>
      <c r="M39" s="568" t="n">
        <f aca="false">K39-L39</f>
        <v>0</v>
      </c>
      <c r="N39" s="567"/>
      <c r="O39" s="567"/>
      <c r="P39" s="568" t="n">
        <f aca="false">N39-O39</f>
        <v>0</v>
      </c>
      <c r="Q39" s="569"/>
      <c r="R39" s="572"/>
      <c r="S39" s="574" t="n">
        <f aca="false">Q39-R39</f>
        <v>0</v>
      </c>
    </row>
    <row r="40" customFormat="false" ht="19.5" hidden="false" customHeight="true" outlineLevel="0" collapsed="false">
      <c r="A40" s="528"/>
      <c r="B40" s="529"/>
      <c r="C40" s="600"/>
      <c r="D40" s="565" t="s">
        <v>359</v>
      </c>
      <c r="E40" s="566"/>
      <c r="F40" s="567"/>
      <c r="G40" s="568" t="n">
        <f aca="false">E40-F40</f>
        <v>0</v>
      </c>
      <c r="H40" s="569"/>
      <c r="I40" s="570"/>
      <c r="J40" s="568"/>
      <c r="K40" s="569"/>
      <c r="L40" s="572"/>
      <c r="M40" s="568" t="n">
        <f aca="false">K40-L40</f>
        <v>0</v>
      </c>
      <c r="N40" s="567"/>
      <c r="O40" s="567"/>
      <c r="P40" s="568" t="n">
        <f aca="false">N40-O40</f>
        <v>0</v>
      </c>
      <c r="Q40" s="569"/>
      <c r="R40" s="572"/>
      <c r="S40" s="574" t="n">
        <f aca="false">Q40-R40</f>
        <v>0</v>
      </c>
    </row>
    <row r="41" customFormat="false" ht="19.5" hidden="false" customHeight="true" outlineLevel="0" collapsed="false">
      <c r="A41" s="528"/>
      <c r="B41" s="529"/>
      <c r="C41" s="600"/>
      <c r="D41" s="565" t="s">
        <v>419</v>
      </c>
      <c r="E41" s="566"/>
      <c r="F41" s="567" t="n">
        <v>132291047</v>
      </c>
      <c r="G41" s="568" t="n">
        <f aca="false">E41-F41</f>
        <v>-132291047</v>
      </c>
      <c r="H41" s="569" t="n">
        <v>26027000</v>
      </c>
      <c r="I41" s="570" t="n">
        <v>249923000</v>
      </c>
      <c r="J41" s="568" t="n">
        <f aca="false">H41-I41</f>
        <v>-223896000</v>
      </c>
      <c r="K41" s="569"/>
      <c r="L41" s="572"/>
      <c r="M41" s="568" t="n">
        <f aca="false">K41-L41</f>
        <v>0</v>
      </c>
      <c r="N41" s="567"/>
      <c r="O41" s="567"/>
      <c r="P41" s="568" t="n">
        <f aca="false">N41-O41</f>
        <v>0</v>
      </c>
      <c r="Q41" s="571"/>
      <c r="R41" s="572"/>
      <c r="S41" s="574" t="n">
        <f aca="false">Q41-R41</f>
        <v>0</v>
      </c>
    </row>
    <row r="42" customFormat="false" ht="19.5" hidden="false" customHeight="true" outlineLevel="0" collapsed="false">
      <c r="A42" s="528"/>
      <c r="B42" s="529"/>
      <c r="C42" s="600"/>
      <c r="D42" s="565" t="s">
        <v>420</v>
      </c>
      <c r="E42" s="566"/>
      <c r="F42" s="567" t="n">
        <v>11648520</v>
      </c>
      <c r="G42" s="568" t="n">
        <f aca="false">E42-F42</f>
        <v>-11648520</v>
      </c>
      <c r="H42" s="569" t="n">
        <v>13252000</v>
      </c>
      <c r="I42" s="570" t="n">
        <v>30145946</v>
      </c>
      <c r="J42" s="568" t="n">
        <f aca="false">H42-I42</f>
        <v>-16893946</v>
      </c>
      <c r="K42" s="569"/>
      <c r="L42" s="572"/>
      <c r="M42" s="568" t="n">
        <f aca="false">K42-L42</f>
        <v>0</v>
      </c>
      <c r="N42" s="567"/>
      <c r="O42" s="567"/>
      <c r="P42" s="568" t="n">
        <f aca="false">N42-O42</f>
        <v>0</v>
      </c>
      <c r="Q42" s="571"/>
      <c r="R42" s="572"/>
      <c r="S42" s="574" t="n">
        <f aca="false">Q42-R42</f>
        <v>0</v>
      </c>
    </row>
    <row r="43" customFormat="false" ht="19.5" hidden="false" customHeight="true" outlineLevel="0" collapsed="false">
      <c r="A43" s="528"/>
      <c r="B43" s="529"/>
      <c r="C43" s="600"/>
      <c r="D43" s="565" t="s">
        <v>67</v>
      </c>
      <c r="E43" s="566"/>
      <c r="F43" s="567"/>
      <c r="G43" s="568" t="n">
        <f aca="false">E43-F43</f>
        <v>0</v>
      </c>
      <c r="H43" s="576"/>
      <c r="I43" s="570"/>
      <c r="J43" s="568"/>
      <c r="K43" s="571" t="n">
        <f aca="false">決算精算表!A22</f>
        <v>10141337</v>
      </c>
      <c r="L43" s="572" t="n">
        <v>9574938</v>
      </c>
      <c r="M43" s="568" t="n">
        <f aca="false">K43-L43</f>
        <v>566399</v>
      </c>
      <c r="N43" s="567"/>
      <c r="O43" s="567" t="n">
        <v>6040584</v>
      </c>
      <c r="P43" s="568" t="n">
        <f aca="false">N43-O43</f>
        <v>-6040584</v>
      </c>
      <c r="Q43" s="571"/>
      <c r="R43" s="572" t="n">
        <v>6160420</v>
      </c>
      <c r="S43" s="574" t="n">
        <f aca="false">Q43-R43</f>
        <v>-6160420</v>
      </c>
    </row>
    <row r="44" customFormat="false" ht="19.5" hidden="false" customHeight="true" outlineLevel="0" collapsed="false">
      <c r="A44" s="528"/>
      <c r="B44" s="529"/>
      <c r="C44" s="600"/>
      <c r="D44" s="601" t="s">
        <v>421</v>
      </c>
      <c r="E44" s="566"/>
      <c r="F44" s="567"/>
      <c r="G44" s="568" t="n">
        <f aca="false">E44-F44</f>
        <v>0</v>
      </c>
      <c r="H44" s="576"/>
      <c r="I44" s="570"/>
      <c r="J44" s="568"/>
      <c r="K44" s="571" t="n">
        <f aca="false">SUM(決算精算表!A21:A36)-決算精算表!A22</f>
        <v>110982622</v>
      </c>
      <c r="L44" s="572" t="n">
        <v>101872292</v>
      </c>
      <c r="M44" s="568" t="n">
        <f aca="false">K44-L44</f>
        <v>9110330</v>
      </c>
      <c r="N44" s="567"/>
      <c r="O44" s="567" t="n">
        <v>608161999</v>
      </c>
      <c r="P44" s="568" t="n">
        <f aca="false">N44-O44</f>
        <v>-608161999</v>
      </c>
      <c r="Q44" s="571"/>
      <c r="R44" s="572" t="n">
        <v>11949705</v>
      </c>
      <c r="S44" s="574" t="n">
        <f aca="false">Q44-R44</f>
        <v>-11949705</v>
      </c>
    </row>
    <row r="45" customFormat="false" ht="19.5" hidden="false" customHeight="true" outlineLevel="0" collapsed="false">
      <c r="A45" s="528"/>
      <c r="B45" s="529"/>
      <c r="C45" s="600"/>
      <c r="D45" s="590" t="s">
        <v>422</v>
      </c>
      <c r="E45" s="582"/>
      <c r="F45" s="583"/>
      <c r="G45" s="586" t="n">
        <f aca="false">E45-F45</f>
        <v>0</v>
      </c>
      <c r="H45" s="584"/>
      <c r="I45" s="585"/>
      <c r="J45" s="586"/>
      <c r="K45" s="569"/>
      <c r="L45" s="572"/>
      <c r="M45" s="568" t="n">
        <f aca="false">K45-L45</f>
        <v>0</v>
      </c>
      <c r="N45" s="583"/>
      <c r="O45" s="583"/>
      <c r="P45" s="568" t="n">
        <f aca="false">N45-O45</f>
        <v>0</v>
      </c>
      <c r="Q45" s="587"/>
      <c r="R45" s="588"/>
      <c r="S45" s="589" t="n">
        <f aca="false">Q45-R45</f>
        <v>0</v>
      </c>
    </row>
    <row r="46" customFormat="false" ht="19.5" hidden="false" customHeight="true" outlineLevel="0" collapsed="false">
      <c r="A46" s="528"/>
      <c r="B46" s="529"/>
      <c r="C46" s="600"/>
      <c r="D46" s="590" t="s">
        <v>423</v>
      </c>
      <c r="E46" s="582"/>
      <c r="F46" s="583"/>
      <c r="G46" s="586" t="n">
        <f aca="false">E46-F46</f>
        <v>0</v>
      </c>
      <c r="H46" s="584"/>
      <c r="I46" s="585"/>
      <c r="J46" s="586"/>
      <c r="K46" s="569"/>
      <c r="L46" s="572"/>
      <c r="M46" s="568" t="n">
        <f aca="false">K46-L46</f>
        <v>0</v>
      </c>
      <c r="N46" s="583"/>
      <c r="O46" s="583"/>
      <c r="P46" s="586" t="n">
        <f aca="false">N46-O46</f>
        <v>0</v>
      </c>
      <c r="Q46" s="587"/>
      <c r="R46" s="588"/>
      <c r="S46" s="589" t="n">
        <f aca="false">Q46-R46</f>
        <v>0</v>
      </c>
    </row>
    <row r="47" customFormat="false" ht="19.5" hidden="false" customHeight="true" outlineLevel="0" collapsed="false">
      <c r="A47" s="528"/>
      <c r="B47" s="529"/>
      <c r="C47" s="600"/>
      <c r="D47" s="590" t="s">
        <v>133</v>
      </c>
      <c r="E47" s="582"/>
      <c r="F47" s="583" t="n">
        <v>0</v>
      </c>
      <c r="G47" s="586" t="n">
        <f aca="false">E47-F47</f>
        <v>0</v>
      </c>
      <c r="H47" s="584"/>
      <c r="I47" s="585"/>
      <c r="J47" s="586"/>
      <c r="K47" s="576" t="n">
        <f aca="false">決算精算表!A37</f>
        <v>0</v>
      </c>
      <c r="L47" s="572"/>
      <c r="M47" s="568" t="n">
        <f aca="false">K47-L47</f>
        <v>0</v>
      </c>
      <c r="N47" s="583"/>
      <c r="O47" s="583" t="n">
        <v>0</v>
      </c>
      <c r="P47" s="568" t="n">
        <f aca="false">N47-O47</f>
        <v>0</v>
      </c>
      <c r="Q47" s="569"/>
      <c r="R47" s="572"/>
      <c r="S47" s="574" t="n">
        <f aca="false">Q47-R47</f>
        <v>0</v>
      </c>
    </row>
    <row r="48" customFormat="false" ht="19.5" hidden="false" customHeight="true" outlineLevel="0" collapsed="false">
      <c r="A48" s="528"/>
      <c r="B48" s="529"/>
      <c r="C48" s="600"/>
      <c r="D48" s="591" t="s">
        <v>424</v>
      </c>
      <c r="E48" s="592"/>
      <c r="F48" s="593" t="n">
        <v>876229790</v>
      </c>
      <c r="G48" s="586" t="n">
        <f aca="false">E48-F48</f>
        <v>-876229790</v>
      </c>
      <c r="H48" s="587"/>
      <c r="I48" s="585"/>
      <c r="J48" s="586"/>
      <c r="K48" s="619"/>
      <c r="L48" s="620"/>
      <c r="M48" s="586" t="n">
        <f aca="false">K48-L48</f>
        <v>0</v>
      </c>
      <c r="N48" s="583"/>
      <c r="O48" s="583"/>
      <c r="P48" s="586" t="n">
        <f aca="false">N48-O48</f>
        <v>0</v>
      </c>
      <c r="Q48" s="595"/>
      <c r="R48" s="596"/>
      <c r="S48" s="589" t="n">
        <f aca="false">Q48-R48</f>
        <v>0</v>
      </c>
    </row>
    <row r="49" customFormat="false" ht="28.5" hidden="false" customHeight="true" outlineLevel="0" collapsed="false">
      <c r="A49" s="528"/>
      <c r="B49" s="529"/>
      <c r="C49" s="621" t="s">
        <v>425</v>
      </c>
      <c r="D49" s="621"/>
      <c r="E49" s="542" t="n">
        <f aca="false">SUM(E29:E48)</f>
        <v>0</v>
      </c>
      <c r="F49" s="599" t="n">
        <f aca="false">SUM(F29:F48)</f>
        <v>12539164712</v>
      </c>
      <c r="G49" s="544" t="n">
        <f aca="false">SUM(G29:G48)</f>
        <v>-12539164712</v>
      </c>
      <c r="H49" s="542" t="n">
        <f aca="false">SUM(H36:H48)</f>
        <v>9398399172</v>
      </c>
      <c r="I49" s="599" t="n">
        <f aca="false">SUM(I36:I48)</f>
        <v>18547871319</v>
      </c>
      <c r="J49" s="544" t="n">
        <f aca="false">SUM(J36:J48)</f>
        <v>-9149472147</v>
      </c>
      <c r="K49" s="546" t="n">
        <f aca="false">SUM(K29:K48)</f>
        <v>121123959</v>
      </c>
      <c r="L49" s="622" t="n">
        <f aca="false">SUM(L29:L48)</f>
        <v>111447230</v>
      </c>
      <c r="M49" s="544" t="n">
        <f aca="false">SUM(M29:M48)</f>
        <v>9676729</v>
      </c>
      <c r="N49" s="548" t="n">
        <f aca="false">SUM(N29:N48)</f>
        <v>0</v>
      </c>
      <c r="O49" s="548" t="n">
        <f aca="false">SUM(O29:O48)</f>
        <v>614202583</v>
      </c>
      <c r="P49" s="544" t="n">
        <f aca="false">SUM(P29:P48)</f>
        <v>-614202583</v>
      </c>
      <c r="Q49" s="546" t="n">
        <f aca="false">SUM(Q29:Q48)</f>
        <v>0</v>
      </c>
      <c r="R49" s="548" t="n">
        <f aca="false">SUM(R29:R48)</f>
        <v>18110125</v>
      </c>
      <c r="S49" s="551" t="n">
        <f aca="false">SUM(S29:S48)</f>
        <v>-18110125</v>
      </c>
    </row>
    <row r="50" customFormat="false" ht="28.5" hidden="false" customHeight="true" outlineLevel="0" collapsed="false">
      <c r="A50" s="528"/>
      <c r="B50" s="529"/>
      <c r="C50" s="623" t="s">
        <v>426</v>
      </c>
      <c r="D50" s="623"/>
      <c r="E50" s="624" t="n">
        <f aca="false">E28-E49</f>
        <v>0</v>
      </c>
      <c r="F50" s="625" t="n">
        <f aca="false">F28-F49</f>
        <v>824180510</v>
      </c>
      <c r="G50" s="556" t="n">
        <f aca="false">E50-F50</f>
        <v>-824180510</v>
      </c>
      <c r="H50" s="624" t="n">
        <f aca="false">H28-H49</f>
        <v>944336817</v>
      </c>
      <c r="I50" s="625" t="n">
        <f aca="false">I28-I49</f>
        <v>669911578</v>
      </c>
      <c r="J50" s="556" t="n">
        <f aca="false">H50-I50</f>
        <v>274425239</v>
      </c>
      <c r="K50" s="626" t="n">
        <f aca="false">K28-K49</f>
        <v>3603510</v>
      </c>
      <c r="L50" s="627" t="n">
        <f aca="false">L28-L49</f>
        <v>4500788</v>
      </c>
      <c r="M50" s="556" t="n">
        <f aca="false">K50-L50</f>
        <v>-897278</v>
      </c>
      <c r="N50" s="628" t="n">
        <f aca="false">N28-N49</f>
        <v>0</v>
      </c>
      <c r="O50" s="628" t="n">
        <f aca="false">O28-O49</f>
        <v>-5288221</v>
      </c>
      <c r="P50" s="556" t="n">
        <f aca="false">N50-O50</f>
        <v>5288221</v>
      </c>
      <c r="Q50" s="626" t="n">
        <f aca="false">Q28-Q49</f>
        <v>0</v>
      </c>
      <c r="R50" s="628" t="n">
        <f aca="false">R28-R49</f>
        <v>-5354125</v>
      </c>
      <c r="S50" s="564" t="n">
        <f aca="false">Q50-R50</f>
        <v>5354125</v>
      </c>
    </row>
    <row r="51" customFormat="false" ht="28.5" hidden="false" customHeight="true" outlineLevel="0" collapsed="false">
      <c r="A51" s="528"/>
      <c r="B51" s="529"/>
      <c r="C51" s="629" t="s">
        <v>427</v>
      </c>
      <c r="D51" s="629"/>
      <c r="E51" s="630" t="n">
        <f aca="false">E6+E50</f>
        <v>2237365593</v>
      </c>
      <c r="F51" s="631" t="n">
        <f aca="false">F6+F50</f>
        <v>2237365593</v>
      </c>
      <c r="G51" s="632" t="n">
        <f aca="false">E51-F51</f>
        <v>0</v>
      </c>
      <c r="H51" s="630" t="n">
        <f aca="false">H6+H50</f>
        <v>116214028015</v>
      </c>
      <c r="I51" s="631" t="n">
        <f aca="false">I6+I50</f>
        <v>115269691198</v>
      </c>
      <c r="J51" s="632" t="n">
        <f aca="false">H51-I51</f>
        <v>944336817</v>
      </c>
      <c r="K51" s="633" t="n">
        <f aca="false">K6+K50</f>
        <v>74697421</v>
      </c>
      <c r="L51" s="634" t="n">
        <f aca="false">L6+L50</f>
        <v>71093911</v>
      </c>
      <c r="M51" s="632" t="n">
        <f aca="false">K51-L51</f>
        <v>3603510</v>
      </c>
      <c r="N51" s="635" t="n">
        <f aca="false">N6+N50</f>
        <v>270947604</v>
      </c>
      <c r="O51" s="635" t="n">
        <f aca="false">O6+O50</f>
        <v>270947604</v>
      </c>
      <c r="P51" s="632" t="n">
        <f aca="false">N51-O51</f>
        <v>0</v>
      </c>
      <c r="Q51" s="633" t="n">
        <f aca="false">Q6+Q50</f>
        <v>1961052168</v>
      </c>
      <c r="R51" s="635" t="n">
        <f aca="false">R6+R50</f>
        <v>1961052168</v>
      </c>
      <c r="S51" s="636" t="n">
        <f aca="false">Q51-R51</f>
        <v>0</v>
      </c>
    </row>
    <row r="52" customFormat="false" ht="23.25" hidden="false" customHeight="true" outlineLevel="0" collapsed="false">
      <c r="D52" s="637"/>
    </row>
    <row r="53" customFormat="false" ht="23.25" hidden="false" customHeight="true" outlineLevel="0" collapsed="false">
      <c r="D53" s="637"/>
      <c r="E53" s="638" t="n">
        <v>2569892204</v>
      </c>
      <c r="N53" s="639" t="n">
        <v>521829447</v>
      </c>
    </row>
    <row r="54" customFormat="false" ht="23.25" hidden="false" customHeight="true" outlineLevel="0" collapsed="false">
      <c r="D54" s="640" t="s">
        <v>428</v>
      </c>
      <c r="E54" s="641" t="n">
        <f aca="false">SUM(E29:E41)</f>
        <v>0</v>
      </c>
    </row>
    <row r="55" customFormat="false" ht="23.25" hidden="false" customHeight="true" outlineLevel="0" collapsed="false">
      <c r="D55" s="637"/>
    </row>
    <row r="56" customFormat="false" ht="23.25" hidden="false" customHeight="true" outlineLevel="0" collapsed="false">
      <c r="D56" s="637"/>
    </row>
    <row r="57" customFormat="false" ht="17.25" hidden="false" customHeight="true" outlineLevel="0" collapsed="false">
      <c r="D57" s="637"/>
      <c r="G57" s="527" t="s">
        <v>429</v>
      </c>
      <c r="H57" s="433" t="s">
        <v>419</v>
      </c>
      <c r="I57" s="642" t="s">
        <v>430</v>
      </c>
      <c r="J57" s="642"/>
      <c r="K57" s="642"/>
      <c r="L57" s="642"/>
      <c r="M57" s="642"/>
      <c r="N57" s="642"/>
    </row>
    <row r="58" customFormat="false" ht="17.25" hidden="false" customHeight="true" outlineLevel="0" collapsed="false">
      <c r="D58" s="643"/>
      <c r="G58" s="527" t="s">
        <v>431</v>
      </c>
      <c r="H58" s="433" t="s">
        <v>421</v>
      </c>
      <c r="I58" s="642"/>
      <c r="J58" s="642"/>
      <c r="K58" s="642"/>
      <c r="L58" s="642"/>
      <c r="M58" s="642"/>
      <c r="N58" s="642"/>
      <c r="O58" s="643"/>
      <c r="P58" s="643"/>
    </row>
    <row r="59" customFormat="false" ht="17.25" hidden="false" customHeight="true" outlineLevel="0" collapsed="false">
      <c r="D59" s="637"/>
      <c r="G59" s="644"/>
      <c r="K59" s="637"/>
      <c r="L59" s="637"/>
      <c r="M59" s="637"/>
      <c r="N59" s="637"/>
      <c r="O59" s="637"/>
      <c r="P59" s="637"/>
    </row>
    <row r="60" customFormat="false" ht="17.25" hidden="false" customHeight="true" outlineLevel="0" collapsed="false">
      <c r="D60" s="637"/>
      <c r="K60" s="637"/>
      <c r="L60" s="637"/>
      <c r="M60" s="637"/>
      <c r="N60" s="637"/>
      <c r="O60" s="637"/>
      <c r="P60" s="637"/>
    </row>
    <row r="61" customFormat="false" ht="17.25" hidden="false" customHeight="true" outlineLevel="0" collapsed="false">
      <c r="D61" s="637"/>
    </row>
    <row r="62" customFormat="false" ht="17.25" hidden="false" customHeight="true" outlineLevel="0" collapsed="false">
      <c r="D62" s="637"/>
    </row>
    <row r="63" customFormat="false" ht="17.25" hidden="false" customHeight="true" outlineLevel="0" collapsed="false">
      <c r="D63" s="637"/>
    </row>
    <row r="64" customFormat="false" ht="17.25" hidden="false" customHeight="true" outlineLevel="0" collapsed="false">
      <c r="D64" s="637"/>
    </row>
    <row r="65" customFormat="false" ht="17.25" hidden="false" customHeight="true" outlineLevel="0" collapsed="false">
      <c r="D65" s="637"/>
    </row>
    <row r="66" customFormat="false" ht="17.25" hidden="false" customHeight="true" outlineLevel="0" collapsed="false">
      <c r="D66" s="637"/>
    </row>
    <row r="67" customFormat="false" ht="17.25" hidden="false" customHeight="true" outlineLevel="0" collapsed="false">
      <c r="D67" s="637"/>
    </row>
    <row r="68" customFormat="false" ht="17.25" hidden="false" customHeight="true" outlineLevel="0" collapsed="false">
      <c r="D68" s="637"/>
    </row>
    <row r="69" customFormat="false" ht="17.25" hidden="false" customHeight="true" outlineLevel="0" collapsed="false">
      <c r="D69" s="637"/>
    </row>
    <row r="70" customFormat="false" ht="17.25" hidden="false" customHeight="true" outlineLevel="0" collapsed="false">
      <c r="D70" s="637"/>
    </row>
    <row r="71" customFormat="false" ht="17.25" hidden="false" customHeight="true" outlineLevel="0" collapsed="false">
      <c r="D71" s="643"/>
      <c r="K71" s="643"/>
      <c r="L71" s="643"/>
      <c r="M71" s="643"/>
      <c r="N71" s="643"/>
      <c r="O71" s="643"/>
      <c r="P71" s="643"/>
    </row>
    <row r="72" customFormat="false" ht="17.25" hidden="false" customHeight="true" outlineLevel="0" collapsed="false">
      <c r="D72" s="637"/>
      <c r="K72" s="637"/>
      <c r="L72" s="637"/>
      <c r="M72" s="637"/>
      <c r="N72" s="637"/>
      <c r="O72" s="637"/>
      <c r="P72" s="637"/>
    </row>
    <row r="73" customFormat="false" ht="17.25" hidden="false" customHeight="true" outlineLevel="0" collapsed="false">
      <c r="D73" s="637"/>
      <c r="K73" s="637"/>
      <c r="L73" s="637"/>
      <c r="M73" s="637"/>
      <c r="N73" s="637"/>
      <c r="O73" s="637"/>
      <c r="P73" s="637"/>
    </row>
    <row r="74" customFormat="false" ht="17.25" hidden="false" customHeight="true" outlineLevel="0" collapsed="false"/>
    <row r="75" customFormat="false" ht="17.25" hidden="false" customHeight="true" outlineLevel="0" collapsed="false">
      <c r="D75" s="637"/>
      <c r="K75" s="637"/>
      <c r="L75" s="637"/>
      <c r="M75" s="637"/>
      <c r="N75" s="637"/>
      <c r="O75" s="637"/>
      <c r="P75" s="637"/>
    </row>
    <row r="76" customFormat="false" ht="17.25" hidden="false" customHeight="true" outlineLevel="0" collapsed="false"/>
    <row r="77" customFormat="false" ht="17.25" hidden="false" customHeight="true" outlineLevel="0" collapsed="false"/>
  </sheetData>
  <mergeCells count="17">
    <mergeCell ref="C1:S1"/>
    <mergeCell ref="A4:A51"/>
    <mergeCell ref="B4:B51"/>
    <mergeCell ref="C4:D5"/>
    <mergeCell ref="E4:G4"/>
    <mergeCell ref="H4:J4"/>
    <mergeCell ref="K4:M4"/>
    <mergeCell ref="N4:P4"/>
    <mergeCell ref="Q4:S4"/>
    <mergeCell ref="C6:D6"/>
    <mergeCell ref="C7:C27"/>
    <mergeCell ref="C28:D28"/>
    <mergeCell ref="C29:C48"/>
    <mergeCell ref="C49:D49"/>
    <mergeCell ref="C50:D50"/>
    <mergeCell ref="C51:D51"/>
    <mergeCell ref="I57:N5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4.42"/>
    <col collapsed="false" customWidth="true" hidden="false" outlineLevel="0" max="2" min="2" style="0" width="1.42"/>
    <col collapsed="false" customWidth="true" hidden="false" outlineLevel="0" max="3" min="3" style="0" width="2.28"/>
    <col collapsed="false" customWidth="true" hidden="false" outlineLevel="0" max="4" min="4" style="0" width="20.99"/>
    <col collapsed="false" customWidth="true" hidden="false" outlineLevel="0" max="7" min="5" style="0" width="20.71"/>
    <col collapsed="false" customWidth="true" hidden="true" outlineLevel="0" max="8" min="8" style="0" width="17.7"/>
    <col collapsed="false" customWidth="true" hidden="true" outlineLevel="0" max="9" min="9" style="0" width="17.57"/>
    <col collapsed="false" customWidth="true" hidden="true" outlineLevel="0" max="10" min="10" style="0" width="16.71"/>
    <col collapsed="false" customWidth="true" hidden="false" outlineLevel="0" max="19" min="11" style="0" width="20.71"/>
    <col collapsed="false" customWidth="true" hidden="false" outlineLevel="0" max="257" min="20" style="0" width="17.85"/>
  </cols>
  <sheetData>
    <row r="1" customFormat="false" ht="24" hidden="false" customHeight="true" outlineLevel="0" collapsed="false">
      <c r="C1" s="645" t="str">
        <f aca="false">'〇総括　6～7（メモなし）'!C1</f>
        <v>令和７年度決算総括表</v>
      </c>
      <c r="D1" s="645"/>
      <c r="E1" s="645"/>
      <c r="F1" s="645"/>
      <c r="G1" s="645"/>
      <c r="H1" s="645"/>
      <c r="I1" s="645"/>
      <c r="J1" s="645"/>
      <c r="K1" s="645"/>
      <c r="L1" s="645"/>
      <c r="M1" s="645"/>
      <c r="N1" s="645"/>
      <c r="O1" s="645"/>
      <c r="P1" s="645"/>
      <c r="Q1" s="645"/>
      <c r="R1" s="645"/>
      <c r="S1" s="645"/>
    </row>
    <row r="2" customFormat="false" ht="76.5" hidden="false" customHeight="true" outlineLevel="0" collapsed="false">
      <c r="C2" s="526"/>
      <c r="D2" s="526"/>
      <c r="E2" s="526"/>
      <c r="F2" s="526"/>
      <c r="G2" s="526"/>
      <c r="H2" s="526"/>
      <c r="I2" s="526"/>
      <c r="J2" s="526"/>
      <c r="K2" s="526"/>
      <c r="L2" s="526"/>
      <c r="N2" s="526"/>
      <c r="O2" s="526"/>
      <c r="P2" s="526"/>
      <c r="Q2" s="526"/>
      <c r="R2" s="526"/>
      <c r="S2" s="526"/>
      <c r="X2" s="526"/>
    </row>
    <row r="3" customFormat="false" ht="14.25" hidden="false" customHeight="true" outlineLevel="0" collapsed="false">
      <c r="C3" s="526"/>
      <c r="D3" s="526"/>
      <c r="E3" s="526"/>
      <c r="F3" s="526"/>
      <c r="G3" s="526"/>
      <c r="H3" s="526"/>
      <c r="I3" s="526"/>
      <c r="J3" s="526"/>
      <c r="K3" s="526"/>
      <c r="L3" s="526"/>
      <c r="M3" s="526"/>
      <c r="N3" s="526"/>
      <c r="O3" s="526"/>
      <c r="P3" s="526"/>
      <c r="Q3" s="526"/>
      <c r="R3" s="526"/>
      <c r="S3" s="527" t="s">
        <v>318</v>
      </c>
    </row>
    <row r="4" customFormat="false" ht="18" hidden="false" customHeight="true" outlineLevel="0" collapsed="false">
      <c r="A4" s="528"/>
      <c r="B4" s="529"/>
      <c r="C4" s="646" t="s">
        <v>383</v>
      </c>
      <c r="D4" s="646"/>
      <c r="E4" s="647" t="s">
        <v>384</v>
      </c>
      <c r="F4" s="647"/>
      <c r="G4" s="647"/>
      <c r="H4" s="648" t="s">
        <v>385</v>
      </c>
      <c r="I4" s="648"/>
      <c r="J4" s="648"/>
      <c r="K4" s="648" t="s">
        <v>142</v>
      </c>
      <c r="L4" s="648"/>
      <c r="M4" s="648"/>
      <c r="N4" s="648" t="s">
        <v>386</v>
      </c>
      <c r="O4" s="648"/>
      <c r="P4" s="648"/>
      <c r="Q4" s="649" t="s">
        <v>387</v>
      </c>
      <c r="R4" s="649"/>
      <c r="S4" s="649"/>
    </row>
    <row r="5" customFormat="false" ht="16.5" hidden="false" customHeight="true" outlineLevel="0" collapsed="false">
      <c r="A5" s="528"/>
      <c r="B5" s="529"/>
      <c r="C5" s="646"/>
      <c r="D5" s="646"/>
      <c r="E5" s="650" t="str">
        <f aca="false">'〇総括　6～7（メモなし）'!E5</f>
        <v>７年度</v>
      </c>
      <c r="F5" s="651" t="str">
        <f aca="false">'〇総括　6～7（メモなし）'!F5</f>
        <v>６年度</v>
      </c>
      <c r="G5" s="652" t="s">
        <v>388</v>
      </c>
      <c r="H5" s="650" t="str">
        <f aca="false">E5</f>
        <v>７年度</v>
      </c>
      <c r="I5" s="653" t="str">
        <f aca="false">F5</f>
        <v>６年度</v>
      </c>
      <c r="J5" s="652" t="s">
        <v>388</v>
      </c>
      <c r="K5" s="650" t="str">
        <f aca="false">E5</f>
        <v>７年度</v>
      </c>
      <c r="L5" s="651" t="str">
        <f aca="false">F5</f>
        <v>６年度</v>
      </c>
      <c r="M5" s="652" t="s">
        <v>388</v>
      </c>
      <c r="N5" s="650" t="str">
        <f aca="false">E5</f>
        <v>７年度</v>
      </c>
      <c r="O5" s="653" t="str">
        <f aca="false">F5</f>
        <v>６年度</v>
      </c>
      <c r="P5" s="652" t="s">
        <v>388</v>
      </c>
      <c r="Q5" s="650" t="str">
        <f aca="false">E5</f>
        <v>７年度</v>
      </c>
      <c r="R5" s="653" t="str">
        <f aca="false">F5</f>
        <v>６年度</v>
      </c>
      <c r="S5" s="654" t="s">
        <v>388</v>
      </c>
    </row>
    <row r="6" customFormat="false" ht="19.5" hidden="false" customHeight="true" outlineLevel="0" collapsed="false">
      <c r="A6" s="528"/>
      <c r="B6" s="529"/>
      <c r="C6" s="541" t="s">
        <v>389</v>
      </c>
      <c r="D6" s="541"/>
      <c r="E6" s="655" t="n">
        <f aca="false">F51</f>
        <v>2237365593</v>
      </c>
      <c r="F6" s="656" t="n">
        <f aca="false">'〇総括　6～7（メモなし）'!F6</f>
        <v>1413185083</v>
      </c>
      <c r="G6" s="657" t="n">
        <f aca="false">E6-F6</f>
        <v>824180510</v>
      </c>
      <c r="H6" s="655" t="n">
        <f aca="false">I51</f>
        <v>115269691198</v>
      </c>
      <c r="I6" s="658" t="n">
        <f aca="false">'〇総括　6～7（メモなし）'!I6</f>
        <v>114599779620</v>
      </c>
      <c r="J6" s="657" t="n">
        <f aca="false">H6-I6</f>
        <v>669911578</v>
      </c>
      <c r="K6" s="659" t="n">
        <f aca="false">L51</f>
        <v>71093911</v>
      </c>
      <c r="L6" s="660" t="n">
        <f aca="false">'〇総括　6～7（メモなし）'!L6</f>
        <v>66593123</v>
      </c>
      <c r="M6" s="657" t="n">
        <f aca="false">K6-L6</f>
        <v>4500788</v>
      </c>
      <c r="N6" s="660" t="n">
        <f aca="false">O51</f>
        <v>270947604</v>
      </c>
      <c r="O6" s="660" t="n">
        <f aca="false">'〇総括　6～7（メモなし）'!O6</f>
        <v>276235825</v>
      </c>
      <c r="P6" s="657" t="n">
        <f aca="false">N6-O6</f>
        <v>-5288221</v>
      </c>
      <c r="Q6" s="659" t="n">
        <f aca="false">R51</f>
        <v>1961052168</v>
      </c>
      <c r="R6" s="660" t="n">
        <f aca="false">'〇総括　6～7（メモなし）'!R6</f>
        <v>1966406293</v>
      </c>
      <c r="S6" s="661" t="n">
        <f aca="false">Q6-R6</f>
        <v>-5354125</v>
      </c>
    </row>
    <row r="7" customFormat="false" ht="18" hidden="false" customHeight="true" outlineLevel="0" collapsed="false">
      <c r="A7" s="528"/>
      <c r="B7" s="529"/>
      <c r="C7" s="600" t="s">
        <v>390</v>
      </c>
      <c r="D7" s="553" t="s">
        <v>77</v>
      </c>
      <c r="E7" s="662" t="n">
        <f aca="false">'〇総括　6～7（メモなし）'!E7</f>
        <v>0</v>
      </c>
      <c r="F7" s="663" t="n">
        <f aca="false">'〇総括　6～7（メモなし）'!F7</f>
        <v>5910008304</v>
      </c>
      <c r="G7" s="664" t="n">
        <f aca="false">E7-F7</f>
        <v>-5910008304</v>
      </c>
      <c r="H7" s="665" t="n">
        <f aca="false">'〇総括　6～7（メモなし）'!H7</f>
        <v>5874630086</v>
      </c>
      <c r="I7" s="666" t="n">
        <f aca="false">'〇総括　6～7（メモなし）'!I7</f>
        <v>10209423196</v>
      </c>
      <c r="J7" s="664" t="n">
        <f aca="false">H7-I7</f>
        <v>-4334793110</v>
      </c>
      <c r="K7" s="662" t="n">
        <f aca="false">'〇総括　6～7（メモなし）'!K7</f>
        <v>89655843</v>
      </c>
      <c r="L7" s="663" t="n">
        <f aca="false">'〇総括　6～7（メモなし）'!L7</f>
        <v>82167559</v>
      </c>
      <c r="M7" s="664" t="n">
        <f aca="false">K7-L7</f>
        <v>7488284</v>
      </c>
      <c r="N7" s="667" t="n">
        <f aca="false">'〇総括　6～7（メモなし）'!N7</f>
        <v>0</v>
      </c>
      <c r="O7" s="667" t="n">
        <f aca="false">'〇総括　6～7（メモなし）'!O7</f>
        <v>393344415</v>
      </c>
      <c r="P7" s="668" t="n">
        <f aca="false">N7-O7</f>
        <v>-393344415</v>
      </c>
      <c r="Q7" s="669" t="n">
        <f aca="false">'〇総括　6～7（メモなし）'!Q7</f>
        <v>0</v>
      </c>
      <c r="R7" s="663" t="n">
        <f aca="false">'〇総括　6～7（メモなし）'!R7</f>
        <v>0</v>
      </c>
      <c r="S7" s="670" t="n">
        <f aca="false">Q7-R7</f>
        <v>0</v>
      </c>
    </row>
    <row r="8" customFormat="false" ht="18" hidden="false" customHeight="true" outlineLevel="0" collapsed="false">
      <c r="A8" s="528"/>
      <c r="B8" s="529"/>
      <c r="C8" s="600"/>
      <c r="D8" s="565" t="s">
        <v>391</v>
      </c>
      <c r="E8" s="671" t="n">
        <f aca="false">'〇総括　6～7（メモなし）'!E8</f>
        <v>0</v>
      </c>
      <c r="F8" s="672" t="n">
        <f aca="false">'〇総括　6～7（メモなし）'!F8</f>
        <v>5945270515</v>
      </c>
      <c r="G8" s="673" t="n">
        <f aca="false">E8-F8</f>
        <v>-5945270515</v>
      </c>
      <c r="H8" s="674" t="n">
        <f aca="false">'〇総括　6～7（メモなし）'!H8</f>
        <v>2964516955</v>
      </c>
      <c r="I8" s="675" t="n">
        <f aca="false">'〇総括　6～7（メモなし）'!I8</f>
        <v>6009799333</v>
      </c>
      <c r="J8" s="673" t="n">
        <f aca="false">H8-I8</f>
        <v>-3045282378</v>
      </c>
      <c r="K8" s="671" t="n">
        <f aca="false">'〇総括　6～7（メモなし）'!K8</f>
        <v>0</v>
      </c>
      <c r="L8" s="672" t="n">
        <f aca="false">'〇総括　6～7（メモなし）'!L8</f>
        <v>0</v>
      </c>
      <c r="M8" s="673" t="n">
        <f aca="false">K8-L8</f>
        <v>0</v>
      </c>
      <c r="N8" s="676" t="n">
        <f aca="false">'〇総括　6～7（メモなし）'!N8</f>
        <v>0</v>
      </c>
      <c r="O8" s="676" t="n">
        <f aca="false">'〇総括　6～7（メモなし）'!O8</f>
        <v>215569947</v>
      </c>
      <c r="P8" s="677" t="n">
        <f aca="false">N8-O8</f>
        <v>-215569947</v>
      </c>
      <c r="Q8" s="671" t="n">
        <f aca="false">'〇総括　6～7（メモなし）'!Q8</f>
        <v>0</v>
      </c>
      <c r="R8" s="672" t="n">
        <f aca="false">'〇総括　6～7（メモなし）'!R8</f>
        <v>0</v>
      </c>
      <c r="S8" s="678" t="n">
        <f aca="false">Q8-R8</f>
        <v>0</v>
      </c>
    </row>
    <row r="9" customFormat="false" ht="18" hidden="false" customHeight="true" outlineLevel="0" collapsed="false">
      <c r="A9" s="528"/>
      <c r="B9" s="529"/>
      <c r="C9" s="600"/>
      <c r="D9" s="565" t="s">
        <v>136</v>
      </c>
      <c r="E9" s="671" t="n">
        <f aca="false">'〇総括　6～7（メモなし）'!E9</f>
        <v>0</v>
      </c>
      <c r="F9" s="672" t="n">
        <f aca="false">'〇総括　6～7（メモなし）'!F9</f>
        <v>0</v>
      </c>
      <c r="G9" s="673" t="n">
        <f aca="false">E9-F9</f>
        <v>0</v>
      </c>
      <c r="H9" s="674" t="n">
        <f aca="false">'〇総括　6～7（メモなし）'!H9</f>
        <v>1204704253</v>
      </c>
      <c r="I9" s="675" t="n">
        <f aca="false">'〇総括　6～7（メモなし）'!I9</f>
        <v>2333415822</v>
      </c>
      <c r="J9" s="673" t="n">
        <f aca="false">H9-I9</f>
        <v>-1128711569</v>
      </c>
      <c r="K9" s="671" t="n">
        <f aca="false">'〇総括　6～7（メモなし）'!K9</f>
        <v>0</v>
      </c>
      <c r="L9" s="672" t="n">
        <f aca="false">'〇総括　6～7（メモなし）'!L9</f>
        <v>0</v>
      </c>
      <c r="M9" s="673" t="n">
        <f aca="false">K9-L9</f>
        <v>0</v>
      </c>
      <c r="N9" s="676" t="n">
        <f aca="false">'〇総括　6～7（メモなし）'!N9</f>
        <v>0</v>
      </c>
      <c r="O9" s="676" t="n">
        <f aca="false">'〇総括　6～7（メモなし）'!O9</f>
        <v>0</v>
      </c>
      <c r="P9" s="673" t="n">
        <f aca="false">N9-O9</f>
        <v>0</v>
      </c>
      <c r="Q9" s="671" t="n">
        <f aca="false">'〇総括　6～7（メモなし）'!Q9</f>
        <v>0</v>
      </c>
      <c r="R9" s="672" t="n">
        <f aca="false">'〇総括　6～7（メモなし）'!R9</f>
        <v>0</v>
      </c>
      <c r="S9" s="678" t="n">
        <f aca="false">Q9-R9</f>
        <v>0</v>
      </c>
    </row>
    <row r="10" customFormat="false" ht="18" hidden="false" customHeight="true" outlineLevel="0" collapsed="false">
      <c r="A10" s="528"/>
      <c r="B10" s="529"/>
      <c r="C10" s="600"/>
      <c r="D10" s="565" t="s">
        <v>392</v>
      </c>
      <c r="E10" s="671" t="n">
        <f aca="false">'〇総括　6～7（メモなし）'!E10</f>
        <v>0</v>
      </c>
      <c r="F10" s="672" t="n">
        <f aca="false">'〇総括　6～7（メモなし）'!F10</f>
        <v>0</v>
      </c>
      <c r="G10" s="673" t="n">
        <f aca="false">E10-F10</f>
        <v>0</v>
      </c>
      <c r="H10" s="674" t="n">
        <f aca="false">'〇総括　6～7（メモなし）'!H10</f>
        <v>3820000</v>
      </c>
      <c r="I10" s="675" t="n">
        <f aca="false">'〇総括　6～7（メモなし）'!I10</f>
        <v>14466000</v>
      </c>
      <c r="J10" s="673" t="n">
        <f aca="false">H10-I10</f>
        <v>-10646000</v>
      </c>
      <c r="K10" s="671" t="n">
        <f aca="false">'〇総括　6～7（メモなし）'!K10</f>
        <v>0</v>
      </c>
      <c r="L10" s="672" t="n">
        <f aca="false">'〇総括　6～7（メモなし）'!L10</f>
        <v>0</v>
      </c>
      <c r="M10" s="673" t="n">
        <f aca="false">K10-L10</f>
        <v>0</v>
      </c>
      <c r="N10" s="676" t="n">
        <f aca="false">'〇総括　6～7（メモなし）'!N10</f>
        <v>0</v>
      </c>
      <c r="O10" s="676" t="n">
        <f aca="false">'〇総括　6～7（メモなし）'!O10</f>
        <v>0</v>
      </c>
      <c r="P10" s="673" t="n">
        <f aca="false">N10-O10</f>
        <v>0</v>
      </c>
      <c r="Q10" s="671" t="n">
        <f aca="false">'〇総括　6～7（メモなし）'!Q10</f>
        <v>0</v>
      </c>
      <c r="R10" s="672" t="n">
        <f aca="false">'〇総括　6～7（メモなし）'!R10</f>
        <v>0</v>
      </c>
      <c r="S10" s="678" t="n">
        <f aca="false">Q10-R10</f>
        <v>0</v>
      </c>
    </row>
    <row r="11" customFormat="false" ht="18" hidden="false" customHeight="true" outlineLevel="0" collapsed="false">
      <c r="A11" s="528"/>
      <c r="B11" s="529"/>
      <c r="C11" s="600"/>
      <c r="D11" s="575" t="s">
        <v>393</v>
      </c>
      <c r="E11" s="671" t="n">
        <f aca="false">'〇総括　6～7（メモなし）'!E11</f>
        <v>0</v>
      </c>
      <c r="F11" s="672" t="n">
        <f aca="false">'〇総括　6～7（メモなし）'!F11</f>
        <v>512653248</v>
      </c>
      <c r="G11" s="673" t="n">
        <f aca="false">E11-F11</f>
        <v>-512653248</v>
      </c>
      <c r="H11" s="679" t="n">
        <f aca="false">'〇総括　6～7（メモなし）'!H11</f>
        <v>0</v>
      </c>
      <c r="I11" s="675" t="n">
        <f aca="false">'〇総括　6～7（メモなし）'!I11</f>
        <v>0</v>
      </c>
      <c r="J11" s="673"/>
      <c r="K11" s="671" t="n">
        <f aca="false">'〇総括　6～7（メモなし）'!K11</f>
        <v>0</v>
      </c>
      <c r="L11" s="672" t="n">
        <f aca="false">'〇総括　6～7（メモなし）'!L11</f>
        <v>0</v>
      </c>
      <c r="M11" s="673" t="n">
        <f aca="false">K11-L11</f>
        <v>0</v>
      </c>
      <c r="N11" s="676" t="n">
        <f aca="false">'〇総括　6～7（メモなし）'!N11</f>
        <v>0</v>
      </c>
      <c r="O11" s="676" t="n">
        <f aca="false">'〇総括　6～7（メモなし）'!O11</f>
        <v>0</v>
      </c>
      <c r="P11" s="673" t="n">
        <f aca="false">N11-O11</f>
        <v>0</v>
      </c>
      <c r="Q11" s="671" t="n">
        <f aca="false">'〇総括　6～7（メモなし）'!Q11</f>
        <v>0</v>
      </c>
      <c r="R11" s="672" t="n">
        <f aca="false">'〇総括　6～7（メモなし）'!R11</f>
        <v>0</v>
      </c>
      <c r="S11" s="678" t="n">
        <f aca="false">Q11-R11</f>
        <v>0</v>
      </c>
      <c r="AE11" s="671"/>
    </row>
    <row r="12" customFormat="false" ht="18" hidden="false" customHeight="true" outlineLevel="0" collapsed="false">
      <c r="A12" s="528"/>
      <c r="B12" s="529"/>
      <c r="C12" s="600"/>
      <c r="D12" s="577" t="s">
        <v>394</v>
      </c>
      <c r="E12" s="671" t="n">
        <f aca="false">'〇総括　6～7（メモなし）'!E12</f>
        <v>0</v>
      </c>
      <c r="F12" s="672" t="n">
        <f aca="false">'〇総括　6～7（メモなし）'!F12</f>
        <v>98548000</v>
      </c>
      <c r="G12" s="673" t="n">
        <f aca="false">E12-F12</f>
        <v>-98548000</v>
      </c>
      <c r="H12" s="679" t="n">
        <f aca="false">'〇総括　6～7（メモなし）'!H12</f>
        <v>0</v>
      </c>
      <c r="I12" s="675" t="n">
        <f aca="false">'〇総括　6～7（メモなし）'!I12</f>
        <v>0</v>
      </c>
      <c r="J12" s="673"/>
      <c r="K12" s="671" t="n">
        <f aca="false">'〇総括　6～7（メモなし）'!K12</f>
        <v>0</v>
      </c>
      <c r="L12" s="672" t="n">
        <f aca="false">'〇総括　6～7（メモなし）'!L12</f>
        <v>0</v>
      </c>
      <c r="M12" s="673" t="n">
        <f aca="false">K12-L12</f>
        <v>0</v>
      </c>
      <c r="N12" s="676" t="n">
        <f aca="false">'〇総括　6～7（メモなし）'!N12</f>
        <v>0</v>
      </c>
      <c r="O12" s="676" t="n">
        <f aca="false">'〇総括　6～7（メモなし）'!O12</f>
        <v>0</v>
      </c>
      <c r="P12" s="673" t="n">
        <f aca="false">N12-O12</f>
        <v>0</v>
      </c>
      <c r="Q12" s="641" t="n">
        <f aca="false">'〇総括　6～7（メモなし）'!Q12</f>
        <v>0</v>
      </c>
      <c r="R12" s="672" t="n">
        <f aca="false">'〇総括　6～7（メモなし）'!R12</f>
        <v>0</v>
      </c>
      <c r="S12" s="678" t="n">
        <f aca="false">AE11-R12</f>
        <v>0</v>
      </c>
    </row>
    <row r="13" customFormat="false" ht="18" hidden="false" customHeight="true" outlineLevel="0" collapsed="false">
      <c r="A13" s="528"/>
      <c r="B13" s="529"/>
      <c r="C13" s="600"/>
      <c r="D13" s="577" t="s">
        <v>395</v>
      </c>
      <c r="E13" s="671" t="n">
        <f aca="false">'〇総括　6～7（メモなし）'!E13</f>
        <v>0</v>
      </c>
      <c r="F13" s="672" t="n">
        <f aca="false">'〇総括　6～7（メモなし）'!F13</f>
        <v>0</v>
      </c>
      <c r="G13" s="673" t="n">
        <f aca="false">E13-F13</f>
        <v>0</v>
      </c>
      <c r="H13" s="679" t="n">
        <f aca="false">'〇総括　6～7（メモなし）'!H13</f>
        <v>0</v>
      </c>
      <c r="I13" s="675" t="n">
        <f aca="false">'〇総括　6～7（メモなし）'!I13</f>
        <v>0</v>
      </c>
      <c r="J13" s="673"/>
      <c r="K13" s="671" t="n">
        <f aca="false">'〇総括　6～7（メモなし）'!K13</f>
        <v>0</v>
      </c>
      <c r="L13" s="672" t="n">
        <f aca="false">'〇総括　6～7（メモなし）'!L13</f>
        <v>0</v>
      </c>
      <c r="M13" s="673"/>
      <c r="N13" s="676" t="n">
        <f aca="false">'〇総括　6～7（メモなし）'!N13</f>
        <v>0</v>
      </c>
      <c r="O13" s="676" t="n">
        <f aca="false">'〇総括　6～7（メモなし）'!O13</f>
        <v>0</v>
      </c>
      <c r="P13" s="673"/>
      <c r="Q13" s="671" t="n">
        <f aca="false">'〇総括　6～7（メモなし）'!Q13</f>
        <v>0</v>
      </c>
      <c r="R13" s="672" t="n">
        <f aca="false">'〇総括　6～7（メモなし）'!R13</f>
        <v>0</v>
      </c>
      <c r="S13" s="678"/>
    </row>
    <row r="14" customFormat="false" ht="18" hidden="false" customHeight="true" outlineLevel="0" collapsed="false">
      <c r="A14" s="528"/>
      <c r="B14" s="529"/>
      <c r="C14" s="600"/>
      <c r="D14" s="565" t="s">
        <v>396</v>
      </c>
      <c r="E14" s="671" t="n">
        <f aca="false">'〇総括　6～7（メモなし）'!E14</f>
        <v>0</v>
      </c>
      <c r="F14" s="672" t="n">
        <f aca="false">'〇総括　6～7（メモなし）'!F14</f>
        <v>2621295</v>
      </c>
      <c r="G14" s="673" t="n">
        <f aca="false">E14-F14</f>
        <v>-2621295</v>
      </c>
      <c r="H14" s="679" t="n">
        <f aca="false">'〇総括　6～7（メモなし）'!H14</f>
        <v>0</v>
      </c>
      <c r="I14" s="675" t="n">
        <f aca="false">'〇総括　6～7（メモなし）'!I14</f>
        <v>0</v>
      </c>
      <c r="J14" s="673"/>
      <c r="K14" s="671" t="n">
        <f aca="false">'〇総括　6～7（メモなし）'!K14</f>
        <v>0</v>
      </c>
      <c r="L14" s="672" t="n">
        <f aca="false">'〇総括　6～7（メモなし）'!L14</f>
        <v>0</v>
      </c>
      <c r="M14" s="673" t="n">
        <f aca="false">K14-L14</f>
        <v>0</v>
      </c>
      <c r="N14" s="676" t="n">
        <f aca="false">'〇総括　6～7（メモなし）'!N14</f>
        <v>0</v>
      </c>
      <c r="O14" s="676" t="n">
        <f aca="false">'〇総括　6～7（メモなし）'!O14</f>
        <v>0</v>
      </c>
      <c r="P14" s="673" t="n">
        <f aca="false">N14-O14</f>
        <v>0</v>
      </c>
      <c r="Q14" s="671" t="n">
        <f aca="false">'〇総括　6～7（メモなし）'!Q14</f>
        <v>0</v>
      </c>
      <c r="R14" s="672" t="n">
        <f aca="false">'〇総括　6～7（メモなし）'!R14</f>
        <v>0</v>
      </c>
      <c r="S14" s="678" t="n">
        <f aca="false">Q14-R14</f>
        <v>0</v>
      </c>
    </row>
    <row r="15" customFormat="false" ht="18" hidden="false" customHeight="true" outlineLevel="0" collapsed="false">
      <c r="A15" s="528"/>
      <c r="B15" s="529"/>
      <c r="C15" s="600"/>
      <c r="D15" s="578" t="s">
        <v>397</v>
      </c>
      <c r="E15" s="671" t="n">
        <f aca="false">'〇総括　6～7（メモなし）'!E15</f>
        <v>0</v>
      </c>
      <c r="F15" s="672" t="n">
        <f aca="false">'〇総括　6～7（メモなし）'!F15</f>
        <v>0</v>
      </c>
      <c r="G15" s="673" t="n">
        <f aca="false">E15-F15</f>
        <v>0</v>
      </c>
      <c r="H15" s="674" t="n">
        <f aca="false">'〇総括　6～7（メモなし）'!H15</f>
        <v>5464540</v>
      </c>
      <c r="I15" s="675" t="n">
        <f aca="false">'〇総括　6～7（メモなし）'!I15</f>
        <v>11601546</v>
      </c>
      <c r="J15" s="673" t="n">
        <f aca="false">H15-I15</f>
        <v>-6137006</v>
      </c>
      <c r="K15" s="671" t="n">
        <f aca="false">'〇総括　6～7（メモなし）'!K15</f>
        <v>0</v>
      </c>
      <c r="L15" s="672" t="n">
        <f aca="false">'〇総括　6～7（メモなし）'!L15</f>
        <v>0</v>
      </c>
      <c r="M15" s="673" t="n">
        <f aca="false">K15-L15</f>
        <v>0</v>
      </c>
      <c r="N15" s="676" t="n">
        <f aca="false">'〇総括　6～7（メモなし）'!N15</f>
        <v>0</v>
      </c>
      <c r="O15" s="676" t="n">
        <f aca="false">'〇総括　6～7（メモなし）'!O15</f>
        <v>0</v>
      </c>
      <c r="P15" s="673" t="n">
        <f aca="false">N15-O15</f>
        <v>0</v>
      </c>
      <c r="Q15" s="671" t="n">
        <f aca="false">'〇総括　6～7（メモなし）'!Q15</f>
        <v>0</v>
      </c>
      <c r="R15" s="672" t="n">
        <f aca="false">'〇総括　6～7（メモなし）'!R15</f>
        <v>0</v>
      </c>
      <c r="S15" s="678" t="n">
        <f aca="false">Q15-R15</f>
        <v>0</v>
      </c>
    </row>
    <row r="16" customFormat="false" ht="18" hidden="false" customHeight="true" outlineLevel="0" collapsed="false">
      <c r="A16" s="528"/>
      <c r="B16" s="529"/>
      <c r="C16" s="600"/>
      <c r="D16" s="565" t="s">
        <v>398</v>
      </c>
      <c r="E16" s="671" t="n">
        <f aca="false">'〇総括　6～7（メモなし）'!E16</f>
        <v>0</v>
      </c>
      <c r="F16" s="672" t="n">
        <f aca="false">'〇総括　6～7（メモなし）'!F16</f>
        <v>7979689</v>
      </c>
      <c r="G16" s="673" t="n">
        <f aca="false">E16-F16</f>
        <v>-7979689</v>
      </c>
      <c r="H16" s="674" t="n">
        <f aca="false">'〇総括　6～7（メモなし）'!H16</f>
        <v>289600155</v>
      </c>
      <c r="I16" s="675" t="n">
        <f aca="false">'〇総括　6～7（メモなし）'!I16</f>
        <v>639077000</v>
      </c>
      <c r="J16" s="673" t="n">
        <f aca="false">H16-I16</f>
        <v>-349476845</v>
      </c>
      <c r="K16" s="671" t="n">
        <f aca="false">'〇総括　6～7（メモなし）'!K16</f>
        <v>0</v>
      </c>
      <c r="L16" s="672" t="n">
        <f aca="false">'〇総括　6～7（メモなし）'!L16</f>
        <v>0</v>
      </c>
      <c r="M16" s="673" t="n">
        <f aca="false">K16-L16</f>
        <v>0</v>
      </c>
      <c r="N16" s="676" t="n">
        <f aca="false">'〇総括　6～7（メモなし）'!N16</f>
        <v>0</v>
      </c>
      <c r="O16" s="676" t="n">
        <f aca="false">'〇総括　6～7（メモなし）'!O16</f>
        <v>0</v>
      </c>
      <c r="P16" s="673" t="n">
        <f aca="false">N16-O16</f>
        <v>0</v>
      </c>
      <c r="Q16" s="671" t="n">
        <f aca="false">'〇総括　6～7（メモなし）'!Q16</f>
        <v>0</v>
      </c>
      <c r="R16" s="672" t="n">
        <f aca="false">'〇総括　6～7（メモなし）'!R16</f>
        <v>0</v>
      </c>
      <c r="S16" s="678" t="n">
        <f aca="false">Q16-R16</f>
        <v>0</v>
      </c>
    </row>
    <row r="17" customFormat="false" ht="18" hidden="false" customHeight="true" outlineLevel="0" collapsed="false">
      <c r="A17" s="528"/>
      <c r="B17" s="529"/>
      <c r="C17" s="600"/>
      <c r="D17" s="565" t="s">
        <v>399</v>
      </c>
      <c r="E17" s="671" t="n">
        <f aca="false">'〇総括　6～7（メモなし）'!E17</f>
        <v>0</v>
      </c>
      <c r="F17" s="672" t="n">
        <f aca="false">'〇総括　6～7（メモなし）'!F17</f>
        <v>0</v>
      </c>
      <c r="G17" s="673" t="n">
        <f aca="false">E17-F17</f>
        <v>0</v>
      </c>
      <c r="H17" s="679" t="n">
        <f aca="false">'〇総括　6～7（メモなし）'!H17</f>
        <v>0</v>
      </c>
      <c r="I17" s="675" t="n">
        <f aca="false">'〇総括　6～7（メモなし）'!I17</f>
        <v>0</v>
      </c>
      <c r="J17" s="673"/>
      <c r="K17" s="671" t="n">
        <f aca="false">'〇総括　6～7（メモなし）'!K17</f>
        <v>0</v>
      </c>
      <c r="L17" s="672" t="n">
        <f aca="false">'〇総括　6～7（メモなし）'!L17</f>
        <v>0</v>
      </c>
      <c r="M17" s="673" t="n">
        <f aca="false">K17-L17</f>
        <v>0</v>
      </c>
      <c r="N17" s="676" t="n">
        <f aca="false">'〇総括　6～7（メモなし）'!N17</f>
        <v>0</v>
      </c>
      <c r="O17" s="676" t="n">
        <f aca="false">'〇総括　6～7（メモなし）'!O17</f>
        <v>0</v>
      </c>
      <c r="P17" s="673" t="n">
        <f aca="false">N17-O17</f>
        <v>0</v>
      </c>
      <c r="Q17" s="671" t="n">
        <f aca="false">'〇総括　6～7（メモなし）'!Q17</f>
        <v>0</v>
      </c>
      <c r="R17" s="672" t="n">
        <f aca="false">'〇総括　6～7（メモなし）'!R17</f>
        <v>0</v>
      </c>
      <c r="S17" s="678" t="n">
        <f aca="false">Q17-R17</f>
        <v>0</v>
      </c>
    </row>
    <row r="18" customFormat="false" ht="18" hidden="false" customHeight="true" outlineLevel="0" collapsed="false">
      <c r="A18" s="528"/>
      <c r="B18" s="529"/>
      <c r="C18" s="600"/>
      <c r="D18" s="565" t="s">
        <v>400</v>
      </c>
      <c r="E18" s="671" t="n">
        <f aca="false">'〇総括　6～7（メモなし）'!E18</f>
        <v>0</v>
      </c>
      <c r="F18" s="672" t="n">
        <f aca="false">'〇総括　6～7（メモなし）'!F18</f>
        <v>211390</v>
      </c>
      <c r="G18" s="673" t="n">
        <f aca="false">E18-F18</f>
        <v>-211390</v>
      </c>
      <c r="H18" s="679" t="n">
        <f aca="false">'〇総括　6～7（メモなし）'!H18</f>
        <v>0</v>
      </c>
      <c r="I18" s="675" t="n">
        <f aca="false">'〇総括　6～7（メモなし）'!I18</f>
        <v>0</v>
      </c>
      <c r="J18" s="673"/>
      <c r="K18" s="671" t="n">
        <f aca="false">'〇総括　6～7（メモなし）'!K18</f>
        <v>77607</v>
      </c>
      <c r="L18" s="672" t="n">
        <f aca="false">'〇総括　6～7（メモなし）'!L18</f>
        <v>69345</v>
      </c>
      <c r="M18" s="673" t="n">
        <f aca="false">K18-L18</f>
        <v>8262</v>
      </c>
      <c r="N18" s="676" t="n">
        <f aca="false">'〇総括　6～7（メモなし）'!N18</f>
        <v>0</v>
      </c>
      <c r="O18" s="676" t="n">
        <f aca="false">'〇総括　6～7（メモなし）'!O18</f>
        <v>0</v>
      </c>
      <c r="P18" s="673" t="n">
        <f aca="false">N18-O18</f>
        <v>0</v>
      </c>
      <c r="Q18" s="680" t="n">
        <f aca="false">'〇総括　6～7（メモなし）'!Q18</f>
        <v>0</v>
      </c>
      <c r="R18" s="672" t="n">
        <f aca="false">'〇総括　6～7（メモなし）'!R18</f>
        <v>0</v>
      </c>
      <c r="S18" s="678" t="n">
        <f aca="false">Q18-AE18</f>
        <v>0</v>
      </c>
      <c r="AE18" s="681"/>
    </row>
    <row r="19" customFormat="false" ht="18" hidden="false" customHeight="true" outlineLevel="0" collapsed="false">
      <c r="A19" s="528"/>
      <c r="B19" s="529"/>
      <c r="C19" s="600"/>
      <c r="D19" s="565" t="s">
        <v>84</v>
      </c>
      <c r="E19" s="671" t="n">
        <f aca="false">'〇総括　6～7（メモなし）'!E19</f>
        <v>0</v>
      </c>
      <c r="F19" s="672" t="n">
        <f aca="false">'〇総括　6～7（メモなし）'!F19</f>
        <v>0</v>
      </c>
      <c r="G19" s="673" t="n">
        <f aca="false">E19-F19</f>
        <v>0</v>
      </c>
      <c r="H19" s="679" t="n">
        <f aca="false">'〇総括　6～7（メモなし）'!H19</f>
        <v>0</v>
      </c>
      <c r="I19" s="675" t="n">
        <f aca="false">'〇総括　6～7（メモなし）'!I19</f>
        <v>0</v>
      </c>
      <c r="J19" s="673"/>
      <c r="K19" s="671" t="n">
        <f aca="false">'〇総括　6～7（メモなし）'!K19</f>
        <v>23159738</v>
      </c>
      <c r="L19" s="672" t="n">
        <f aca="false">'〇総括　6～7（メモなし）'!L19</f>
        <v>20856594</v>
      </c>
      <c r="M19" s="673" t="n">
        <f aca="false">K19-L19</f>
        <v>2303144</v>
      </c>
      <c r="N19" s="676" t="n">
        <f aca="false">'〇総括　6～7（メモなし）'!N19</f>
        <v>0</v>
      </c>
      <c r="O19" s="676" t="n">
        <f aca="false">'〇総括　6～7（メモなし）'!O19</f>
        <v>0</v>
      </c>
      <c r="P19" s="673" t="n">
        <f aca="false">N19-O19</f>
        <v>0</v>
      </c>
      <c r="Q19" s="680" t="n">
        <f aca="false">'〇総括　6～7（メモなし）'!Q19</f>
        <v>0</v>
      </c>
      <c r="R19" s="672" t="n">
        <f aca="false">'〇総括　6～7（メモなし）'!R19</f>
        <v>44000</v>
      </c>
      <c r="S19" s="678" t="n">
        <f aca="false">Q19-R19</f>
        <v>-44000</v>
      </c>
    </row>
    <row r="20" customFormat="false" ht="18" hidden="false" customHeight="true" outlineLevel="0" collapsed="false">
      <c r="A20" s="528"/>
      <c r="B20" s="529"/>
      <c r="C20" s="600"/>
      <c r="D20" s="579" t="s">
        <v>137</v>
      </c>
      <c r="E20" s="671" t="n">
        <f aca="false">'〇総括　6～7（メモなし）'!E20</f>
        <v>0</v>
      </c>
      <c r="F20" s="672" t="n">
        <f aca="false">'〇総括　6～7（メモなし）'!F20</f>
        <v>0</v>
      </c>
      <c r="G20" s="673" t="n">
        <f aca="false">E20-F20</f>
        <v>0</v>
      </c>
      <c r="H20" s="679" t="n">
        <f aca="false">'〇総括　6～7（メモなし）'!H20</f>
        <v>0</v>
      </c>
      <c r="I20" s="675" t="n">
        <f aca="false">'〇総括　6～7（メモなし）'!I20</f>
        <v>0</v>
      </c>
      <c r="J20" s="673"/>
      <c r="K20" s="671" t="n">
        <f aca="false">'〇総括　6～7（メモなし）'!K20</f>
        <v>11834281</v>
      </c>
      <c r="L20" s="672" t="n">
        <f aca="false">'〇総括　6～7（メモなし）'!L20</f>
        <v>11648520</v>
      </c>
      <c r="M20" s="673" t="n">
        <f aca="false">K20-L20</f>
        <v>185761</v>
      </c>
      <c r="N20" s="676" t="n">
        <f aca="false">'〇総括　6～7（メモなし）'!N20</f>
        <v>0</v>
      </c>
      <c r="O20" s="676" t="n">
        <f aca="false">'〇総括　6～7（メモなし）'!O20</f>
        <v>0</v>
      </c>
      <c r="P20" s="673" t="n">
        <f aca="false">N20-O20</f>
        <v>0</v>
      </c>
      <c r="Q20" s="680" t="n">
        <f aca="false">'〇総括　6～7（メモなし）'!Q20</f>
        <v>0</v>
      </c>
      <c r="R20" s="672" t="n">
        <f aca="false">'〇総括　6～7（メモなし）'!R20</f>
        <v>0</v>
      </c>
      <c r="S20" s="678" t="n">
        <f aca="false">Q20-R20</f>
        <v>0</v>
      </c>
    </row>
    <row r="21" customFormat="false" ht="18" hidden="false" customHeight="true" outlineLevel="0" collapsed="false">
      <c r="A21" s="528"/>
      <c r="B21" s="529"/>
      <c r="C21" s="600"/>
      <c r="D21" s="579" t="s">
        <v>401</v>
      </c>
      <c r="E21" s="671" t="n">
        <f aca="false">'〇総括　6～7（メモなし）'!E21</f>
        <v>0</v>
      </c>
      <c r="F21" s="672" t="n">
        <f aca="false">'〇総括　6～7（メモなし）'!F21</f>
        <v>0</v>
      </c>
      <c r="G21" s="673" t="n">
        <f aca="false">E21-F21</f>
        <v>0</v>
      </c>
      <c r="H21" s="679" t="n">
        <f aca="false">'〇総括　6～7（メモなし）'!H21</f>
        <v>0</v>
      </c>
      <c r="I21" s="675" t="n">
        <f aca="false">'〇総括　6～7（メモなし）'!I21</f>
        <v>0</v>
      </c>
      <c r="J21" s="673"/>
      <c r="K21" s="671" t="n">
        <f aca="false">'〇総括　6～7（メモなし）'!K21</f>
        <v>0</v>
      </c>
      <c r="L21" s="672" t="n">
        <f aca="false">'〇総括　6～7（メモなし）'!L21</f>
        <v>0</v>
      </c>
      <c r="M21" s="673" t="n">
        <f aca="false">K21-L21</f>
        <v>0</v>
      </c>
      <c r="N21" s="676" t="n">
        <f aca="false">'〇総括　6～7（メモなし）'!N21</f>
        <v>0</v>
      </c>
      <c r="O21" s="676" t="n">
        <f aca="false">'〇総括　6～7（メモなし）'!O21</f>
        <v>0</v>
      </c>
      <c r="P21" s="673" t="n">
        <f aca="false">N21-O21</f>
        <v>0</v>
      </c>
      <c r="Q21" s="680" t="n">
        <f aca="false">'〇総括　6～7（メモなし）'!Q21</f>
        <v>0</v>
      </c>
      <c r="R21" s="672" t="n">
        <f aca="false">'〇総括　6～7（メモなし）'!R21</f>
        <v>0</v>
      </c>
      <c r="S21" s="678" t="n">
        <f aca="false">Q21-R21</f>
        <v>0</v>
      </c>
    </row>
    <row r="22" customFormat="false" ht="18" hidden="false" customHeight="true" outlineLevel="0" collapsed="false">
      <c r="A22" s="528"/>
      <c r="B22" s="529"/>
      <c r="C22" s="600"/>
      <c r="D22" s="580" t="s">
        <v>402</v>
      </c>
      <c r="E22" s="671" t="n">
        <f aca="false">'〇総括　6～7（メモなし）'!E22</f>
        <v>0</v>
      </c>
      <c r="F22" s="672" t="n">
        <f aca="false">'〇総括　6～7（メモなし）'!F22</f>
        <v>0</v>
      </c>
      <c r="G22" s="673" t="n">
        <f aca="false">E22-F22</f>
        <v>0</v>
      </c>
      <c r="H22" s="679" t="n">
        <f aca="false">'〇総括　6～7（メモなし）'!H22</f>
        <v>0</v>
      </c>
      <c r="I22" s="675" t="n">
        <f aca="false">'〇総括　6～7（メモなし）'!I22</f>
        <v>0</v>
      </c>
      <c r="J22" s="673"/>
      <c r="K22" s="671" t="n">
        <f aca="false">'〇総括　6～7（メモなし）'!K22</f>
        <v>0</v>
      </c>
      <c r="L22" s="672" t="n">
        <f aca="false">'〇総括　6～7（メモなし）'!L22</f>
        <v>0</v>
      </c>
      <c r="M22" s="673" t="n">
        <f aca="false">K22-L22</f>
        <v>0</v>
      </c>
      <c r="N22" s="676" t="n">
        <f aca="false">'〇総括　6～7（メモなし）'!N22</f>
        <v>0</v>
      </c>
      <c r="O22" s="676" t="n">
        <f aca="false">'〇総括　6～7（メモなし）'!O22</f>
        <v>0</v>
      </c>
      <c r="P22" s="673" t="n">
        <f aca="false">N22-O22</f>
        <v>0</v>
      </c>
      <c r="Q22" s="680" t="n">
        <f aca="false">'〇総括　6～7（メモなし）'!Q22</f>
        <v>0</v>
      </c>
      <c r="R22" s="672" t="n">
        <f aca="false">'〇総括　6～7（メモなし）'!R22</f>
        <v>12712000</v>
      </c>
      <c r="S22" s="678" t="n">
        <f aca="false">Q22-R22</f>
        <v>-12712000</v>
      </c>
    </row>
    <row r="23" customFormat="false" ht="18" hidden="false" customHeight="true" outlineLevel="0" collapsed="false">
      <c r="A23" s="528"/>
      <c r="B23" s="529"/>
      <c r="C23" s="600"/>
      <c r="D23" s="581" t="s">
        <v>135</v>
      </c>
      <c r="E23" s="671" t="n">
        <f aca="false">'〇総括　6～7（メモなし）'!E23</f>
        <v>0</v>
      </c>
      <c r="F23" s="672" t="n">
        <f aca="false">'〇総括　6～7（メモなし）'!F23</f>
        <v>0</v>
      </c>
      <c r="G23" s="673" t="n">
        <f aca="false">E23-F23</f>
        <v>0</v>
      </c>
      <c r="H23" s="682" t="n">
        <f aca="false">'〇総括　6～7（メモなし）'!H23</f>
        <v>0</v>
      </c>
      <c r="I23" s="683" t="n">
        <f aca="false">'〇総括　6～7（メモなし）'!I23</f>
        <v>0</v>
      </c>
      <c r="J23" s="684"/>
      <c r="K23" s="671" t="n">
        <f aca="false">'〇総括　6～7（メモなし）'!K23</f>
        <v>0</v>
      </c>
      <c r="L23" s="672" t="n">
        <f aca="false">'〇総括　6～7（メモなし）'!L23</f>
        <v>1206000</v>
      </c>
      <c r="M23" s="673" t="n">
        <f aca="false">K23-L23</f>
        <v>-1206000</v>
      </c>
      <c r="N23" s="676" t="n">
        <f aca="false">'〇総括　6～7（メモなし）'!N23</f>
        <v>0</v>
      </c>
      <c r="O23" s="676" t="n">
        <f aca="false">'〇総括　6～7（メモなし）'!O23</f>
        <v>0</v>
      </c>
      <c r="P23" s="673" t="n">
        <f aca="false">N23-O23</f>
        <v>0</v>
      </c>
      <c r="Q23" s="671" t="n">
        <f aca="false">'〇総括　6～7（メモなし）'!Q23</f>
        <v>0</v>
      </c>
      <c r="R23" s="672" t="n">
        <f aca="false">'〇総括　6～7（メモなし）'!R23</f>
        <v>0</v>
      </c>
      <c r="S23" s="685" t="n">
        <f aca="false">Q23-R23</f>
        <v>0</v>
      </c>
    </row>
    <row r="24" customFormat="false" ht="18" hidden="false" customHeight="true" outlineLevel="0" collapsed="false">
      <c r="A24" s="528"/>
      <c r="B24" s="529"/>
      <c r="C24" s="600"/>
      <c r="D24" s="581" t="s">
        <v>403</v>
      </c>
      <c r="E24" s="671" t="n">
        <f aca="false">'〇総括　6～7（メモなし）'!E24</f>
        <v>0</v>
      </c>
      <c r="F24" s="672" t="n">
        <f aca="false">'〇総括　6～7（メモなし）'!F24</f>
        <v>0</v>
      </c>
      <c r="G24" s="673" t="n">
        <f aca="false">E24-F24</f>
        <v>0</v>
      </c>
      <c r="H24" s="682" t="n">
        <f aca="false">'〇総括　6～7（メモなし）'!H24</f>
        <v>0</v>
      </c>
      <c r="I24" s="683" t="n">
        <f aca="false">'〇総括　6～7（メモなし）'!I24</f>
        <v>0</v>
      </c>
      <c r="J24" s="684"/>
      <c r="K24" s="671" t="n">
        <f aca="false">'〇総括　6～7（メモなし）'!K24</f>
        <v>0</v>
      </c>
      <c r="L24" s="672" t="n">
        <f aca="false">'〇総括　6～7（メモなし）'!L24</f>
        <v>0</v>
      </c>
      <c r="M24" s="673" t="n">
        <f aca="false">K24-L24</f>
        <v>0</v>
      </c>
      <c r="N24" s="676" t="n">
        <f aca="false">'〇総括　6～7（メモなし）'!N24</f>
        <v>0</v>
      </c>
      <c r="O24" s="676" t="n">
        <f aca="false">'〇総括　6～7（メモなし）'!O24</f>
        <v>0</v>
      </c>
      <c r="P24" s="673" t="n">
        <f aca="false">N24-O24</f>
        <v>0</v>
      </c>
      <c r="Q24" s="671" t="n">
        <f aca="false">'〇総括　6～7（メモなし）'!Q24</f>
        <v>0</v>
      </c>
      <c r="R24" s="672" t="n">
        <f aca="false">'〇総括　6～7（メモなし）'!R24</f>
        <v>0</v>
      </c>
      <c r="S24" s="685" t="n">
        <f aca="false">Q24-R24</f>
        <v>0</v>
      </c>
    </row>
    <row r="25" customFormat="false" ht="18" hidden="false" customHeight="true" outlineLevel="0" collapsed="false">
      <c r="A25" s="528"/>
      <c r="B25" s="529"/>
      <c r="C25" s="600"/>
      <c r="D25" s="590" t="s">
        <v>404</v>
      </c>
      <c r="E25" s="671" t="n">
        <f aca="false">'〇総括　6～7（メモなし）'!E25</f>
        <v>0</v>
      </c>
      <c r="F25" s="672" t="n">
        <f aca="false">'〇総括　6～7（メモなし）'!F25</f>
        <v>0</v>
      </c>
      <c r="G25" s="684" t="n">
        <f aca="false">E25-F25</f>
        <v>0</v>
      </c>
      <c r="H25" s="682" t="n">
        <f aca="false">'〇総括　6～7（メモなし）'!H25</f>
        <v>0</v>
      </c>
      <c r="I25" s="683" t="n">
        <f aca="false">'〇総括　6～7（メモなし）'!I25</f>
        <v>0</v>
      </c>
      <c r="J25" s="684"/>
      <c r="K25" s="671" t="n">
        <f aca="false">'〇総括　6～7（メモなし）'!K25</f>
        <v>0</v>
      </c>
      <c r="L25" s="672" t="n">
        <f aca="false">'〇総括　6～7（メモなし）'!L25</f>
        <v>0</v>
      </c>
      <c r="M25" s="673" t="n">
        <f aca="false">K25-L25</f>
        <v>0</v>
      </c>
      <c r="N25" s="676" t="n">
        <f aca="false">'〇総括　6～7（メモなし）'!N25</f>
        <v>0</v>
      </c>
      <c r="O25" s="676" t="n">
        <f aca="false">'〇総括　6～7（メモなし）'!O25</f>
        <v>0</v>
      </c>
      <c r="P25" s="673" t="n">
        <f aca="false">N25-O25</f>
        <v>0</v>
      </c>
      <c r="Q25" s="671" t="n">
        <f aca="false">'〇総括　6～7（メモなし）'!Q25</f>
        <v>0</v>
      </c>
      <c r="R25" s="672" t="n">
        <f aca="false">'〇総括　6～7（メモなし）'!R25</f>
        <v>0</v>
      </c>
      <c r="S25" s="685" t="n">
        <f aca="false">Q25-R25</f>
        <v>0</v>
      </c>
    </row>
    <row r="26" customFormat="false" ht="18" hidden="false" customHeight="true" outlineLevel="0" collapsed="false">
      <c r="A26" s="528"/>
      <c r="B26" s="529"/>
      <c r="C26" s="600"/>
      <c r="D26" s="590" t="s">
        <v>138</v>
      </c>
      <c r="E26" s="671" t="n">
        <f aca="false">'〇総括　6～7（メモなし）'!E26</f>
        <v>0</v>
      </c>
      <c r="F26" s="672" t="n">
        <f aca="false">'〇総括　6～7（メモなし）'!F26</f>
        <v>2100931</v>
      </c>
      <c r="G26" s="684" t="n">
        <f aca="false">E26-F26</f>
        <v>-2100931</v>
      </c>
      <c r="H26" s="682" t="n">
        <f aca="false">'〇総括　6～7（メモなし）'!H26</f>
        <v>0</v>
      </c>
      <c r="I26" s="675" t="n">
        <f aca="false">'〇総括　6～7（メモなし）'!I26</f>
        <v>0</v>
      </c>
      <c r="J26" s="684"/>
      <c r="K26" s="671" t="n">
        <f aca="false">'〇総括　6～7（メモなし）'!K26</f>
        <v>0</v>
      </c>
      <c r="L26" s="672" t="n">
        <f aca="false">'〇総括　6～7（メモなし）'!L26</f>
        <v>0</v>
      </c>
      <c r="M26" s="673" t="n">
        <f aca="false">K26-L26</f>
        <v>0</v>
      </c>
      <c r="N26" s="676" t="n">
        <f aca="false">'〇総括　6～7（メモなし）'!N26</f>
        <v>0</v>
      </c>
      <c r="O26" s="676" t="n">
        <f aca="false">'〇総括　6～7（メモなし）'!O26</f>
        <v>0</v>
      </c>
      <c r="P26" s="673" t="n">
        <f aca="false">N26-O26</f>
        <v>0</v>
      </c>
      <c r="Q26" s="671" t="n">
        <f aca="false">'〇総括　6～7（メモなし）'!Q26</f>
        <v>0</v>
      </c>
      <c r="R26" s="672" t="n">
        <f aca="false">'〇総括　6～7（メモなし）'!R26</f>
        <v>0</v>
      </c>
      <c r="S26" s="685" t="n">
        <f aca="false">Q26-R26</f>
        <v>0</v>
      </c>
    </row>
    <row r="27" customFormat="false" ht="18" hidden="false" customHeight="true" outlineLevel="0" collapsed="false">
      <c r="A27" s="528"/>
      <c r="B27" s="529"/>
      <c r="C27" s="600"/>
      <c r="D27" s="591" t="s">
        <v>405</v>
      </c>
      <c r="E27" s="686" t="n">
        <f aca="false">'〇総括　6～7（メモなし）'!E27</f>
        <v>0</v>
      </c>
      <c r="F27" s="687" t="n">
        <f aca="false">'〇総括　6～7（メモなし）'!F27</f>
        <v>883951850</v>
      </c>
      <c r="G27" s="684" t="n">
        <f aca="false">E27-F27</f>
        <v>-883951850</v>
      </c>
      <c r="H27" s="688" t="n">
        <f aca="false">'〇総括　6～7（メモなし）'!H27</f>
        <v>0</v>
      </c>
      <c r="I27" s="689" t="n">
        <f aca="false">'〇総括　6～7（メモなし）'!I27</f>
        <v>0</v>
      </c>
      <c r="J27" s="684"/>
      <c r="K27" s="671" t="n">
        <f aca="false">'〇総括　6～7（メモなし）'!K27</f>
        <v>0</v>
      </c>
      <c r="L27" s="672" t="n">
        <f aca="false">'〇総括　6～7（メモなし）'!L27</f>
        <v>0</v>
      </c>
      <c r="M27" s="684" t="n">
        <f aca="false">K27-L27</f>
        <v>0</v>
      </c>
      <c r="N27" s="690" t="n">
        <f aca="false">'〇総括　6～7（メモなし）'!N27</f>
        <v>0</v>
      </c>
      <c r="O27" s="676" t="n">
        <f aca="false">'〇総括　6～7（メモなし）'!O27</f>
        <v>0</v>
      </c>
      <c r="P27" s="684" t="n">
        <f aca="false">N27-O27</f>
        <v>0</v>
      </c>
      <c r="Q27" s="671" t="n">
        <f aca="false">'〇総括　6～7（メモなし）'!Q27</f>
        <v>0</v>
      </c>
      <c r="R27" s="672" t="n">
        <f aca="false">'〇総括　6～7（メモなし）'!R27</f>
        <v>0</v>
      </c>
      <c r="S27" s="685" t="n">
        <f aca="false">Q27-R27</f>
        <v>0</v>
      </c>
    </row>
    <row r="28" customFormat="false" ht="29.25" hidden="false" customHeight="true" outlineLevel="0" collapsed="false">
      <c r="A28" s="528"/>
      <c r="B28" s="529"/>
      <c r="C28" s="598" t="s">
        <v>406</v>
      </c>
      <c r="D28" s="598"/>
      <c r="E28" s="655" t="n">
        <f aca="false">SUM(E7:E27)</f>
        <v>0</v>
      </c>
      <c r="F28" s="656" t="n">
        <f aca="false">SUM(F7:F27)</f>
        <v>13363345222</v>
      </c>
      <c r="G28" s="657" t="n">
        <f aca="false">SUM(G7:G27)</f>
        <v>-13363345222</v>
      </c>
      <c r="H28" s="655" t="n">
        <f aca="false">SUM(H7:H27)</f>
        <v>10342735989</v>
      </c>
      <c r="I28" s="656" t="n">
        <f aca="false">SUM(I7:I27)</f>
        <v>19217782897</v>
      </c>
      <c r="J28" s="657" t="n">
        <f aca="false">SUM(J7:J27)</f>
        <v>-8875046908</v>
      </c>
      <c r="K28" s="655" t="n">
        <f aca="false">SUM(K7:K27)</f>
        <v>124727469</v>
      </c>
      <c r="L28" s="656" t="n">
        <f aca="false">SUM(L7:L27)</f>
        <v>115948018</v>
      </c>
      <c r="M28" s="657" t="n">
        <f aca="false">SUM(M7:M27)</f>
        <v>8779451</v>
      </c>
      <c r="N28" s="660" t="n">
        <f aca="false">SUM(N7:N27)</f>
        <v>0</v>
      </c>
      <c r="O28" s="656" t="n">
        <f aca="false">SUM(O7:O27)</f>
        <v>608914362</v>
      </c>
      <c r="P28" s="657" t="n">
        <f aca="false">SUM(P7:P27)</f>
        <v>-608914362</v>
      </c>
      <c r="Q28" s="655" t="n">
        <f aca="false">SUM(Q7:Q27)</f>
        <v>0</v>
      </c>
      <c r="R28" s="656" t="n">
        <f aca="false">SUM(R7:R27)</f>
        <v>12756000</v>
      </c>
      <c r="S28" s="661" t="n">
        <f aca="false">SUM(S7:S27)</f>
        <v>-12756000</v>
      </c>
    </row>
    <row r="29" customFormat="false" ht="18" hidden="false" customHeight="true" outlineLevel="0" collapsed="false">
      <c r="A29" s="528"/>
      <c r="B29" s="529"/>
      <c r="C29" s="600" t="s">
        <v>407</v>
      </c>
      <c r="D29" s="601" t="s">
        <v>408</v>
      </c>
      <c r="E29" s="691" t="n">
        <f aca="false">'〇総括　6～7（メモなし）'!E29</f>
        <v>0</v>
      </c>
      <c r="F29" s="692" t="n">
        <f aca="false">'〇総括　6～7（メモなし）'!F29</f>
        <v>5062957780</v>
      </c>
      <c r="G29" s="668" t="n">
        <f aca="false">E29-F29</f>
        <v>-5062957780</v>
      </c>
      <c r="H29" s="693" t="n">
        <f aca="false">'〇総括　6～7（メモなし）'!H29</f>
        <v>0</v>
      </c>
      <c r="I29" s="666" t="n">
        <f aca="false">'〇総括　6～7（メモなし）'!I29</f>
        <v>0</v>
      </c>
      <c r="J29" s="668"/>
      <c r="K29" s="669" t="n">
        <f aca="false">'〇総括　6～7（メモなし）'!K29</f>
        <v>0</v>
      </c>
      <c r="L29" s="663" t="n">
        <f aca="false">'〇総括　6～7（メモなし）'!L29</f>
        <v>0</v>
      </c>
      <c r="M29" s="668" t="n">
        <f aca="false">K29-L29</f>
        <v>0</v>
      </c>
      <c r="N29" s="694" t="n">
        <f aca="false">'〇総括　6～7（メモなし）'!N29</f>
        <v>0</v>
      </c>
      <c r="O29" s="694" t="n">
        <f aca="false">'〇総括　6～7（メモなし）'!O29</f>
        <v>0</v>
      </c>
      <c r="P29" s="677" t="n">
        <f aca="false">N29-O29</f>
        <v>0</v>
      </c>
      <c r="Q29" s="695" t="n">
        <f aca="false">'〇総括　6～7（メモなし）'!Q29</f>
        <v>0</v>
      </c>
      <c r="R29" s="696" t="n">
        <f aca="false">'〇総括　6～7（メモなし）'!R29</f>
        <v>0</v>
      </c>
      <c r="S29" s="697" t="n">
        <f aca="false">Q29-R29</f>
        <v>0</v>
      </c>
    </row>
    <row r="30" customFormat="false" ht="18" hidden="false" customHeight="true" outlineLevel="0" collapsed="false">
      <c r="A30" s="528"/>
      <c r="B30" s="529"/>
      <c r="C30" s="600"/>
      <c r="D30" s="601" t="s">
        <v>409</v>
      </c>
      <c r="E30" s="662" t="n">
        <f aca="false">'〇総括　6～7（メモなし）'!E30</f>
        <v>0</v>
      </c>
      <c r="F30" s="698" t="n">
        <f aca="false">'〇総括　6～7（メモなし）'!F30</f>
        <v>596910377</v>
      </c>
      <c r="G30" s="677" t="n">
        <f aca="false">E30-F30</f>
        <v>-596910377</v>
      </c>
      <c r="H30" s="679" t="n">
        <f aca="false">'〇総括　6～7（メモなし）'!H30</f>
        <v>0</v>
      </c>
      <c r="I30" s="675" t="n">
        <f aca="false">'〇総括　6～7（メモなし）'!I30</f>
        <v>0</v>
      </c>
      <c r="J30" s="699"/>
      <c r="K30" s="672" t="n">
        <f aca="false">'〇総括　6～7（メモなし）'!K30</f>
        <v>0</v>
      </c>
      <c r="L30" s="672" t="n">
        <f aca="false">'〇総括　6～7（メモなし）'!L30</f>
        <v>0</v>
      </c>
      <c r="M30" s="664" t="n">
        <f aca="false">K30-L30</f>
        <v>0</v>
      </c>
      <c r="N30" s="676" t="n">
        <f aca="false">'〇総括　6～7（メモなし）'!N30</f>
        <v>0</v>
      </c>
      <c r="O30" s="676" t="n">
        <f aca="false">'〇総括　6～7（メモなし）'!O30</f>
        <v>0</v>
      </c>
      <c r="P30" s="673" t="n">
        <f aca="false">N30-O30</f>
        <v>0</v>
      </c>
      <c r="Q30" s="671" t="n">
        <f aca="false">'〇総括　6～7（メモなし）'!Q30</f>
        <v>0</v>
      </c>
      <c r="R30" s="672" t="n">
        <f aca="false">'〇総括　6～7（メモなし）'!R30</f>
        <v>0</v>
      </c>
      <c r="S30" s="678" t="n">
        <f aca="false">Q30-R30</f>
        <v>0</v>
      </c>
    </row>
    <row r="31" customFormat="false" ht="18" hidden="false" customHeight="true" outlineLevel="0" collapsed="false">
      <c r="A31" s="528"/>
      <c r="B31" s="529"/>
      <c r="C31" s="600"/>
      <c r="D31" s="601" t="s">
        <v>410</v>
      </c>
      <c r="E31" s="662" t="n">
        <f aca="false">'〇総括　6～7（メモなし）'!E31</f>
        <v>0</v>
      </c>
      <c r="F31" s="698" t="n">
        <f aca="false">'〇総括　6～7（メモなし）'!F31</f>
        <v>0</v>
      </c>
      <c r="G31" s="673" t="n">
        <f aca="false">E31-F31</f>
        <v>0</v>
      </c>
      <c r="H31" s="700" t="n">
        <f aca="false">'〇総括　6～7（メモなし）'!H31</f>
        <v>0</v>
      </c>
      <c r="I31" s="701" t="n">
        <f aca="false">'〇総括　6～7（メモなし）'!I31</f>
        <v>0</v>
      </c>
      <c r="J31" s="702"/>
      <c r="K31" s="672" t="n">
        <f aca="false">'〇総括　6～7（メモなし）'!K31</f>
        <v>0</v>
      </c>
      <c r="L31" s="672" t="n">
        <f aca="false">'〇総括　6～7（メモなし）'!L31</f>
        <v>0</v>
      </c>
      <c r="M31" s="673" t="n">
        <f aca="false">K31-L31</f>
        <v>0</v>
      </c>
      <c r="N31" s="676" t="n">
        <f aca="false">'〇総括　6～7（メモなし）'!N31</f>
        <v>0</v>
      </c>
      <c r="O31" s="676" t="n">
        <f aca="false">'〇総括　6～7（メモなし）'!O31</f>
        <v>0</v>
      </c>
      <c r="P31" s="677" t="n">
        <f aca="false">N31-O31</f>
        <v>0</v>
      </c>
      <c r="Q31" s="671" t="n">
        <f aca="false">'〇総括　6～7（メモなし）'!Q31</f>
        <v>0</v>
      </c>
      <c r="R31" s="672" t="n">
        <f aca="false">'〇総括　6～7（メモなし）'!R31</f>
        <v>0</v>
      </c>
      <c r="S31" s="678" t="n">
        <f aca="false">Q31-R31</f>
        <v>0</v>
      </c>
    </row>
    <row r="32" customFormat="false" ht="18" hidden="false" customHeight="true" outlineLevel="0" collapsed="false">
      <c r="A32" s="528"/>
      <c r="B32" s="529"/>
      <c r="C32" s="600"/>
      <c r="D32" s="590" t="s">
        <v>411</v>
      </c>
      <c r="E32" s="662" t="n">
        <f aca="false">'〇総括　6～7（メモなし）'!E32</f>
        <v>0</v>
      </c>
      <c r="F32" s="698" t="n">
        <f aca="false">'〇総括　6～7（メモなし）'!F32</f>
        <v>36121513</v>
      </c>
      <c r="G32" s="673" t="n">
        <f aca="false">E32-F32</f>
        <v>-36121513</v>
      </c>
      <c r="H32" s="679" t="n">
        <f aca="false">'〇総括　6～7（メモなし）'!H32</f>
        <v>0</v>
      </c>
      <c r="I32" s="675" t="n">
        <f aca="false">'〇総括　6～7（メモなし）'!I32</f>
        <v>0</v>
      </c>
      <c r="J32" s="699"/>
      <c r="K32" s="672" t="n">
        <f aca="false">'〇総括　6～7（メモなし）'!K32</f>
        <v>0</v>
      </c>
      <c r="L32" s="672" t="n">
        <f aca="false">'〇総括　6～7（メモなし）'!L32</f>
        <v>0</v>
      </c>
      <c r="M32" s="673" t="n">
        <f aca="false">K32-L32</f>
        <v>0</v>
      </c>
      <c r="N32" s="676" t="n">
        <f aca="false">'〇総括　6～7（メモなし）'!N32</f>
        <v>0</v>
      </c>
      <c r="O32" s="676" t="n">
        <f aca="false">'〇総括　6～7（メモなし）'!O32</f>
        <v>0</v>
      </c>
      <c r="P32" s="673" t="n">
        <f aca="false">N32-O32</f>
        <v>0</v>
      </c>
      <c r="Q32" s="671" t="n">
        <f aca="false">'〇総括　6～7（メモなし）'!Q32</f>
        <v>0</v>
      </c>
      <c r="R32" s="672" t="n">
        <f aca="false">'〇総括　6～7（メモなし）'!R32</f>
        <v>0</v>
      </c>
      <c r="S32" s="678" t="n">
        <f aca="false">Q32-R32</f>
        <v>0</v>
      </c>
    </row>
    <row r="33" customFormat="false" ht="18" hidden="false" customHeight="true" outlineLevel="0" collapsed="false">
      <c r="A33" s="528"/>
      <c r="B33" s="529"/>
      <c r="C33" s="600"/>
      <c r="D33" s="580" t="s">
        <v>412</v>
      </c>
      <c r="E33" s="662" t="n">
        <f aca="false">'〇総括　6～7（メモなし）'!E33</f>
        <v>0</v>
      </c>
      <c r="F33" s="698" t="n">
        <f aca="false">'〇総括　6～7（メモなし）'!F33</f>
        <v>74042318</v>
      </c>
      <c r="G33" s="673" t="n">
        <f aca="false">E33-F33</f>
        <v>-74042318</v>
      </c>
      <c r="H33" s="679" t="n">
        <f aca="false">'〇総括　6～7（メモなし）'!H33</f>
        <v>0</v>
      </c>
      <c r="I33" s="675" t="n">
        <f aca="false">'〇総括　6～7（メモなし）'!I33</f>
        <v>0</v>
      </c>
      <c r="J33" s="699"/>
      <c r="K33" s="672" t="n">
        <f aca="false">'〇総括　6～7（メモなし）'!K33</f>
        <v>0</v>
      </c>
      <c r="L33" s="672" t="n">
        <f aca="false">'〇総括　6～7（メモなし）'!L33</f>
        <v>0</v>
      </c>
      <c r="M33" s="677" t="n">
        <f aca="false">K33-L33</f>
        <v>0</v>
      </c>
      <c r="N33" s="676" t="n">
        <f aca="false">'〇総括　6～7（メモなし）'!N33</f>
        <v>0</v>
      </c>
      <c r="O33" s="676" t="n">
        <f aca="false">'〇総括　6～7（メモなし）'!O33</f>
        <v>0</v>
      </c>
      <c r="P33" s="673" t="n">
        <f aca="false">N33-O33</f>
        <v>0</v>
      </c>
      <c r="Q33" s="671" t="n">
        <f aca="false">'〇総括　6～7（メモなし）'!Q33</f>
        <v>0</v>
      </c>
      <c r="R33" s="672" t="n">
        <f aca="false">'〇総括　6～7（メモなし）'!R33</f>
        <v>0</v>
      </c>
      <c r="S33" s="678" t="n">
        <f aca="false">Q33-R33</f>
        <v>0</v>
      </c>
    </row>
    <row r="34" customFormat="false" ht="18" hidden="false" customHeight="true" outlineLevel="0" collapsed="false">
      <c r="A34" s="528"/>
      <c r="B34" s="529"/>
      <c r="C34" s="600"/>
      <c r="D34" s="601" t="s">
        <v>413</v>
      </c>
      <c r="E34" s="662" t="n">
        <f aca="false">'〇総括　6～7（メモなし）'!E34</f>
        <v>0</v>
      </c>
      <c r="F34" s="698" t="n">
        <f aca="false">'〇総括　6～7（メモなし）'!F34</f>
        <v>5748963367</v>
      </c>
      <c r="G34" s="673" t="n">
        <f aca="false">E34-F34</f>
        <v>-5748963367</v>
      </c>
      <c r="H34" s="679" t="n">
        <f aca="false">'〇総括　6～7（メモなし）'!H34</f>
        <v>0</v>
      </c>
      <c r="I34" s="675" t="n">
        <f aca="false">'〇総括　6～7（メモなし）'!I34</f>
        <v>0</v>
      </c>
      <c r="J34" s="699"/>
      <c r="K34" s="672" t="n">
        <f aca="false">'〇総括　6～7（メモなし）'!K34</f>
        <v>0</v>
      </c>
      <c r="L34" s="672" t="n">
        <f aca="false">'〇総括　6～7（メモなし）'!L34</f>
        <v>0</v>
      </c>
      <c r="M34" s="673" t="n">
        <f aca="false">K34-L34</f>
        <v>0</v>
      </c>
      <c r="N34" s="676" t="n">
        <f aca="false">'〇総括　6～7（メモなし）'!N34</f>
        <v>0</v>
      </c>
      <c r="O34" s="676" t="n">
        <f aca="false">'〇総括　6～7（メモなし）'!O34</f>
        <v>0</v>
      </c>
      <c r="P34" s="673" t="n">
        <f aca="false">N34-O34</f>
        <v>0</v>
      </c>
      <c r="Q34" s="671" t="n">
        <f aca="false">'〇総括　6～7（メモなし）'!Q34</f>
        <v>0</v>
      </c>
      <c r="R34" s="672" t="n">
        <f aca="false">'〇総括　6～7（メモなし）'!R34</f>
        <v>0</v>
      </c>
      <c r="S34" s="697" t="n">
        <f aca="false">Q34-R34</f>
        <v>0</v>
      </c>
    </row>
    <row r="35" customFormat="false" ht="18" hidden="false" customHeight="true" outlineLevel="0" collapsed="false">
      <c r="A35" s="528"/>
      <c r="B35" s="529"/>
      <c r="C35" s="600"/>
      <c r="D35" s="612" t="s">
        <v>414</v>
      </c>
      <c r="E35" s="662" t="n">
        <f aca="false">'〇総括　6～7（メモなし）'!E35</f>
        <v>0</v>
      </c>
      <c r="F35" s="698" t="n">
        <f aca="false">'〇総括　6～7（メモなし）'!F35</f>
        <v>0</v>
      </c>
      <c r="G35" s="673" t="n">
        <f aca="false">E35-F35</f>
        <v>0</v>
      </c>
      <c r="H35" s="679" t="n">
        <f aca="false">'〇総括　6～7（メモなし）'!H35</f>
        <v>0</v>
      </c>
      <c r="I35" s="675" t="n">
        <f aca="false">'〇総括　6～7（メモなし）'!I35</f>
        <v>0</v>
      </c>
      <c r="J35" s="699"/>
      <c r="K35" s="672" t="n">
        <f aca="false">'〇総括　6～7（メモなし）'!K35</f>
        <v>0</v>
      </c>
      <c r="L35" s="672" t="n">
        <f aca="false">'〇総括　6～7（メモなし）'!L35</f>
        <v>0</v>
      </c>
      <c r="M35" s="673" t="n">
        <f aca="false">K35-L35</f>
        <v>0</v>
      </c>
      <c r="N35" s="676" t="n">
        <f aca="false">'〇総括　6～7（メモなし）'!N35</f>
        <v>0</v>
      </c>
      <c r="O35" s="676" t="n">
        <f aca="false">'〇総括　6～7（メモなし）'!O35</f>
        <v>0</v>
      </c>
      <c r="P35" s="673" t="n">
        <f aca="false">N35-O35</f>
        <v>0</v>
      </c>
      <c r="Q35" s="671" t="n">
        <f aca="false">'〇総括　6～7（メモなし）'!Q35</f>
        <v>0</v>
      </c>
      <c r="R35" s="672" t="n">
        <f aca="false">'〇総括　6～7（メモなし）'!R35</f>
        <v>0</v>
      </c>
      <c r="S35" s="678" t="n">
        <f aca="false">Q35-R35</f>
        <v>0</v>
      </c>
    </row>
    <row r="36" customFormat="false" ht="18" hidden="false" customHeight="true" outlineLevel="0" collapsed="false">
      <c r="A36" s="528"/>
      <c r="B36" s="529"/>
      <c r="C36" s="600"/>
      <c r="D36" s="601" t="s">
        <v>415</v>
      </c>
      <c r="E36" s="662" t="n">
        <f aca="false">'〇総括　6～7（メモなし）'!E36</f>
        <v>0</v>
      </c>
      <c r="F36" s="698" t="n">
        <f aca="false">'〇総括　6～7（メモなし）'!F36</f>
        <v>0</v>
      </c>
      <c r="G36" s="673" t="n">
        <f aca="false">E36-F36</f>
        <v>0</v>
      </c>
      <c r="H36" s="674" t="n">
        <f aca="false">'〇総括　6～7（メモなし）'!H36</f>
        <v>5516016459</v>
      </c>
      <c r="I36" s="675" t="n">
        <f aca="false">'〇総括　6～7（メモなし）'!I36</f>
        <v>10787321768</v>
      </c>
      <c r="J36" s="699" t="n">
        <f aca="false">H36-I36</f>
        <v>-5271305309</v>
      </c>
      <c r="K36" s="672" t="n">
        <f aca="false">'〇総括　6～7（メモなし）'!K36</f>
        <v>0</v>
      </c>
      <c r="L36" s="672" t="n">
        <f aca="false">'〇総括　6～7（メモなし）'!L36</f>
        <v>0</v>
      </c>
      <c r="M36" s="673" t="n">
        <f aca="false">K36-L36</f>
        <v>0</v>
      </c>
      <c r="N36" s="676" t="n">
        <f aca="false">'〇総括　6～7（メモなし）'!N36</f>
        <v>0</v>
      </c>
      <c r="O36" s="676" t="n">
        <f aca="false">'〇総括　6～7（メモなし）'!O36</f>
        <v>0</v>
      </c>
      <c r="P36" s="673" t="n">
        <f aca="false">N36-O36</f>
        <v>0</v>
      </c>
      <c r="Q36" s="671" t="n">
        <f aca="false">'〇総括　6～7（メモなし）'!Q36</f>
        <v>0</v>
      </c>
      <c r="R36" s="672" t="n">
        <f aca="false">'〇総括　6～7（メモなし）'!R36</f>
        <v>0</v>
      </c>
      <c r="S36" s="678" t="n">
        <f aca="false">Q36-R36</f>
        <v>0</v>
      </c>
    </row>
    <row r="37" customFormat="false" ht="18" hidden="false" customHeight="true" outlineLevel="0" collapsed="false">
      <c r="A37" s="528"/>
      <c r="B37" s="529"/>
      <c r="C37" s="600"/>
      <c r="D37" s="601" t="s">
        <v>416</v>
      </c>
      <c r="E37" s="662" t="n">
        <f aca="false">'〇総括　6～7（メモなし）'!E37</f>
        <v>0</v>
      </c>
      <c r="F37" s="698" t="n">
        <f aca="false">'〇総括　6～7（メモなし）'!F37</f>
        <v>0</v>
      </c>
      <c r="G37" s="673" t="n">
        <f aca="false">E37-F37</f>
        <v>0</v>
      </c>
      <c r="H37" s="703" t="n">
        <f aca="false">'〇総括　6～7（メモなし）'!H37</f>
        <v>45220684</v>
      </c>
      <c r="I37" s="704" t="n">
        <f aca="false">'〇総括　6～7（メモなし）'!I37</f>
        <v>87548431</v>
      </c>
      <c r="J37" s="699" t="n">
        <f aca="false">H37-I37</f>
        <v>-42327747</v>
      </c>
      <c r="K37" s="672" t="n">
        <f aca="false">'〇総括　6～7（メモなし）'!K37</f>
        <v>0</v>
      </c>
      <c r="L37" s="672" t="n">
        <f aca="false">'〇総括　6～7（メモなし）'!L37</f>
        <v>0</v>
      </c>
      <c r="M37" s="673" t="n">
        <f aca="false">K37-L37</f>
        <v>0</v>
      </c>
      <c r="N37" s="676" t="n">
        <f aca="false">'〇総括　6～7（メモなし）'!N37</f>
        <v>0</v>
      </c>
      <c r="O37" s="676" t="n">
        <f aca="false">'〇総括　6～7（メモなし）'!O37</f>
        <v>0</v>
      </c>
      <c r="P37" s="673" t="n">
        <f aca="false">N37-O37</f>
        <v>0</v>
      </c>
      <c r="Q37" s="671" t="n">
        <f aca="false">'〇総括　6～7（メモなし）'!Q37</f>
        <v>0</v>
      </c>
      <c r="R37" s="672" t="n">
        <f aca="false">'〇総括　6～7（メモなし）'!R37</f>
        <v>0</v>
      </c>
      <c r="S37" s="678" t="n">
        <f aca="false">Q37-R37</f>
        <v>0</v>
      </c>
    </row>
    <row r="38" customFormat="false" ht="18" hidden="false" customHeight="true" outlineLevel="0" collapsed="false">
      <c r="A38" s="528"/>
      <c r="B38" s="529"/>
      <c r="C38" s="600"/>
      <c r="D38" s="601" t="s">
        <v>417</v>
      </c>
      <c r="E38" s="662" t="n">
        <f aca="false">'〇総括　6～7（メモなし）'!E38</f>
        <v>0</v>
      </c>
      <c r="F38" s="698" t="n">
        <f aca="false">'〇総括　6～7（メモなし）'!F38</f>
        <v>0</v>
      </c>
      <c r="G38" s="673" t="n">
        <f aca="false">E38-F38</f>
        <v>0</v>
      </c>
      <c r="H38" s="674" t="n">
        <f aca="false">'〇総括　6～7（メモなし）'!H38</f>
        <v>995045755</v>
      </c>
      <c r="I38" s="675" t="n">
        <f aca="false">'〇総括　6～7（メモなし）'!I38</f>
        <v>2016533515</v>
      </c>
      <c r="J38" s="699" t="n">
        <f aca="false">H38-I38</f>
        <v>-1021487760</v>
      </c>
      <c r="K38" s="672" t="n">
        <f aca="false">'〇総括　6～7（メモなし）'!K38</f>
        <v>0</v>
      </c>
      <c r="L38" s="672" t="n">
        <f aca="false">'〇総括　6～7（メモなし）'!L38</f>
        <v>0</v>
      </c>
      <c r="M38" s="673" t="n">
        <f aca="false">K38-L38</f>
        <v>0</v>
      </c>
      <c r="N38" s="676" t="n">
        <f aca="false">'〇総括　6～7（メモなし）'!N38</f>
        <v>0</v>
      </c>
      <c r="O38" s="676" t="n">
        <f aca="false">'〇総括　6～7（メモなし）'!O38</f>
        <v>0</v>
      </c>
      <c r="P38" s="673" t="n">
        <f aca="false">N38-O38</f>
        <v>0</v>
      </c>
      <c r="Q38" s="671" t="n">
        <f aca="false">'〇総括　6～7（メモなし）'!Q38</f>
        <v>0</v>
      </c>
      <c r="R38" s="672" t="n">
        <f aca="false">'〇総括　6～7（メモなし）'!R38</f>
        <v>0</v>
      </c>
      <c r="S38" s="678" t="n">
        <f aca="false">Q38-R38</f>
        <v>0</v>
      </c>
    </row>
    <row r="39" customFormat="false" ht="18" hidden="false" customHeight="true" outlineLevel="0" collapsed="false">
      <c r="A39" s="528"/>
      <c r="B39" s="529"/>
      <c r="C39" s="600"/>
      <c r="D39" s="618" t="s">
        <v>418</v>
      </c>
      <c r="E39" s="662" t="n">
        <f aca="false">'〇総括　6～7（メモなし）'!E39</f>
        <v>0</v>
      </c>
      <c r="F39" s="698" t="n">
        <f aca="false">'〇総括　6～7（メモなし）'!F39</f>
        <v>0</v>
      </c>
      <c r="G39" s="673" t="n">
        <f aca="false">E39-F39</f>
        <v>0</v>
      </c>
      <c r="H39" s="674" t="n">
        <f aca="false">'〇総括　6～7（メモなし）'!H39</f>
        <v>2802837274</v>
      </c>
      <c r="I39" s="675" t="n">
        <f aca="false">'〇総括　6～7（メモなし）'!I39</f>
        <v>5376398659</v>
      </c>
      <c r="J39" s="699" t="n">
        <f aca="false">H39-I39</f>
        <v>-2573561385</v>
      </c>
      <c r="K39" s="672" t="n">
        <f aca="false">'〇総括　6～7（メモなし）'!K39</f>
        <v>0</v>
      </c>
      <c r="L39" s="672" t="n">
        <f aca="false">'〇総括　6～7（メモなし）'!L39</f>
        <v>0</v>
      </c>
      <c r="M39" s="673" t="n">
        <f aca="false">K39-L39</f>
        <v>0</v>
      </c>
      <c r="N39" s="676" t="n">
        <f aca="false">'〇総括　6～7（メモなし）'!N39</f>
        <v>0</v>
      </c>
      <c r="O39" s="676" t="n">
        <f aca="false">'〇総括　6～7（メモなし）'!O39</f>
        <v>0</v>
      </c>
      <c r="P39" s="673" t="n">
        <f aca="false">N39-O39</f>
        <v>0</v>
      </c>
      <c r="Q39" s="671" t="n">
        <f aca="false">'〇総括　6～7（メモなし）'!Q39</f>
        <v>0</v>
      </c>
      <c r="R39" s="672" t="n">
        <f aca="false">'〇総括　6～7（メモなし）'!R39</f>
        <v>0</v>
      </c>
      <c r="S39" s="678" t="n">
        <f aca="false">Q39-R39</f>
        <v>0</v>
      </c>
    </row>
    <row r="40" customFormat="false" ht="18" hidden="false" customHeight="true" outlineLevel="0" collapsed="false">
      <c r="A40" s="528"/>
      <c r="B40" s="529"/>
      <c r="C40" s="600"/>
      <c r="D40" s="565" t="s">
        <v>359</v>
      </c>
      <c r="E40" s="662" t="n">
        <f aca="false">'〇総括　6～7（メモなし）'!E40</f>
        <v>0</v>
      </c>
      <c r="F40" s="698" t="n">
        <f aca="false">'〇総括　6～7（メモなし）'!F40</f>
        <v>0</v>
      </c>
      <c r="G40" s="673" t="n">
        <f aca="false">E40-F40</f>
        <v>0</v>
      </c>
      <c r="H40" s="674" t="n">
        <f aca="false">'〇総括　6～7（メモなし）'!H40</f>
        <v>0</v>
      </c>
      <c r="I40" s="675" t="n">
        <f aca="false">'〇総括　6～7（メモなし）'!I40</f>
        <v>0</v>
      </c>
      <c r="J40" s="699"/>
      <c r="K40" s="672" t="n">
        <f aca="false">'〇総括　6～7（メモなし）'!K40</f>
        <v>0</v>
      </c>
      <c r="L40" s="672" t="n">
        <f aca="false">'〇総括　6～7（メモなし）'!L40</f>
        <v>0</v>
      </c>
      <c r="M40" s="673" t="n">
        <f aca="false">K40-L40</f>
        <v>0</v>
      </c>
      <c r="N40" s="676" t="n">
        <f aca="false">'〇総括　6～7（メモなし）'!N40</f>
        <v>0</v>
      </c>
      <c r="O40" s="676" t="n">
        <f aca="false">'〇総括　6～7（メモなし）'!O40</f>
        <v>0</v>
      </c>
      <c r="P40" s="673" t="n">
        <f aca="false">N40-O40</f>
        <v>0</v>
      </c>
      <c r="Q40" s="671" t="n">
        <f aca="false">'〇総括　6～7（メモなし）'!Q40</f>
        <v>0</v>
      </c>
      <c r="R40" s="672" t="n">
        <f aca="false">'〇総括　6～7（メモなし）'!R40</f>
        <v>0</v>
      </c>
      <c r="S40" s="678" t="n">
        <f aca="false">Q40-R40</f>
        <v>0</v>
      </c>
    </row>
    <row r="41" customFormat="false" ht="18" hidden="false" customHeight="true" outlineLevel="0" collapsed="false">
      <c r="A41" s="528"/>
      <c r="B41" s="529"/>
      <c r="C41" s="600"/>
      <c r="D41" s="565" t="s">
        <v>419</v>
      </c>
      <c r="E41" s="662" t="n">
        <f aca="false">'〇総括　6～7（メモなし）'!E41</f>
        <v>0</v>
      </c>
      <c r="F41" s="698" t="n">
        <f aca="false">'〇総括　6～7（メモなし）'!F41</f>
        <v>132291047</v>
      </c>
      <c r="G41" s="673" t="n">
        <f aca="false">E41-F41</f>
        <v>-132291047</v>
      </c>
      <c r="H41" s="674" t="n">
        <f aca="false">'〇総括　6～7（メモなし）'!H41</f>
        <v>26027000</v>
      </c>
      <c r="I41" s="675" t="n">
        <f aca="false">'〇総括　6～7（メモなし）'!I41</f>
        <v>249923000</v>
      </c>
      <c r="J41" s="699" t="n">
        <f aca="false">H41-I41</f>
        <v>-223896000</v>
      </c>
      <c r="K41" s="672" t="n">
        <f aca="false">'〇総括　6～7（メモなし）'!K41</f>
        <v>0</v>
      </c>
      <c r="L41" s="672" t="n">
        <f aca="false">'〇総括　6～7（メモなし）'!L41</f>
        <v>0</v>
      </c>
      <c r="M41" s="673" t="n">
        <f aca="false">K41-L41</f>
        <v>0</v>
      </c>
      <c r="N41" s="676" t="n">
        <f aca="false">'〇総括　6～7（メモなし）'!N41</f>
        <v>0</v>
      </c>
      <c r="O41" s="676" t="n">
        <f aca="false">'〇総括　6～7（メモなし）'!O41</f>
        <v>0</v>
      </c>
      <c r="P41" s="673" t="n">
        <f aca="false">N41-O41</f>
        <v>0</v>
      </c>
      <c r="Q41" s="680" t="n">
        <f aca="false">'〇総括　6～7（メモなし）'!Q41</f>
        <v>0</v>
      </c>
      <c r="R41" s="672" t="n">
        <f aca="false">'〇総括　6～7（メモなし）'!R41</f>
        <v>0</v>
      </c>
      <c r="S41" s="678" t="n">
        <f aca="false">Q41-R41</f>
        <v>0</v>
      </c>
    </row>
    <row r="42" customFormat="false" ht="18" hidden="false" customHeight="true" outlineLevel="0" collapsed="false">
      <c r="A42" s="528"/>
      <c r="B42" s="529"/>
      <c r="C42" s="600"/>
      <c r="D42" s="565" t="s">
        <v>420</v>
      </c>
      <c r="E42" s="662" t="n">
        <f aca="false">'〇総括　6～7（メモなし）'!E42</f>
        <v>0</v>
      </c>
      <c r="F42" s="698" t="n">
        <f aca="false">'〇総括　6～7（メモなし）'!F42</f>
        <v>11648520</v>
      </c>
      <c r="G42" s="673" t="n">
        <f aca="false">E42-F42</f>
        <v>-11648520</v>
      </c>
      <c r="H42" s="674" t="n">
        <f aca="false">'〇総括　6～7（メモなし）'!H42</f>
        <v>13252000</v>
      </c>
      <c r="I42" s="675" t="n">
        <f aca="false">'〇総括　6～7（メモなし）'!I42</f>
        <v>30145946</v>
      </c>
      <c r="J42" s="699" t="n">
        <f aca="false">H42-I42</f>
        <v>-16893946</v>
      </c>
      <c r="K42" s="672" t="n">
        <f aca="false">'〇総括　6～7（メモなし）'!K42</f>
        <v>0</v>
      </c>
      <c r="L42" s="672" t="n">
        <f aca="false">'〇総括　6～7（メモなし）'!L42</f>
        <v>0</v>
      </c>
      <c r="M42" s="673" t="n">
        <f aca="false">K42-L42</f>
        <v>0</v>
      </c>
      <c r="N42" s="676" t="n">
        <f aca="false">'〇総括　6～7（メモなし）'!N42</f>
        <v>0</v>
      </c>
      <c r="O42" s="676" t="n">
        <f aca="false">'〇総括　6～7（メモなし）'!O42</f>
        <v>0</v>
      </c>
      <c r="P42" s="673" t="n">
        <f aca="false">N42-O42</f>
        <v>0</v>
      </c>
      <c r="Q42" s="680" t="n">
        <f aca="false">'〇総括　6～7（メモなし）'!Q42</f>
        <v>0</v>
      </c>
      <c r="R42" s="672" t="n">
        <f aca="false">'〇総括　6～7（メモなし）'!R42</f>
        <v>0</v>
      </c>
      <c r="S42" s="678" t="n">
        <f aca="false">Q42-R42</f>
        <v>0</v>
      </c>
    </row>
    <row r="43" customFormat="false" ht="18" hidden="false" customHeight="true" outlineLevel="0" collapsed="false">
      <c r="A43" s="528"/>
      <c r="B43" s="529"/>
      <c r="C43" s="600"/>
      <c r="D43" s="565" t="s">
        <v>67</v>
      </c>
      <c r="E43" s="662" t="n">
        <f aca="false">'〇総括　6～7（メモなし）'!E43</f>
        <v>0</v>
      </c>
      <c r="F43" s="698" t="n">
        <f aca="false">'〇総括　6～7（メモなし）'!F43</f>
        <v>0</v>
      </c>
      <c r="G43" s="673" t="n">
        <f aca="false">E43-F43</f>
        <v>0</v>
      </c>
      <c r="H43" s="679" t="n">
        <f aca="false">'〇総括　6～7（メモなし）'!H43</f>
        <v>0</v>
      </c>
      <c r="I43" s="675" t="n">
        <f aca="false">'〇総括　6～7（メモなし）'!I43</f>
        <v>0</v>
      </c>
      <c r="J43" s="699"/>
      <c r="K43" s="672" t="n">
        <f aca="false">'〇総括　6～7（メモなし）'!K43</f>
        <v>10141337</v>
      </c>
      <c r="L43" s="672" t="n">
        <f aca="false">'〇総括　6～7（メモなし）'!L43</f>
        <v>9574938</v>
      </c>
      <c r="M43" s="673" t="n">
        <f aca="false">K43-L43</f>
        <v>566399</v>
      </c>
      <c r="N43" s="676" t="n">
        <f aca="false">'〇総括　6～7（メモなし）'!N43</f>
        <v>0</v>
      </c>
      <c r="O43" s="676" t="n">
        <f aca="false">'〇総括　6～7（メモなし）'!O43</f>
        <v>6040584</v>
      </c>
      <c r="P43" s="673" t="n">
        <f aca="false">N43-O43</f>
        <v>-6040584</v>
      </c>
      <c r="Q43" s="680" t="n">
        <f aca="false">'〇総括　6～7（メモなし）'!Q43</f>
        <v>0</v>
      </c>
      <c r="R43" s="672" t="n">
        <f aca="false">'〇総括　6～7（メモなし）'!R43</f>
        <v>6160420</v>
      </c>
      <c r="S43" s="678" t="n">
        <f aca="false">Q43-R43</f>
        <v>-6160420</v>
      </c>
    </row>
    <row r="44" customFormat="false" ht="18" hidden="false" customHeight="true" outlineLevel="0" collapsed="false">
      <c r="A44" s="528"/>
      <c r="B44" s="529"/>
      <c r="C44" s="600"/>
      <c r="D44" s="601" t="s">
        <v>421</v>
      </c>
      <c r="E44" s="662" t="n">
        <f aca="false">'〇総括　6～7（メモなし）'!E44</f>
        <v>0</v>
      </c>
      <c r="F44" s="698" t="n">
        <f aca="false">'〇総括　6～7（メモなし）'!F44</f>
        <v>0</v>
      </c>
      <c r="G44" s="673" t="n">
        <f aca="false">E44-F44</f>
        <v>0</v>
      </c>
      <c r="H44" s="679" t="n">
        <f aca="false">'〇総括　6～7（メモなし）'!H44</f>
        <v>0</v>
      </c>
      <c r="I44" s="675" t="n">
        <f aca="false">'〇総括　6～7（メモなし）'!I44</f>
        <v>0</v>
      </c>
      <c r="J44" s="699"/>
      <c r="K44" s="672" t="n">
        <f aca="false">'〇総括　6～7（メモなし）'!K44</f>
        <v>110982622</v>
      </c>
      <c r="L44" s="672" t="n">
        <f aca="false">'〇総括　6～7（メモなし）'!L44</f>
        <v>101872292</v>
      </c>
      <c r="M44" s="673" t="n">
        <f aca="false">K44-L44</f>
        <v>9110330</v>
      </c>
      <c r="N44" s="676" t="n">
        <f aca="false">'〇総括　6～7（メモなし）'!N44</f>
        <v>0</v>
      </c>
      <c r="O44" s="676" t="n">
        <f aca="false">'〇総括　6～7（メモなし）'!O44</f>
        <v>608161999</v>
      </c>
      <c r="P44" s="673" t="n">
        <f aca="false">N44-O44</f>
        <v>-608161999</v>
      </c>
      <c r="Q44" s="680" t="n">
        <f aca="false">'〇総括　6～7（メモなし）'!Q44</f>
        <v>0</v>
      </c>
      <c r="R44" s="672" t="n">
        <f aca="false">'〇総括　6～7（メモなし）'!R44</f>
        <v>11949705</v>
      </c>
      <c r="S44" s="678" t="n">
        <f aca="false">Q44-R44</f>
        <v>-11949705</v>
      </c>
    </row>
    <row r="45" customFormat="false" ht="18" hidden="false" customHeight="true" outlineLevel="0" collapsed="false">
      <c r="A45" s="528"/>
      <c r="B45" s="529"/>
      <c r="C45" s="600"/>
      <c r="D45" s="590" t="s">
        <v>422</v>
      </c>
      <c r="E45" s="662" t="n">
        <f aca="false">'〇総括　6～7（メモなし）'!E45</f>
        <v>0</v>
      </c>
      <c r="F45" s="698" t="n">
        <f aca="false">'〇総括　6～7（メモなし）'!F45</f>
        <v>0</v>
      </c>
      <c r="G45" s="684" t="n">
        <f aca="false">E45-F45</f>
        <v>0</v>
      </c>
      <c r="H45" s="682" t="n">
        <f aca="false">'〇総括　6～7（メモなし）'!H45</f>
        <v>0</v>
      </c>
      <c r="I45" s="683" t="n">
        <f aca="false">'〇総括　6～7（メモなし）'!I45</f>
        <v>0</v>
      </c>
      <c r="J45" s="705"/>
      <c r="K45" s="672" t="n">
        <f aca="false">'〇総括　6～7（メモなし）'!K45</f>
        <v>0</v>
      </c>
      <c r="L45" s="672" t="n">
        <f aca="false">'〇総括　6～7（メモなし）'!L45</f>
        <v>0</v>
      </c>
      <c r="M45" s="673" t="n">
        <f aca="false">K45-L45</f>
        <v>0</v>
      </c>
      <c r="N45" s="676" t="n">
        <f aca="false">'〇総括　6～7（メモなし）'!N45</f>
        <v>0</v>
      </c>
      <c r="O45" s="676" t="n">
        <f aca="false">'〇総括　6～7（メモなし）'!O45</f>
        <v>0</v>
      </c>
      <c r="P45" s="673" t="n">
        <f aca="false">N45-O45</f>
        <v>0</v>
      </c>
      <c r="Q45" s="680" t="n">
        <f aca="false">'〇総括　6～7（メモなし）'!Q45</f>
        <v>0</v>
      </c>
      <c r="R45" s="672" t="n">
        <f aca="false">'〇総括　6～7（メモなし）'!R45</f>
        <v>0</v>
      </c>
      <c r="S45" s="685" t="n">
        <f aca="false">Q45-R45</f>
        <v>0</v>
      </c>
    </row>
    <row r="46" customFormat="false" ht="18" hidden="false" customHeight="true" outlineLevel="0" collapsed="false">
      <c r="A46" s="528"/>
      <c r="B46" s="529"/>
      <c r="C46" s="600"/>
      <c r="D46" s="590" t="s">
        <v>423</v>
      </c>
      <c r="E46" s="662" t="n">
        <f aca="false">'〇総括　6～7（メモなし）'!E46</f>
        <v>0</v>
      </c>
      <c r="F46" s="698" t="n">
        <f aca="false">'〇総括　6～7（メモなし）'!F46</f>
        <v>0</v>
      </c>
      <c r="G46" s="684" t="n">
        <f aca="false">E46-F46</f>
        <v>0</v>
      </c>
      <c r="H46" s="682" t="n">
        <f aca="false">'〇総括　6～7（メモなし）'!H46</f>
        <v>0</v>
      </c>
      <c r="I46" s="683" t="n">
        <f aca="false">'〇総括　6～7（メモなし）'!I46</f>
        <v>0</v>
      </c>
      <c r="J46" s="705"/>
      <c r="K46" s="672" t="n">
        <f aca="false">'〇総括　6～7（メモなし）'!K46</f>
        <v>0</v>
      </c>
      <c r="L46" s="672" t="n">
        <f aca="false">'〇総括　6～7（メモなし）'!L46</f>
        <v>0</v>
      </c>
      <c r="M46" s="673" t="n">
        <f aca="false">K46-L46</f>
        <v>0</v>
      </c>
      <c r="N46" s="676" t="n">
        <f aca="false">'〇総括　6～7（メモなし）'!N46</f>
        <v>0</v>
      </c>
      <c r="O46" s="676" t="n">
        <f aca="false">'〇総括　6～7（メモなし）'!O46</f>
        <v>0</v>
      </c>
      <c r="P46" s="684" t="n">
        <f aca="false">N46-O46</f>
        <v>0</v>
      </c>
      <c r="Q46" s="680" t="n">
        <f aca="false">'〇総括　6～7（メモなし）'!Q46</f>
        <v>0</v>
      </c>
      <c r="R46" s="672" t="n">
        <f aca="false">'〇総括　6～7（メモなし）'!R46</f>
        <v>0</v>
      </c>
      <c r="S46" s="685" t="n">
        <f aca="false">Q46-R46</f>
        <v>0</v>
      </c>
    </row>
    <row r="47" customFormat="false" ht="18" hidden="false" customHeight="true" outlineLevel="0" collapsed="false">
      <c r="A47" s="528"/>
      <c r="B47" s="529"/>
      <c r="C47" s="600"/>
      <c r="D47" s="590" t="s">
        <v>133</v>
      </c>
      <c r="E47" s="662" t="n">
        <f aca="false">'〇総括　6～7（メモなし）'!E47</f>
        <v>0</v>
      </c>
      <c r="F47" s="698" t="n">
        <f aca="false">'〇総括　6～7（メモなし）'!F47</f>
        <v>0</v>
      </c>
      <c r="G47" s="684" t="n">
        <f aca="false">E47-F47</f>
        <v>0</v>
      </c>
      <c r="H47" s="682" t="n">
        <f aca="false">'〇総括　6～7（メモなし）'!H47</f>
        <v>0</v>
      </c>
      <c r="I47" s="683" t="n">
        <f aca="false">'〇総括　6～7（メモなし）'!I47</f>
        <v>0</v>
      </c>
      <c r="J47" s="705"/>
      <c r="K47" s="672" t="n">
        <f aca="false">'〇総括　6～7（メモなし）'!K47</f>
        <v>0</v>
      </c>
      <c r="L47" s="672" t="n">
        <f aca="false">'〇総括　6～7（メモなし）'!L47</f>
        <v>0</v>
      </c>
      <c r="M47" s="673" t="n">
        <f aca="false">K47-L47</f>
        <v>0</v>
      </c>
      <c r="N47" s="676" t="n">
        <f aca="false">'〇総括　6～7（メモなし）'!N47</f>
        <v>0</v>
      </c>
      <c r="O47" s="676" t="n">
        <f aca="false">'〇総括　6～7（メモなし）'!O47</f>
        <v>0</v>
      </c>
      <c r="P47" s="673" t="n">
        <f aca="false">N47-O47</f>
        <v>0</v>
      </c>
      <c r="Q47" s="680" t="n">
        <f aca="false">'〇総括　6～7（メモなし）'!Q47</f>
        <v>0</v>
      </c>
      <c r="R47" s="672" t="n">
        <f aca="false">'〇総括　6～7（メモなし）'!R47</f>
        <v>0</v>
      </c>
      <c r="S47" s="678" t="n">
        <f aca="false">Q47-R47</f>
        <v>0</v>
      </c>
    </row>
    <row r="48" customFormat="false" ht="18" hidden="false" customHeight="true" outlineLevel="0" collapsed="false">
      <c r="A48" s="528"/>
      <c r="B48" s="529"/>
      <c r="C48" s="600"/>
      <c r="D48" s="591" t="s">
        <v>424</v>
      </c>
      <c r="E48" s="706" t="n">
        <f aca="false">'〇総括　6～7（メモなし）'!E48</f>
        <v>0</v>
      </c>
      <c r="F48" s="687" t="n">
        <f aca="false">'〇総括　6～7（メモなし）'!F48</f>
        <v>876229790</v>
      </c>
      <c r="G48" s="684" t="n">
        <f aca="false">E48-F48</f>
        <v>-876229790</v>
      </c>
      <c r="H48" s="688" t="n">
        <f aca="false">'〇総括　6～7（メモなし）'!H48</f>
        <v>0</v>
      </c>
      <c r="I48" s="683" t="n">
        <f aca="false">'〇総括　6～7（メモなし）'!I48</f>
        <v>0</v>
      </c>
      <c r="J48" s="684"/>
      <c r="K48" s="695" t="n">
        <f aca="false">'〇総括　6～7（メモなし）'!K48</f>
        <v>0</v>
      </c>
      <c r="L48" s="707" t="n">
        <f aca="false">'〇総括　6～7（メモなし）'!L48</f>
        <v>0</v>
      </c>
      <c r="M48" s="684" t="n">
        <f aca="false">K48-L48</f>
        <v>0</v>
      </c>
      <c r="N48" s="676" t="n">
        <f aca="false">'〇総括　6～7（メモなし）'!N48</f>
        <v>0</v>
      </c>
      <c r="O48" s="676" t="n">
        <f aca="false">'〇総括　6～7（メモなし）'!O48</f>
        <v>0</v>
      </c>
      <c r="P48" s="684" t="n">
        <f aca="false">N48-O48</f>
        <v>0</v>
      </c>
      <c r="Q48" s="686" t="n">
        <f aca="false">'〇総括　6～7（メモなし）'!Q48</f>
        <v>0</v>
      </c>
      <c r="R48" s="687" t="n">
        <f aca="false">'〇総括　6～7（メモなし）'!R48</f>
        <v>0</v>
      </c>
      <c r="S48" s="685" t="n">
        <f aca="false">Q48-R48</f>
        <v>0</v>
      </c>
    </row>
    <row r="49" customFormat="false" ht="24" hidden="false" customHeight="true" outlineLevel="0" collapsed="false">
      <c r="A49" s="528"/>
      <c r="B49" s="529"/>
      <c r="C49" s="621" t="s">
        <v>425</v>
      </c>
      <c r="D49" s="621"/>
      <c r="E49" s="655" t="n">
        <f aca="false">SUM(E29:E48)</f>
        <v>0</v>
      </c>
      <c r="F49" s="656" t="n">
        <f aca="false">SUM(F29:F48)</f>
        <v>12539164712</v>
      </c>
      <c r="G49" s="657" t="n">
        <f aca="false">SUM(G29:G48)</f>
        <v>-12539164712</v>
      </c>
      <c r="H49" s="655" t="n">
        <f aca="false">SUM(H36:H48)</f>
        <v>9398399172</v>
      </c>
      <c r="I49" s="656" t="n">
        <f aca="false">SUM(I36:I48)</f>
        <v>18547871319</v>
      </c>
      <c r="J49" s="657" t="n">
        <f aca="false">SUM(J36:J48)</f>
        <v>-9149472147</v>
      </c>
      <c r="K49" s="659" t="n">
        <f aca="false">SUM(K29:K48)</f>
        <v>121123959</v>
      </c>
      <c r="L49" s="708" t="n">
        <f aca="false">SUM(L29:L48)</f>
        <v>111447230</v>
      </c>
      <c r="M49" s="657" t="n">
        <f aca="false">SUM(M29:M48)</f>
        <v>9676729</v>
      </c>
      <c r="N49" s="660" t="n">
        <f aca="false">SUM(N29:N48)</f>
        <v>0</v>
      </c>
      <c r="O49" s="660" t="n">
        <f aca="false">SUM(O29:O48)</f>
        <v>614202583</v>
      </c>
      <c r="P49" s="657" t="n">
        <f aca="false">SUM(P29:P48)</f>
        <v>-614202583</v>
      </c>
      <c r="Q49" s="659" t="n">
        <f aca="false">SUM(Q29:Q48)</f>
        <v>0</v>
      </c>
      <c r="R49" s="660" t="n">
        <f aca="false">SUM(R29:R48)</f>
        <v>18110125</v>
      </c>
      <c r="S49" s="661" t="n">
        <f aca="false">SUM(S29:S48)</f>
        <v>-18110125</v>
      </c>
    </row>
    <row r="50" customFormat="false" ht="24" hidden="false" customHeight="true" outlineLevel="0" collapsed="false">
      <c r="A50" s="528"/>
      <c r="B50" s="529"/>
      <c r="C50" s="623" t="s">
        <v>426</v>
      </c>
      <c r="D50" s="623"/>
      <c r="E50" s="662" t="n">
        <f aca="false">E28-E49</f>
        <v>0</v>
      </c>
      <c r="F50" s="698" t="n">
        <f aca="false">F28-F49</f>
        <v>824180510</v>
      </c>
      <c r="G50" s="664" t="n">
        <f aca="false">E50-F50</f>
        <v>-824180510</v>
      </c>
      <c r="H50" s="662" t="n">
        <f aca="false">H28-H49</f>
        <v>944336817</v>
      </c>
      <c r="I50" s="698" t="n">
        <f aca="false">I28-I49</f>
        <v>669911578</v>
      </c>
      <c r="J50" s="664" t="n">
        <f aca="false">H50-I50</f>
        <v>274425239</v>
      </c>
      <c r="K50" s="709" t="n">
        <f aca="false">K28-K49</f>
        <v>3603510</v>
      </c>
      <c r="L50" s="710" t="n">
        <f aca="false">L28-L49</f>
        <v>4500788</v>
      </c>
      <c r="M50" s="664" t="n">
        <f aca="false">K50-L50</f>
        <v>-897278</v>
      </c>
      <c r="N50" s="667" t="n">
        <f aca="false">N28-N49</f>
        <v>0</v>
      </c>
      <c r="O50" s="667" t="n">
        <f aca="false">O28-O49</f>
        <v>-5288221</v>
      </c>
      <c r="P50" s="664" t="n">
        <f aca="false">N50-O50</f>
        <v>5288221</v>
      </c>
      <c r="Q50" s="709" t="n">
        <f aca="false">Q28-Q49</f>
        <v>0</v>
      </c>
      <c r="R50" s="667" t="n">
        <f aca="false">R28-R49</f>
        <v>-5354125</v>
      </c>
      <c r="S50" s="670" t="n">
        <f aca="false">Q50-R50</f>
        <v>5354125</v>
      </c>
    </row>
    <row r="51" customFormat="false" ht="24" hidden="false" customHeight="true" outlineLevel="0" collapsed="false">
      <c r="A51" s="528"/>
      <c r="B51" s="529"/>
      <c r="C51" s="629" t="s">
        <v>427</v>
      </c>
      <c r="D51" s="629"/>
      <c r="E51" s="711" t="n">
        <f aca="false">E6+E50</f>
        <v>2237365593</v>
      </c>
      <c r="F51" s="712" t="n">
        <f aca="false">F6+F50</f>
        <v>2237365593</v>
      </c>
      <c r="G51" s="713" t="n">
        <f aca="false">E51-F51</f>
        <v>0</v>
      </c>
      <c r="H51" s="711" t="n">
        <f aca="false">H6+H50</f>
        <v>116214028015</v>
      </c>
      <c r="I51" s="712" t="n">
        <f aca="false">I6+I50</f>
        <v>115269691198</v>
      </c>
      <c r="J51" s="713" t="n">
        <f aca="false">H51-I51</f>
        <v>944336817</v>
      </c>
      <c r="K51" s="714" t="n">
        <f aca="false">K6+K50</f>
        <v>74697421</v>
      </c>
      <c r="L51" s="715" t="n">
        <f aca="false">L6+L50</f>
        <v>71093911</v>
      </c>
      <c r="M51" s="713" t="n">
        <f aca="false">K51-L51</f>
        <v>3603510</v>
      </c>
      <c r="N51" s="716" t="n">
        <f aca="false">N6+N50</f>
        <v>270947604</v>
      </c>
      <c r="O51" s="716" t="n">
        <f aca="false">O6+O50</f>
        <v>270947604</v>
      </c>
      <c r="P51" s="713" t="n">
        <f aca="false">N51-O51</f>
        <v>0</v>
      </c>
      <c r="Q51" s="714" t="n">
        <f aca="false">Q6+Q50</f>
        <v>1961052168</v>
      </c>
      <c r="R51" s="716" t="n">
        <f aca="false">R6+R50</f>
        <v>1961052168</v>
      </c>
      <c r="S51" s="717" t="n">
        <f aca="false">Q51-R51</f>
        <v>0</v>
      </c>
    </row>
    <row r="52" customFormat="false" ht="23.25" hidden="false" customHeight="true" outlineLevel="0" collapsed="false">
      <c r="D52" s="637"/>
      <c r="N52" s="639"/>
    </row>
    <row r="53" customFormat="false" ht="23.25" hidden="false" customHeight="true" outlineLevel="0" collapsed="false">
      <c r="D53" s="637"/>
      <c r="N53" s="639"/>
    </row>
    <row r="54" customFormat="false" ht="23.25" hidden="false" customHeight="true" outlineLevel="0" collapsed="false">
      <c r="D54" s="637"/>
      <c r="N54" s="639"/>
    </row>
    <row r="55" customFormat="false" ht="23.25" hidden="false" customHeight="true" outlineLevel="0" collapsed="false">
      <c r="D55" s="637"/>
      <c r="N55" s="639"/>
    </row>
    <row r="56" customFormat="false" ht="23.25" hidden="false" customHeight="true" outlineLevel="0" collapsed="false">
      <c r="D56" s="637"/>
      <c r="N56" s="639"/>
    </row>
    <row r="57" customFormat="false" ht="17.25" hidden="false" customHeight="true" outlineLevel="0" collapsed="false">
      <c r="D57" s="637"/>
      <c r="G57" s="527" t="s">
        <v>429</v>
      </c>
      <c r="H57" s="433" t="s">
        <v>419</v>
      </c>
      <c r="I57" s="642" t="s">
        <v>430</v>
      </c>
      <c r="J57" s="642"/>
      <c r="K57" s="642"/>
      <c r="L57" s="642"/>
      <c r="M57" s="642"/>
      <c r="N57" s="642"/>
    </row>
    <row r="58" customFormat="false" ht="17.25" hidden="false" customHeight="true" outlineLevel="0" collapsed="false">
      <c r="D58" s="643"/>
      <c r="G58" s="527" t="s">
        <v>431</v>
      </c>
      <c r="H58" s="433" t="s">
        <v>421</v>
      </c>
      <c r="I58" s="642"/>
      <c r="J58" s="642"/>
      <c r="K58" s="642"/>
      <c r="L58" s="642"/>
      <c r="M58" s="642"/>
      <c r="N58" s="642"/>
      <c r="O58" s="643"/>
      <c r="P58" s="643"/>
    </row>
    <row r="59" customFormat="false" ht="17.25" hidden="false" customHeight="true" outlineLevel="0" collapsed="false">
      <c r="D59" s="637"/>
      <c r="G59" s="644"/>
      <c r="K59" s="637"/>
      <c r="L59" s="637"/>
      <c r="M59" s="637"/>
      <c r="N59" s="637"/>
      <c r="O59" s="637"/>
      <c r="P59" s="637"/>
    </row>
    <row r="60" customFormat="false" ht="17.25" hidden="false" customHeight="true" outlineLevel="0" collapsed="false">
      <c r="D60" s="637"/>
      <c r="K60" s="637"/>
      <c r="L60" s="637"/>
      <c r="M60" s="637"/>
      <c r="N60" s="637"/>
      <c r="O60" s="637"/>
      <c r="P60" s="637"/>
    </row>
    <row r="61" customFormat="false" ht="17.25" hidden="false" customHeight="true" outlineLevel="0" collapsed="false">
      <c r="D61" s="637"/>
      <c r="N61" s="639"/>
    </row>
    <row r="62" customFormat="false" ht="17.25" hidden="false" customHeight="true" outlineLevel="0" collapsed="false">
      <c r="D62" s="637"/>
      <c r="N62" s="639"/>
    </row>
    <row r="63" customFormat="false" ht="17.25" hidden="false" customHeight="true" outlineLevel="0" collapsed="false">
      <c r="D63" s="637"/>
      <c r="N63" s="639"/>
    </row>
    <row r="64" customFormat="false" ht="17.25" hidden="false" customHeight="true" outlineLevel="0" collapsed="false">
      <c r="D64" s="637"/>
      <c r="N64" s="639"/>
    </row>
    <row r="65" customFormat="false" ht="17.25" hidden="false" customHeight="true" outlineLevel="0" collapsed="false">
      <c r="D65" s="637"/>
      <c r="N65" s="639"/>
    </row>
    <row r="66" customFormat="false" ht="17.25" hidden="false" customHeight="true" outlineLevel="0" collapsed="false">
      <c r="D66" s="637"/>
      <c r="N66" s="639"/>
    </row>
    <row r="67" customFormat="false" ht="17.25" hidden="false" customHeight="true" outlineLevel="0" collapsed="false">
      <c r="D67" s="637"/>
      <c r="N67" s="639"/>
    </row>
    <row r="68" customFormat="false" ht="17.25" hidden="false" customHeight="true" outlineLevel="0" collapsed="false">
      <c r="D68" s="637"/>
      <c r="N68" s="639"/>
    </row>
    <row r="69" customFormat="false" ht="17.25" hidden="false" customHeight="true" outlineLevel="0" collapsed="false">
      <c r="D69" s="637"/>
      <c r="N69" s="639"/>
    </row>
    <row r="70" customFormat="false" ht="17.25" hidden="false" customHeight="true" outlineLevel="0" collapsed="false">
      <c r="D70" s="637"/>
      <c r="N70" s="639"/>
    </row>
    <row r="71" customFormat="false" ht="17.25" hidden="false" customHeight="true" outlineLevel="0" collapsed="false">
      <c r="D71" s="643"/>
      <c r="K71" s="643"/>
      <c r="L71" s="643"/>
      <c r="M71" s="643"/>
      <c r="N71" s="643"/>
      <c r="O71" s="643"/>
      <c r="P71" s="643"/>
    </row>
    <row r="72" customFormat="false" ht="17.25" hidden="false" customHeight="true" outlineLevel="0" collapsed="false">
      <c r="D72" s="637"/>
      <c r="K72" s="637"/>
      <c r="L72" s="637"/>
      <c r="M72" s="637"/>
      <c r="N72" s="637"/>
      <c r="O72" s="637"/>
      <c r="P72" s="637"/>
    </row>
    <row r="73" customFormat="false" ht="17.25" hidden="false" customHeight="true" outlineLevel="0" collapsed="false">
      <c r="D73" s="637"/>
      <c r="K73" s="637"/>
      <c r="L73" s="637"/>
      <c r="M73" s="637"/>
      <c r="N73" s="637"/>
      <c r="O73" s="637"/>
      <c r="P73" s="637"/>
    </row>
    <row r="74" customFormat="false" ht="17.25" hidden="false" customHeight="true" outlineLevel="0" collapsed="false">
      <c r="N74" s="639"/>
    </row>
    <row r="75" customFormat="false" ht="17.25" hidden="false" customHeight="true" outlineLevel="0" collapsed="false">
      <c r="D75" s="637"/>
      <c r="K75" s="637"/>
      <c r="L75" s="637"/>
      <c r="M75" s="637"/>
      <c r="N75" s="637"/>
      <c r="O75" s="637"/>
      <c r="P75" s="637"/>
    </row>
    <row r="76" customFormat="false" ht="17.25" hidden="false" customHeight="true" outlineLevel="0" collapsed="false">
      <c r="N76" s="639"/>
    </row>
    <row r="77" customFormat="false" ht="17.25" hidden="false" customHeight="true" outlineLevel="0" collapsed="false">
      <c r="N77" s="639"/>
    </row>
  </sheetData>
  <mergeCells count="17">
    <mergeCell ref="C1:S1"/>
    <mergeCell ref="A4:A51"/>
    <mergeCell ref="B4:B51"/>
    <mergeCell ref="C4:D5"/>
    <mergeCell ref="E4:G4"/>
    <mergeCell ref="H4:J4"/>
    <mergeCell ref="K4:M4"/>
    <mergeCell ref="N4:P4"/>
    <mergeCell ref="Q4:S4"/>
    <mergeCell ref="C6:D6"/>
    <mergeCell ref="C7:C27"/>
    <mergeCell ref="C28:D28"/>
    <mergeCell ref="C29:C48"/>
    <mergeCell ref="C49:D49"/>
    <mergeCell ref="C50:D50"/>
    <mergeCell ref="C51:D51"/>
    <mergeCell ref="I57:N58"/>
  </mergeCells>
  <printOptions headings="false" gridLines="false" gridLinesSet="true" horizontalCentered="false" verticalCentered="false"/>
  <pageMargins left="0.708333333333333" right="0.708333333333333" top="0.747916666666667" bottom="0.755555555555556" header="0.511811023622047" footer="0.315277777777778"/>
  <pageSetup paperSize="8" scale="62" fitToWidth="1" fitToHeight="1" pageOrder="downThenOver" orientation="landscape" blackAndWhite="false" draft="false" cellComments="none" horizontalDpi="300" verticalDpi="300" copies="1"/>
  <headerFooter differentFirst="false" differentOddEven="false">
    <oddHeader/>
    <oddFooter>&amp;C&amp;Z&amp;F</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2001-01-06T08:03:36Z</dcterms:created>
  <dc:creator>広島市職員共済組合</dc:creator>
  <dc:description/>
  <dc:language>en-US</dc:language>
  <cp:lastModifiedBy>居倉 千恵</cp:lastModifiedBy>
  <cp:lastPrinted>2026-05-19T00:22:00Z</cp:lastPrinted>
  <dcterms:modified xsi:type="dcterms:W3CDTF">2026-10-14T02:58:57Z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