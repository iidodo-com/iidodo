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1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10.xml" ContentType="application/vnd.openxmlformats-officedocument.spreadsheetml.comment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vmlDrawing2.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comments5.xml" ContentType="application/vnd.openxmlformats-officedocument.spreadsheetml.comments+xml"/>
  <Override PartName="/xl/comments8.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使い方" sheetId="1" state="visible" r:id="rId3"/>
    <sheet name="入力" sheetId="2" state="visible" r:id="rId4"/>
    <sheet name="検算" sheetId="3" state="visible" r:id="rId5"/>
    <sheet name="原本照合" sheetId="4" state="visible" r:id="rId6"/>
    <sheet name="決算精算表" sheetId="5" state="visible" r:id="rId7"/>
    <sheet name="財務諸表" sheetId="6" state="visible" r:id="rId8"/>
    <sheet name="附属明細表" sheetId="7" state="visible" r:id="rId9"/>
    <sheet name="業務経理P18" sheetId="8" state="visible" r:id="rId10"/>
    <sheet name="業務経理P19" sheetId="9" state="visible" r:id="rId11"/>
    <sheet name="〇総括　6～7（メモなし）" sheetId="10" state="visible" r:id="rId12"/>
    <sheet name="総括　6～7（メモあり）" sheetId="11" state="visible" r:id="rId13"/>
    <sheet name="○総括　5～6 (メモなし)" sheetId="12" state="visible" r:id="rId14"/>
  </sheets>
  <definedNames>
    <definedName function="false" hidden="false" localSheetId="11" name="_xlnm.Print_Area" vbProcedure="false">'○総括　5～6 (メモなし)'!$A$1:$S$51</definedName>
    <definedName function="false" hidden="true" localSheetId="3" name="_xlnm._FilterDatabase" vbProcedure="false">原本照合!$A$6:$G$1727</definedName>
    <definedName function="false" hidden="false" localSheetId="7" name="_xlnm.Print_Area" vbProcedure="false">業務経理P18!$A$1:$BG$32</definedName>
    <definedName function="false" hidden="false" localSheetId="8" name="_xlnm.Print_Area" vbProcedure="false">業務経理P19!$A$1:$BE$31</definedName>
    <definedName function="false" hidden="false" localSheetId="4" name="_xlnm.Print_Area" vbProcedure="false">決算精算表!$A$1:$G$54</definedName>
    <definedName function="false" hidden="false" localSheetId="10" name="_xlnm.Print_Area" vbProcedure="false">'総括　6～7（メモあり）'!$A$1:$V$58</definedName>
    <definedName function="false" hidden="false" localSheetId="6" name="_xlnm.Print_Area" vbProcedure="false">附属明細表!$A$1:$X$140</definedName>
  </definedNames>
  <calcPr iterateCount="100" refMode="A1" iterate="false" iterateDelta="0.001"/>
  <extLst>
    <ext xmlns:loext="http://schemas.libreoffice.org/" uri="{7626C862-2A13-11E5-B345-FEFF819CDC9F}">
      <loext:extCalcPr stringRefSyntax="ExcelA1"/>
    </ext>
  </extLst>
</workbook>
</file>

<file path=xl/comments5.xml><?xml version="1.0" encoding="utf-8"?>
<comments xmlns="http://schemas.openxmlformats.org/spreadsheetml/2006/main" xmlns:xdr="http://schemas.openxmlformats.org/drawingml/2006/spreadsheetDrawing">
  <authors>
    <author>Unknown Author</author>
  </authors>
  <commentList>
    <comment ref="F14" authorId="0">
      <text>
        <r>
          <rPr>
            <sz val="10"/>
            <rFont val="WenQuanYi Zen Hei"/>
            <family val="2"/>
          </rPr>
          <t xml:space="preserve">立替金含む未払金の合計</t>
        </r>
      </text>
    </comment>
    <comment ref="F19" authorId="0">
      <text>
        <r>
          <rPr>
            <sz val="10"/>
            <rFont val="WenQuanYi Zen Hei"/>
            <family val="2"/>
          </rPr>
          <t xml:space="preserve">当期利益金の２倍（当期損失の場合は損失額を控除）。当期損益は </t>
        </r>
        <r>
          <rPr>
            <sz val="10"/>
            <rFont val="Arial"/>
            <family val="2"/>
          </rPr>
          <t xml:space="preserve">B38/F46 </t>
        </r>
        <r>
          <rPr>
            <sz val="10"/>
            <rFont val="WenQuanYi Zen Hei"/>
            <family val="2"/>
          </rPr>
          <t xml:space="preserve">が収益−費用で自動計算。</t>
        </r>
      </text>
    </comment>
    <comment ref="F39" authorId="0">
      <text>
        <r>
          <rPr>
            <sz val="10"/>
            <rFont val="WenQuanYi Zen Hei"/>
            <family val="2"/>
          </rPr>
          <t xml:space="preserve">未収金</t>
        </r>
      </text>
    </comment>
    <comment ref="F44" authorId="0">
      <text>
        <r>
          <rPr>
            <sz val="10"/>
            <rFont val="WenQuanYi Zen Hei"/>
            <family val="2"/>
          </rPr>
          <t xml:space="preserve">未収金</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V138" authorId="0">
      <text>
        <r>
          <rPr>
            <sz val="10"/>
            <rFont val="WenQuanYi Zen Hei"/>
            <family val="2"/>
          </rPr>
          <t xml:space="preserve">非表示あり
</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Y7" authorId="0">
      <text>
        <r>
          <rPr>
            <sz val="10"/>
            <rFont val="WenQuanYi Zen Hei"/>
            <family val="2"/>
          </rPr>
          <t xml:space="preserve">【Ｒ６】</t>
        </r>
        <r>
          <rPr>
            <sz val="10"/>
            <rFont val="Arial"/>
            <family val="2"/>
          </rPr>
          <t xml:space="preserve">(A)+</t>
        </r>
        <r>
          <rPr>
            <sz val="10"/>
            <rFont val="WenQuanYi Zen Hei"/>
            <family val="2"/>
          </rPr>
          <t xml:space="preserve">　長期事務費決算額</t>
        </r>
        <r>
          <rPr>
            <sz val="10"/>
            <rFont val="Arial"/>
            <family val="2"/>
          </rPr>
          <t xml:space="preserve">÷</t>
        </r>
        <r>
          <rPr>
            <sz val="10"/>
            <rFont val="WenQuanYi Zen Hei"/>
            <family val="2"/>
          </rPr>
          <t xml:space="preserve">平均組合員（統計システム確定分）
　　</t>
        </r>
        <r>
          <rPr>
            <sz val="10"/>
            <rFont val="Arial"/>
            <family val="2"/>
          </rPr>
          <t xml:space="preserve">47,222,000</t>
        </r>
        <r>
          <rPr>
            <sz val="10"/>
            <rFont val="WenQuanYi Zen Hei"/>
            <family val="2"/>
          </rPr>
          <t xml:space="preserve">円　　 </t>
        </r>
        <r>
          <rPr>
            <sz val="10"/>
            <rFont val="Arial"/>
            <family val="2"/>
          </rPr>
          <t xml:space="preserve">÷12,899</t>
        </r>
        <r>
          <rPr>
            <sz val="10"/>
            <rFont val="WenQuanYi Zen Hei"/>
            <family val="2"/>
          </rPr>
          <t xml:space="preserve">人　　</t>
        </r>
        <r>
          <rPr>
            <sz val="10"/>
            <rFont val="Arial"/>
            <family val="2"/>
          </rPr>
          <t xml:space="preserve">=</t>
        </r>
        <r>
          <rPr>
            <sz val="10"/>
            <rFont val="WenQuanYi Zen Hei"/>
            <family val="2"/>
          </rPr>
          <t xml:space="preserve">　　</t>
        </r>
        <r>
          <rPr>
            <sz val="10"/>
            <rFont val="Arial"/>
            <family val="2"/>
          </rPr>
          <t xml:space="preserve">3,661</t>
        </r>
        <r>
          <rPr>
            <sz val="10"/>
            <rFont val="WenQuanYi Zen Hei"/>
            <family val="2"/>
          </rPr>
          <t xml:space="preserve">円</t>
        </r>
        <r>
          <rPr>
            <sz val="10"/>
            <rFont val="Arial"/>
            <family val="2"/>
          </rPr>
          <t xml:space="preserve">+1,847=5,508</t>
        </r>
        <r>
          <rPr>
            <sz val="10"/>
            <rFont val="WenQuanYi Zen Hei"/>
            <family val="2"/>
          </rPr>
          <t xml:space="preserve">円</t>
        </r>
      </text>
    </comment>
    <comment ref="Y8" authorId="0">
      <text>
        <r>
          <rPr>
            <sz val="10"/>
            <rFont val="WenQuanYi Zen Hei"/>
            <family val="2"/>
          </rPr>
          <t xml:space="preserve">　（Ｒ</t>
        </r>
        <r>
          <rPr>
            <sz val="10"/>
            <rFont val="Arial"/>
            <family val="2"/>
          </rPr>
          <t xml:space="preserve">6</t>
        </r>
        <r>
          <rPr>
            <sz val="10"/>
            <rFont val="WenQuanYi Zen Hei"/>
            <family val="2"/>
          </rPr>
          <t xml:space="preserve">）短期事務費決算額</t>
        </r>
        <r>
          <rPr>
            <sz val="10"/>
            <rFont val="Arial"/>
            <family val="2"/>
          </rPr>
          <t xml:space="preserve">÷</t>
        </r>
        <r>
          <rPr>
            <sz val="10"/>
            <rFont val="WenQuanYi Zen Hei"/>
            <family val="2"/>
          </rPr>
          <t xml:space="preserve">平均組合員（統計システム確定分）
　</t>
        </r>
        <r>
          <rPr>
            <sz val="10"/>
            <rFont val="Arial"/>
            <family val="2"/>
          </rPr>
          <t xml:space="preserve">34,945,559</t>
        </r>
        <r>
          <rPr>
            <sz val="10"/>
            <rFont val="WenQuanYi Zen Hei"/>
            <family val="2"/>
          </rPr>
          <t xml:space="preserve">円　　 </t>
        </r>
        <r>
          <rPr>
            <sz val="10"/>
            <rFont val="Arial"/>
            <family val="2"/>
          </rPr>
          <t xml:space="preserve">÷18,919</t>
        </r>
        <r>
          <rPr>
            <sz val="10"/>
            <rFont val="WenQuanYi Zen Hei"/>
            <family val="2"/>
          </rPr>
          <t xml:space="preserve">人　　</t>
        </r>
        <r>
          <rPr>
            <sz val="10"/>
            <rFont val="Arial"/>
            <family val="2"/>
          </rPr>
          <t xml:space="preserve">=</t>
        </r>
        <r>
          <rPr>
            <sz val="10"/>
            <rFont val="WenQuanYi Zen Hei"/>
            <family val="2"/>
          </rPr>
          <t xml:space="preserve">　</t>
        </r>
        <r>
          <rPr>
            <sz val="10"/>
            <rFont val="Arial"/>
            <family val="2"/>
          </rPr>
          <t xml:space="preserve">1,847</t>
        </r>
        <r>
          <rPr>
            <sz val="10"/>
            <rFont val="WenQuanYi Zen Hei"/>
            <family val="2"/>
          </rPr>
          <t xml:space="preserve">円</t>
        </r>
      </text>
    </comment>
    <comment ref="Y9" authorId="0">
      <text>
        <r>
          <rPr>
            <sz val="10"/>
            <rFont val="WenQuanYi Zen Hei"/>
            <family val="2"/>
          </rPr>
          <t xml:space="preserve">定款第</t>
        </r>
        <r>
          <rPr>
            <sz val="10"/>
            <rFont val="Arial"/>
            <family val="2"/>
          </rPr>
          <t xml:space="preserve">35</t>
        </r>
        <r>
          <rPr>
            <sz val="10"/>
            <rFont val="WenQuanYi Zen Hei"/>
            <family val="2"/>
          </rPr>
          <t xml:space="preserve">条の</t>
        </r>
        <r>
          <rPr>
            <sz val="10"/>
            <rFont val="Arial"/>
            <family val="2"/>
          </rPr>
          <t xml:space="preserve">2</t>
        </r>
        <r>
          <rPr>
            <sz val="10"/>
            <rFont val="WenQuanYi Zen Hei"/>
            <family val="2"/>
          </rPr>
          <t xml:space="preserve">に規定する組合員</t>
        </r>
        <r>
          <rPr>
            <sz val="10"/>
            <rFont val="Arial"/>
            <family val="2"/>
          </rPr>
          <t xml:space="preserve">1</t>
        </r>
        <r>
          <rPr>
            <sz val="10"/>
            <rFont val="WenQuanYi Zen Hei"/>
            <family val="2"/>
          </rPr>
          <t xml:space="preserve">人当たりの繰入額</t>
        </r>
      </text>
    </comment>
    <comment ref="Y10" authorId="0">
      <text>
        <r>
          <rPr>
            <sz val="10"/>
            <rFont val="WenQuanYi Zen Hei"/>
            <family val="2"/>
          </rPr>
          <t xml:space="preserve">　（Ｒ６）連合会交付金額</t>
        </r>
        <r>
          <rPr>
            <sz val="10"/>
            <rFont val="Arial"/>
            <family val="2"/>
          </rPr>
          <t xml:space="preserve">÷</t>
        </r>
        <r>
          <rPr>
            <sz val="10"/>
            <rFont val="WenQuanYi Zen Hei"/>
            <family val="2"/>
          </rPr>
          <t xml:space="preserve">平均組合員（統計システム確定分）
　　</t>
        </r>
        <r>
          <rPr>
            <sz val="10"/>
            <rFont val="Arial"/>
            <family val="2"/>
          </rPr>
          <t xml:space="preserve">18,913,967</t>
        </r>
        <r>
          <rPr>
            <sz val="10"/>
            <rFont val="WenQuanYi Zen Hei"/>
            <family val="2"/>
          </rPr>
          <t xml:space="preserve">円　　 </t>
        </r>
        <r>
          <rPr>
            <sz val="10"/>
            <rFont val="Arial"/>
            <family val="2"/>
          </rPr>
          <t xml:space="preserve">÷12,899</t>
        </r>
        <r>
          <rPr>
            <sz val="10"/>
            <rFont val="WenQuanYi Zen Hei"/>
            <family val="2"/>
          </rPr>
          <t xml:space="preserve">人　　</t>
        </r>
        <r>
          <rPr>
            <sz val="10"/>
            <rFont val="Arial"/>
            <family val="2"/>
          </rPr>
          <t xml:space="preserve">=</t>
        </r>
        <r>
          <rPr>
            <sz val="10"/>
            <rFont val="WenQuanYi Zen Hei"/>
            <family val="2"/>
          </rPr>
          <t xml:space="preserve">　</t>
        </r>
        <r>
          <rPr>
            <sz val="10"/>
            <rFont val="Arial"/>
            <family val="2"/>
          </rPr>
          <t xml:space="preserve">1,466</t>
        </r>
        <r>
          <rPr>
            <sz val="10"/>
            <rFont val="WenQuanYi Zen Hei"/>
            <family val="2"/>
          </rPr>
          <t xml:space="preserve">円</t>
        </r>
      </text>
    </comment>
    <comment ref="Y11" authorId="0">
      <text>
        <r>
          <rPr>
            <sz val="10"/>
            <rFont val="WenQuanYi Zen Hei"/>
            <family val="2"/>
          </rPr>
          <t xml:space="preserve">　（Ｒ６）当期損失金</t>
        </r>
        <r>
          <rPr>
            <sz val="10"/>
            <rFont val="Arial"/>
            <family val="2"/>
          </rPr>
          <t xml:space="preserve">÷</t>
        </r>
        <r>
          <rPr>
            <sz val="10"/>
            <rFont val="WenQuanYi Zen Hei"/>
            <family val="2"/>
          </rPr>
          <t xml:space="preserve">平均組合員（統計システム確定分）
　　〇〇〇〇円　　 </t>
        </r>
        <r>
          <rPr>
            <sz val="10"/>
            <rFont val="Arial"/>
            <family val="2"/>
          </rPr>
          <t xml:space="preserve">÷</t>
        </r>
        <r>
          <rPr>
            <sz val="10"/>
            <rFont val="WenQuanYi Zen Hei"/>
            <family val="2"/>
          </rPr>
          <t xml:space="preserve">　〇〇〇〇人　　</t>
        </r>
        <r>
          <rPr>
            <sz val="10"/>
            <rFont val="Arial"/>
            <family val="2"/>
          </rPr>
          <t xml:space="preserve">=</t>
        </r>
        <r>
          <rPr>
            <sz val="10"/>
            <rFont val="WenQuanYi Zen Hei"/>
            <family val="2"/>
          </rPr>
          <t xml:space="preserve">　〇〇円</t>
        </r>
      </text>
    </comment>
    <comment ref="Y21" authorId="0">
      <text>
        <r>
          <rPr>
            <sz val="10"/>
            <rFont val="WenQuanYi Zen Hei"/>
            <family val="2"/>
          </rPr>
          <t xml:space="preserve">（Ｒ６）連合会交付金額（退職等年金分）</t>
        </r>
        <r>
          <rPr>
            <sz val="10"/>
            <rFont val="Arial"/>
            <family val="2"/>
          </rPr>
          <t xml:space="preserve">÷</t>
        </r>
        <r>
          <rPr>
            <sz val="10"/>
            <rFont val="WenQuanYi Zen Hei"/>
            <family val="2"/>
          </rPr>
          <t xml:space="preserve">平均組合員数（統計システム確定分）
　　  　</t>
        </r>
        <r>
          <rPr>
            <sz val="10"/>
            <rFont val="Arial"/>
            <family val="2"/>
          </rPr>
          <t xml:space="preserve">1,942,627</t>
        </r>
        <r>
          <rPr>
            <sz val="10"/>
            <rFont val="WenQuanYi Zen Hei"/>
            <family val="2"/>
          </rPr>
          <t xml:space="preserve">円　　 </t>
        </r>
        <r>
          <rPr>
            <sz val="10"/>
            <rFont val="Arial"/>
            <family val="2"/>
          </rPr>
          <t xml:space="preserve">÷12,899</t>
        </r>
        <r>
          <rPr>
            <sz val="10"/>
            <rFont val="WenQuanYi Zen Hei"/>
            <family val="2"/>
          </rPr>
          <t xml:space="preserve">人　　</t>
        </r>
        <r>
          <rPr>
            <sz val="10"/>
            <rFont val="Arial"/>
            <family val="2"/>
          </rPr>
          <t xml:space="preserve">=</t>
        </r>
        <r>
          <rPr>
            <sz val="10"/>
            <rFont val="WenQuanYi Zen Hei"/>
            <family val="2"/>
          </rPr>
          <t xml:space="preserve">　  </t>
        </r>
        <r>
          <rPr>
            <sz val="10"/>
            <rFont val="Arial"/>
            <family val="2"/>
          </rPr>
          <t xml:space="preserve">151</t>
        </r>
        <r>
          <rPr>
            <sz val="10"/>
            <rFont val="WenQuanYi Zen Hei"/>
            <family val="2"/>
          </rPr>
          <t xml:space="preserve">円　　　　</t>
        </r>
      </text>
    </comment>
    <comment ref="AJ7" authorId="0">
      <text>
        <r>
          <rPr>
            <sz val="10"/>
            <rFont val="WenQuanYi Zen Hei"/>
            <family val="2"/>
          </rPr>
          <t xml:space="preserve">【Ｒ７】</t>
        </r>
        <r>
          <rPr>
            <sz val="10"/>
            <rFont val="Arial"/>
            <family val="2"/>
          </rPr>
          <t xml:space="preserve">(A)+</t>
        </r>
        <r>
          <rPr>
            <sz val="10"/>
            <rFont val="WenQuanYi Zen Hei"/>
            <family val="2"/>
          </rPr>
          <t xml:space="preserve">　長期事務費決算額</t>
        </r>
        <r>
          <rPr>
            <sz val="10"/>
            <rFont val="Arial"/>
            <family val="2"/>
          </rPr>
          <t xml:space="preserve">÷</t>
        </r>
        <r>
          <rPr>
            <sz val="10"/>
            <rFont val="WenQuanYi Zen Hei"/>
            <family val="2"/>
          </rPr>
          <t xml:space="preserve">平均組合員（統計システム確定分）
　</t>
        </r>
        <r>
          <rPr>
            <sz val="10"/>
            <rFont val="Arial"/>
            <family val="2"/>
          </rPr>
          <t xml:space="preserve">54,153,000</t>
        </r>
        <r>
          <rPr>
            <sz val="10"/>
            <rFont val="WenQuanYi Zen Hei"/>
            <family val="2"/>
          </rPr>
          <t xml:space="preserve">円　　 </t>
        </r>
        <r>
          <rPr>
            <sz val="10"/>
            <rFont val="Arial"/>
            <family val="2"/>
          </rPr>
          <t xml:space="preserve">÷12,972</t>
        </r>
        <r>
          <rPr>
            <sz val="10"/>
            <rFont val="WenQuanYi Zen Hei"/>
            <family val="2"/>
          </rPr>
          <t xml:space="preserve">人　　</t>
        </r>
        <r>
          <rPr>
            <sz val="10"/>
            <rFont val="Arial"/>
            <family val="2"/>
          </rPr>
          <t xml:space="preserve">=</t>
        </r>
        <r>
          <rPr>
            <sz val="10"/>
            <rFont val="WenQuanYi Zen Hei"/>
            <family val="2"/>
          </rPr>
          <t xml:space="preserve">　　</t>
        </r>
        <r>
          <rPr>
            <sz val="10"/>
            <rFont val="Arial"/>
            <family val="2"/>
          </rPr>
          <t xml:space="preserve">4,175</t>
        </r>
        <r>
          <rPr>
            <sz val="10"/>
            <rFont val="WenQuanYi Zen Hei"/>
            <family val="2"/>
          </rPr>
          <t xml:space="preserve">円</t>
        </r>
        <r>
          <rPr>
            <sz val="10"/>
            <rFont val="Arial"/>
            <family val="2"/>
          </rPr>
          <t xml:space="preserve">+1,863=6,038</t>
        </r>
        <r>
          <rPr>
            <sz val="10"/>
            <rFont val="WenQuanYi Zen Hei"/>
            <family val="2"/>
          </rPr>
          <t xml:space="preserve">円</t>
        </r>
      </text>
    </comment>
    <comment ref="AJ8" authorId="0">
      <text>
        <r>
          <rPr>
            <sz val="10"/>
            <rFont val="WenQuanYi Zen Hei"/>
            <family val="2"/>
          </rPr>
          <t xml:space="preserve">　（Ｒ７）短期事務費決算額</t>
        </r>
        <r>
          <rPr>
            <sz val="10"/>
            <rFont val="Arial"/>
            <family val="2"/>
          </rPr>
          <t xml:space="preserve">÷</t>
        </r>
        <r>
          <rPr>
            <sz val="10"/>
            <rFont val="WenQuanYi Zen Hei"/>
            <family val="2"/>
          </rPr>
          <t xml:space="preserve">平均組合員（統計システム確定分）
　</t>
        </r>
        <r>
          <rPr>
            <sz val="10"/>
            <rFont val="Arial"/>
            <family val="2"/>
          </rPr>
          <t xml:space="preserve">35,502,843</t>
        </r>
        <r>
          <rPr>
            <sz val="10"/>
            <rFont val="WenQuanYi Zen Hei"/>
            <family val="2"/>
          </rPr>
          <t xml:space="preserve">円　　 </t>
        </r>
        <r>
          <rPr>
            <sz val="10"/>
            <rFont val="Arial"/>
            <family val="2"/>
          </rPr>
          <t xml:space="preserve">÷19,060</t>
        </r>
        <r>
          <rPr>
            <sz val="10"/>
            <rFont val="WenQuanYi Zen Hei"/>
            <family val="2"/>
          </rPr>
          <t xml:space="preserve">人　　</t>
        </r>
        <r>
          <rPr>
            <sz val="10"/>
            <rFont val="Arial"/>
            <family val="2"/>
          </rPr>
          <t xml:space="preserve">=</t>
        </r>
        <r>
          <rPr>
            <sz val="10"/>
            <rFont val="WenQuanYi Zen Hei"/>
            <family val="2"/>
          </rPr>
          <t xml:space="preserve">　</t>
        </r>
        <r>
          <rPr>
            <sz val="10"/>
            <rFont val="Arial"/>
            <family val="2"/>
          </rPr>
          <t xml:space="preserve">1,863</t>
        </r>
        <r>
          <rPr>
            <sz val="10"/>
            <rFont val="WenQuanYi Zen Hei"/>
            <family val="2"/>
          </rPr>
          <t xml:space="preserve">円</t>
        </r>
      </text>
    </comment>
    <comment ref="AJ9" authorId="0">
      <text>
        <r>
          <rPr>
            <sz val="10"/>
            <rFont val="WenQuanYi Zen Hei"/>
            <family val="2"/>
          </rPr>
          <t xml:space="preserve">定款第</t>
        </r>
        <r>
          <rPr>
            <sz val="10"/>
            <rFont val="Arial"/>
            <family val="2"/>
          </rPr>
          <t xml:space="preserve">35</t>
        </r>
        <r>
          <rPr>
            <sz val="10"/>
            <rFont val="WenQuanYi Zen Hei"/>
            <family val="2"/>
          </rPr>
          <t xml:space="preserve">条の</t>
        </r>
        <r>
          <rPr>
            <sz val="10"/>
            <rFont val="Arial"/>
            <family val="2"/>
          </rPr>
          <t xml:space="preserve">2</t>
        </r>
        <r>
          <rPr>
            <sz val="10"/>
            <rFont val="WenQuanYi Zen Hei"/>
            <family val="2"/>
          </rPr>
          <t xml:space="preserve">に規定する組合員</t>
        </r>
        <r>
          <rPr>
            <sz val="10"/>
            <rFont val="Arial"/>
            <family val="2"/>
          </rPr>
          <t xml:space="preserve">1</t>
        </r>
        <r>
          <rPr>
            <sz val="10"/>
            <rFont val="WenQuanYi Zen Hei"/>
            <family val="2"/>
          </rPr>
          <t xml:space="preserve">人当たりの繰入額</t>
        </r>
      </text>
    </comment>
    <comment ref="AJ10" authorId="0">
      <text>
        <r>
          <rPr>
            <sz val="10"/>
            <rFont val="WenQuanYi Zen Hei"/>
            <family val="2"/>
          </rPr>
          <t xml:space="preserve">　（Ｒ７）連合会交付金額</t>
        </r>
        <r>
          <rPr>
            <sz val="10"/>
            <rFont val="Arial"/>
            <family val="2"/>
          </rPr>
          <t xml:space="preserve">÷</t>
        </r>
        <r>
          <rPr>
            <sz val="10"/>
            <rFont val="WenQuanYi Zen Hei"/>
            <family val="2"/>
          </rPr>
          <t xml:space="preserve">平均組合員（統計システム確定分）
　　</t>
        </r>
        <r>
          <rPr>
            <sz val="10"/>
            <rFont val="Arial"/>
            <family val="2"/>
          </rPr>
          <t xml:space="preserve">20,957,084</t>
        </r>
        <r>
          <rPr>
            <sz val="10"/>
            <rFont val="WenQuanYi Zen Hei"/>
            <family val="2"/>
          </rPr>
          <t xml:space="preserve">円　　 </t>
        </r>
        <r>
          <rPr>
            <sz val="10"/>
            <rFont val="Arial"/>
            <family val="2"/>
          </rPr>
          <t xml:space="preserve">÷12,972</t>
        </r>
        <r>
          <rPr>
            <sz val="10"/>
            <rFont val="WenQuanYi Zen Hei"/>
            <family val="2"/>
          </rPr>
          <t xml:space="preserve">人　　</t>
        </r>
        <r>
          <rPr>
            <sz val="10"/>
            <rFont val="Arial"/>
            <family val="2"/>
          </rPr>
          <t xml:space="preserve">=</t>
        </r>
        <r>
          <rPr>
            <sz val="10"/>
            <rFont val="WenQuanYi Zen Hei"/>
            <family val="2"/>
          </rPr>
          <t xml:space="preserve">　</t>
        </r>
        <r>
          <rPr>
            <sz val="10"/>
            <rFont val="Arial"/>
            <family val="2"/>
          </rPr>
          <t xml:space="preserve">1,616</t>
        </r>
        <r>
          <rPr>
            <sz val="10"/>
            <rFont val="WenQuanYi Zen Hei"/>
            <family val="2"/>
          </rPr>
          <t xml:space="preserve">円</t>
        </r>
      </text>
    </comment>
    <comment ref="AJ11" authorId="0">
      <text>
        <r>
          <rPr>
            <sz val="10"/>
            <rFont val="WenQuanYi Zen Hei"/>
            <family val="2"/>
          </rPr>
          <t xml:space="preserve">　（Ｒ７）当期損失金</t>
        </r>
        <r>
          <rPr>
            <sz val="10"/>
            <rFont val="Arial"/>
            <family val="2"/>
          </rPr>
          <t xml:space="preserve">÷</t>
        </r>
        <r>
          <rPr>
            <sz val="10"/>
            <rFont val="WenQuanYi Zen Hei"/>
            <family val="2"/>
          </rPr>
          <t xml:space="preserve">平均組合員（統計システム確定分）
　　〇〇〇〇円　　 </t>
        </r>
        <r>
          <rPr>
            <sz val="10"/>
            <rFont val="Arial"/>
            <family val="2"/>
          </rPr>
          <t xml:space="preserve">÷</t>
        </r>
        <r>
          <rPr>
            <sz val="10"/>
            <rFont val="WenQuanYi Zen Hei"/>
            <family val="2"/>
          </rPr>
          <t xml:space="preserve">　〇〇〇〇人　　</t>
        </r>
        <r>
          <rPr>
            <sz val="10"/>
            <rFont val="Arial"/>
            <family val="2"/>
          </rPr>
          <t xml:space="preserve">=</t>
        </r>
        <r>
          <rPr>
            <sz val="10"/>
            <rFont val="WenQuanYi Zen Hei"/>
            <family val="2"/>
          </rPr>
          <t xml:space="preserve">　〇〇円</t>
        </r>
      </text>
    </comment>
    <comment ref="AJ21" authorId="0">
      <text>
        <r>
          <rPr>
            <sz val="10"/>
            <rFont val="WenQuanYi Zen Hei"/>
            <family val="2"/>
          </rPr>
          <t xml:space="preserve">（Ｒ７）連合会交付金額（退職等年金分）</t>
        </r>
        <r>
          <rPr>
            <sz val="10"/>
            <rFont val="Arial"/>
            <family val="2"/>
          </rPr>
          <t xml:space="preserve">÷</t>
        </r>
        <r>
          <rPr>
            <sz val="10"/>
            <rFont val="WenQuanYi Zen Hei"/>
            <family val="2"/>
          </rPr>
          <t xml:space="preserve">平均組合員数（統計システム確定分）
　　 　 </t>
        </r>
        <r>
          <rPr>
            <sz val="10"/>
            <rFont val="Arial"/>
            <family val="2"/>
          </rPr>
          <t xml:space="preserve">2,202,654</t>
        </r>
        <r>
          <rPr>
            <sz val="10"/>
            <rFont val="WenQuanYi Zen Hei"/>
            <family val="2"/>
          </rPr>
          <t xml:space="preserve">円　　 </t>
        </r>
        <r>
          <rPr>
            <sz val="10"/>
            <rFont val="Arial"/>
            <family val="2"/>
          </rPr>
          <t xml:space="preserve">÷12,972</t>
        </r>
        <r>
          <rPr>
            <sz val="10"/>
            <rFont val="WenQuanYi Zen Hei"/>
            <family val="2"/>
          </rPr>
          <t xml:space="preserve">人　　</t>
        </r>
        <r>
          <rPr>
            <sz val="10"/>
            <rFont val="Arial"/>
            <family val="2"/>
          </rPr>
          <t xml:space="preserve">=</t>
        </r>
        <r>
          <rPr>
            <sz val="10"/>
            <rFont val="WenQuanYi Zen Hei"/>
            <family val="2"/>
          </rPr>
          <t xml:space="preserve">　  </t>
        </r>
        <r>
          <rPr>
            <sz val="10"/>
            <rFont val="Arial"/>
            <family val="2"/>
          </rPr>
          <t xml:space="preserve">170</t>
        </r>
        <r>
          <rPr>
            <sz val="10"/>
            <rFont val="WenQuanYi Zen Hei"/>
            <family val="2"/>
          </rPr>
          <t xml:space="preserve">円　　　　</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D7" authorId="0">
      <text>
        <r>
          <rPr>
            <sz val="10"/>
            <rFont val="WenQuanYi Zen Hei"/>
            <family val="2"/>
          </rPr>
          <t xml:space="preserve">短期＋公的＋介護＋調整</t>
        </r>
      </text>
    </comment>
    <comment ref="D8" authorId="0">
      <text>
        <r>
          <rPr>
            <sz val="10"/>
            <rFont val="WenQuanYi Zen Hei"/>
            <family val="2"/>
          </rPr>
          <t xml:space="preserve">短期＋介護＋任継（短期、介護）</t>
        </r>
      </text>
    </comment>
    <comment ref="D11" authorId="0">
      <text>
        <r>
          <rPr>
            <sz val="10"/>
            <rFont val="WenQuanYi Zen Hei"/>
            <family val="2"/>
          </rPr>
          <t xml:space="preserve">育介手当の原資</t>
        </r>
      </text>
    </comment>
    <comment ref="D26" authorId="0">
      <text>
        <r>
          <rPr>
            <sz val="10"/>
            <rFont val="WenQuanYi Zen Hei"/>
            <family val="2"/>
          </rPr>
          <t xml:space="preserve">資格喪失の返戻金</t>
        </r>
      </text>
    </comment>
    <comment ref="D34" authorId="0">
      <text>
        <r>
          <rPr>
            <sz val="10"/>
            <rFont val="WenQuanYi Zen Hei"/>
            <family val="2"/>
          </rPr>
          <t xml:space="preserve">　老人保健拠出金、退職者給付拠出金、
　前期高齢者納付金、後期高齢者支援金、
　病床転換支援金、介護納付金、
　特別調整拠出金、育介休業手当金拠出金</t>
        </r>
      </text>
    </comment>
    <comment ref="D41" authorId="0">
      <text>
        <r>
          <rPr>
            <sz val="10"/>
            <rFont val="WenQuanYi Zen Hei"/>
            <family val="2"/>
          </rPr>
          <t xml:space="preserve">共同事業（災害支援、掛金の高い組合の支援）</t>
        </r>
      </text>
    </comment>
    <comment ref="D42" authorId="0">
      <text>
        <r>
          <rPr>
            <sz val="10"/>
            <rFont val="WenQuanYi Zen Hei"/>
            <family val="2"/>
          </rPr>
          <t xml:space="preserve">人件費や消耗品の</t>
        </r>
        <r>
          <rPr>
            <sz val="10"/>
            <rFont val="Arial"/>
            <family val="2"/>
          </rPr>
          <t xml:space="preserve">25</t>
        </r>
        <r>
          <rPr>
            <sz val="10"/>
            <rFont val="WenQuanYi Zen Hei"/>
            <family val="2"/>
          </rPr>
          <t xml:space="preserve">％</t>
        </r>
      </text>
    </comment>
    <comment ref="E14" authorId="0">
      <text>
        <r>
          <rPr>
            <sz val="10"/>
            <rFont val="WenQuanYi Zen Hei"/>
            <family val="2"/>
          </rPr>
          <t xml:space="preserve">　　年度内の医療行為に対する賠償が無かったため、保険会社等
　からの賠償金については、前期損益修正益へ。　</t>
        </r>
      </text>
    </comment>
    <comment ref="F14" authorId="0">
      <text>
        <r>
          <rPr>
            <sz val="10"/>
            <rFont val="WenQuanYi Zen Hei"/>
            <family val="2"/>
          </rPr>
          <t xml:space="preserve">　　年度内の医療行為に対する賠償が無かったため、保険会社等
　からの賠償金については、前期損益修正益へ。　</t>
        </r>
      </text>
    </comment>
    <comment ref="G7" authorId="0">
      <text>
        <r>
          <rPr>
            <sz val="10"/>
            <rFont val="WenQuanYi Zen Hei"/>
            <family val="2"/>
          </rPr>
          <t xml:space="preserve">　財源率改定による減　【負担金】
  　・短期分　　　</t>
        </r>
        <r>
          <rPr>
            <sz val="10"/>
            <rFont val="Arial"/>
            <family val="2"/>
          </rPr>
          <t xml:space="preserve">H29: 39.61‰ → H30: 38.42‰
</t>
        </r>
        <r>
          <rPr>
            <sz val="10"/>
            <rFont val="WenQuanYi Zen Hei"/>
            <family val="2"/>
          </rPr>
          <t xml:space="preserve">　　・介護分　　　</t>
        </r>
        <r>
          <rPr>
            <sz val="10"/>
            <rFont val="Arial"/>
            <family val="2"/>
          </rPr>
          <t xml:space="preserve">H29:  5.7‰ →  H30:  6.5‰
</t>
        </r>
        <r>
          <rPr>
            <sz val="10"/>
            <rFont val="WenQuanYi Zen Hei"/>
            <family val="2"/>
          </rPr>
          <t xml:space="preserve">　　・調整負担金　</t>
        </r>
        <r>
          <rPr>
            <sz val="10"/>
            <rFont val="Arial"/>
            <family val="2"/>
          </rPr>
          <t xml:space="preserve">H29:  0.2 ‰ → H30:  0.2 ‰
</t>
        </r>
        <r>
          <rPr>
            <sz val="10"/>
            <rFont val="WenQuanYi Zen Hei"/>
            <family val="2"/>
          </rPr>
          <t xml:space="preserve">　　・公的負担金　</t>
        </r>
        <r>
          <rPr>
            <sz val="10"/>
            <rFont val="Arial"/>
            <family val="2"/>
          </rPr>
          <t xml:space="preserve">H29:  0.06‰ → H30:  0.05‰</t>
        </r>
      </text>
    </comment>
    <comment ref="G8" authorId="0">
      <text>
        <r>
          <rPr>
            <sz val="10"/>
            <rFont val="WenQuanYi Zen Hei"/>
            <family val="2"/>
          </rPr>
          <t xml:space="preserve">　財源率改定による減　【掛金】
  　・短期分　</t>
        </r>
        <r>
          <rPr>
            <sz val="10"/>
            <rFont val="Arial"/>
            <family val="2"/>
          </rPr>
          <t xml:space="preserve">H29: 39.61‰ → H30: 38.42‰
</t>
        </r>
        <r>
          <rPr>
            <sz val="10"/>
            <rFont val="WenQuanYi Zen Hei"/>
            <family val="2"/>
          </rPr>
          <t xml:space="preserve">　　・介護分　</t>
        </r>
        <r>
          <rPr>
            <sz val="10"/>
            <rFont val="Arial"/>
            <family val="2"/>
          </rPr>
          <t xml:space="preserve">H29:   5.7 ‰ → H30:   6.5‰</t>
        </r>
      </text>
    </comment>
    <comment ref="G11" authorId="0">
      <text>
        <r>
          <rPr>
            <sz val="10"/>
            <rFont val="WenQuanYi Zen Hei"/>
            <family val="2"/>
          </rPr>
          <t xml:space="preserve"> 休業日数の減等に伴う交付額の増
   育児休業手当金 </t>
        </r>
        <r>
          <rPr>
            <sz val="10"/>
            <rFont val="Arial"/>
            <family val="2"/>
          </rPr>
          <t xml:space="preserve">H29:38,272</t>
        </r>
        <r>
          <rPr>
            <sz val="10"/>
            <rFont val="WenQuanYi Zen Hei"/>
            <family val="2"/>
          </rPr>
          <t xml:space="preserve">日 → </t>
        </r>
        <r>
          <rPr>
            <sz val="10"/>
            <rFont val="Arial"/>
            <family val="2"/>
          </rPr>
          <t xml:space="preserve">H30:40,776</t>
        </r>
        <r>
          <rPr>
            <sz val="10"/>
            <rFont val="WenQuanYi Zen Hei"/>
            <family val="2"/>
          </rPr>
          <t xml:space="preserve">日</t>
        </r>
        <r>
          <rPr>
            <sz val="10"/>
            <rFont val="Arial"/>
            <family val="2"/>
          </rPr>
          <t xml:space="preserve">(</t>
        </r>
        <r>
          <rPr>
            <sz val="10"/>
            <rFont val="WenQuanYi Zen Hei"/>
            <family val="2"/>
          </rPr>
          <t xml:space="preserve">＋</t>
        </r>
        <r>
          <rPr>
            <sz val="10"/>
            <rFont val="Arial"/>
            <family val="2"/>
          </rPr>
          <t xml:space="preserve">2,504</t>
        </r>
        <r>
          <rPr>
            <sz val="10"/>
            <rFont val="WenQuanYi Zen Hei"/>
            <family val="2"/>
          </rPr>
          <t xml:space="preserve">日</t>
        </r>
        <r>
          <rPr>
            <sz val="10"/>
            <rFont val="Arial"/>
            <family val="2"/>
          </rPr>
          <t xml:space="preserve">)
   </t>
        </r>
        <r>
          <rPr>
            <sz val="10"/>
            <rFont val="WenQuanYi Zen Hei"/>
            <family val="2"/>
          </rPr>
          <t xml:space="preserve">介護休業手当金 </t>
        </r>
        <r>
          <rPr>
            <sz val="10"/>
            <rFont val="Arial"/>
            <family val="2"/>
          </rPr>
          <t xml:space="preserve">H29:   116</t>
        </r>
        <r>
          <rPr>
            <sz val="10"/>
            <rFont val="WenQuanYi Zen Hei"/>
            <family val="2"/>
          </rPr>
          <t xml:space="preserve">日 → </t>
        </r>
        <r>
          <rPr>
            <sz val="10"/>
            <rFont val="Arial"/>
            <family val="2"/>
          </rPr>
          <t xml:space="preserve">H30:   247</t>
        </r>
        <r>
          <rPr>
            <sz val="10"/>
            <rFont val="WenQuanYi Zen Hei"/>
            <family val="2"/>
          </rPr>
          <t xml:space="preserve">日</t>
        </r>
        <r>
          <rPr>
            <sz val="10"/>
            <rFont val="Arial"/>
            <family val="2"/>
          </rPr>
          <t xml:space="preserve">(</t>
        </r>
        <r>
          <rPr>
            <sz val="10"/>
            <rFont val="WenQuanYi Zen Hei"/>
            <family val="2"/>
          </rPr>
          <t xml:space="preserve">＋　</t>
        </r>
        <r>
          <rPr>
            <sz val="10"/>
            <rFont val="Arial"/>
            <family val="2"/>
          </rPr>
          <t xml:space="preserve">131</t>
        </r>
        <r>
          <rPr>
            <sz val="10"/>
            <rFont val="WenQuanYi Zen Hei"/>
            <family val="2"/>
          </rPr>
          <t xml:space="preserve">日</t>
        </r>
        <r>
          <rPr>
            <sz val="10"/>
            <rFont val="Arial"/>
            <family val="2"/>
          </rPr>
          <t xml:space="preserve">)</t>
        </r>
      </text>
    </comment>
    <comment ref="G12" authorId="0">
      <text>
        <r>
          <rPr>
            <sz val="10"/>
            <rFont val="WenQuanYi Zen Hei"/>
            <family val="2"/>
          </rPr>
          <t xml:space="preserve">該当件数の増に伴う交付額の増</t>
        </r>
      </text>
    </comment>
    <comment ref="G23" authorId="0">
      <text>
        <r>
          <rPr>
            <sz val="10"/>
            <rFont val="WenQuanYi Zen Hei"/>
            <family val="2"/>
          </rPr>
          <t xml:space="preserve">高齢者医療円滑化等補助金</t>
        </r>
      </text>
    </comment>
    <comment ref="G29" authorId="0">
      <text>
        <r>
          <rPr>
            <sz val="10"/>
            <rFont val="WenQuanYi Zen Hei"/>
            <family val="2"/>
          </rPr>
          <t xml:space="preserve">　・療養の給付・家族療養の給付の増  </t>
        </r>
        <r>
          <rPr>
            <sz val="10"/>
            <rFont val="Arial"/>
            <family val="2"/>
          </rPr>
          <t xml:space="preserve">103,630</t>
        </r>
        <r>
          <rPr>
            <sz val="10"/>
            <rFont val="WenQuanYi Zen Hei"/>
            <family val="2"/>
          </rPr>
          <t xml:space="preserve">千円
　・高額療養の給付の増              </t>
        </r>
        <r>
          <rPr>
            <sz val="10"/>
            <rFont val="Arial"/>
            <family val="2"/>
          </rPr>
          <t xml:space="preserve">32,288</t>
        </r>
        <r>
          <rPr>
            <sz val="10"/>
            <rFont val="WenQuanYi Zen Hei"/>
            <family val="2"/>
          </rPr>
          <t xml:space="preserve">千円
　・出産費の増　　　　　　　　　　　 </t>
        </r>
        <r>
          <rPr>
            <sz val="10"/>
            <rFont val="Arial"/>
            <family val="2"/>
          </rPr>
          <t xml:space="preserve">15,187</t>
        </r>
        <r>
          <rPr>
            <sz val="10"/>
            <rFont val="WenQuanYi Zen Hei"/>
            <family val="2"/>
          </rPr>
          <t xml:space="preserve">千円
　・薬剤支給の減　　　　　　　　　 △</t>
        </r>
        <r>
          <rPr>
            <sz val="10"/>
            <rFont val="Arial"/>
            <family val="2"/>
          </rPr>
          <t xml:space="preserve">18,566</t>
        </r>
        <r>
          <rPr>
            <sz val="10"/>
            <rFont val="WenQuanYi Zen Hei"/>
            <family val="2"/>
          </rPr>
          <t xml:space="preserve">千円</t>
        </r>
      </text>
    </comment>
    <comment ref="G30" authorId="0">
      <text>
        <r>
          <rPr>
            <sz val="10"/>
            <rFont val="WenQuanYi Zen Hei"/>
            <family val="2"/>
          </rPr>
          <t xml:space="preserve">　・傷病手当金の増              </t>
        </r>
        <r>
          <rPr>
            <sz val="10"/>
            <rFont val="Arial"/>
            <family val="2"/>
          </rPr>
          <t xml:space="preserve">6,801</t>
        </r>
        <r>
          <rPr>
            <sz val="10"/>
            <rFont val="WenQuanYi Zen Hei"/>
            <family val="2"/>
          </rPr>
          <t xml:space="preserve">千円
　・育児休業手当金の増　　　　　</t>
        </r>
        <r>
          <rPr>
            <sz val="10"/>
            <rFont val="Arial"/>
            <family val="2"/>
          </rPr>
          <t xml:space="preserve">23,683</t>
        </r>
        <r>
          <rPr>
            <sz val="10"/>
            <rFont val="WenQuanYi Zen Hei"/>
            <family val="2"/>
          </rPr>
          <t xml:space="preserve">千円
　・介護休業手当金の増　　　　　 </t>
        </r>
        <r>
          <rPr>
            <sz val="10"/>
            <rFont val="Arial"/>
            <family val="2"/>
          </rPr>
          <t xml:space="preserve">1,686</t>
        </r>
        <r>
          <rPr>
            <sz val="10"/>
            <rFont val="WenQuanYi Zen Hei"/>
            <family val="2"/>
          </rPr>
          <t xml:space="preserve">千円</t>
        </r>
      </text>
    </comment>
    <comment ref="G31" authorId="0">
      <text>
        <r>
          <rPr>
            <sz val="10"/>
            <rFont val="WenQuanYi Zen Hei"/>
            <family val="2"/>
          </rPr>
          <t xml:space="preserve">災害見舞金</t>
        </r>
      </text>
    </comment>
    <comment ref="G32" authorId="0">
      <text>
        <r>
          <rPr>
            <sz val="10"/>
            <rFont val="WenQuanYi Zen Hei"/>
            <family val="2"/>
          </rPr>
          <t xml:space="preserve">　・家族療養費附加金の増          　</t>
        </r>
        <r>
          <rPr>
            <sz val="10"/>
            <rFont val="Arial"/>
            <family val="2"/>
          </rPr>
          <t xml:space="preserve">2,265</t>
        </r>
        <r>
          <rPr>
            <sz val="10"/>
            <rFont val="WenQuanYi Zen Hei"/>
            <family val="2"/>
          </rPr>
          <t xml:space="preserve">千円
　・出産費附加の増　　　          　</t>
        </r>
        <r>
          <rPr>
            <sz val="10"/>
            <rFont val="Arial"/>
            <family val="2"/>
          </rPr>
          <t xml:space="preserve">2,668</t>
        </r>
        <r>
          <rPr>
            <sz val="10"/>
            <rFont val="WenQuanYi Zen Hei"/>
            <family val="2"/>
          </rPr>
          <t xml:space="preserve">千円
　・傷病手当附加金の減            △</t>
        </r>
        <r>
          <rPr>
            <sz val="10"/>
            <rFont val="Arial"/>
            <family val="2"/>
          </rPr>
          <t xml:space="preserve">8,312</t>
        </r>
        <r>
          <rPr>
            <sz val="10"/>
            <rFont val="WenQuanYi Zen Hei"/>
            <family val="2"/>
          </rPr>
          <t xml:space="preserve">千円</t>
        </r>
      </text>
    </comment>
    <comment ref="G34" authorId="0">
      <text>
        <r>
          <rPr>
            <sz val="10"/>
            <rFont val="WenQuanYi Zen Hei"/>
            <family val="2"/>
          </rPr>
          <t xml:space="preserve">　・後期高齢者支援金の減              △</t>
        </r>
        <r>
          <rPr>
            <sz val="10"/>
            <rFont val="Arial"/>
            <family val="2"/>
          </rPr>
          <t xml:space="preserve">52,252</t>
        </r>
        <r>
          <rPr>
            <sz val="10"/>
            <rFont val="WenQuanYi Zen Hei"/>
            <family val="2"/>
          </rPr>
          <t xml:space="preserve">千円
　・退職者給付拠出金の減              △</t>
        </r>
        <r>
          <rPr>
            <sz val="10"/>
            <rFont val="Arial"/>
            <family val="2"/>
          </rPr>
          <t xml:space="preserve">84,187</t>
        </r>
        <r>
          <rPr>
            <sz val="10"/>
            <rFont val="WenQuanYi Zen Hei"/>
            <family val="2"/>
          </rPr>
          <t xml:space="preserve">千円
　・前期高齢者納付金の増           　  </t>
        </r>
        <r>
          <rPr>
            <sz val="10"/>
            <rFont val="Arial"/>
            <family val="2"/>
          </rPr>
          <t xml:space="preserve">211,401</t>
        </r>
        <r>
          <rPr>
            <sz val="10"/>
            <rFont val="WenQuanYi Zen Hei"/>
            <family val="2"/>
          </rPr>
          <t xml:space="preserve">千円
　・育児介護休業手当金拠出金の減       △</t>
        </r>
        <r>
          <rPr>
            <sz val="10"/>
            <rFont val="Arial"/>
            <family val="2"/>
          </rPr>
          <t xml:space="preserve">65,987</t>
        </r>
        <r>
          <rPr>
            <sz val="10"/>
            <rFont val="WenQuanYi Zen Hei"/>
            <family val="2"/>
          </rPr>
          <t xml:space="preserve">千円</t>
        </r>
      </text>
    </comment>
    <comment ref="M7" authorId="0">
      <text>
        <r>
          <rPr>
            <sz val="10"/>
            <rFont val="WenQuanYi Zen Hei"/>
            <family val="2"/>
          </rPr>
          <t xml:space="preserve">事業費用の増による事務費負担金の増加</t>
        </r>
      </text>
    </comment>
    <comment ref="M44" authorId="0">
      <text>
        <r>
          <rPr>
            <sz val="10"/>
            <rFont val="WenQuanYi Zen Hei"/>
            <family val="2"/>
          </rPr>
          <t xml:space="preserve">　・事務費負担金払込金の増     </t>
        </r>
        <r>
          <rPr>
            <sz val="10"/>
            <rFont val="Arial"/>
            <family val="2"/>
          </rPr>
          <t xml:space="preserve">22,267</t>
        </r>
        <r>
          <rPr>
            <sz val="10"/>
            <rFont val="WenQuanYi Zen Hei"/>
            <family val="2"/>
          </rPr>
          <t xml:space="preserve">千円
　・委託費の増                 </t>
        </r>
        <r>
          <rPr>
            <sz val="10"/>
            <rFont val="Arial"/>
            <family val="2"/>
          </rPr>
          <t xml:space="preserve">3,680</t>
        </r>
        <r>
          <rPr>
            <sz val="10"/>
            <rFont val="WenQuanYi Zen Hei"/>
            <family val="2"/>
          </rPr>
          <t xml:space="preserve">千円
　・普及費の減               △</t>
        </r>
        <r>
          <rPr>
            <sz val="10"/>
            <rFont val="Arial"/>
            <family val="2"/>
          </rPr>
          <t xml:space="preserve">1,782</t>
        </r>
        <r>
          <rPr>
            <sz val="10"/>
            <rFont val="WenQuanYi Zen Hei"/>
            <family val="2"/>
          </rPr>
          <t xml:space="preserve">千円
　・事務費の増                   </t>
        </r>
        <r>
          <rPr>
            <sz val="10"/>
            <rFont val="Arial"/>
            <family val="2"/>
          </rPr>
          <t xml:space="preserve">774</t>
        </r>
        <r>
          <rPr>
            <sz val="10"/>
            <rFont val="WenQuanYi Zen Hei"/>
            <family val="2"/>
          </rPr>
          <t xml:space="preserve">千円
　・連合会分担金の増   　         </t>
        </r>
        <r>
          <rPr>
            <sz val="10"/>
            <rFont val="Arial"/>
            <family val="2"/>
          </rPr>
          <t xml:space="preserve">570</t>
        </r>
        <r>
          <rPr>
            <sz val="10"/>
            <rFont val="WenQuanYi Zen Hei"/>
            <family val="2"/>
          </rPr>
          <t xml:space="preserve">千円
　　　短期分に係る組合員１人当たり事務費単価
 　 　（連合会通知額）の増に伴う増
 　  </t>
        </r>
        <r>
          <rPr>
            <sz val="10"/>
            <rFont val="Arial"/>
            <family val="2"/>
          </rPr>
          <t xml:space="preserve">H29</t>
        </r>
        <r>
          <rPr>
            <sz val="10"/>
            <rFont val="WenQuanYi Zen Hei"/>
            <family val="2"/>
          </rPr>
          <t xml:space="preserve">　</t>
        </r>
        <r>
          <rPr>
            <sz val="10"/>
            <rFont val="Arial"/>
            <family val="2"/>
          </rPr>
          <t xml:space="preserve">@1,932</t>
        </r>
        <r>
          <rPr>
            <sz val="10"/>
            <rFont val="WenQuanYi Zen Hei"/>
            <family val="2"/>
          </rPr>
          <t xml:space="preserve">円</t>
        </r>
        <r>
          <rPr>
            <sz val="10"/>
            <rFont val="Arial"/>
            <family val="2"/>
          </rPr>
          <t xml:space="preserve">×11,921</t>
        </r>
        <r>
          <rPr>
            <sz val="10"/>
            <rFont val="WenQuanYi Zen Hei"/>
            <family val="2"/>
          </rPr>
          <t xml:space="preserve">人＝</t>
        </r>
        <r>
          <rPr>
            <sz val="10"/>
            <rFont val="Arial"/>
            <family val="2"/>
          </rPr>
          <t xml:space="preserve">23,031,372</t>
        </r>
        <r>
          <rPr>
            <sz val="10"/>
            <rFont val="WenQuanYi Zen Hei"/>
            <family val="2"/>
          </rPr>
          <t xml:space="preserve">円
 　  </t>
        </r>
        <r>
          <rPr>
            <sz val="10"/>
            <rFont val="Arial"/>
            <family val="2"/>
          </rPr>
          <t xml:space="preserve">H30</t>
        </r>
        <r>
          <rPr>
            <sz val="10"/>
            <rFont val="WenQuanYi Zen Hei"/>
            <family val="2"/>
          </rPr>
          <t xml:space="preserve">　</t>
        </r>
        <r>
          <rPr>
            <sz val="10"/>
            <rFont val="Arial"/>
            <family val="2"/>
          </rPr>
          <t xml:space="preserve">@1,980</t>
        </r>
        <r>
          <rPr>
            <sz val="10"/>
            <rFont val="WenQuanYi Zen Hei"/>
            <family val="2"/>
          </rPr>
          <t xml:space="preserve">円</t>
        </r>
        <r>
          <rPr>
            <sz val="10"/>
            <rFont val="Arial"/>
            <family val="2"/>
          </rPr>
          <t xml:space="preserve">×11,920</t>
        </r>
        <r>
          <rPr>
            <sz val="10"/>
            <rFont val="WenQuanYi Zen Hei"/>
            <family val="2"/>
          </rPr>
          <t xml:space="preserve">人＝</t>
        </r>
        <r>
          <rPr>
            <sz val="10"/>
            <rFont val="Arial"/>
            <family val="2"/>
          </rPr>
          <t xml:space="preserve">23,601,600</t>
        </r>
        <r>
          <rPr>
            <sz val="10"/>
            <rFont val="WenQuanYi Zen Hei"/>
            <family val="2"/>
          </rPr>
          <t xml:space="preserve">円</t>
        </r>
      </text>
    </comment>
    <comment ref="P7" authorId="0">
      <text>
        <r>
          <rPr>
            <sz val="10"/>
            <rFont val="WenQuanYi Zen Hei"/>
            <family val="2"/>
          </rPr>
          <t xml:space="preserve">　　掛金との差は、法定健診等負担金との差
　　（人間ドック代用事業主負担）</t>
        </r>
      </text>
    </comment>
    <comment ref="P9" authorId="0">
      <text>
        <r>
          <rPr>
            <sz val="10"/>
            <rFont val="WenQuanYi Zen Hei"/>
            <family val="2"/>
          </rPr>
          <t xml:space="preserve">　　金銭信託増額による配当金の増</t>
        </r>
      </text>
    </comment>
    <comment ref="P17" authorId="0">
      <text>
        <r>
          <rPr>
            <sz val="10"/>
            <rFont val="WenQuanYi Zen Hei"/>
            <family val="2"/>
          </rPr>
          <t xml:space="preserve">　　利用者減による収入の減
　　　</t>
        </r>
        <r>
          <rPr>
            <sz val="10"/>
            <rFont val="Arial"/>
            <family val="2"/>
          </rPr>
          <t xml:space="preserve">H29: 1,453</t>
        </r>
        <r>
          <rPr>
            <sz val="10"/>
            <rFont val="WenQuanYi Zen Hei"/>
            <family val="2"/>
          </rPr>
          <t xml:space="preserve">人　→　</t>
        </r>
        <r>
          <rPr>
            <sz val="10"/>
            <rFont val="Arial"/>
            <family val="2"/>
          </rPr>
          <t xml:space="preserve">H30: 1,348</t>
        </r>
        <r>
          <rPr>
            <sz val="10"/>
            <rFont val="WenQuanYi Zen Hei"/>
            <family val="2"/>
          </rPr>
          <t xml:space="preserve">人</t>
        </r>
      </text>
    </comment>
    <comment ref="P43" authorId="0">
      <text>
        <r>
          <rPr>
            <sz val="10"/>
            <rFont val="WenQuanYi Zen Hei"/>
            <family val="2"/>
          </rPr>
          <t xml:space="preserve">給与改定による増
（看護師、健康相談員）</t>
        </r>
      </text>
    </comment>
    <comment ref="P44" authorId="0">
      <text>
        <r>
          <rPr>
            <sz val="10"/>
            <rFont val="WenQuanYi Zen Hei"/>
            <family val="2"/>
          </rPr>
          <t xml:space="preserve">　・組合員人間ドックの減 　　　　　　　△</t>
        </r>
        <r>
          <rPr>
            <sz val="10"/>
            <rFont val="Arial"/>
            <family val="2"/>
          </rPr>
          <t xml:space="preserve">2,526</t>
        </r>
        <r>
          <rPr>
            <sz val="10"/>
            <rFont val="WenQuanYi Zen Hei"/>
            <family val="2"/>
          </rPr>
          <t xml:space="preserve">千円
　・被扶養者ドックの減   　　　　　　　△</t>
        </r>
        <r>
          <rPr>
            <sz val="10"/>
            <rFont val="Arial"/>
            <family val="2"/>
          </rPr>
          <t xml:space="preserve">2,464</t>
        </r>
        <r>
          <rPr>
            <sz val="10"/>
            <rFont val="WenQuanYi Zen Hei"/>
            <family val="2"/>
          </rPr>
          <t xml:space="preserve">千円
　・データヘルス計画に係る委託料の減 　△</t>
        </r>
        <r>
          <rPr>
            <sz val="10"/>
            <rFont val="Arial"/>
            <family val="2"/>
          </rPr>
          <t xml:space="preserve">1,269</t>
        </r>
        <r>
          <rPr>
            <sz val="10"/>
            <rFont val="WenQuanYi Zen Hei"/>
            <family val="2"/>
          </rPr>
          <t xml:space="preserve">千円　
　・コテージ管理運営に係る修繕費等の減 △</t>
        </r>
        <r>
          <rPr>
            <sz val="10"/>
            <rFont val="Arial"/>
            <family val="2"/>
          </rPr>
          <t xml:space="preserve">1,263</t>
        </r>
        <r>
          <rPr>
            <sz val="10"/>
            <rFont val="WenQuanYi Zen Hei"/>
            <family val="2"/>
          </rPr>
          <t xml:space="preserve">千円
  ・婦人科検診の増　　　　　　　　　　　　 </t>
        </r>
        <r>
          <rPr>
            <sz val="10"/>
            <rFont val="Arial"/>
            <family val="2"/>
          </rPr>
          <t xml:space="preserve">500</t>
        </r>
        <r>
          <rPr>
            <sz val="10"/>
            <rFont val="WenQuanYi Zen Hei"/>
            <family val="2"/>
          </rPr>
          <t xml:space="preserve">千円</t>
        </r>
      </text>
    </comment>
    <comment ref="S22" authorId="0">
      <text>
        <r>
          <rPr>
            <sz val="10"/>
            <rFont val="WenQuanYi Zen Hei"/>
            <family val="2"/>
          </rPr>
          <t xml:space="preserve">　貸付利率の減等（</t>
        </r>
        <r>
          <rPr>
            <sz val="10"/>
            <rFont val="Arial"/>
            <family val="2"/>
          </rPr>
          <t xml:space="preserve">H30.1</t>
        </r>
        <r>
          <rPr>
            <sz val="10"/>
            <rFont val="WenQuanYi Zen Hei"/>
            <family val="2"/>
          </rPr>
          <t xml:space="preserve">月～）に伴う組合員貸付金利息の減
     △</t>
        </r>
        <r>
          <rPr>
            <sz val="10"/>
            <rFont val="Arial"/>
            <family val="2"/>
          </rPr>
          <t xml:space="preserve">42,889</t>
        </r>
        <r>
          <rPr>
            <sz val="10"/>
            <rFont val="WenQuanYi Zen Hei"/>
            <family val="2"/>
          </rPr>
          <t xml:space="preserve">千円
　</t>
        </r>
        <r>
          <rPr>
            <sz val="10"/>
            <rFont val="Arial"/>
            <family val="2"/>
          </rPr>
          <t xml:space="preserve">H29: 77,369</t>
        </r>
        <r>
          <rPr>
            <sz val="10"/>
            <rFont val="WenQuanYi Zen Hei"/>
            <family val="2"/>
          </rPr>
          <t xml:space="preserve">千円 → </t>
        </r>
        <r>
          <rPr>
            <sz val="10"/>
            <rFont val="Arial"/>
            <family val="2"/>
          </rPr>
          <t xml:space="preserve">H30: 34,479</t>
        </r>
        <r>
          <rPr>
            <sz val="10"/>
            <rFont val="WenQuanYi Zen Hei"/>
            <family val="2"/>
          </rPr>
          <t xml:space="preserve">千円
（利率：年</t>
        </r>
        <r>
          <rPr>
            <sz val="10"/>
            <rFont val="Arial"/>
            <family val="2"/>
          </rPr>
          <t xml:space="preserve">2.66%</t>
        </r>
        <r>
          <rPr>
            <sz val="10"/>
            <rFont val="WenQuanYi Zen Hei"/>
            <family val="2"/>
          </rPr>
          <t xml:space="preserve">　</t>
        </r>
        <r>
          <rPr>
            <sz val="10"/>
            <rFont val="Arial"/>
            <family val="2"/>
          </rPr>
          <t xml:space="preserve">H30.1</t>
        </r>
        <r>
          <rPr>
            <sz val="10"/>
            <rFont val="WenQuanYi Zen Hei"/>
            <family val="2"/>
          </rPr>
          <t xml:space="preserve">月～年</t>
        </r>
        <r>
          <rPr>
            <sz val="10"/>
            <rFont val="Arial"/>
            <family val="2"/>
          </rPr>
          <t xml:space="preserve">1.26%</t>
        </r>
        <r>
          <rPr>
            <sz val="10"/>
            <rFont val="WenQuanYi Zen Hei"/>
            <family val="2"/>
          </rPr>
          <t xml:space="preserve">）
</t>
        </r>
      </text>
    </comment>
    <comment ref="S41" authorId="0">
      <text>
        <r>
          <rPr>
            <sz val="10"/>
            <rFont val="WenQuanYi Zen Hei"/>
            <family val="2"/>
          </rPr>
          <t xml:space="preserve">　組合払込金率の減等に伴う連合会払込金の減
　　△</t>
        </r>
        <r>
          <rPr>
            <sz val="10"/>
            <rFont val="Arial"/>
            <family val="2"/>
          </rPr>
          <t xml:space="preserve">1,113</t>
        </r>
        <r>
          <rPr>
            <sz val="10"/>
            <rFont val="WenQuanYi Zen Hei"/>
            <family val="2"/>
          </rPr>
          <t xml:space="preserve">千円
　　</t>
        </r>
        <r>
          <rPr>
            <sz val="10"/>
            <rFont val="Arial"/>
            <family val="2"/>
          </rPr>
          <t xml:space="preserve">H29: 5,946</t>
        </r>
        <r>
          <rPr>
            <sz val="10"/>
            <rFont val="WenQuanYi Zen Hei"/>
            <family val="2"/>
          </rPr>
          <t xml:space="preserve">千円 → </t>
        </r>
        <r>
          <rPr>
            <sz val="10"/>
            <rFont val="Arial"/>
            <family val="2"/>
          </rPr>
          <t xml:space="preserve">H30:4,833</t>
        </r>
        <r>
          <rPr>
            <sz val="10"/>
            <rFont val="WenQuanYi Zen Hei"/>
            <family val="2"/>
          </rPr>
          <t xml:space="preserve">千円
　　組合払込金率の減について
　　●一般貸付組合払込金率
     ・平成</t>
        </r>
        <r>
          <rPr>
            <sz val="10"/>
            <rFont val="Arial"/>
            <family val="2"/>
          </rPr>
          <t xml:space="preserve">26</t>
        </r>
        <r>
          <rPr>
            <sz val="10"/>
            <rFont val="WenQuanYi Zen Hei"/>
            <family val="2"/>
          </rPr>
          <t xml:space="preserve">年</t>
        </r>
        <r>
          <rPr>
            <sz val="10"/>
            <rFont val="Arial"/>
            <family val="2"/>
          </rPr>
          <t xml:space="preserve">12</t>
        </r>
        <r>
          <rPr>
            <sz val="10"/>
            <rFont val="WenQuanYi Zen Hei"/>
            <family val="2"/>
          </rPr>
          <t xml:space="preserve">月</t>
        </r>
        <r>
          <rPr>
            <sz val="10"/>
            <rFont val="Arial"/>
            <family val="2"/>
          </rPr>
          <t xml:space="preserve">1</t>
        </r>
        <r>
          <rPr>
            <sz val="10"/>
            <rFont val="WenQuanYi Zen Hei"/>
            <family val="2"/>
          </rPr>
          <t xml:space="preserve">日以降における率
　　    </t>
        </r>
        <r>
          <rPr>
            <sz val="10"/>
            <rFont val="Arial"/>
            <family val="2"/>
          </rPr>
          <t xml:space="preserve">H29: 100/100</t>
        </r>
        <r>
          <rPr>
            <sz val="10"/>
            <rFont val="WenQuanYi Zen Hei"/>
            <family val="2"/>
          </rPr>
          <t xml:space="preserve">万 → </t>
        </r>
        <r>
          <rPr>
            <sz val="10"/>
            <rFont val="Arial"/>
            <family val="2"/>
          </rPr>
          <t xml:space="preserve">H30:  85/100</t>
        </r>
        <r>
          <rPr>
            <sz val="10"/>
            <rFont val="WenQuanYi Zen Hei"/>
            <family val="2"/>
          </rPr>
          <t xml:space="preserve">万
　　 ・平成</t>
        </r>
        <r>
          <rPr>
            <sz val="10"/>
            <rFont val="Arial"/>
            <family val="2"/>
          </rPr>
          <t xml:space="preserve">26</t>
        </r>
        <r>
          <rPr>
            <sz val="10"/>
            <rFont val="WenQuanYi Zen Hei"/>
            <family val="2"/>
          </rPr>
          <t xml:space="preserve">年</t>
        </r>
        <r>
          <rPr>
            <sz val="10"/>
            <rFont val="Arial"/>
            <family val="2"/>
          </rPr>
          <t xml:space="preserve">12</t>
        </r>
        <r>
          <rPr>
            <sz val="10"/>
            <rFont val="WenQuanYi Zen Hei"/>
            <family val="2"/>
          </rPr>
          <t xml:space="preserve">月</t>
        </r>
        <r>
          <rPr>
            <sz val="10"/>
            <rFont val="Arial"/>
            <family val="2"/>
          </rPr>
          <t xml:space="preserve">1</t>
        </r>
        <r>
          <rPr>
            <sz val="10"/>
            <rFont val="WenQuanYi Zen Hei"/>
            <family val="2"/>
          </rPr>
          <t xml:space="preserve">日前における率
　　    </t>
        </r>
        <r>
          <rPr>
            <sz val="10"/>
            <rFont val="Arial"/>
            <family val="2"/>
          </rPr>
          <t xml:space="preserve">H29: 174/100</t>
        </r>
        <r>
          <rPr>
            <sz val="10"/>
            <rFont val="WenQuanYi Zen Hei"/>
            <family val="2"/>
          </rPr>
          <t xml:space="preserve">万 → </t>
        </r>
        <r>
          <rPr>
            <sz val="10"/>
            <rFont val="Arial"/>
            <family val="2"/>
          </rPr>
          <t xml:space="preserve">H30: 149/100</t>
        </r>
        <r>
          <rPr>
            <sz val="10"/>
            <rFont val="WenQuanYi Zen Hei"/>
            <family val="2"/>
          </rPr>
          <t xml:space="preserve">万
　　●住宅貸付組合払込金率
     ・平成</t>
        </r>
        <r>
          <rPr>
            <sz val="10"/>
            <rFont val="Arial"/>
            <family val="2"/>
          </rPr>
          <t xml:space="preserve">26</t>
        </r>
        <r>
          <rPr>
            <sz val="10"/>
            <rFont val="WenQuanYi Zen Hei"/>
            <family val="2"/>
          </rPr>
          <t xml:space="preserve">年</t>
        </r>
        <r>
          <rPr>
            <sz val="10"/>
            <rFont val="Arial"/>
            <family val="2"/>
          </rPr>
          <t xml:space="preserve">12</t>
        </r>
        <r>
          <rPr>
            <sz val="10"/>
            <rFont val="WenQuanYi Zen Hei"/>
            <family val="2"/>
          </rPr>
          <t xml:space="preserve">月</t>
        </r>
        <r>
          <rPr>
            <sz val="10"/>
            <rFont val="Arial"/>
            <family val="2"/>
          </rPr>
          <t xml:space="preserve">1</t>
        </r>
        <r>
          <rPr>
            <sz val="10"/>
            <rFont val="WenQuanYi Zen Hei"/>
            <family val="2"/>
          </rPr>
          <t xml:space="preserve">日以降における率
　　　　</t>
        </r>
        <r>
          <rPr>
            <sz val="10"/>
            <rFont val="Arial"/>
            <family val="2"/>
          </rPr>
          <t xml:space="preserve">H29:  86/100</t>
        </r>
        <r>
          <rPr>
            <sz val="10"/>
            <rFont val="WenQuanYi Zen Hei"/>
            <family val="2"/>
          </rPr>
          <t xml:space="preserve">万　→ </t>
        </r>
        <r>
          <rPr>
            <sz val="10"/>
            <rFont val="Arial"/>
            <family val="2"/>
          </rPr>
          <t xml:space="preserve">H30:  92/100</t>
        </r>
        <r>
          <rPr>
            <sz val="10"/>
            <rFont val="WenQuanYi Zen Hei"/>
            <family val="2"/>
          </rPr>
          <t xml:space="preserve">万
     ・平成</t>
        </r>
        <r>
          <rPr>
            <sz val="10"/>
            <rFont val="Arial"/>
            <family val="2"/>
          </rPr>
          <t xml:space="preserve">26</t>
        </r>
        <r>
          <rPr>
            <sz val="10"/>
            <rFont val="WenQuanYi Zen Hei"/>
            <family val="2"/>
          </rPr>
          <t xml:space="preserve">年</t>
        </r>
        <r>
          <rPr>
            <sz val="10"/>
            <rFont val="Arial"/>
            <family val="2"/>
          </rPr>
          <t xml:space="preserve">12</t>
        </r>
        <r>
          <rPr>
            <sz val="10"/>
            <rFont val="WenQuanYi Zen Hei"/>
            <family val="2"/>
          </rPr>
          <t xml:space="preserve">月</t>
        </r>
        <r>
          <rPr>
            <sz val="10"/>
            <rFont val="Arial"/>
            <family val="2"/>
          </rPr>
          <t xml:space="preserve">1</t>
        </r>
        <r>
          <rPr>
            <sz val="10"/>
            <rFont val="WenQuanYi Zen Hei"/>
            <family val="2"/>
          </rPr>
          <t xml:space="preserve">日前における率
　　　　</t>
        </r>
        <r>
          <rPr>
            <sz val="10"/>
            <rFont val="Arial"/>
            <family val="2"/>
          </rPr>
          <t xml:space="preserve">H29: 151/100</t>
        </r>
        <r>
          <rPr>
            <sz val="10"/>
            <rFont val="WenQuanYi Zen Hei"/>
            <family val="2"/>
          </rPr>
          <t xml:space="preserve">万  → </t>
        </r>
        <r>
          <rPr>
            <sz val="10"/>
            <rFont val="Arial"/>
            <family val="2"/>
          </rPr>
          <t xml:space="preserve">H30: 161/100</t>
        </r>
        <r>
          <rPr>
            <sz val="10"/>
            <rFont val="WenQuanYi Zen Hei"/>
            <family val="2"/>
          </rPr>
          <t xml:space="preserve">万</t>
        </r>
      </text>
    </comment>
    <comment ref="S44" authorId="0">
      <text>
        <r>
          <rPr>
            <sz val="10"/>
            <rFont val="WenQuanYi Zen Hei"/>
            <family val="2"/>
          </rPr>
          <t xml:space="preserve">　借入利率及び借入元本残高の減に伴う支払利息の減    △</t>
        </r>
        <r>
          <rPr>
            <sz val="10"/>
            <rFont val="Arial"/>
            <family val="2"/>
          </rPr>
          <t xml:space="preserve">24,344</t>
        </r>
        <r>
          <rPr>
            <sz val="10"/>
            <rFont val="WenQuanYi Zen Hei"/>
            <family val="2"/>
          </rPr>
          <t xml:space="preserve">千円
　　　</t>
        </r>
        <r>
          <rPr>
            <sz val="10"/>
            <rFont val="Arial"/>
            <family val="2"/>
          </rPr>
          <t xml:space="preserve">H29: 36,089</t>
        </r>
        <r>
          <rPr>
            <sz val="10"/>
            <rFont val="WenQuanYi Zen Hei"/>
            <family val="2"/>
          </rPr>
          <t xml:space="preserve">千円 → </t>
        </r>
        <r>
          <rPr>
            <sz val="10"/>
            <rFont val="Arial"/>
            <family val="2"/>
          </rPr>
          <t xml:space="preserve">H30: 11,745</t>
        </r>
        <r>
          <rPr>
            <sz val="10"/>
            <rFont val="WenQuanYi Zen Hei"/>
            <family val="2"/>
          </rPr>
          <t xml:space="preserve">千円
　　○借入利率の減
　　　利率（～</t>
        </r>
        <r>
          <rPr>
            <sz val="10"/>
            <rFont val="Arial"/>
            <family val="2"/>
          </rPr>
          <t xml:space="preserve">H29.12</t>
        </r>
        <r>
          <rPr>
            <sz val="10"/>
            <rFont val="WenQuanYi Zen Hei"/>
            <family val="2"/>
          </rPr>
          <t xml:space="preserve">月）：年</t>
        </r>
        <r>
          <rPr>
            <sz val="10"/>
            <rFont val="Arial"/>
            <family val="2"/>
          </rPr>
          <t xml:space="preserve">2.4%</t>
        </r>
        <r>
          <rPr>
            <sz val="10"/>
            <rFont val="WenQuanYi Zen Hei"/>
            <family val="2"/>
          </rPr>
          <t xml:space="preserve">　→　利率（</t>
        </r>
        <r>
          <rPr>
            <sz val="10"/>
            <rFont val="Arial"/>
            <family val="2"/>
          </rPr>
          <t xml:space="preserve">H30.1</t>
        </r>
        <r>
          <rPr>
            <sz val="10"/>
            <rFont val="WenQuanYi Zen Hei"/>
            <family val="2"/>
          </rPr>
          <t xml:space="preserve">月～）：年</t>
        </r>
        <r>
          <rPr>
            <sz val="10"/>
            <rFont val="Arial"/>
            <family val="2"/>
          </rPr>
          <t xml:space="preserve">1.0%
</t>
        </r>
        <r>
          <rPr>
            <sz val="10"/>
            <rFont val="WenQuanYi Zen Hei"/>
            <family val="2"/>
          </rPr>
          <t xml:space="preserve">　　○償還に伴う借入元本の減
　  　・</t>
        </r>
        <r>
          <rPr>
            <sz val="10"/>
            <rFont val="Arial"/>
            <family val="2"/>
          </rPr>
          <t xml:space="preserve">H30.4</t>
        </r>
        <r>
          <rPr>
            <sz val="10"/>
            <rFont val="WenQuanYi Zen Hei"/>
            <family val="2"/>
          </rPr>
          <t xml:space="preserve">月末　借入元本残高　</t>
        </r>
        <r>
          <rPr>
            <sz val="10"/>
            <rFont val="Arial"/>
            <family val="2"/>
          </rPr>
          <t xml:space="preserve">1,420,000</t>
        </r>
        <r>
          <rPr>
            <sz val="10"/>
            <rFont val="WenQuanYi Zen Hei"/>
            <family val="2"/>
          </rPr>
          <t xml:space="preserve">千円
　　  ・</t>
        </r>
        <r>
          <rPr>
            <sz val="10"/>
            <rFont val="Arial"/>
            <family val="2"/>
          </rPr>
          <t xml:space="preserve">H30.6</t>
        </r>
        <r>
          <rPr>
            <sz val="10"/>
            <rFont val="WenQuanYi Zen Hei"/>
            <family val="2"/>
          </rPr>
          <t xml:space="preserve">月末　借入元本残高　</t>
        </r>
        <r>
          <rPr>
            <sz val="10"/>
            <rFont val="Arial"/>
            <family val="2"/>
          </rPr>
          <t xml:space="preserve">1,120,000</t>
        </r>
        <r>
          <rPr>
            <sz val="10"/>
            <rFont val="WenQuanYi Zen Hei"/>
            <family val="2"/>
          </rPr>
          <t xml:space="preserve">千円
　  　・</t>
        </r>
        <r>
          <rPr>
            <sz val="10"/>
            <rFont val="Arial"/>
            <family val="2"/>
          </rPr>
          <t xml:space="preserve">H31.3</t>
        </r>
        <r>
          <rPr>
            <sz val="10"/>
            <rFont val="WenQuanYi Zen Hei"/>
            <family val="2"/>
          </rPr>
          <t xml:space="preserve">月末　借入元本残高　</t>
        </r>
        <r>
          <rPr>
            <sz val="10"/>
            <rFont val="Arial"/>
            <family val="2"/>
          </rPr>
          <t xml:space="preserve">1,105,000</t>
        </r>
        <r>
          <rPr>
            <sz val="10"/>
            <rFont val="WenQuanYi Zen Hei"/>
            <family val="2"/>
          </rPr>
          <t xml:space="preserve">千円</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D7" authorId="0">
      <text>
        <r>
          <rPr>
            <sz val="10"/>
            <rFont val="WenQuanYi Zen Hei"/>
            <family val="2"/>
          </rPr>
          <t xml:space="preserve">短期＋公的＋介護＋調整</t>
        </r>
      </text>
    </comment>
    <comment ref="D8" authorId="0">
      <text>
        <r>
          <rPr>
            <sz val="10"/>
            <rFont val="WenQuanYi Zen Hei"/>
            <family val="2"/>
          </rPr>
          <t xml:space="preserve">短期＋介護＋任継（短期、介護）</t>
        </r>
      </text>
    </comment>
    <comment ref="D11" authorId="0">
      <text>
        <r>
          <rPr>
            <sz val="10"/>
            <rFont val="WenQuanYi Zen Hei"/>
            <family val="2"/>
          </rPr>
          <t xml:space="preserve">育介手当の原資</t>
        </r>
      </text>
    </comment>
    <comment ref="D26" authorId="0">
      <text>
        <r>
          <rPr>
            <sz val="10"/>
            <rFont val="WenQuanYi Zen Hei"/>
            <family val="2"/>
          </rPr>
          <t xml:space="preserve">資格喪失の返戻金</t>
        </r>
      </text>
    </comment>
    <comment ref="D34" authorId="0">
      <text>
        <r>
          <rPr>
            <sz val="10"/>
            <rFont val="WenQuanYi Zen Hei"/>
            <family val="2"/>
          </rPr>
          <t xml:space="preserve">　退職者給付拠出金、
　前期高齢者納付金、後期高齢者支援金、
　病床転換支援金、介護納付金、
　特別調整拠出金、育介休業手当金拠出金
　出産関連事務費拠出金
　流行初期医療確保拠出金</t>
        </r>
      </text>
    </comment>
    <comment ref="D41" authorId="0">
      <text>
        <r>
          <rPr>
            <sz val="10"/>
            <rFont val="WenQuanYi Zen Hei"/>
            <family val="2"/>
          </rPr>
          <t xml:space="preserve">共同事業（災害支援、掛金の高い組合の支援）</t>
        </r>
      </text>
    </comment>
    <comment ref="D42" authorId="0">
      <text>
        <r>
          <rPr>
            <sz val="10"/>
            <rFont val="WenQuanYi Zen Hei"/>
            <family val="2"/>
          </rPr>
          <t xml:space="preserve">人件費や消耗品の</t>
        </r>
        <r>
          <rPr>
            <sz val="10"/>
            <rFont val="Arial"/>
            <family val="2"/>
          </rPr>
          <t xml:space="preserve">25</t>
        </r>
        <r>
          <rPr>
            <sz val="10"/>
            <rFont val="WenQuanYi Zen Hei"/>
            <family val="2"/>
          </rPr>
          <t xml:space="preserve">％</t>
        </r>
      </text>
    </comment>
    <comment ref="E16" authorId="0">
      <text>
        <r>
          <rPr>
            <sz val="10"/>
            <rFont val="Arial"/>
            <family val="2"/>
          </rPr>
          <t xml:space="preserve">R6</t>
        </r>
        <r>
          <rPr>
            <sz val="10"/>
            <rFont val="WenQuanYi Zen Hei"/>
            <family val="2"/>
          </rPr>
          <t xml:space="preserve">年度新設</t>
        </r>
      </text>
    </comment>
    <comment ref="E18" authorId="0">
      <text>
        <r>
          <rPr>
            <sz val="10"/>
            <rFont val="WenQuanYi Zen Hei"/>
            <family val="2"/>
          </rPr>
          <t xml:space="preserve"> 雑収入（療養給付費等拠出金還付</t>
        </r>
        <r>
          <rPr>
            <sz val="10"/>
            <rFont val="Arial"/>
            <family val="2"/>
          </rPr>
          <t xml:space="preserve">(</t>
        </r>
        <r>
          <rPr>
            <sz val="10"/>
            <rFont val="WenQuanYi Zen Hei"/>
            <family val="2"/>
          </rPr>
          <t xml:space="preserve">基金</t>
        </r>
        <r>
          <rPr>
            <sz val="10"/>
            <rFont val="Arial"/>
            <family val="2"/>
          </rPr>
          <t xml:space="preserve">)</t>
        </r>
        <r>
          <rPr>
            <sz val="10"/>
            <rFont val="WenQuanYi Zen Hei"/>
            <family val="2"/>
          </rPr>
          <t xml:space="preserve">）</t>
        </r>
      </text>
    </comment>
    <comment ref="E50" authorId="0">
      <text>
        <r>
          <rPr>
            <sz val="10"/>
            <rFont val="WenQuanYi Zen Hei"/>
            <family val="2"/>
          </rPr>
          <t xml:space="preserve">【当期収支差額の内訳】
　短期経理：　 　　　　 </t>
        </r>
        <r>
          <rPr>
            <sz val="10"/>
            <rFont val="Arial"/>
            <family val="2"/>
          </rPr>
          <t xml:space="preserve">7</t>
        </r>
        <r>
          <rPr>
            <sz val="10"/>
            <rFont val="WenQuanYi Zen Hei"/>
            <family val="2"/>
          </rPr>
          <t xml:space="preserve">億</t>
        </r>
        <r>
          <rPr>
            <sz val="10"/>
            <rFont val="Arial"/>
            <family val="2"/>
          </rPr>
          <t xml:space="preserve">3,665</t>
        </r>
        <r>
          <rPr>
            <sz val="10"/>
            <rFont val="WenQuanYi Zen Hei"/>
            <family val="2"/>
          </rPr>
          <t xml:space="preserve">万</t>
        </r>
        <r>
          <rPr>
            <sz val="10"/>
            <rFont val="Arial"/>
            <family val="2"/>
          </rPr>
          <t xml:space="preserve">1,003</t>
        </r>
        <r>
          <rPr>
            <sz val="10"/>
            <rFont val="WenQuanYi Zen Hei"/>
            <family val="2"/>
          </rPr>
          <t xml:space="preserve">円　
　介護経理：　      　　 　</t>
        </r>
        <r>
          <rPr>
            <sz val="10"/>
            <rFont val="Arial"/>
            <family val="2"/>
          </rPr>
          <t xml:space="preserve">8,752</t>
        </r>
        <r>
          <rPr>
            <sz val="10"/>
            <rFont val="WenQuanYi Zen Hei"/>
            <family val="2"/>
          </rPr>
          <t xml:space="preserve">万</t>
        </r>
        <r>
          <rPr>
            <sz val="10"/>
            <rFont val="Arial"/>
            <family val="2"/>
          </rPr>
          <t xml:space="preserve">9,507</t>
        </r>
        <r>
          <rPr>
            <sz val="10"/>
            <rFont val="WenQuanYi Zen Hei"/>
            <family val="2"/>
          </rPr>
          <t xml:space="preserve">円
【次期繰越額の内訳】
　欠損金補てん積立金：　</t>
        </r>
        <r>
          <rPr>
            <sz val="10"/>
            <rFont val="Arial"/>
            <family val="2"/>
          </rPr>
          <t xml:space="preserve">4</t>
        </r>
        <r>
          <rPr>
            <sz val="10"/>
            <rFont val="WenQuanYi Zen Hei"/>
            <family val="2"/>
          </rPr>
          <t xml:space="preserve">億</t>
        </r>
        <r>
          <rPr>
            <sz val="10"/>
            <rFont val="Arial"/>
            <family val="2"/>
          </rPr>
          <t xml:space="preserve">8,028</t>
        </r>
        <r>
          <rPr>
            <sz val="10"/>
            <rFont val="WenQuanYi Zen Hei"/>
            <family val="2"/>
          </rPr>
          <t xml:space="preserve">万</t>
        </r>
        <r>
          <rPr>
            <sz val="10"/>
            <rFont val="Arial"/>
            <family val="2"/>
          </rPr>
          <t xml:space="preserve">7,584</t>
        </r>
        <r>
          <rPr>
            <sz val="10"/>
            <rFont val="WenQuanYi Zen Hei"/>
            <family val="2"/>
          </rPr>
          <t xml:space="preserve">円
　短期積立金：　　　　 </t>
        </r>
        <r>
          <rPr>
            <sz val="10"/>
            <rFont val="Arial"/>
            <family val="2"/>
          </rPr>
          <t xml:space="preserve">16</t>
        </r>
        <r>
          <rPr>
            <sz val="10"/>
            <rFont val="WenQuanYi Zen Hei"/>
            <family val="2"/>
          </rPr>
          <t xml:space="preserve">億</t>
        </r>
        <r>
          <rPr>
            <sz val="10"/>
            <rFont val="Arial"/>
            <family val="2"/>
          </rPr>
          <t xml:space="preserve">4,603</t>
        </r>
        <r>
          <rPr>
            <sz val="10"/>
            <rFont val="WenQuanYi Zen Hei"/>
            <family val="2"/>
          </rPr>
          <t xml:space="preserve">万</t>
        </r>
        <r>
          <rPr>
            <sz val="10"/>
            <rFont val="Arial"/>
            <family val="2"/>
          </rPr>
          <t xml:space="preserve">8,250</t>
        </r>
        <r>
          <rPr>
            <sz val="10"/>
            <rFont val="WenQuanYi Zen Hei"/>
            <family val="2"/>
          </rPr>
          <t xml:space="preserve">円　
　介護積立金：       　 </t>
        </r>
        <r>
          <rPr>
            <sz val="10"/>
            <rFont val="Arial"/>
            <family val="2"/>
          </rPr>
          <t xml:space="preserve">1</t>
        </r>
        <r>
          <rPr>
            <sz val="10"/>
            <rFont val="WenQuanYi Zen Hei"/>
            <family val="2"/>
          </rPr>
          <t xml:space="preserve">億</t>
        </r>
        <r>
          <rPr>
            <sz val="10"/>
            <rFont val="Arial"/>
            <family val="2"/>
          </rPr>
          <t xml:space="preserve">1,103</t>
        </r>
        <r>
          <rPr>
            <sz val="10"/>
            <rFont val="WenQuanYi Zen Hei"/>
            <family val="2"/>
          </rPr>
          <t xml:space="preserve">万</t>
        </r>
        <r>
          <rPr>
            <sz val="10"/>
            <rFont val="Arial"/>
            <family val="2"/>
          </rPr>
          <t xml:space="preserve">9,759</t>
        </r>
        <r>
          <rPr>
            <sz val="10"/>
            <rFont val="WenQuanYi Zen Hei"/>
            <family val="2"/>
          </rPr>
          <t xml:space="preserve">円</t>
        </r>
      </text>
    </comment>
    <comment ref="F23" authorId="0">
      <text>
        <r>
          <rPr>
            <sz val="10"/>
            <rFont val="WenQuanYi Zen Hei"/>
            <family val="2"/>
          </rPr>
          <t xml:space="preserve">高齢者医療円滑化事業費助成金
</t>
        </r>
      </text>
    </comment>
    <comment ref="G7" authorId="0">
      <text>
        <r>
          <rPr>
            <sz val="10"/>
            <rFont val="WenQuanYi Zen Hei"/>
            <family val="2"/>
          </rPr>
          <t xml:space="preserve"> ・財源率の改定
 ・（参考）財源率は短期分・介護分・公的負担金が改定あり　　
　　【負担金】
  　・短期分　　　 </t>
        </r>
        <r>
          <rPr>
            <sz val="10"/>
            <rFont val="Arial"/>
            <family val="2"/>
          </rPr>
          <t xml:space="preserve">R5: 44.51‰ → R6: 52.91‰ 
</t>
        </r>
        <r>
          <rPr>
            <sz val="10"/>
            <rFont val="WenQuanYi Zen Hei"/>
            <family val="2"/>
          </rPr>
          <t xml:space="preserve">　　・介護分　　　 </t>
        </r>
        <r>
          <rPr>
            <sz val="10"/>
            <rFont val="Arial"/>
            <family val="2"/>
          </rPr>
          <t xml:space="preserve">R5:  8.9 ‰ → R6:  8.4 ‰  
</t>
        </r>
        <r>
          <rPr>
            <sz val="10"/>
            <rFont val="WenQuanYi Zen Hei"/>
            <family val="2"/>
          </rPr>
          <t xml:space="preserve">　　・調整負担金　 </t>
        </r>
        <r>
          <rPr>
            <sz val="10"/>
            <rFont val="Arial"/>
            <family val="2"/>
          </rPr>
          <t xml:space="preserve">R5:  0.1 ‰ → R6:  0.1 ‰
</t>
        </r>
        <r>
          <rPr>
            <sz val="10"/>
            <rFont val="WenQuanYi Zen Hei"/>
            <family val="2"/>
          </rPr>
          <t xml:space="preserve">　　・公的負担金　 </t>
        </r>
        <r>
          <rPr>
            <sz val="10"/>
            <rFont val="Arial"/>
            <family val="2"/>
          </rPr>
          <t xml:space="preserve">R5:  0.08‰ → R6:  0.74‰</t>
        </r>
      </text>
    </comment>
    <comment ref="G8" authorId="0">
      <text>
        <r>
          <rPr>
            <sz val="10"/>
            <rFont val="WenQuanYi Zen Hei"/>
            <family val="2"/>
          </rPr>
          <t xml:space="preserve">　 ・財源率の改定
　（参考）財源率は短期分・介護分改定あり　【掛金】
  　・短期分　</t>
        </r>
        <r>
          <rPr>
            <sz val="10"/>
            <rFont val="Arial"/>
            <family val="2"/>
          </rPr>
          <t xml:space="preserve">R5</t>
        </r>
        <r>
          <rPr>
            <sz val="10"/>
            <rFont val="WenQuanYi Zen Hei"/>
            <family val="2"/>
          </rPr>
          <t xml:space="preserve">：  </t>
        </r>
        <r>
          <rPr>
            <sz val="10"/>
            <rFont val="Arial"/>
            <family val="2"/>
          </rPr>
          <t xml:space="preserve">44.51‰ → R6: 52.91‰ 
</t>
        </r>
        <r>
          <rPr>
            <sz val="10"/>
            <rFont val="WenQuanYi Zen Hei"/>
            <family val="2"/>
          </rPr>
          <t xml:space="preserve">　　・介護分　</t>
        </r>
        <r>
          <rPr>
            <sz val="10"/>
            <rFont val="Arial"/>
            <family val="2"/>
          </rPr>
          <t xml:space="preserve">R5</t>
        </r>
        <r>
          <rPr>
            <sz val="10"/>
            <rFont val="WenQuanYi Zen Hei"/>
            <family val="2"/>
          </rPr>
          <t xml:space="preserve">：     </t>
        </r>
        <r>
          <rPr>
            <sz val="10"/>
            <rFont val="Arial"/>
            <family val="2"/>
          </rPr>
          <t xml:space="preserve">8.9 ‰ → R6:  8.4 ‰ </t>
        </r>
      </text>
    </comment>
    <comment ref="G11" authorId="0">
      <text>
        <r>
          <rPr>
            <sz val="10"/>
            <rFont val="WenQuanYi Zen Hei"/>
            <family val="2"/>
          </rPr>
          <t xml:space="preserve">　・育児休業手当金交付金の増　</t>
        </r>
        <r>
          <rPr>
            <sz val="10"/>
            <rFont val="Arial"/>
            <family val="2"/>
          </rPr>
          <t xml:space="preserve">14,304</t>
        </r>
        <r>
          <rPr>
            <sz val="10"/>
            <rFont val="WenQuanYi Zen Hei"/>
            <family val="2"/>
          </rPr>
          <t xml:space="preserve">千円
　・介護休業手当金交付金の減　　 </t>
        </r>
        <r>
          <rPr>
            <sz val="10"/>
            <rFont val="Arial"/>
            <family val="2"/>
          </rPr>
          <t xml:space="preserve">573</t>
        </r>
        <r>
          <rPr>
            <sz val="10"/>
            <rFont val="WenQuanYi Zen Hei"/>
            <family val="2"/>
          </rPr>
          <t xml:space="preserve">千円</t>
        </r>
      </text>
    </comment>
    <comment ref="G29" authorId="0">
      <text>
        <r>
          <rPr>
            <sz val="10"/>
            <rFont val="WenQuanYi Zen Hei"/>
            <family val="2"/>
          </rPr>
          <t xml:space="preserve">　・療養の給付の減　　　　 ▲</t>
        </r>
        <r>
          <rPr>
            <sz val="10"/>
            <rFont val="Arial"/>
            <family val="2"/>
          </rPr>
          <t xml:space="preserve">9,024</t>
        </r>
        <r>
          <rPr>
            <sz val="10"/>
            <rFont val="WenQuanYi Zen Hei"/>
            <family val="2"/>
          </rPr>
          <t xml:space="preserve">千円
　・家族療養の給付の減  　▲</t>
        </r>
        <r>
          <rPr>
            <sz val="10"/>
            <rFont val="Arial"/>
            <family val="2"/>
          </rPr>
          <t xml:space="preserve">65,988</t>
        </r>
        <r>
          <rPr>
            <sz val="10"/>
            <rFont val="WenQuanYi Zen Hei"/>
            <family val="2"/>
          </rPr>
          <t xml:space="preserve">千円
　・高額療養の給付の減　　▲</t>
        </r>
        <r>
          <rPr>
            <sz val="10"/>
            <rFont val="Arial"/>
            <family val="2"/>
          </rPr>
          <t xml:space="preserve">10,034</t>
        </r>
        <r>
          <rPr>
            <sz val="10"/>
            <rFont val="WenQuanYi Zen Hei"/>
            <family val="2"/>
          </rPr>
          <t xml:space="preserve">千円
　・高額療養費の減　　　   ▲</t>
        </r>
        <r>
          <rPr>
            <sz val="10"/>
            <rFont val="Arial"/>
            <family val="2"/>
          </rPr>
          <t xml:space="preserve">8,450</t>
        </r>
        <r>
          <rPr>
            <sz val="10"/>
            <rFont val="WenQuanYi Zen Hei"/>
            <family val="2"/>
          </rPr>
          <t xml:space="preserve">千円</t>
        </r>
      </text>
    </comment>
    <comment ref="G30" authorId="0">
      <text>
        <r>
          <rPr>
            <sz val="10"/>
            <rFont val="WenQuanYi Zen Hei"/>
            <family val="2"/>
          </rPr>
          <t xml:space="preserve">　・育児休業手当金の増　　 </t>
        </r>
        <r>
          <rPr>
            <sz val="10"/>
            <rFont val="Arial"/>
            <family val="2"/>
          </rPr>
          <t xml:space="preserve">14,304</t>
        </r>
        <r>
          <rPr>
            <sz val="10"/>
            <rFont val="WenQuanYi Zen Hei"/>
            <family val="2"/>
          </rPr>
          <t xml:space="preserve">千円
　・傷病手当金の増　　　　　</t>
        </r>
        <r>
          <rPr>
            <sz val="10"/>
            <rFont val="Arial"/>
            <family val="2"/>
          </rPr>
          <t xml:space="preserve">6,213</t>
        </r>
        <r>
          <rPr>
            <sz val="10"/>
            <rFont val="WenQuanYi Zen Hei"/>
            <family val="2"/>
          </rPr>
          <t xml:space="preserve">千円</t>
        </r>
      </text>
    </comment>
    <comment ref="G32" authorId="0">
      <text>
        <r>
          <rPr>
            <sz val="10"/>
            <rFont val="WenQuanYi Zen Hei"/>
            <family val="2"/>
          </rPr>
          <t xml:space="preserve">　・家族療養費付加金の減      ▲</t>
        </r>
        <r>
          <rPr>
            <sz val="10"/>
            <rFont val="Arial"/>
            <family val="2"/>
          </rPr>
          <t xml:space="preserve">732</t>
        </r>
        <r>
          <rPr>
            <sz val="10"/>
            <rFont val="WenQuanYi Zen Hei"/>
            <family val="2"/>
          </rPr>
          <t xml:space="preserve">千円
　・出産費付加金の減　　　　▲</t>
        </r>
        <r>
          <rPr>
            <sz val="10"/>
            <rFont val="Arial"/>
            <family val="2"/>
          </rPr>
          <t xml:space="preserve">2,128</t>
        </r>
        <r>
          <rPr>
            <sz val="10"/>
            <rFont val="WenQuanYi Zen Hei"/>
            <family val="2"/>
          </rPr>
          <t xml:space="preserve">千円
　・家族出産費附加金の減　    ▲</t>
        </r>
        <r>
          <rPr>
            <sz val="10"/>
            <rFont val="Arial"/>
            <family val="2"/>
          </rPr>
          <t xml:space="preserve">996</t>
        </r>
        <r>
          <rPr>
            <sz val="10"/>
            <rFont val="WenQuanYi Zen Hei"/>
            <family val="2"/>
          </rPr>
          <t xml:space="preserve">千円</t>
        </r>
      </text>
    </comment>
    <comment ref="G34" authorId="0">
      <text>
        <r>
          <rPr>
            <sz val="10"/>
            <rFont val="WenQuanYi Zen Hei"/>
            <family val="2"/>
          </rPr>
          <t xml:space="preserve">　・前期高齢者納付金の増　　　　　 </t>
        </r>
        <r>
          <rPr>
            <sz val="10"/>
            <rFont val="Arial"/>
            <family val="2"/>
          </rPr>
          <t xml:space="preserve">1,064,346</t>
        </r>
        <r>
          <rPr>
            <sz val="10"/>
            <rFont val="WenQuanYi Zen Hei"/>
            <family val="2"/>
          </rPr>
          <t xml:space="preserve">千円　
　・後期高齢者支援金の増　　　　   　 </t>
        </r>
        <r>
          <rPr>
            <sz val="10"/>
            <rFont val="Arial"/>
            <family val="2"/>
          </rPr>
          <t xml:space="preserve">34,519</t>
        </r>
        <r>
          <rPr>
            <sz val="10"/>
            <rFont val="WenQuanYi Zen Hei"/>
            <family val="2"/>
          </rPr>
          <t xml:space="preserve">千円
　・介護納付金の減　　　　　　　　  ▲</t>
        </r>
        <r>
          <rPr>
            <sz val="10"/>
            <rFont val="Arial"/>
            <family val="2"/>
          </rPr>
          <t xml:space="preserve">86,004</t>
        </r>
        <r>
          <rPr>
            <sz val="10"/>
            <rFont val="WenQuanYi Zen Hei"/>
            <family val="2"/>
          </rPr>
          <t xml:space="preserve">千円
　・育児介護休業手当金拠出金の増  　  </t>
        </r>
        <r>
          <rPr>
            <sz val="10"/>
            <rFont val="Arial"/>
            <family val="2"/>
          </rPr>
          <t xml:space="preserve">33,915</t>
        </r>
        <r>
          <rPr>
            <sz val="10"/>
            <rFont val="WenQuanYi Zen Hei"/>
            <family val="2"/>
          </rPr>
          <t xml:space="preserve">千円</t>
        </r>
      </text>
    </comment>
    <comment ref="G41" authorId="0">
      <text>
        <r>
          <rPr>
            <sz val="10"/>
            <rFont val="WenQuanYi Zen Hei"/>
            <family val="2"/>
          </rPr>
          <t xml:space="preserve">　・災害給付払込金の増　          </t>
        </r>
        <r>
          <rPr>
            <sz val="10"/>
            <rFont val="Arial"/>
            <family val="2"/>
          </rPr>
          <t xml:space="preserve">950</t>
        </r>
        <r>
          <rPr>
            <sz val="10"/>
            <rFont val="WenQuanYi Zen Hei"/>
            <family val="2"/>
          </rPr>
          <t xml:space="preserve">千円
　・財政調整払込金の増　        </t>
        </r>
        <r>
          <rPr>
            <sz val="10"/>
            <rFont val="Arial"/>
            <family val="2"/>
          </rPr>
          <t xml:space="preserve">5,222</t>
        </r>
        <r>
          <rPr>
            <sz val="10"/>
            <rFont val="WenQuanYi Zen Hei"/>
            <family val="2"/>
          </rPr>
          <t xml:space="preserve">千円</t>
        </r>
      </text>
    </comment>
    <comment ref="M7" authorId="0">
      <text>
        <r>
          <rPr>
            <sz val="10"/>
            <rFont val="WenQuanYi Zen Hei"/>
            <family val="2"/>
          </rPr>
          <t xml:space="preserve">事業費用の増による事務費負担金の増</t>
        </r>
      </text>
    </comment>
    <comment ref="M19" authorId="0">
      <text>
        <r>
          <rPr>
            <sz val="10"/>
            <rFont val="WenQuanYi Zen Hei"/>
            <family val="2"/>
          </rPr>
          <t xml:space="preserve">事業費用の増による事務費負担金の増</t>
        </r>
      </text>
    </comment>
    <comment ref="M23" authorId="0">
      <text>
        <r>
          <rPr>
            <sz val="10"/>
            <rFont val="WenQuanYi Zen Hei"/>
            <family val="2"/>
          </rPr>
          <t xml:space="preserve">社会保障・税番号制度システム整備費等補助金の増</t>
        </r>
      </text>
    </comment>
    <comment ref="M44" authorId="0">
      <text>
        <r>
          <rPr>
            <sz val="10"/>
            <rFont val="WenQuanYi Zen Hei"/>
            <family val="2"/>
          </rPr>
          <t xml:space="preserve">　・委託費の増　　　　　　　　　 </t>
        </r>
        <r>
          <rPr>
            <sz val="10"/>
            <rFont val="Arial"/>
            <family val="2"/>
          </rPr>
          <t xml:space="preserve">11,396</t>
        </r>
        <r>
          <rPr>
            <sz val="10"/>
            <rFont val="WenQuanYi Zen Hei"/>
            <family val="2"/>
          </rPr>
          <t xml:space="preserve">千円
　・事務費負担金払込金の増　　　　</t>
        </r>
        <r>
          <rPr>
            <sz val="10"/>
            <rFont val="Arial"/>
            <family val="2"/>
          </rPr>
          <t xml:space="preserve">4,582</t>
        </r>
        <r>
          <rPr>
            <sz val="10"/>
            <rFont val="WenQuanYi Zen Hei"/>
            <family val="2"/>
          </rPr>
          <t xml:space="preserve">千円
　・職員給与の増　　　　　　　　　</t>
        </r>
        <r>
          <rPr>
            <sz val="10"/>
            <rFont val="Arial"/>
            <family val="2"/>
          </rPr>
          <t xml:space="preserve">1,666</t>
        </r>
        <r>
          <rPr>
            <sz val="10"/>
            <rFont val="WenQuanYi Zen Hei"/>
            <family val="2"/>
          </rPr>
          <t xml:space="preserve">千円
　・賃借料の増　　　　　　　　　　</t>
        </r>
        <r>
          <rPr>
            <sz val="10"/>
            <rFont val="Arial"/>
            <family val="2"/>
          </rPr>
          <t xml:space="preserve">1,409</t>
        </r>
        <r>
          <rPr>
            <sz val="10"/>
            <rFont val="WenQuanYi Zen Hei"/>
            <family val="2"/>
          </rPr>
          <t xml:space="preserve">千円
　・事務費の増　　　　　　　　　　　</t>
        </r>
        <r>
          <rPr>
            <sz val="10"/>
            <rFont val="Arial"/>
            <family val="2"/>
          </rPr>
          <t xml:space="preserve">805</t>
        </r>
        <r>
          <rPr>
            <sz val="10"/>
            <rFont val="WenQuanYi Zen Hei"/>
            <family val="2"/>
          </rPr>
          <t xml:space="preserve">千円
　・連合会分担金の増   　    　  　</t>
        </r>
        <r>
          <rPr>
            <sz val="10"/>
            <rFont val="Arial"/>
            <family val="2"/>
          </rPr>
          <t xml:space="preserve">521</t>
        </r>
        <r>
          <rPr>
            <sz val="10"/>
            <rFont val="WenQuanYi Zen Hei"/>
            <family val="2"/>
          </rPr>
          <t xml:space="preserve">千円
 　 </t>
        </r>
        <r>
          <rPr>
            <sz val="10"/>
            <rFont val="Arial"/>
            <family val="2"/>
          </rPr>
          <t xml:space="preserve">R5</t>
        </r>
        <r>
          <rPr>
            <sz val="10"/>
            <rFont val="WenQuanYi Zen Hei"/>
            <family val="2"/>
          </rPr>
          <t xml:space="preserve">　   </t>
        </r>
        <r>
          <rPr>
            <sz val="10"/>
            <rFont val="Arial"/>
            <family val="2"/>
          </rPr>
          <t xml:space="preserve">@475</t>
        </r>
        <r>
          <rPr>
            <sz val="10"/>
            <rFont val="WenQuanYi Zen Hei"/>
            <family val="2"/>
          </rPr>
          <t xml:space="preserve">円</t>
        </r>
        <r>
          <rPr>
            <sz val="10"/>
            <rFont val="Arial"/>
            <family val="2"/>
          </rPr>
          <t xml:space="preserve">×18,555</t>
        </r>
        <r>
          <rPr>
            <sz val="10"/>
            <rFont val="WenQuanYi Zen Hei"/>
            <family val="2"/>
          </rPr>
          <t xml:space="preserve">人＝</t>
        </r>
        <r>
          <rPr>
            <sz val="10"/>
            <rFont val="Arial"/>
            <family val="2"/>
          </rPr>
          <t xml:space="preserve">8,813,625</t>
        </r>
        <r>
          <rPr>
            <sz val="10"/>
            <rFont val="WenQuanYi Zen Hei"/>
            <family val="2"/>
          </rPr>
          <t xml:space="preserve">円
 　 </t>
        </r>
        <r>
          <rPr>
            <sz val="10"/>
            <rFont val="Arial"/>
            <family val="2"/>
          </rPr>
          <t xml:space="preserve">R6</t>
        </r>
        <r>
          <rPr>
            <sz val="10"/>
            <rFont val="WenQuanYi Zen Hei"/>
            <family val="2"/>
          </rPr>
          <t xml:space="preserve">　   </t>
        </r>
        <r>
          <rPr>
            <sz val="10"/>
            <rFont val="Arial"/>
            <family val="2"/>
          </rPr>
          <t xml:space="preserve">@497</t>
        </r>
        <r>
          <rPr>
            <sz val="10"/>
            <rFont val="WenQuanYi Zen Hei"/>
            <family val="2"/>
          </rPr>
          <t xml:space="preserve">円</t>
        </r>
        <r>
          <rPr>
            <sz val="10"/>
            <rFont val="Arial"/>
            <family val="2"/>
          </rPr>
          <t xml:space="preserve">×18,781</t>
        </r>
        <r>
          <rPr>
            <sz val="10"/>
            <rFont val="WenQuanYi Zen Hei"/>
            <family val="2"/>
          </rPr>
          <t xml:space="preserve">人＝</t>
        </r>
        <r>
          <rPr>
            <sz val="10"/>
            <rFont val="Arial"/>
            <family val="2"/>
          </rPr>
          <t xml:space="preserve">9,334,157</t>
        </r>
        <r>
          <rPr>
            <sz val="10"/>
            <rFont val="WenQuanYi Zen Hei"/>
            <family val="2"/>
          </rPr>
          <t xml:space="preserve">円</t>
        </r>
      </text>
    </comment>
    <comment ref="N17" authorId="0">
      <text>
        <r>
          <rPr>
            <sz val="10"/>
            <rFont val="Arial"/>
            <family val="2"/>
          </rPr>
          <t xml:space="preserve">R6</t>
        </r>
        <r>
          <rPr>
            <sz val="10"/>
            <rFont val="WenQuanYi Zen Hei"/>
            <family val="2"/>
          </rPr>
          <t xml:space="preserve">年度施設廃止</t>
        </r>
      </text>
    </comment>
    <comment ref="P7" authorId="0">
      <text>
        <r>
          <rPr>
            <sz val="10"/>
            <rFont val="WenQuanYi Zen Hei"/>
            <family val="2"/>
          </rPr>
          <t xml:space="preserve">　掛金との差は、法定健診等負担金との差
　　（人間ドック代用事業主負担等）</t>
        </r>
      </text>
    </comment>
    <comment ref="P44" authorId="0">
      <text>
        <r>
          <rPr>
            <sz val="10"/>
            <rFont val="WenQuanYi Zen Hei"/>
            <family val="2"/>
          </rPr>
          <t xml:space="preserve">　・人間ドックの増     　　　 </t>
        </r>
        <r>
          <rPr>
            <sz val="10"/>
            <rFont val="Arial"/>
            <family val="2"/>
          </rPr>
          <t xml:space="preserve">22,688</t>
        </r>
        <r>
          <rPr>
            <sz val="10"/>
            <rFont val="WenQuanYi Zen Hei"/>
            <family val="2"/>
          </rPr>
          <t xml:space="preserve">千円
　・特定健康診査の増　　　　　　 </t>
        </r>
        <r>
          <rPr>
            <sz val="10"/>
            <rFont val="Arial"/>
            <family val="2"/>
          </rPr>
          <t xml:space="preserve">555</t>
        </r>
        <r>
          <rPr>
            <sz val="10"/>
            <rFont val="WenQuanYi Zen Hei"/>
            <family val="2"/>
          </rPr>
          <t xml:space="preserve">千円
　・特定保健指導の減　　 　  ▲</t>
        </r>
        <r>
          <rPr>
            <sz val="10"/>
            <rFont val="Arial"/>
            <family val="2"/>
          </rPr>
          <t xml:space="preserve">4,805</t>
        </r>
        <r>
          <rPr>
            <sz val="10"/>
            <rFont val="WenQuanYi Zen Hei"/>
            <family val="2"/>
          </rPr>
          <t xml:space="preserve">千円
　・会員制福利厚生制度の増　　　 </t>
        </r>
        <r>
          <rPr>
            <sz val="10"/>
            <rFont val="Arial"/>
            <family val="2"/>
          </rPr>
          <t xml:space="preserve">313</t>
        </r>
        <r>
          <rPr>
            <sz val="10"/>
            <rFont val="WenQuanYi Zen Hei"/>
            <family val="2"/>
          </rPr>
          <t xml:space="preserve">千円
　・婦人科健診の増　　　　　　 </t>
        </r>
        <r>
          <rPr>
            <sz val="10"/>
            <rFont val="Arial"/>
            <family val="2"/>
          </rPr>
          <t xml:space="preserve">2,060</t>
        </r>
        <r>
          <rPr>
            <sz val="10"/>
            <rFont val="WenQuanYi Zen Hei"/>
            <family val="2"/>
          </rPr>
          <t xml:space="preserve">千円
　・コテージの増</t>
        </r>
        <r>
          <rPr>
            <sz val="10"/>
            <rFont val="Arial"/>
            <family val="2"/>
          </rPr>
          <t xml:space="preserve">(</t>
        </r>
        <r>
          <rPr>
            <sz val="10"/>
            <rFont val="WenQuanYi Zen Hei"/>
            <family val="2"/>
          </rPr>
          <t xml:space="preserve">解体</t>
        </r>
        <r>
          <rPr>
            <sz val="10"/>
            <rFont val="Arial"/>
            <family val="2"/>
          </rPr>
          <t xml:space="preserve">) </t>
        </r>
        <r>
          <rPr>
            <sz val="10"/>
            <rFont val="WenQuanYi Zen Hei"/>
            <family val="2"/>
          </rPr>
          <t xml:space="preserve">　　　 </t>
        </r>
        <r>
          <rPr>
            <sz val="10"/>
            <rFont val="Arial"/>
            <family val="2"/>
          </rPr>
          <t xml:space="preserve">13,026</t>
        </r>
        <r>
          <rPr>
            <sz val="10"/>
            <rFont val="WenQuanYi Zen Hei"/>
            <family val="2"/>
          </rPr>
          <t xml:space="preserve">千円
　・データヘルス計画の減　　 ▲</t>
        </r>
        <r>
          <rPr>
            <sz val="10"/>
            <rFont val="Arial"/>
            <family val="2"/>
          </rPr>
          <t xml:space="preserve">3,401</t>
        </r>
        <r>
          <rPr>
            <sz val="10"/>
            <rFont val="WenQuanYi Zen Hei"/>
            <family val="2"/>
          </rPr>
          <t xml:space="preserve">千円</t>
        </r>
      </text>
    </comment>
    <comment ref="S22" authorId="0">
      <text>
        <r>
          <rPr>
            <sz val="10"/>
            <rFont val="WenQuanYi Zen Hei"/>
            <family val="2"/>
          </rPr>
          <t xml:space="preserve">　貸付金残高の減
　　　令和</t>
        </r>
        <r>
          <rPr>
            <sz val="10"/>
            <rFont val="Arial"/>
            <family val="2"/>
          </rPr>
          <t xml:space="preserve">6</t>
        </r>
        <r>
          <rPr>
            <sz val="10"/>
            <rFont val="WenQuanYi Zen Hei"/>
            <family val="2"/>
          </rPr>
          <t xml:space="preserve">年</t>
        </r>
        <r>
          <rPr>
            <sz val="10"/>
            <rFont val="Arial"/>
            <family val="2"/>
          </rPr>
          <t xml:space="preserve">3</t>
        </r>
        <r>
          <rPr>
            <sz val="10"/>
            <rFont val="WenQuanYi Zen Hei"/>
            <family val="2"/>
          </rPr>
          <t xml:space="preserve">月末　</t>
        </r>
        <r>
          <rPr>
            <sz val="10"/>
            <rFont val="Arial"/>
            <family val="2"/>
          </rPr>
          <t xml:space="preserve">1,074,558,509</t>
        </r>
        <r>
          <rPr>
            <sz val="10"/>
            <rFont val="WenQuanYi Zen Hei"/>
            <family val="2"/>
          </rPr>
          <t xml:space="preserve">円
　  　令和</t>
        </r>
        <r>
          <rPr>
            <sz val="10"/>
            <rFont val="Arial"/>
            <family val="2"/>
          </rPr>
          <t xml:space="preserve">7</t>
        </r>
        <r>
          <rPr>
            <sz val="10"/>
            <rFont val="WenQuanYi Zen Hei"/>
            <family val="2"/>
          </rPr>
          <t xml:space="preserve">年</t>
        </r>
        <r>
          <rPr>
            <sz val="10"/>
            <rFont val="Arial"/>
            <family val="2"/>
          </rPr>
          <t xml:space="preserve">3</t>
        </r>
        <r>
          <rPr>
            <sz val="10"/>
            <rFont val="WenQuanYi Zen Hei"/>
            <family val="2"/>
          </rPr>
          <t xml:space="preserve">月末　　</t>
        </r>
        <r>
          <rPr>
            <sz val="10"/>
            <rFont val="Arial"/>
            <family val="2"/>
          </rPr>
          <t xml:space="preserve">957,879,024</t>
        </r>
        <r>
          <rPr>
            <sz val="10"/>
            <rFont val="WenQuanYi Zen Hei"/>
            <family val="2"/>
          </rPr>
          <t xml:space="preserve">円
　　　　　　 　　　△ </t>
        </r>
        <r>
          <rPr>
            <sz val="10"/>
            <rFont val="Arial"/>
            <family val="2"/>
          </rPr>
          <t xml:space="preserve">116,679,485</t>
        </r>
        <r>
          <rPr>
            <sz val="10"/>
            <rFont val="WenQuanYi Zen Hei"/>
            <family val="2"/>
          </rPr>
          <t xml:space="preserve">円　
　※利率　年</t>
        </r>
        <r>
          <rPr>
            <sz val="10"/>
            <rFont val="Arial"/>
            <family val="2"/>
          </rPr>
          <t xml:space="preserve">1.26</t>
        </r>
      </text>
    </comment>
    <comment ref="S41" authorId="0">
      <text>
        <r>
          <rPr>
            <sz val="10"/>
            <rFont val="WenQuanYi Zen Hei"/>
            <family val="2"/>
          </rPr>
          <t xml:space="preserve">　連合会貸付債権共同保全事業</t>
        </r>
        <r>
          <rPr>
            <sz val="10"/>
            <rFont val="Arial"/>
            <family val="2"/>
          </rPr>
          <t xml:space="preserve">(※1)</t>
        </r>
        <r>
          <rPr>
            <sz val="10"/>
            <rFont val="WenQuanYi Zen Hei"/>
            <family val="2"/>
          </rPr>
          <t xml:space="preserve">における連合会払込金の減（令和６年度から令和８年度の間は連合会への払い込みは要しない）
</t>
        </r>
        <r>
          <rPr>
            <sz val="10"/>
            <rFont val="Arial"/>
            <family val="2"/>
          </rPr>
          <t xml:space="preserve">(※1)</t>
        </r>
        <r>
          <rPr>
            <sz val="10"/>
            <rFont val="WenQuanYi Zen Hei"/>
            <family val="2"/>
          </rPr>
          <t xml:space="preserve">　組合員が破産等により償還不能となり貸付経理に損失が出た場合に、その損失額を補てんすることにより貸付債権の保全を図るもの。 </t>
        </r>
      </text>
    </comment>
    <comment ref="S44" authorId="0">
      <text>
        <r>
          <rPr>
            <sz val="10"/>
            <rFont val="WenQuanYi Zen Hei"/>
            <family val="2"/>
          </rPr>
          <t xml:space="preserve">・委託費の増　　</t>
        </r>
        <r>
          <rPr>
            <sz val="10"/>
            <rFont val="Arial"/>
            <family val="2"/>
          </rPr>
          <t xml:space="preserve">3,503</t>
        </r>
        <r>
          <rPr>
            <sz val="10"/>
            <rFont val="WenQuanYi Zen Hei"/>
            <family val="2"/>
          </rPr>
          <t xml:space="preserve">千円</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D7" authorId="0">
      <text>
        <r>
          <rPr>
            <sz val="10"/>
            <rFont val="WenQuanYi Zen Hei"/>
            <family val="2"/>
          </rPr>
          <t xml:space="preserve">短期＋公的＋介護＋調整</t>
        </r>
      </text>
    </comment>
    <comment ref="D8" authorId="0">
      <text>
        <r>
          <rPr>
            <sz val="10"/>
            <rFont val="WenQuanYi Zen Hei"/>
            <family val="2"/>
          </rPr>
          <t xml:space="preserve">短期＋介護＋任継（短期、介護）</t>
        </r>
      </text>
    </comment>
    <comment ref="D11" authorId="0">
      <text>
        <r>
          <rPr>
            <sz val="10"/>
            <rFont val="WenQuanYi Zen Hei"/>
            <family val="2"/>
          </rPr>
          <t xml:space="preserve">育介手当の原資</t>
        </r>
      </text>
    </comment>
    <comment ref="D26" authorId="0">
      <text>
        <r>
          <rPr>
            <sz val="10"/>
            <rFont val="WenQuanYi Zen Hei"/>
            <family val="2"/>
          </rPr>
          <t xml:space="preserve">資格喪失の返戻金</t>
        </r>
      </text>
    </comment>
    <comment ref="D34" authorId="0">
      <text>
        <r>
          <rPr>
            <sz val="10"/>
            <rFont val="WenQuanYi Zen Hei"/>
            <family val="2"/>
          </rPr>
          <t xml:space="preserve">　老人保健拠出金、退職者給付拠出金、
　前期高齢者納付金、後期高齢者支援金、
　病床転換支援金、介護納付金、
　特別調整拠出金、育介休業手当金拠出金</t>
        </r>
      </text>
    </comment>
    <comment ref="D41" authorId="0">
      <text>
        <r>
          <rPr>
            <sz val="10"/>
            <rFont val="WenQuanYi Zen Hei"/>
            <family val="2"/>
          </rPr>
          <t xml:space="preserve">共同事業（災害支援、掛金の高い組合の支援）</t>
        </r>
      </text>
    </comment>
    <comment ref="D42" authorId="0">
      <text>
        <r>
          <rPr>
            <sz val="10"/>
            <rFont val="WenQuanYi Zen Hei"/>
            <family val="2"/>
          </rPr>
          <t xml:space="preserve">人件費や消耗品の</t>
        </r>
        <r>
          <rPr>
            <sz val="10"/>
            <rFont val="Arial"/>
            <family val="2"/>
          </rPr>
          <t xml:space="preserve">25</t>
        </r>
        <r>
          <rPr>
            <sz val="10"/>
            <rFont val="WenQuanYi Zen Hei"/>
            <family val="2"/>
          </rPr>
          <t xml:space="preserve">％</t>
        </r>
      </text>
    </comment>
    <comment ref="E14" authorId="0">
      <text>
        <r>
          <rPr>
            <sz val="10"/>
            <rFont val="WenQuanYi Zen Hei"/>
            <family val="2"/>
          </rPr>
          <t xml:space="preserve">　　年度内の医療行為に対する賠償が無かったため、保険会社等
　からの賠償金については、前期損益修正益へ。　</t>
        </r>
      </text>
    </comment>
    <comment ref="F14" authorId="0">
      <text>
        <r>
          <rPr>
            <sz val="10"/>
            <rFont val="WenQuanYi Zen Hei"/>
            <family val="2"/>
          </rPr>
          <t xml:space="preserve">　　年度内の医療行為に対する賠償が無かったため、保険会社等
　からの賠償金については、前期損益修正益へ。　</t>
        </r>
      </text>
    </comment>
    <comment ref="G7" authorId="0">
      <text>
        <r>
          <rPr>
            <sz val="10"/>
            <rFont val="WenQuanYi Zen Hei"/>
            <family val="2"/>
          </rPr>
          <t xml:space="preserve">　財源率改定による減　【負担金】
  　・短期分　　　</t>
        </r>
        <r>
          <rPr>
            <sz val="10"/>
            <rFont val="Arial"/>
            <family val="2"/>
          </rPr>
          <t xml:space="preserve">H29: 39.61‰ → H30: 38.42‰
</t>
        </r>
        <r>
          <rPr>
            <sz val="10"/>
            <rFont val="WenQuanYi Zen Hei"/>
            <family val="2"/>
          </rPr>
          <t xml:space="preserve">　　・介護分　　　</t>
        </r>
        <r>
          <rPr>
            <sz val="10"/>
            <rFont val="Arial"/>
            <family val="2"/>
          </rPr>
          <t xml:space="preserve">H29:  5.7‰ →  H30:  6.5‰
</t>
        </r>
        <r>
          <rPr>
            <sz val="10"/>
            <rFont val="WenQuanYi Zen Hei"/>
            <family val="2"/>
          </rPr>
          <t xml:space="preserve">　　・調整負担金　</t>
        </r>
        <r>
          <rPr>
            <sz val="10"/>
            <rFont val="Arial"/>
            <family val="2"/>
          </rPr>
          <t xml:space="preserve">H29:  0.2 ‰ → H30:  0.2 ‰
</t>
        </r>
        <r>
          <rPr>
            <sz val="10"/>
            <rFont val="WenQuanYi Zen Hei"/>
            <family val="2"/>
          </rPr>
          <t xml:space="preserve">　　・公的負担金　</t>
        </r>
        <r>
          <rPr>
            <sz val="10"/>
            <rFont val="Arial"/>
            <family val="2"/>
          </rPr>
          <t xml:space="preserve">H29:  0.06‰ → H30:  0.05‰</t>
        </r>
      </text>
    </comment>
    <comment ref="G8" authorId="0">
      <text>
        <r>
          <rPr>
            <sz val="10"/>
            <rFont val="WenQuanYi Zen Hei"/>
            <family val="2"/>
          </rPr>
          <t xml:space="preserve">　財源率改定による減　【掛金】
  　・短期分　</t>
        </r>
        <r>
          <rPr>
            <sz val="10"/>
            <rFont val="Arial"/>
            <family val="2"/>
          </rPr>
          <t xml:space="preserve">H29: 39.61‰ → H30: 38.42‰
</t>
        </r>
        <r>
          <rPr>
            <sz val="10"/>
            <rFont val="WenQuanYi Zen Hei"/>
            <family val="2"/>
          </rPr>
          <t xml:space="preserve">　　・介護分　</t>
        </r>
        <r>
          <rPr>
            <sz val="10"/>
            <rFont val="Arial"/>
            <family val="2"/>
          </rPr>
          <t xml:space="preserve">H29:   5.7 ‰ → H30:   6.5‰</t>
        </r>
      </text>
    </comment>
    <comment ref="G11" authorId="0">
      <text>
        <r>
          <rPr>
            <sz val="10"/>
            <rFont val="WenQuanYi Zen Hei"/>
            <family val="2"/>
          </rPr>
          <t xml:space="preserve"> 休業日数の減等に伴う交付額の増
   育児休業手当金 </t>
        </r>
        <r>
          <rPr>
            <sz val="10"/>
            <rFont val="Arial"/>
            <family val="2"/>
          </rPr>
          <t xml:space="preserve">H29:38,272</t>
        </r>
        <r>
          <rPr>
            <sz val="10"/>
            <rFont val="WenQuanYi Zen Hei"/>
            <family val="2"/>
          </rPr>
          <t xml:space="preserve">日 → </t>
        </r>
        <r>
          <rPr>
            <sz val="10"/>
            <rFont val="Arial"/>
            <family val="2"/>
          </rPr>
          <t xml:space="preserve">H30:40,776</t>
        </r>
        <r>
          <rPr>
            <sz val="10"/>
            <rFont val="WenQuanYi Zen Hei"/>
            <family val="2"/>
          </rPr>
          <t xml:space="preserve">日</t>
        </r>
        <r>
          <rPr>
            <sz val="10"/>
            <rFont val="Arial"/>
            <family val="2"/>
          </rPr>
          <t xml:space="preserve">(</t>
        </r>
        <r>
          <rPr>
            <sz val="10"/>
            <rFont val="WenQuanYi Zen Hei"/>
            <family val="2"/>
          </rPr>
          <t xml:space="preserve">＋</t>
        </r>
        <r>
          <rPr>
            <sz val="10"/>
            <rFont val="Arial"/>
            <family val="2"/>
          </rPr>
          <t xml:space="preserve">2,504</t>
        </r>
        <r>
          <rPr>
            <sz val="10"/>
            <rFont val="WenQuanYi Zen Hei"/>
            <family val="2"/>
          </rPr>
          <t xml:space="preserve">日</t>
        </r>
        <r>
          <rPr>
            <sz val="10"/>
            <rFont val="Arial"/>
            <family val="2"/>
          </rPr>
          <t xml:space="preserve">)
   </t>
        </r>
        <r>
          <rPr>
            <sz val="10"/>
            <rFont val="WenQuanYi Zen Hei"/>
            <family val="2"/>
          </rPr>
          <t xml:space="preserve">介護休業手当金 </t>
        </r>
        <r>
          <rPr>
            <sz val="10"/>
            <rFont val="Arial"/>
            <family val="2"/>
          </rPr>
          <t xml:space="preserve">H29:   116</t>
        </r>
        <r>
          <rPr>
            <sz val="10"/>
            <rFont val="WenQuanYi Zen Hei"/>
            <family val="2"/>
          </rPr>
          <t xml:space="preserve">日 → </t>
        </r>
        <r>
          <rPr>
            <sz val="10"/>
            <rFont val="Arial"/>
            <family val="2"/>
          </rPr>
          <t xml:space="preserve">H30:   247</t>
        </r>
        <r>
          <rPr>
            <sz val="10"/>
            <rFont val="WenQuanYi Zen Hei"/>
            <family val="2"/>
          </rPr>
          <t xml:space="preserve">日</t>
        </r>
        <r>
          <rPr>
            <sz val="10"/>
            <rFont val="Arial"/>
            <family val="2"/>
          </rPr>
          <t xml:space="preserve">(</t>
        </r>
        <r>
          <rPr>
            <sz val="10"/>
            <rFont val="WenQuanYi Zen Hei"/>
            <family val="2"/>
          </rPr>
          <t xml:space="preserve">＋　</t>
        </r>
        <r>
          <rPr>
            <sz val="10"/>
            <rFont val="Arial"/>
            <family val="2"/>
          </rPr>
          <t xml:space="preserve">131</t>
        </r>
        <r>
          <rPr>
            <sz val="10"/>
            <rFont val="WenQuanYi Zen Hei"/>
            <family val="2"/>
          </rPr>
          <t xml:space="preserve">日</t>
        </r>
        <r>
          <rPr>
            <sz val="10"/>
            <rFont val="Arial"/>
            <family val="2"/>
          </rPr>
          <t xml:space="preserve">)</t>
        </r>
      </text>
    </comment>
    <comment ref="G12" authorId="0">
      <text>
        <r>
          <rPr>
            <sz val="10"/>
            <rFont val="WenQuanYi Zen Hei"/>
            <family val="2"/>
          </rPr>
          <t xml:space="preserve">該当件数の増に伴う交付額の増</t>
        </r>
      </text>
    </comment>
    <comment ref="G23" authorId="0">
      <text>
        <r>
          <rPr>
            <sz val="10"/>
            <rFont val="WenQuanYi Zen Hei"/>
            <family val="2"/>
          </rPr>
          <t xml:space="preserve">高齢者医療円滑化等補助金</t>
        </r>
      </text>
    </comment>
    <comment ref="G29" authorId="0">
      <text>
        <r>
          <rPr>
            <sz val="10"/>
            <rFont val="WenQuanYi Zen Hei"/>
            <family val="2"/>
          </rPr>
          <t xml:space="preserve">　・療養の給付・家族療養の給付の増  </t>
        </r>
        <r>
          <rPr>
            <sz val="10"/>
            <rFont val="Arial"/>
            <family val="2"/>
          </rPr>
          <t xml:space="preserve">103,630</t>
        </r>
        <r>
          <rPr>
            <sz val="10"/>
            <rFont val="WenQuanYi Zen Hei"/>
            <family val="2"/>
          </rPr>
          <t xml:space="preserve">千円
　・高額療養の給付の増              </t>
        </r>
        <r>
          <rPr>
            <sz val="10"/>
            <rFont val="Arial"/>
            <family val="2"/>
          </rPr>
          <t xml:space="preserve">32,288</t>
        </r>
        <r>
          <rPr>
            <sz val="10"/>
            <rFont val="WenQuanYi Zen Hei"/>
            <family val="2"/>
          </rPr>
          <t xml:space="preserve">千円
　・出産費の増　　　　　　　　　　　 </t>
        </r>
        <r>
          <rPr>
            <sz val="10"/>
            <rFont val="Arial"/>
            <family val="2"/>
          </rPr>
          <t xml:space="preserve">15,187</t>
        </r>
        <r>
          <rPr>
            <sz val="10"/>
            <rFont val="WenQuanYi Zen Hei"/>
            <family val="2"/>
          </rPr>
          <t xml:space="preserve">千円
　・薬剤支給の減　　　　　　　　　 △</t>
        </r>
        <r>
          <rPr>
            <sz val="10"/>
            <rFont val="Arial"/>
            <family val="2"/>
          </rPr>
          <t xml:space="preserve">18,566</t>
        </r>
        <r>
          <rPr>
            <sz val="10"/>
            <rFont val="WenQuanYi Zen Hei"/>
            <family val="2"/>
          </rPr>
          <t xml:space="preserve">千円</t>
        </r>
      </text>
    </comment>
    <comment ref="G30" authorId="0">
      <text>
        <r>
          <rPr>
            <sz val="10"/>
            <rFont val="WenQuanYi Zen Hei"/>
            <family val="2"/>
          </rPr>
          <t xml:space="preserve">　・傷病手当金の増              </t>
        </r>
        <r>
          <rPr>
            <sz val="10"/>
            <rFont val="Arial"/>
            <family val="2"/>
          </rPr>
          <t xml:space="preserve">6,801</t>
        </r>
        <r>
          <rPr>
            <sz val="10"/>
            <rFont val="WenQuanYi Zen Hei"/>
            <family val="2"/>
          </rPr>
          <t xml:space="preserve">千円
　・育児休業手当金の増　　　　　</t>
        </r>
        <r>
          <rPr>
            <sz val="10"/>
            <rFont val="Arial"/>
            <family val="2"/>
          </rPr>
          <t xml:space="preserve">23,683</t>
        </r>
        <r>
          <rPr>
            <sz val="10"/>
            <rFont val="WenQuanYi Zen Hei"/>
            <family val="2"/>
          </rPr>
          <t xml:space="preserve">千円
　・介護休業手当金の増　　　　　 </t>
        </r>
        <r>
          <rPr>
            <sz val="10"/>
            <rFont val="Arial"/>
            <family val="2"/>
          </rPr>
          <t xml:space="preserve">1,686</t>
        </r>
        <r>
          <rPr>
            <sz val="10"/>
            <rFont val="WenQuanYi Zen Hei"/>
            <family val="2"/>
          </rPr>
          <t xml:space="preserve">千円</t>
        </r>
      </text>
    </comment>
    <comment ref="G31" authorId="0">
      <text>
        <r>
          <rPr>
            <sz val="10"/>
            <rFont val="WenQuanYi Zen Hei"/>
            <family val="2"/>
          </rPr>
          <t xml:space="preserve">災害見舞金</t>
        </r>
      </text>
    </comment>
    <comment ref="G32" authorId="0">
      <text>
        <r>
          <rPr>
            <sz val="10"/>
            <rFont val="WenQuanYi Zen Hei"/>
            <family val="2"/>
          </rPr>
          <t xml:space="preserve">　・家族療養費附加金の増          　</t>
        </r>
        <r>
          <rPr>
            <sz val="10"/>
            <rFont val="Arial"/>
            <family val="2"/>
          </rPr>
          <t xml:space="preserve">2,265</t>
        </r>
        <r>
          <rPr>
            <sz val="10"/>
            <rFont val="WenQuanYi Zen Hei"/>
            <family val="2"/>
          </rPr>
          <t xml:space="preserve">千円
　・出産費附加の増　　　          　</t>
        </r>
        <r>
          <rPr>
            <sz val="10"/>
            <rFont val="Arial"/>
            <family val="2"/>
          </rPr>
          <t xml:space="preserve">2,668</t>
        </r>
        <r>
          <rPr>
            <sz val="10"/>
            <rFont val="WenQuanYi Zen Hei"/>
            <family val="2"/>
          </rPr>
          <t xml:space="preserve">千円
　・傷病手当附加金の減            △</t>
        </r>
        <r>
          <rPr>
            <sz val="10"/>
            <rFont val="Arial"/>
            <family val="2"/>
          </rPr>
          <t xml:space="preserve">8,312</t>
        </r>
        <r>
          <rPr>
            <sz val="10"/>
            <rFont val="WenQuanYi Zen Hei"/>
            <family val="2"/>
          </rPr>
          <t xml:space="preserve">千円</t>
        </r>
      </text>
    </comment>
    <comment ref="G34" authorId="0">
      <text>
        <r>
          <rPr>
            <sz val="10"/>
            <rFont val="WenQuanYi Zen Hei"/>
            <family val="2"/>
          </rPr>
          <t xml:space="preserve">　・後期高齢者支援金の減              △</t>
        </r>
        <r>
          <rPr>
            <sz val="10"/>
            <rFont val="Arial"/>
            <family val="2"/>
          </rPr>
          <t xml:space="preserve">52,252</t>
        </r>
        <r>
          <rPr>
            <sz val="10"/>
            <rFont val="WenQuanYi Zen Hei"/>
            <family val="2"/>
          </rPr>
          <t xml:space="preserve">千円
　・退職者給付拠出金の減              △</t>
        </r>
        <r>
          <rPr>
            <sz val="10"/>
            <rFont val="Arial"/>
            <family val="2"/>
          </rPr>
          <t xml:space="preserve">84,187</t>
        </r>
        <r>
          <rPr>
            <sz val="10"/>
            <rFont val="WenQuanYi Zen Hei"/>
            <family val="2"/>
          </rPr>
          <t xml:space="preserve">千円
　・前期高齢者納付金の増           　  </t>
        </r>
        <r>
          <rPr>
            <sz val="10"/>
            <rFont val="Arial"/>
            <family val="2"/>
          </rPr>
          <t xml:space="preserve">211,401</t>
        </r>
        <r>
          <rPr>
            <sz val="10"/>
            <rFont val="WenQuanYi Zen Hei"/>
            <family val="2"/>
          </rPr>
          <t xml:space="preserve">千円
　・育児介護休業手当金拠出金の減       △</t>
        </r>
        <r>
          <rPr>
            <sz val="10"/>
            <rFont val="Arial"/>
            <family val="2"/>
          </rPr>
          <t xml:space="preserve">65,987</t>
        </r>
        <r>
          <rPr>
            <sz val="10"/>
            <rFont val="WenQuanYi Zen Hei"/>
            <family val="2"/>
          </rPr>
          <t xml:space="preserve">千円</t>
        </r>
      </text>
    </comment>
    <comment ref="M7" authorId="0">
      <text>
        <r>
          <rPr>
            <sz val="10"/>
            <rFont val="WenQuanYi Zen Hei"/>
            <family val="2"/>
          </rPr>
          <t xml:space="preserve">事業費用の増による事務費負担金の増加</t>
        </r>
      </text>
    </comment>
    <comment ref="M44" authorId="0">
      <text>
        <r>
          <rPr>
            <sz val="10"/>
            <rFont val="WenQuanYi Zen Hei"/>
            <family val="2"/>
          </rPr>
          <t xml:space="preserve">　・事務費負担金払込金の増     </t>
        </r>
        <r>
          <rPr>
            <sz val="10"/>
            <rFont val="Arial"/>
            <family val="2"/>
          </rPr>
          <t xml:space="preserve">22,267</t>
        </r>
        <r>
          <rPr>
            <sz val="10"/>
            <rFont val="WenQuanYi Zen Hei"/>
            <family val="2"/>
          </rPr>
          <t xml:space="preserve">千円
　・委託費の増                 </t>
        </r>
        <r>
          <rPr>
            <sz val="10"/>
            <rFont val="Arial"/>
            <family val="2"/>
          </rPr>
          <t xml:space="preserve">3,680</t>
        </r>
        <r>
          <rPr>
            <sz val="10"/>
            <rFont val="WenQuanYi Zen Hei"/>
            <family val="2"/>
          </rPr>
          <t xml:space="preserve">千円
　・普及費の減               △</t>
        </r>
        <r>
          <rPr>
            <sz val="10"/>
            <rFont val="Arial"/>
            <family val="2"/>
          </rPr>
          <t xml:space="preserve">1,782</t>
        </r>
        <r>
          <rPr>
            <sz val="10"/>
            <rFont val="WenQuanYi Zen Hei"/>
            <family val="2"/>
          </rPr>
          <t xml:space="preserve">千円
　・事務費の増                   </t>
        </r>
        <r>
          <rPr>
            <sz val="10"/>
            <rFont val="Arial"/>
            <family val="2"/>
          </rPr>
          <t xml:space="preserve">774</t>
        </r>
        <r>
          <rPr>
            <sz val="10"/>
            <rFont val="WenQuanYi Zen Hei"/>
            <family val="2"/>
          </rPr>
          <t xml:space="preserve">千円
　・連合会分担金の増   　         </t>
        </r>
        <r>
          <rPr>
            <sz val="10"/>
            <rFont val="Arial"/>
            <family val="2"/>
          </rPr>
          <t xml:space="preserve">570</t>
        </r>
        <r>
          <rPr>
            <sz val="10"/>
            <rFont val="WenQuanYi Zen Hei"/>
            <family val="2"/>
          </rPr>
          <t xml:space="preserve">千円
　　　短期分に係る組合員１人当たり事務費単価
 　 　（連合会通知額）の増に伴う増
 　  </t>
        </r>
        <r>
          <rPr>
            <sz val="10"/>
            <rFont val="Arial"/>
            <family val="2"/>
          </rPr>
          <t xml:space="preserve">H29</t>
        </r>
        <r>
          <rPr>
            <sz val="10"/>
            <rFont val="WenQuanYi Zen Hei"/>
            <family val="2"/>
          </rPr>
          <t xml:space="preserve">　</t>
        </r>
        <r>
          <rPr>
            <sz val="10"/>
            <rFont val="Arial"/>
            <family val="2"/>
          </rPr>
          <t xml:space="preserve">@1,932</t>
        </r>
        <r>
          <rPr>
            <sz val="10"/>
            <rFont val="WenQuanYi Zen Hei"/>
            <family val="2"/>
          </rPr>
          <t xml:space="preserve">円</t>
        </r>
        <r>
          <rPr>
            <sz val="10"/>
            <rFont val="Arial"/>
            <family val="2"/>
          </rPr>
          <t xml:space="preserve">×11,921</t>
        </r>
        <r>
          <rPr>
            <sz val="10"/>
            <rFont val="WenQuanYi Zen Hei"/>
            <family val="2"/>
          </rPr>
          <t xml:space="preserve">人＝</t>
        </r>
        <r>
          <rPr>
            <sz val="10"/>
            <rFont val="Arial"/>
            <family val="2"/>
          </rPr>
          <t xml:space="preserve">23,031,372</t>
        </r>
        <r>
          <rPr>
            <sz val="10"/>
            <rFont val="WenQuanYi Zen Hei"/>
            <family val="2"/>
          </rPr>
          <t xml:space="preserve">円
 　  </t>
        </r>
        <r>
          <rPr>
            <sz val="10"/>
            <rFont val="Arial"/>
            <family val="2"/>
          </rPr>
          <t xml:space="preserve">H30</t>
        </r>
        <r>
          <rPr>
            <sz val="10"/>
            <rFont val="WenQuanYi Zen Hei"/>
            <family val="2"/>
          </rPr>
          <t xml:space="preserve">　</t>
        </r>
        <r>
          <rPr>
            <sz val="10"/>
            <rFont val="Arial"/>
            <family val="2"/>
          </rPr>
          <t xml:space="preserve">@1,980</t>
        </r>
        <r>
          <rPr>
            <sz val="10"/>
            <rFont val="WenQuanYi Zen Hei"/>
            <family val="2"/>
          </rPr>
          <t xml:space="preserve">円</t>
        </r>
        <r>
          <rPr>
            <sz val="10"/>
            <rFont val="Arial"/>
            <family val="2"/>
          </rPr>
          <t xml:space="preserve">×11,920</t>
        </r>
        <r>
          <rPr>
            <sz val="10"/>
            <rFont val="WenQuanYi Zen Hei"/>
            <family val="2"/>
          </rPr>
          <t xml:space="preserve">人＝</t>
        </r>
        <r>
          <rPr>
            <sz val="10"/>
            <rFont val="Arial"/>
            <family val="2"/>
          </rPr>
          <t xml:space="preserve">23,601,600</t>
        </r>
        <r>
          <rPr>
            <sz val="10"/>
            <rFont val="WenQuanYi Zen Hei"/>
            <family val="2"/>
          </rPr>
          <t xml:space="preserve">円</t>
        </r>
      </text>
    </comment>
    <comment ref="P7" authorId="0">
      <text>
        <r>
          <rPr>
            <sz val="10"/>
            <rFont val="WenQuanYi Zen Hei"/>
            <family val="2"/>
          </rPr>
          <t xml:space="preserve">　　掛金との差は、法定健診等負担金との差
　　（人間ドック代用事業主負担）</t>
        </r>
      </text>
    </comment>
    <comment ref="P9" authorId="0">
      <text>
        <r>
          <rPr>
            <sz val="10"/>
            <rFont val="WenQuanYi Zen Hei"/>
            <family val="2"/>
          </rPr>
          <t xml:space="preserve">　　金銭信託増額による配当金の増</t>
        </r>
      </text>
    </comment>
    <comment ref="P17" authorId="0">
      <text>
        <r>
          <rPr>
            <sz val="10"/>
            <rFont val="WenQuanYi Zen Hei"/>
            <family val="2"/>
          </rPr>
          <t xml:space="preserve">　　利用者減による収入の減
　　　</t>
        </r>
        <r>
          <rPr>
            <sz val="10"/>
            <rFont val="Arial"/>
            <family val="2"/>
          </rPr>
          <t xml:space="preserve">H29: 1,453</t>
        </r>
        <r>
          <rPr>
            <sz val="10"/>
            <rFont val="WenQuanYi Zen Hei"/>
            <family val="2"/>
          </rPr>
          <t xml:space="preserve">人　→　</t>
        </r>
        <r>
          <rPr>
            <sz val="10"/>
            <rFont val="Arial"/>
            <family val="2"/>
          </rPr>
          <t xml:space="preserve">H30: 1,348</t>
        </r>
        <r>
          <rPr>
            <sz val="10"/>
            <rFont val="WenQuanYi Zen Hei"/>
            <family val="2"/>
          </rPr>
          <t xml:space="preserve">人</t>
        </r>
      </text>
    </comment>
    <comment ref="P43" authorId="0">
      <text>
        <r>
          <rPr>
            <sz val="10"/>
            <rFont val="WenQuanYi Zen Hei"/>
            <family val="2"/>
          </rPr>
          <t xml:space="preserve">給与改定による増
（看護師、健康相談員）</t>
        </r>
      </text>
    </comment>
    <comment ref="P44" authorId="0">
      <text>
        <r>
          <rPr>
            <sz val="10"/>
            <rFont val="WenQuanYi Zen Hei"/>
            <family val="2"/>
          </rPr>
          <t xml:space="preserve">　・組合員人間ドックの減 　　　　　　　△</t>
        </r>
        <r>
          <rPr>
            <sz val="10"/>
            <rFont val="Arial"/>
            <family val="2"/>
          </rPr>
          <t xml:space="preserve">2,526</t>
        </r>
        <r>
          <rPr>
            <sz val="10"/>
            <rFont val="WenQuanYi Zen Hei"/>
            <family val="2"/>
          </rPr>
          <t xml:space="preserve">千円
　・被扶養者ドックの減   　　　　　　　△</t>
        </r>
        <r>
          <rPr>
            <sz val="10"/>
            <rFont val="Arial"/>
            <family val="2"/>
          </rPr>
          <t xml:space="preserve">2,464</t>
        </r>
        <r>
          <rPr>
            <sz val="10"/>
            <rFont val="WenQuanYi Zen Hei"/>
            <family val="2"/>
          </rPr>
          <t xml:space="preserve">千円
　・データヘルス計画に係る委託料の減 　△</t>
        </r>
        <r>
          <rPr>
            <sz val="10"/>
            <rFont val="Arial"/>
            <family val="2"/>
          </rPr>
          <t xml:space="preserve">1,269</t>
        </r>
        <r>
          <rPr>
            <sz val="10"/>
            <rFont val="WenQuanYi Zen Hei"/>
            <family val="2"/>
          </rPr>
          <t xml:space="preserve">千円　
　・コテージ管理運営に係る修繕費等の減 △</t>
        </r>
        <r>
          <rPr>
            <sz val="10"/>
            <rFont val="Arial"/>
            <family val="2"/>
          </rPr>
          <t xml:space="preserve">1,263</t>
        </r>
        <r>
          <rPr>
            <sz val="10"/>
            <rFont val="WenQuanYi Zen Hei"/>
            <family val="2"/>
          </rPr>
          <t xml:space="preserve">千円
  ・婦人科検診の増　　　　　　　　　　　　 </t>
        </r>
        <r>
          <rPr>
            <sz val="10"/>
            <rFont val="Arial"/>
            <family val="2"/>
          </rPr>
          <t xml:space="preserve">500</t>
        </r>
        <r>
          <rPr>
            <sz val="10"/>
            <rFont val="WenQuanYi Zen Hei"/>
            <family val="2"/>
          </rPr>
          <t xml:space="preserve">千円</t>
        </r>
      </text>
    </comment>
    <comment ref="S22" authorId="0">
      <text>
        <r>
          <rPr>
            <sz val="10"/>
            <rFont val="WenQuanYi Zen Hei"/>
            <family val="2"/>
          </rPr>
          <t xml:space="preserve">　貸付利率の減等（</t>
        </r>
        <r>
          <rPr>
            <sz val="10"/>
            <rFont val="Arial"/>
            <family val="2"/>
          </rPr>
          <t xml:space="preserve">H30.1</t>
        </r>
        <r>
          <rPr>
            <sz val="10"/>
            <rFont val="WenQuanYi Zen Hei"/>
            <family val="2"/>
          </rPr>
          <t xml:space="preserve">月～）に伴う組合員貸付金利息の減
     △</t>
        </r>
        <r>
          <rPr>
            <sz val="10"/>
            <rFont val="Arial"/>
            <family val="2"/>
          </rPr>
          <t xml:space="preserve">42,889</t>
        </r>
        <r>
          <rPr>
            <sz val="10"/>
            <rFont val="WenQuanYi Zen Hei"/>
            <family val="2"/>
          </rPr>
          <t xml:space="preserve">千円
　</t>
        </r>
        <r>
          <rPr>
            <sz val="10"/>
            <rFont val="Arial"/>
            <family val="2"/>
          </rPr>
          <t xml:space="preserve">H29: 77,369</t>
        </r>
        <r>
          <rPr>
            <sz val="10"/>
            <rFont val="WenQuanYi Zen Hei"/>
            <family val="2"/>
          </rPr>
          <t xml:space="preserve">千円 → </t>
        </r>
        <r>
          <rPr>
            <sz val="10"/>
            <rFont val="Arial"/>
            <family val="2"/>
          </rPr>
          <t xml:space="preserve">H30: 34,479</t>
        </r>
        <r>
          <rPr>
            <sz val="10"/>
            <rFont val="WenQuanYi Zen Hei"/>
            <family val="2"/>
          </rPr>
          <t xml:space="preserve">千円
（利率：年</t>
        </r>
        <r>
          <rPr>
            <sz val="10"/>
            <rFont val="Arial"/>
            <family val="2"/>
          </rPr>
          <t xml:space="preserve">2.66%</t>
        </r>
        <r>
          <rPr>
            <sz val="10"/>
            <rFont val="WenQuanYi Zen Hei"/>
            <family val="2"/>
          </rPr>
          <t xml:space="preserve">　</t>
        </r>
        <r>
          <rPr>
            <sz val="10"/>
            <rFont val="Arial"/>
            <family val="2"/>
          </rPr>
          <t xml:space="preserve">H30.1</t>
        </r>
        <r>
          <rPr>
            <sz val="10"/>
            <rFont val="WenQuanYi Zen Hei"/>
            <family val="2"/>
          </rPr>
          <t xml:space="preserve">月～年</t>
        </r>
        <r>
          <rPr>
            <sz val="10"/>
            <rFont val="Arial"/>
            <family val="2"/>
          </rPr>
          <t xml:space="preserve">1.26%</t>
        </r>
        <r>
          <rPr>
            <sz val="10"/>
            <rFont val="WenQuanYi Zen Hei"/>
            <family val="2"/>
          </rPr>
          <t xml:space="preserve">）
</t>
        </r>
      </text>
    </comment>
    <comment ref="S41" authorId="0">
      <text>
        <r>
          <rPr>
            <sz val="10"/>
            <rFont val="WenQuanYi Zen Hei"/>
            <family val="2"/>
          </rPr>
          <t xml:space="preserve">　組合払込金率の減等に伴う連合会払込金の減
　　△</t>
        </r>
        <r>
          <rPr>
            <sz val="10"/>
            <rFont val="Arial"/>
            <family val="2"/>
          </rPr>
          <t xml:space="preserve">1,113</t>
        </r>
        <r>
          <rPr>
            <sz val="10"/>
            <rFont val="WenQuanYi Zen Hei"/>
            <family val="2"/>
          </rPr>
          <t xml:space="preserve">千円
　　</t>
        </r>
        <r>
          <rPr>
            <sz val="10"/>
            <rFont val="Arial"/>
            <family val="2"/>
          </rPr>
          <t xml:space="preserve">H29: 5,946</t>
        </r>
        <r>
          <rPr>
            <sz val="10"/>
            <rFont val="WenQuanYi Zen Hei"/>
            <family val="2"/>
          </rPr>
          <t xml:space="preserve">千円 → </t>
        </r>
        <r>
          <rPr>
            <sz val="10"/>
            <rFont val="Arial"/>
            <family val="2"/>
          </rPr>
          <t xml:space="preserve">H30:4,833</t>
        </r>
        <r>
          <rPr>
            <sz val="10"/>
            <rFont val="WenQuanYi Zen Hei"/>
            <family val="2"/>
          </rPr>
          <t xml:space="preserve">千円
　　組合払込金率の減について
　　●一般貸付組合払込金率
     ・平成</t>
        </r>
        <r>
          <rPr>
            <sz val="10"/>
            <rFont val="Arial"/>
            <family val="2"/>
          </rPr>
          <t xml:space="preserve">26</t>
        </r>
        <r>
          <rPr>
            <sz val="10"/>
            <rFont val="WenQuanYi Zen Hei"/>
            <family val="2"/>
          </rPr>
          <t xml:space="preserve">年</t>
        </r>
        <r>
          <rPr>
            <sz val="10"/>
            <rFont val="Arial"/>
            <family val="2"/>
          </rPr>
          <t xml:space="preserve">12</t>
        </r>
        <r>
          <rPr>
            <sz val="10"/>
            <rFont val="WenQuanYi Zen Hei"/>
            <family val="2"/>
          </rPr>
          <t xml:space="preserve">月</t>
        </r>
        <r>
          <rPr>
            <sz val="10"/>
            <rFont val="Arial"/>
            <family val="2"/>
          </rPr>
          <t xml:space="preserve">1</t>
        </r>
        <r>
          <rPr>
            <sz val="10"/>
            <rFont val="WenQuanYi Zen Hei"/>
            <family val="2"/>
          </rPr>
          <t xml:space="preserve">日以降における率
　　    </t>
        </r>
        <r>
          <rPr>
            <sz val="10"/>
            <rFont val="Arial"/>
            <family val="2"/>
          </rPr>
          <t xml:space="preserve">H29: 100/100</t>
        </r>
        <r>
          <rPr>
            <sz val="10"/>
            <rFont val="WenQuanYi Zen Hei"/>
            <family val="2"/>
          </rPr>
          <t xml:space="preserve">万 → </t>
        </r>
        <r>
          <rPr>
            <sz val="10"/>
            <rFont val="Arial"/>
            <family val="2"/>
          </rPr>
          <t xml:space="preserve">H30:  85/100</t>
        </r>
        <r>
          <rPr>
            <sz val="10"/>
            <rFont val="WenQuanYi Zen Hei"/>
            <family val="2"/>
          </rPr>
          <t xml:space="preserve">万
　　 ・平成</t>
        </r>
        <r>
          <rPr>
            <sz val="10"/>
            <rFont val="Arial"/>
            <family val="2"/>
          </rPr>
          <t xml:space="preserve">26</t>
        </r>
        <r>
          <rPr>
            <sz val="10"/>
            <rFont val="WenQuanYi Zen Hei"/>
            <family val="2"/>
          </rPr>
          <t xml:space="preserve">年</t>
        </r>
        <r>
          <rPr>
            <sz val="10"/>
            <rFont val="Arial"/>
            <family val="2"/>
          </rPr>
          <t xml:space="preserve">12</t>
        </r>
        <r>
          <rPr>
            <sz val="10"/>
            <rFont val="WenQuanYi Zen Hei"/>
            <family val="2"/>
          </rPr>
          <t xml:space="preserve">月</t>
        </r>
        <r>
          <rPr>
            <sz val="10"/>
            <rFont val="Arial"/>
            <family val="2"/>
          </rPr>
          <t xml:space="preserve">1</t>
        </r>
        <r>
          <rPr>
            <sz val="10"/>
            <rFont val="WenQuanYi Zen Hei"/>
            <family val="2"/>
          </rPr>
          <t xml:space="preserve">日前における率
　　    </t>
        </r>
        <r>
          <rPr>
            <sz val="10"/>
            <rFont val="Arial"/>
            <family val="2"/>
          </rPr>
          <t xml:space="preserve">H29: 174/100</t>
        </r>
        <r>
          <rPr>
            <sz val="10"/>
            <rFont val="WenQuanYi Zen Hei"/>
            <family val="2"/>
          </rPr>
          <t xml:space="preserve">万 → </t>
        </r>
        <r>
          <rPr>
            <sz val="10"/>
            <rFont val="Arial"/>
            <family val="2"/>
          </rPr>
          <t xml:space="preserve">H30: 149/100</t>
        </r>
        <r>
          <rPr>
            <sz val="10"/>
            <rFont val="WenQuanYi Zen Hei"/>
            <family val="2"/>
          </rPr>
          <t xml:space="preserve">万
　　●住宅貸付組合払込金率
     ・平成</t>
        </r>
        <r>
          <rPr>
            <sz val="10"/>
            <rFont val="Arial"/>
            <family val="2"/>
          </rPr>
          <t xml:space="preserve">26</t>
        </r>
        <r>
          <rPr>
            <sz val="10"/>
            <rFont val="WenQuanYi Zen Hei"/>
            <family val="2"/>
          </rPr>
          <t xml:space="preserve">年</t>
        </r>
        <r>
          <rPr>
            <sz val="10"/>
            <rFont val="Arial"/>
            <family val="2"/>
          </rPr>
          <t xml:space="preserve">12</t>
        </r>
        <r>
          <rPr>
            <sz val="10"/>
            <rFont val="WenQuanYi Zen Hei"/>
            <family val="2"/>
          </rPr>
          <t xml:space="preserve">月</t>
        </r>
        <r>
          <rPr>
            <sz val="10"/>
            <rFont val="Arial"/>
            <family val="2"/>
          </rPr>
          <t xml:space="preserve">1</t>
        </r>
        <r>
          <rPr>
            <sz val="10"/>
            <rFont val="WenQuanYi Zen Hei"/>
            <family val="2"/>
          </rPr>
          <t xml:space="preserve">日以降における率
　　　　</t>
        </r>
        <r>
          <rPr>
            <sz val="10"/>
            <rFont val="Arial"/>
            <family val="2"/>
          </rPr>
          <t xml:space="preserve">H29:  86/100</t>
        </r>
        <r>
          <rPr>
            <sz val="10"/>
            <rFont val="WenQuanYi Zen Hei"/>
            <family val="2"/>
          </rPr>
          <t xml:space="preserve">万　→ </t>
        </r>
        <r>
          <rPr>
            <sz val="10"/>
            <rFont val="Arial"/>
            <family val="2"/>
          </rPr>
          <t xml:space="preserve">H30:  92/100</t>
        </r>
        <r>
          <rPr>
            <sz val="10"/>
            <rFont val="WenQuanYi Zen Hei"/>
            <family val="2"/>
          </rPr>
          <t xml:space="preserve">万
     ・平成</t>
        </r>
        <r>
          <rPr>
            <sz val="10"/>
            <rFont val="Arial"/>
            <family val="2"/>
          </rPr>
          <t xml:space="preserve">26</t>
        </r>
        <r>
          <rPr>
            <sz val="10"/>
            <rFont val="WenQuanYi Zen Hei"/>
            <family val="2"/>
          </rPr>
          <t xml:space="preserve">年</t>
        </r>
        <r>
          <rPr>
            <sz val="10"/>
            <rFont val="Arial"/>
            <family val="2"/>
          </rPr>
          <t xml:space="preserve">12</t>
        </r>
        <r>
          <rPr>
            <sz val="10"/>
            <rFont val="WenQuanYi Zen Hei"/>
            <family val="2"/>
          </rPr>
          <t xml:space="preserve">月</t>
        </r>
        <r>
          <rPr>
            <sz val="10"/>
            <rFont val="Arial"/>
            <family val="2"/>
          </rPr>
          <t xml:space="preserve">1</t>
        </r>
        <r>
          <rPr>
            <sz val="10"/>
            <rFont val="WenQuanYi Zen Hei"/>
            <family val="2"/>
          </rPr>
          <t xml:space="preserve">日前における率
　　　　</t>
        </r>
        <r>
          <rPr>
            <sz val="10"/>
            <rFont val="Arial"/>
            <family val="2"/>
          </rPr>
          <t xml:space="preserve">H29: 151/100</t>
        </r>
        <r>
          <rPr>
            <sz val="10"/>
            <rFont val="WenQuanYi Zen Hei"/>
            <family val="2"/>
          </rPr>
          <t xml:space="preserve">万  → </t>
        </r>
        <r>
          <rPr>
            <sz val="10"/>
            <rFont val="Arial"/>
            <family val="2"/>
          </rPr>
          <t xml:space="preserve">H30: 161/100</t>
        </r>
        <r>
          <rPr>
            <sz val="10"/>
            <rFont val="WenQuanYi Zen Hei"/>
            <family val="2"/>
          </rPr>
          <t xml:space="preserve">万</t>
        </r>
      </text>
    </comment>
    <comment ref="S44" authorId="0">
      <text>
        <r>
          <rPr>
            <sz val="10"/>
            <rFont val="WenQuanYi Zen Hei"/>
            <family val="2"/>
          </rPr>
          <t xml:space="preserve">　借入利率及び借入元本残高の減に伴う支払利息の減    △</t>
        </r>
        <r>
          <rPr>
            <sz val="10"/>
            <rFont val="Arial"/>
            <family val="2"/>
          </rPr>
          <t xml:space="preserve">24,344</t>
        </r>
        <r>
          <rPr>
            <sz val="10"/>
            <rFont val="WenQuanYi Zen Hei"/>
            <family val="2"/>
          </rPr>
          <t xml:space="preserve">千円
　　　</t>
        </r>
        <r>
          <rPr>
            <sz val="10"/>
            <rFont val="Arial"/>
            <family val="2"/>
          </rPr>
          <t xml:space="preserve">H29: 36,089</t>
        </r>
        <r>
          <rPr>
            <sz val="10"/>
            <rFont val="WenQuanYi Zen Hei"/>
            <family val="2"/>
          </rPr>
          <t xml:space="preserve">千円 → </t>
        </r>
        <r>
          <rPr>
            <sz val="10"/>
            <rFont val="Arial"/>
            <family val="2"/>
          </rPr>
          <t xml:space="preserve">H30: 11,745</t>
        </r>
        <r>
          <rPr>
            <sz val="10"/>
            <rFont val="WenQuanYi Zen Hei"/>
            <family val="2"/>
          </rPr>
          <t xml:space="preserve">千円
　　○借入利率の減
　　　利率（～</t>
        </r>
        <r>
          <rPr>
            <sz val="10"/>
            <rFont val="Arial"/>
            <family val="2"/>
          </rPr>
          <t xml:space="preserve">H29.12</t>
        </r>
        <r>
          <rPr>
            <sz val="10"/>
            <rFont val="WenQuanYi Zen Hei"/>
            <family val="2"/>
          </rPr>
          <t xml:space="preserve">月）：年</t>
        </r>
        <r>
          <rPr>
            <sz val="10"/>
            <rFont val="Arial"/>
            <family val="2"/>
          </rPr>
          <t xml:space="preserve">2.4%</t>
        </r>
        <r>
          <rPr>
            <sz val="10"/>
            <rFont val="WenQuanYi Zen Hei"/>
            <family val="2"/>
          </rPr>
          <t xml:space="preserve">　→　利率（</t>
        </r>
        <r>
          <rPr>
            <sz val="10"/>
            <rFont val="Arial"/>
            <family val="2"/>
          </rPr>
          <t xml:space="preserve">H30.1</t>
        </r>
        <r>
          <rPr>
            <sz val="10"/>
            <rFont val="WenQuanYi Zen Hei"/>
            <family val="2"/>
          </rPr>
          <t xml:space="preserve">月～）：年</t>
        </r>
        <r>
          <rPr>
            <sz val="10"/>
            <rFont val="Arial"/>
            <family val="2"/>
          </rPr>
          <t xml:space="preserve">1.0%
</t>
        </r>
        <r>
          <rPr>
            <sz val="10"/>
            <rFont val="WenQuanYi Zen Hei"/>
            <family val="2"/>
          </rPr>
          <t xml:space="preserve">　　○償還に伴う借入元本の減
　  　・</t>
        </r>
        <r>
          <rPr>
            <sz val="10"/>
            <rFont val="Arial"/>
            <family val="2"/>
          </rPr>
          <t xml:space="preserve">H30.4</t>
        </r>
        <r>
          <rPr>
            <sz val="10"/>
            <rFont val="WenQuanYi Zen Hei"/>
            <family val="2"/>
          </rPr>
          <t xml:space="preserve">月末　借入元本残高　</t>
        </r>
        <r>
          <rPr>
            <sz val="10"/>
            <rFont val="Arial"/>
            <family val="2"/>
          </rPr>
          <t xml:space="preserve">1,420,000</t>
        </r>
        <r>
          <rPr>
            <sz val="10"/>
            <rFont val="WenQuanYi Zen Hei"/>
            <family val="2"/>
          </rPr>
          <t xml:space="preserve">千円
　　  ・</t>
        </r>
        <r>
          <rPr>
            <sz val="10"/>
            <rFont val="Arial"/>
            <family val="2"/>
          </rPr>
          <t xml:space="preserve">H30.6</t>
        </r>
        <r>
          <rPr>
            <sz val="10"/>
            <rFont val="WenQuanYi Zen Hei"/>
            <family val="2"/>
          </rPr>
          <t xml:space="preserve">月末　借入元本残高　</t>
        </r>
        <r>
          <rPr>
            <sz val="10"/>
            <rFont val="Arial"/>
            <family val="2"/>
          </rPr>
          <t xml:space="preserve">1,120,000</t>
        </r>
        <r>
          <rPr>
            <sz val="10"/>
            <rFont val="WenQuanYi Zen Hei"/>
            <family val="2"/>
          </rPr>
          <t xml:space="preserve">千円
　  　・</t>
        </r>
        <r>
          <rPr>
            <sz val="10"/>
            <rFont val="Arial"/>
            <family val="2"/>
          </rPr>
          <t xml:space="preserve">H31.3</t>
        </r>
        <r>
          <rPr>
            <sz val="10"/>
            <rFont val="WenQuanYi Zen Hei"/>
            <family val="2"/>
          </rPr>
          <t xml:space="preserve">月末　借入元本残高　</t>
        </r>
        <r>
          <rPr>
            <sz val="10"/>
            <rFont val="Arial"/>
            <family val="2"/>
          </rPr>
          <t xml:space="preserve">1,105,000</t>
        </r>
        <r>
          <rPr>
            <sz val="10"/>
            <rFont val="WenQuanYi Zen Hei"/>
            <family val="2"/>
          </rPr>
          <t xml:space="preserve">千円</t>
        </r>
      </text>
    </comment>
  </commentList>
</comments>
</file>

<file path=xl/sharedStrings.xml><?xml version="1.0" encoding="utf-8"?>
<sst xmlns="http://schemas.openxmlformats.org/spreadsheetml/2006/main" count="4351" uniqueCount="1400">
  <si>
    <t xml:space="preserve">決算業務（年次決算）統合ブック　使い方</t>
  </si>
  <si>
    <r>
      <rPr>
        <sz val="10"/>
        <rFont val="WenQuanYi Zen Hei"/>
        <family val="2"/>
      </rPr>
      <t xml:space="preserve">基幹システムの数字を「入力」シートに貼るだけで、決算精算表・財務諸表・附属明細表・決算書</t>
    </r>
    <r>
      <rPr>
        <sz val="10"/>
        <rFont val="MS ゴシック"/>
        <family val="0"/>
        <charset val="1"/>
      </rPr>
      <t xml:space="preserve">P18-19</t>
    </r>
    <r>
      <rPr>
        <sz val="10"/>
        <rFont val="WenQuanYi Zen Hei"/>
        <family val="2"/>
      </rPr>
      <t xml:space="preserve">・決算総括表まで自動で反映されます。</t>
    </r>
  </si>
  <si>
    <t xml:space="preserve">◆毎年の手順</t>
  </si>
  <si>
    <t xml:space="preserve">①入力シート</t>
  </si>
  <si>
    <r>
      <rPr>
        <sz val="10"/>
        <rFont val="WenQuanYi Zen Hei"/>
        <family val="2"/>
      </rPr>
      <t xml:space="preserve">「会計年度」「審査日」「氏名」「統計システム確定値」を入力。基幹システムの試算表（</t>
    </r>
    <r>
      <rPr>
        <sz val="10"/>
        <rFont val="MS ゴシック"/>
        <family val="0"/>
        <charset val="1"/>
      </rPr>
      <t xml:space="preserve">3</t>
    </r>
    <r>
      <rPr>
        <sz val="10"/>
        <rFont val="WenQuanYi Zen Hei"/>
        <family val="2"/>
      </rPr>
      <t xml:space="preserve">月分残高）を勘定科目・借方・貸方の</t>
    </r>
    <r>
      <rPr>
        <sz val="10"/>
        <rFont val="MS ゴシック"/>
        <family val="0"/>
        <charset val="1"/>
      </rPr>
      <t xml:space="preserve">3</t>
    </r>
    <r>
      <rPr>
        <sz val="10"/>
        <rFont val="WenQuanYi Zen Hei"/>
        <family val="2"/>
      </rPr>
      <t xml:space="preserve">列で貼り付け（またはマクロで取込）。赤い行は精算表に無い科目名です。</t>
    </r>
  </si>
  <si>
    <t xml:space="preserve">②附属明細表</t>
  </si>
  <si>
    <t xml:space="preserve">未払金・未収金・未払費用などの明細（相手先・摘要・金額）を入力。この金額が決算精算表の「修正増減」に自動で入ります。</t>
  </si>
  <si>
    <t xml:space="preserve">③予算額・前年度決算額</t>
  </si>
  <si>
    <r>
      <rPr>
        <sz val="10"/>
        <rFont val="WenQuanYi Zen Hei"/>
        <family val="2"/>
      </rPr>
      <t xml:space="preserve">決算書</t>
    </r>
    <r>
      <rPr>
        <sz val="10"/>
        <rFont val="MS ゴシック"/>
        <family val="0"/>
        <charset val="1"/>
      </rPr>
      <t xml:space="preserve">P18</t>
    </r>
    <r>
      <rPr>
        <sz val="10"/>
        <rFont val="WenQuanYi Zen Hei"/>
        <family val="2"/>
      </rPr>
      <t xml:space="preserve">・</t>
    </r>
    <r>
      <rPr>
        <sz val="10"/>
        <rFont val="MS ゴシック"/>
        <family val="0"/>
        <charset val="1"/>
      </rPr>
      <t xml:space="preserve">P19</t>
    </r>
    <r>
      <rPr>
        <sz val="10"/>
        <rFont val="WenQuanYi Zen Hei"/>
        <family val="2"/>
      </rPr>
      <t xml:space="preserve">の「事業計画額」「前年度決算額」、総括表の前年度列は手入力（またはマクロ「次年度ブック作成」が前年の数字を自動で引き継ぎ）。</t>
    </r>
  </si>
  <si>
    <t xml:space="preserve">④検算シート</t>
  </si>
  <si>
    <r>
      <rPr>
        <sz val="10"/>
        <rFont val="WenQuanYi Zen Hei"/>
        <family val="2"/>
      </rPr>
      <t xml:space="preserve">「すべて</t>
    </r>
    <r>
      <rPr>
        <sz val="10"/>
        <rFont val="MS ゴシック"/>
        <family val="0"/>
        <charset val="1"/>
      </rPr>
      <t xml:space="preserve">OK</t>
    </r>
    <r>
      <rPr>
        <sz val="10"/>
        <rFont val="WenQuanYi Zen Hei"/>
        <family val="2"/>
      </rPr>
      <t xml:space="preserve">」になるまで差の出た項目を確認。基幹の貼り付け漏れ、明細の入力ミス、科目名の不一致、前年度欄の転記ミスを検出します。</t>
    </r>
  </si>
  <si>
    <t xml:space="preserve">⑤印刷・提出</t>
  </si>
  <si>
    <r>
      <rPr>
        <sz val="10"/>
        <rFont val="WenQuanYi Zen Hei"/>
        <family val="2"/>
      </rPr>
      <t xml:space="preserve">決算精算表・財務諸表・附属明細表・決算書</t>
    </r>
    <r>
      <rPr>
        <sz val="10"/>
        <rFont val="MS ゴシック"/>
        <family val="0"/>
        <charset val="1"/>
      </rPr>
      <t xml:space="preserve">P18-19</t>
    </r>
    <r>
      <rPr>
        <sz val="10"/>
        <rFont val="WenQuanYi Zen Hei"/>
        <family val="2"/>
      </rPr>
      <t xml:space="preserve">・総括表（メモなし）を印刷（マクロ「決算書</t>
    </r>
    <r>
      <rPr>
        <sz val="10"/>
        <rFont val="MS ゴシック"/>
        <family val="0"/>
        <charset val="1"/>
      </rPr>
      <t xml:space="preserve">PDF</t>
    </r>
    <r>
      <rPr>
        <sz val="10"/>
        <rFont val="WenQuanYi Zen Hei"/>
        <family val="2"/>
      </rPr>
      <t xml:space="preserve">出力」で一括</t>
    </r>
    <r>
      <rPr>
        <sz val="10"/>
        <rFont val="MS ゴシック"/>
        <family val="0"/>
        <charset val="1"/>
      </rPr>
      <t xml:space="preserve">PDF</t>
    </r>
    <r>
      <rPr>
        <sz val="10"/>
        <rFont val="WenQuanYi Zen Hei"/>
        <family val="2"/>
      </rPr>
      <t xml:space="preserve">化）。</t>
    </r>
  </si>
  <si>
    <t xml:space="preserve">◆数字の流れ</t>
  </si>
  <si>
    <t xml:space="preserve">入力 → 決算精算表</t>
  </si>
  <si>
    <r>
      <rPr>
        <sz val="10"/>
        <rFont val="MS ゴシック"/>
        <family val="0"/>
        <charset val="1"/>
      </rPr>
      <t xml:space="preserve">3</t>
    </r>
    <r>
      <rPr>
        <sz val="10"/>
        <rFont val="WenQuanYi Zen Hei"/>
        <family val="2"/>
      </rPr>
      <t xml:space="preserve">月分残高（借方</t>
    </r>
    <r>
      <rPr>
        <sz val="10"/>
        <rFont val="MS ゴシック"/>
        <family val="0"/>
        <charset val="1"/>
      </rPr>
      <t xml:space="preserve">C</t>
    </r>
    <r>
      <rPr>
        <sz val="10"/>
        <rFont val="WenQuanYi Zen Hei"/>
        <family val="2"/>
      </rPr>
      <t xml:space="preserve">列／貸方</t>
    </r>
    <r>
      <rPr>
        <sz val="10"/>
        <rFont val="MS ゴシック"/>
        <family val="0"/>
        <charset val="1"/>
      </rPr>
      <t xml:space="preserve">E</t>
    </r>
    <r>
      <rPr>
        <sz val="10"/>
        <rFont val="WenQuanYi Zen Hei"/>
        <family val="2"/>
      </rPr>
      <t xml:space="preserve">列）：科目名で自動照合（空白・全角空白は無視）。並び順が変わっても、科目名が同じなら取り込めます。</t>
    </r>
  </si>
  <si>
    <t xml:space="preserve">附属明細表 → 決算精算表</t>
  </si>
  <si>
    <r>
      <rPr>
        <sz val="10"/>
        <rFont val="WenQuanYi Zen Hei"/>
        <family val="2"/>
      </rPr>
      <t xml:space="preserve">修正増減（</t>
    </r>
    <r>
      <rPr>
        <sz val="10"/>
        <rFont val="MS ゴシック"/>
        <family val="0"/>
        <charset val="1"/>
      </rPr>
      <t xml:space="preserve">B</t>
    </r>
    <r>
      <rPr>
        <sz val="10"/>
        <rFont val="WenQuanYi Zen Hei"/>
        <family val="2"/>
      </rPr>
      <t xml:space="preserve">列／</t>
    </r>
    <r>
      <rPr>
        <sz val="10"/>
        <rFont val="MS ゴシック"/>
        <family val="0"/>
        <charset val="1"/>
      </rPr>
      <t xml:space="preserve">F</t>
    </r>
    <r>
      <rPr>
        <sz val="10"/>
        <rFont val="WenQuanYi Zen Hei"/>
        <family val="2"/>
      </rPr>
      <t xml:space="preserve">列）：未払金・未収金・未払費用・減価償却費の明細から。当期利益金（</t>
    </r>
    <r>
      <rPr>
        <sz val="10"/>
        <rFont val="MS ゴシック"/>
        <family val="0"/>
        <charset val="1"/>
      </rPr>
      <t xml:space="preserve">B38</t>
    </r>
    <r>
      <rPr>
        <sz val="10"/>
        <rFont val="WenQuanYi Zen Hei"/>
        <family val="2"/>
      </rPr>
      <t xml:space="preserve">）は 収益−費用 で自動計算。</t>
    </r>
  </si>
  <si>
    <t xml:space="preserve">決算精算表 → 財務諸表</t>
  </si>
  <si>
    <t xml:space="preserve">貸借対照表・損益計算書の全金額を決算精算表の差引残高から引用。注記の減価償却累計額も附属明細表から自動。</t>
  </si>
  <si>
    <t xml:space="preserve">決算精算表 → 附属明細表</t>
  </si>
  <si>
    <t xml:space="preserve">積立金明細・利益剰余金計算書・支出実績表（支出済額・未済額）・固定資産の当期償却額を連動。</t>
  </si>
  <si>
    <r>
      <rPr>
        <b val="true"/>
        <sz val="10"/>
        <rFont val="WenQuanYi Zen Hei"/>
        <family val="2"/>
      </rPr>
      <t xml:space="preserve">決算精算表 → 決算書</t>
    </r>
    <r>
      <rPr>
        <b val="true"/>
        <sz val="10"/>
        <rFont val="MS ゴシック"/>
        <family val="0"/>
        <charset val="1"/>
      </rPr>
      <t xml:space="preserve">P18</t>
    </r>
    <r>
      <rPr>
        <b val="true"/>
        <sz val="10"/>
        <rFont val="WenQuanYi Zen Hei"/>
        <family val="2"/>
      </rPr>
      <t xml:space="preserve">／</t>
    </r>
    <r>
      <rPr>
        <b val="true"/>
        <sz val="10"/>
        <rFont val="MS ゴシック"/>
        <family val="0"/>
        <charset val="1"/>
      </rPr>
      <t xml:space="preserve">P19</t>
    </r>
  </si>
  <si>
    <r>
      <rPr>
        <sz val="10"/>
        <rFont val="WenQuanYi Zen Hei"/>
        <family val="2"/>
      </rPr>
      <t xml:space="preserve">収入・支出の決算額、「利益剰余金の処分」の文章（万円表記）、組合員</t>
    </r>
    <r>
      <rPr>
        <sz val="10"/>
        <rFont val="MS ゴシック"/>
        <family val="0"/>
        <charset val="1"/>
      </rPr>
      <t xml:space="preserve">1</t>
    </r>
    <r>
      <rPr>
        <sz val="10"/>
        <rFont val="WenQuanYi Zen Hei"/>
        <family val="2"/>
      </rPr>
      <t xml:space="preserve">人当たりの額（平均組合員数で自動計算）。</t>
    </r>
  </si>
  <si>
    <t xml:space="preserve">決算精算表 → 総括表（メモなし）</t>
  </si>
  <si>
    <r>
      <rPr>
        <sz val="10"/>
        <rFont val="WenQuanYi Zen Hei"/>
        <family val="2"/>
      </rPr>
      <t xml:space="preserve">業務経理の令和○年度列（</t>
    </r>
    <r>
      <rPr>
        <sz val="10"/>
        <rFont val="MS ゴシック"/>
        <family val="0"/>
        <charset val="1"/>
      </rPr>
      <t xml:space="preserve">K</t>
    </r>
    <r>
      <rPr>
        <sz val="10"/>
        <rFont val="WenQuanYi Zen Hei"/>
        <family val="2"/>
      </rPr>
      <t xml:space="preserve">列）に自動反映。</t>
    </r>
  </si>
  <si>
    <t xml:space="preserve">◆安全機能</t>
  </si>
  <si>
    <t xml:space="preserve">シート保護（パスワードなし）</t>
  </si>
  <si>
    <t xml:space="preserve">数式セルは保護され、誤って消したり上書きしたりできません。入力欄・明細・文章などの定数セルは従来どおり編集できます。数式を直す必要がある場合は［校閲］→［シート保護の解除］で解除できます。</t>
  </si>
  <si>
    <t xml:space="preserve">原本照合シート</t>
  </si>
  <si>
    <r>
      <rPr>
        <sz val="10"/>
        <rFont val="WenQuanYi Zen Hei"/>
        <family val="2"/>
      </rPr>
      <t xml:space="preserve">元の</t>
    </r>
    <r>
      <rPr>
        <sz val="10"/>
        <rFont val="MS ゴシック"/>
        <family val="0"/>
        <charset val="1"/>
      </rPr>
      <t xml:space="preserve">3</t>
    </r>
    <r>
      <rPr>
        <sz val="10"/>
        <rFont val="WenQuanYi Zen Hei"/>
        <family val="2"/>
      </rPr>
      <t xml:space="preserve">ファイル（</t>
    </r>
    <r>
      <rPr>
        <sz val="10"/>
        <rFont val="MS ゴシック"/>
        <family val="0"/>
        <charset val="1"/>
      </rPr>
      <t xml:space="preserve">.xls</t>
    </r>
    <r>
      <rPr>
        <sz val="10"/>
        <rFont val="WenQuanYi Zen Hei"/>
        <family val="2"/>
      </rPr>
      <t xml:space="preserve">）の全数値と、このブックの現在値を</t>
    </r>
    <r>
      <rPr>
        <sz val="10"/>
        <rFont val="MS ゴシック"/>
        <family val="0"/>
        <charset val="1"/>
      </rPr>
      <t xml:space="preserve">1</t>
    </r>
    <r>
      <rPr>
        <sz val="10"/>
        <rFont val="WenQuanYi Zen Hei"/>
        <family val="2"/>
      </rPr>
      <t xml:space="preserve">セルずつ突き合わせた記録です。令和</t>
    </r>
    <r>
      <rPr>
        <sz val="10"/>
        <rFont val="MS ゴシック"/>
        <family val="0"/>
        <charset val="1"/>
      </rPr>
      <t xml:space="preserve">7</t>
    </r>
    <r>
      <rPr>
        <sz val="10"/>
        <rFont val="WenQuanYi Zen Hei"/>
        <family val="2"/>
      </rPr>
      <t xml:space="preserve">年度のサンプルデータ入力時点で「★相違」が</t>
    </r>
    <r>
      <rPr>
        <sz val="10"/>
        <rFont val="MS ゴシック"/>
        <family val="0"/>
        <charset val="1"/>
      </rPr>
      <t xml:space="preserve">0</t>
    </r>
    <r>
      <rPr>
        <sz val="10"/>
        <rFont val="WenQuanYi Zen Hei"/>
        <family val="2"/>
      </rPr>
      <t xml:space="preserve">件であることを確認済み。本番データを入れると差が出るのは正常です（不要なら削除可）。</t>
    </r>
  </si>
  <si>
    <t xml:space="preserve">◆マクロ（任意）</t>
  </si>
  <si>
    <t xml:space="preserve">導入方法</t>
  </si>
  <si>
    <r>
      <rPr>
        <sz val="10"/>
        <rFont val="WenQuanYi Zen Hei"/>
        <family val="2"/>
      </rPr>
      <t xml:space="preserve">ファイル「決算マクロ</t>
    </r>
    <r>
      <rPr>
        <sz val="10"/>
        <rFont val="MS ゴシック"/>
        <family val="0"/>
        <charset val="1"/>
      </rPr>
      <t xml:space="preserve">.bas</t>
    </r>
    <r>
      <rPr>
        <sz val="10"/>
        <rFont val="WenQuanYi Zen Hei"/>
        <family val="2"/>
      </rPr>
      <t xml:space="preserve">」を </t>
    </r>
    <r>
      <rPr>
        <sz val="10"/>
        <rFont val="MS ゴシック"/>
        <family val="0"/>
        <charset val="1"/>
      </rPr>
      <t xml:space="preserve">Alt+F11</t>
    </r>
    <r>
      <rPr>
        <sz val="10"/>
        <rFont val="WenQuanYi Zen Hei"/>
        <family val="2"/>
      </rPr>
      <t xml:space="preserve">（</t>
    </r>
    <r>
      <rPr>
        <sz val="10"/>
        <rFont val="MS ゴシック"/>
        <family val="0"/>
        <charset val="1"/>
      </rPr>
      <t xml:space="preserve">VBE</t>
    </r>
    <r>
      <rPr>
        <sz val="10"/>
        <rFont val="WenQuanYi Zen Hei"/>
        <family val="2"/>
      </rPr>
      <t xml:space="preserve">）→［ファイル］→［ファイルのインポート］で取り込み、「</t>
    </r>
    <r>
      <rPr>
        <sz val="10"/>
        <rFont val="MS ゴシック"/>
        <family val="0"/>
        <charset val="1"/>
      </rPr>
      <t xml:space="preserve">Excel</t>
    </r>
    <r>
      <rPr>
        <sz val="10"/>
        <rFont val="WenQuanYi Zen Hei"/>
        <family val="2"/>
      </rPr>
      <t xml:space="preserve">マクロ有効ブック（</t>
    </r>
    <r>
      <rPr>
        <sz val="10"/>
        <rFont val="MS ゴシック"/>
        <family val="0"/>
        <charset val="1"/>
      </rPr>
      <t xml:space="preserve">.xlsm</t>
    </r>
    <r>
      <rPr>
        <sz val="10"/>
        <rFont val="WenQuanYi Zen Hei"/>
        <family val="2"/>
      </rPr>
      <t xml:space="preserve">）」で保存。実行は </t>
    </r>
    <r>
      <rPr>
        <sz val="10"/>
        <rFont val="MS ゴシック"/>
        <family val="0"/>
        <charset val="1"/>
      </rPr>
      <t xml:space="preserve">Alt+F8 →</t>
    </r>
    <r>
      <rPr>
        <sz val="10"/>
        <rFont val="WenQuanYi Zen Hei"/>
        <family val="2"/>
      </rPr>
      <t xml:space="preserve">「決算メニュー」。マクロなしでも、上記の数式機能はすべて動きます。</t>
    </r>
  </si>
  <si>
    <t xml:space="preserve">決算メニューの内容</t>
  </si>
  <si>
    <r>
      <rPr>
        <sz val="10"/>
        <rFont val="MS ゴシック"/>
        <family val="0"/>
        <charset val="1"/>
      </rPr>
      <t xml:space="preserve">1 </t>
    </r>
    <r>
      <rPr>
        <sz val="10"/>
        <rFont val="WenQuanYi Zen Hei"/>
        <family val="2"/>
      </rPr>
      <t xml:space="preserve">基幹データ取込（</t>
    </r>
    <r>
      <rPr>
        <sz val="10"/>
        <rFont val="MS ゴシック"/>
        <family val="0"/>
        <charset val="1"/>
      </rPr>
      <t xml:space="preserve">CSV/Excel</t>
    </r>
    <r>
      <rPr>
        <sz val="10"/>
        <rFont val="WenQuanYi Zen Hei"/>
        <family val="2"/>
      </rPr>
      <t xml:space="preserve">の試算表を入力シートへ）／</t>
    </r>
    <r>
      <rPr>
        <sz val="10"/>
        <rFont val="MS ゴシック"/>
        <family val="0"/>
        <charset val="1"/>
      </rPr>
      <t xml:space="preserve">2 </t>
    </r>
    <r>
      <rPr>
        <sz val="10"/>
        <rFont val="WenQuanYi Zen Hei"/>
        <family val="2"/>
      </rPr>
      <t xml:space="preserve">検算を実行／</t>
    </r>
    <r>
      <rPr>
        <sz val="10"/>
        <rFont val="MS ゴシック"/>
        <family val="0"/>
        <charset val="1"/>
      </rPr>
      <t xml:space="preserve">3 </t>
    </r>
    <r>
      <rPr>
        <sz val="10"/>
        <rFont val="WenQuanYi Zen Hei"/>
        <family val="2"/>
      </rPr>
      <t xml:space="preserve">決算書</t>
    </r>
    <r>
      <rPr>
        <sz val="10"/>
        <rFont val="MS ゴシック"/>
        <family val="0"/>
        <charset val="1"/>
      </rPr>
      <t xml:space="preserve">PDF</t>
    </r>
    <r>
      <rPr>
        <sz val="10"/>
        <rFont val="WenQuanYi Zen Hei"/>
        <family val="2"/>
      </rPr>
      <t xml:space="preserve">出力（印刷対象シートを</t>
    </r>
    <r>
      <rPr>
        <sz val="10"/>
        <rFont val="MS ゴシック"/>
        <family val="0"/>
        <charset val="1"/>
      </rPr>
      <t xml:space="preserve">1</t>
    </r>
    <r>
      <rPr>
        <sz val="10"/>
        <rFont val="WenQuanYi Zen Hei"/>
        <family val="2"/>
      </rPr>
      <t xml:space="preserve">つの</t>
    </r>
    <r>
      <rPr>
        <sz val="10"/>
        <rFont val="MS ゴシック"/>
        <family val="0"/>
        <charset val="1"/>
      </rPr>
      <t xml:space="preserve">PDF</t>
    </r>
    <r>
      <rPr>
        <sz val="10"/>
        <rFont val="WenQuanYi Zen Hei"/>
        <family val="2"/>
      </rPr>
      <t xml:space="preserve">に）／</t>
    </r>
    <r>
      <rPr>
        <sz val="10"/>
        <rFont val="MS ゴシック"/>
        <family val="0"/>
        <charset val="1"/>
      </rPr>
      <t xml:space="preserve">4 </t>
    </r>
    <r>
      <rPr>
        <sz val="10"/>
        <rFont val="WenQuanYi Zen Hei"/>
        <family val="2"/>
      </rPr>
      <t xml:space="preserve">次年度ブック作成（前年度欄・年度・総括表を自動で繰り越した新年度ブックを作成）。</t>
    </r>
  </si>
  <si>
    <t xml:space="preserve">◆対象外・手作業のままの箇所</t>
  </si>
  <si>
    <t xml:space="preserve">他の経理</t>
  </si>
  <si>
    <t xml:space="preserve">短期・長期・保健・貸付経理の総括表の列は、各経理の決算データがないため従来どおり手入力です。業務経理のシート群（入力〜決算書）を各経理分コピーし、総括表の該当列に同じ要領でリンクすると同様に自動化できます。</t>
  </si>
  <si>
    <t xml:space="preserve">総括表（メモあり）</t>
  </si>
  <si>
    <r>
      <rPr>
        <sz val="10"/>
        <rFont val="WenQuanYi Zen Hei"/>
        <family val="2"/>
      </rPr>
      <t xml:space="preserve">元ファイルのまま変更していません。令和</t>
    </r>
    <r>
      <rPr>
        <sz val="10"/>
        <rFont val="MS ゴシック"/>
        <family val="0"/>
        <charset val="1"/>
      </rPr>
      <t xml:space="preserve">6</t>
    </r>
    <r>
      <rPr>
        <sz val="10"/>
        <rFont val="WenQuanYi Zen Hei"/>
        <family val="2"/>
      </rPr>
      <t xml:space="preserve">年度の数値（「</t>
    </r>
    <r>
      <rPr>
        <sz val="10"/>
        <rFont val="MS ゴシック"/>
        <family val="0"/>
        <charset val="1"/>
      </rPr>
      <t xml:space="preserve">5</t>
    </r>
    <r>
      <rPr>
        <sz val="10"/>
        <rFont val="WenQuanYi Zen Hei"/>
        <family val="2"/>
      </rPr>
      <t xml:space="preserve">～</t>
    </r>
    <r>
      <rPr>
        <sz val="10"/>
        <rFont val="MS ゴシック"/>
        <family val="0"/>
        <charset val="1"/>
      </rPr>
      <t xml:space="preserve">6 (</t>
    </r>
    <r>
      <rPr>
        <sz val="10"/>
        <rFont val="WenQuanYi Zen Hei"/>
        <family val="2"/>
      </rPr>
      <t xml:space="preserve">メモなし</t>
    </r>
    <r>
      <rPr>
        <sz val="10"/>
        <rFont val="MS ゴシック"/>
        <family val="0"/>
        <charset val="1"/>
      </rPr>
      <t xml:space="preserve">)</t>
    </r>
    <r>
      <rPr>
        <sz val="10"/>
        <rFont val="WenQuanYi Zen Hei"/>
        <family val="2"/>
      </rPr>
      <t xml:space="preserve">」シート参照）を表示しており、令和</t>
    </r>
    <r>
      <rPr>
        <sz val="10"/>
        <rFont val="MS ゴシック"/>
        <family val="0"/>
        <charset val="1"/>
      </rPr>
      <t xml:space="preserve">7</t>
    </r>
    <r>
      <rPr>
        <sz val="10"/>
        <rFont val="WenQuanYi Zen Hei"/>
        <family val="2"/>
      </rPr>
      <t xml:space="preserve">年度版にするときは、数式中の「○総括　</t>
    </r>
    <r>
      <rPr>
        <sz val="10"/>
        <rFont val="MS ゴシック"/>
        <family val="0"/>
        <charset val="1"/>
      </rPr>
      <t xml:space="preserve">5</t>
    </r>
    <r>
      <rPr>
        <sz val="10"/>
        <rFont val="WenQuanYi Zen Hei"/>
        <family val="2"/>
      </rPr>
      <t xml:space="preserve">～</t>
    </r>
    <r>
      <rPr>
        <sz val="10"/>
        <rFont val="MS ゴシック"/>
        <family val="0"/>
        <charset val="1"/>
      </rPr>
      <t xml:space="preserve">6 (</t>
    </r>
    <r>
      <rPr>
        <sz val="10"/>
        <rFont val="WenQuanYi Zen Hei"/>
        <family val="2"/>
      </rPr>
      <t xml:space="preserve">メモなし</t>
    </r>
    <r>
      <rPr>
        <sz val="10"/>
        <rFont val="MS ゴシック"/>
        <family val="0"/>
        <charset val="1"/>
      </rPr>
      <t xml:space="preserve">)</t>
    </r>
    <r>
      <rPr>
        <sz val="10"/>
        <rFont val="WenQuanYi Zen Hei"/>
        <family val="2"/>
      </rPr>
      <t xml:space="preserve">」を「〇総括　</t>
    </r>
    <r>
      <rPr>
        <sz val="10"/>
        <rFont val="MS ゴシック"/>
        <family val="0"/>
        <charset val="1"/>
      </rPr>
      <t xml:space="preserve">6</t>
    </r>
    <r>
      <rPr>
        <sz val="10"/>
        <rFont val="WenQuanYi Zen Hei"/>
        <family val="2"/>
      </rPr>
      <t xml:space="preserve">～</t>
    </r>
    <r>
      <rPr>
        <sz val="10"/>
        <rFont val="MS ゴシック"/>
        <family val="0"/>
        <charset val="1"/>
      </rPr>
      <t xml:space="preserve">7</t>
    </r>
    <r>
      <rPr>
        <sz val="10"/>
        <rFont val="WenQuanYi Zen Hei"/>
        <family val="2"/>
      </rPr>
      <t xml:space="preserve">（メモなし）」に置換（</t>
    </r>
    <r>
      <rPr>
        <sz val="10"/>
        <rFont val="MS ゴシック"/>
        <family val="0"/>
        <charset val="1"/>
      </rPr>
      <t xml:space="preserve">Ctrl+H</t>
    </r>
    <r>
      <rPr>
        <sz val="10"/>
        <rFont val="WenQuanYi Zen Hei"/>
        <family val="2"/>
      </rPr>
      <t xml:space="preserve">、検索場所＝数式）してください。</t>
    </r>
    <r>
      <rPr>
        <sz val="10"/>
        <rFont val="MS ゴシック"/>
        <family val="0"/>
        <charset val="1"/>
      </rPr>
      <t xml:space="preserve">H</t>
    </r>
    <r>
      <rPr>
        <sz val="10"/>
        <rFont val="WenQuanYi Zen Hei"/>
        <family val="2"/>
      </rPr>
      <t xml:space="preserve">・</t>
    </r>
    <r>
      <rPr>
        <sz val="10"/>
        <rFont val="MS ゴシック"/>
        <family val="0"/>
        <charset val="1"/>
      </rPr>
      <t xml:space="preserve">I</t>
    </r>
    <r>
      <rPr>
        <sz val="10"/>
        <rFont val="WenQuanYi Zen Hei"/>
        <family val="2"/>
      </rPr>
      <t xml:space="preserve">列（長期経理）は数値の直接入力です。</t>
    </r>
  </si>
  <si>
    <t xml:space="preserve">セルコメント</t>
  </si>
  <si>
    <r>
      <rPr>
        <sz val="10"/>
        <rFont val="WenQuanYi Zen Hei"/>
        <family val="2"/>
      </rPr>
      <t xml:space="preserve">決算書</t>
    </r>
    <r>
      <rPr>
        <sz val="10"/>
        <rFont val="MS ゴシック"/>
        <family val="0"/>
        <charset val="1"/>
      </rPr>
      <t xml:space="preserve">P18</t>
    </r>
    <r>
      <rPr>
        <sz val="10"/>
        <rFont val="WenQuanYi Zen Hei"/>
        <family val="2"/>
      </rPr>
      <t xml:space="preserve">のコメント（「</t>
    </r>
    <r>
      <rPr>
        <sz val="10"/>
        <rFont val="MS ゴシック"/>
        <family val="0"/>
        <charset val="1"/>
      </rPr>
      <t xml:space="preserve">35,502,843</t>
    </r>
    <r>
      <rPr>
        <sz val="10"/>
        <rFont val="WenQuanYi Zen Hei"/>
        <family val="2"/>
      </rPr>
      <t xml:space="preserve">円</t>
    </r>
    <r>
      <rPr>
        <sz val="10"/>
        <rFont val="MS ゴシック"/>
        <family val="0"/>
        <charset val="1"/>
      </rPr>
      <t xml:space="preserve">÷19,060</t>
    </r>
    <r>
      <rPr>
        <sz val="10"/>
        <rFont val="WenQuanYi Zen Hei"/>
        <family val="2"/>
      </rPr>
      <t xml:space="preserve">人」等）や総括表の増減理由メモは文章のため自動更新されません。年度ごとに書き換えてください。</t>
    </r>
  </si>
  <si>
    <t xml:space="preserve">過去年度の総括シート</t>
  </si>
  <si>
    <t xml:space="preserve">元の総括ファイルにあった令和元年以前の年度別シートはこのブックに入れていません（元ファイルに残っています）。</t>
  </si>
  <si>
    <t xml:space="preserve">当期損失の場合</t>
  </si>
  <si>
    <r>
      <rPr>
        <sz val="10"/>
        <rFont val="WenQuanYi Zen Hei"/>
        <family val="2"/>
      </rPr>
      <t xml:space="preserve">当期損失金の場合も決算精算表は自動で損失側に計算します。ただし決算書</t>
    </r>
    <r>
      <rPr>
        <sz val="10"/>
        <rFont val="MS ゴシック"/>
        <family val="0"/>
        <charset val="1"/>
      </rPr>
      <t xml:space="preserve">P19</t>
    </r>
    <r>
      <rPr>
        <sz val="10"/>
        <rFont val="WenQuanYi Zen Hei"/>
        <family val="2"/>
      </rPr>
      <t xml:space="preserve">の文章は当期利益金の例文のままなので、損失用の例文（</t>
    </r>
    <r>
      <rPr>
        <sz val="10"/>
        <rFont val="MS ゴシック"/>
        <family val="0"/>
        <charset val="1"/>
      </rPr>
      <t xml:space="preserve">P19</t>
    </r>
    <r>
      <rPr>
        <sz val="10"/>
        <rFont val="WenQuanYi Zen Hei"/>
        <family val="2"/>
      </rPr>
      <t xml:space="preserve">下部）を使ってください。</t>
    </r>
  </si>
  <si>
    <t xml:space="preserve">前払費用・固定資産除却損・補助金</t>
  </si>
  <si>
    <r>
      <rPr>
        <sz val="10"/>
        <rFont val="WenQuanYi Zen Hei"/>
        <family val="2"/>
      </rPr>
      <t xml:space="preserve">財務諸表の様式に行がないため、金額が出た場合は検算シートが </t>
    </r>
    <r>
      <rPr>
        <sz val="10"/>
        <rFont val="MS ゴシック"/>
        <family val="0"/>
        <charset val="1"/>
      </rPr>
      <t xml:space="preserve">NG </t>
    </r>
    <r>
      <rPr>
        <sz val="10"/>
        <rFont val="WenQuanYi Zen Hei"/>
        <family val="2"/>
      </rPr>
      <t xml:space="preserve">になります。様式に行を追加してリンクしてください。</t>
    </r>
  </si>
  <si>
    <t xml:space="preserve">入力欄の見分け方</t>
  </si>
  <si>
    <r>
      <rPr>
        <sz val="10"/>
        <rFont val="WenQuanYi Zen Hei"/>
        <family val="2"/>
      </rPr>
      <t xml:space="preserve">入力シートの黄色セル、附属明細表の明細欄、決算書の予算額・前年度決算額・定款繰入額</t>
    </r>
    <r>
      <rPr>
        <sz val="10"/>
        <rFont val="MS ゴシック"/>
        <family val="0"/>
        <charset val="1"/>
      </rPr>
      <t xml:space="preserve">(AJ9)</t>
    </r>
    <r>
      <rPr>
        <sz val="10"/>
        <rFont val="WenQuanYi Zen Hei"/>
        <family val="2"/>
      </rPr>
      <t xml:space="preserve">が人手で入れる欄です。それ以外は数式です。</t>
    </r>
  </si>
  <si>
    <t xml:space="preserve">入力シート（決算データはここだけに入力・貼り付けします）</t>
  </si>
  <si>
    <t xml:space="preserve">黄色のセルが入力欄です。ほかのシートの数字は、ここと「附属明細表」の明細欄から自動計算されます。</t>
  </si>
  <si>
    <r>
      <rPr>
        <b val="true"/>
        <sz val="10"/>
        <rFont val="MS ゴシック"/>
        <family val="0"/>
        <charset val="1"/>
      </rPr>
      <t xml:space="preserve">■1 </t>
    </r>
    <r>
      <rPr>
        <b val="true"/>
        <sz val="10"/>
        <rFont val="WenQuanYi Zen Hei"/>
        <family val="2"/>
      </rPr>
      <t xml:space="preserve">基本情報</t>
    </r>
  </si>
  <si>
    <t xml:space="preserve">会計年度（令和○年度の数字）</t>
  </si>
  <si>
    <r>
      <rPr>
        <sz val="10"/>
        <rFont val="WenQuanYi Zen Hei"/>
        <family val="2"/>
      </rPr>
      <t xml:space="preserve">← 令和７年度なら </t>
    </r>
    <r>
      <rPr>
        <sz val="10"/>
        <rFont val="MS ゴシック"/>
        <family val="0"/>
        <charset val="1"/>
      </rPr>
      <t xml:space="preserve">7</t>
    </r>
    <r>
      <rPr>
        <sz val="10"/>
        <rFont val="WenQuanYi Zen Hei"/>
        <family val="2"/>
      </rPr>
      <t xml:space="preserve">。年度表記・決算日・総括表の見出しに反映</t>
    </r>
  </si>
  <si>
    <t xml:space="preserve">決算精算表の審査日（例：令和８年４月２２日）</t>
  </si>
  <si>
    <t xml:space="preserve">令和８年４月２２日</t>
  </si>
  <si>
    <t xml:space="preserve">出納主任（氏名）</t>
  </si>
  <si>
    <t xml:space="preserve">村　井　慶　子</t>
  </si>
  <si>
    <t xml:space="preserve">出納役（氏名）</t>
  </si>
  <si>
    <t xml:space="preserve">榎　本　聡　子</t>
  </si>
  <si>
    <r>
      <rPr>
        <b val="true"/>
        <sz val="10"/>
        <rFont val="MS ゴシック"/>
        <family val="0"/>
        <charset val="1"/>
      </rPr>
      <t xml:space="preserve">■2 </t>
    </r>
    <r>
      <rPr>
        <b val="true"/>
        <sz val="10"/>
        <rFont val="WenQuanYi Zen Hei"/>
        <family val="2"/>
      </rPr>
      <t xml:space="preserve">統計システム確定値（決算書</t>
    </r>
    <r>
      <rPr>
        <b val="true"/>
        <sz val="10"/>
        <rFont val="MS ゴシック"/>
        <family val="0"/>
        <charset val="1"/>
      </rPr>
      <t xml:space="preserve">P18</t>
    </r>
    <r>
      <rPr>
        <b val="true"/>
        <sz val="10"/>
        <rFont val="WenQuanYi Zen Hei"/>
        <family val="2"/>
      </rPr>
      <t xml:space="preserve">「組合員</t>
    </r>
    <r>
      <rPr>
        <b val="true"/>
        <sz val="10"/>
        <rFont val="MS ゴシック"/>
        <family val="0"/>
        <charset val="1"/>
      </rPr>
      <t xml:space="preserve">1</t>
    </r>
    <r>
      <rPr>
        <b val="true"/>
        <sz val="10"/>
        <rFont val="WenQuanYi Zen Hei"/>
        <family val="2"/>
      </rPr>
      <t xml:space="preserve">人当たりの額」の計算に使用）</t>
    </r>
  </si>
  <si>
    <t xml:space="preserve">平均組合員数（短期）</t>
  </si>
  <si>
    <r>
      <rPr>
        <sz val="10"/>
        <rFont val="WenQuanYi Zen Hei"/>
        <family val="2"/>
      </rPr>
      <t xml:space="preserve">出典：</t>
    </r>
    <r>
      <rPr>
        <sz val="10"/>
        <rFont val="MS ゴシック"/>
        <family val="0"/>
        <charset val="1"/>
      </rPr>
      <t xml:space="preserve">P18</t>
    </r>
    <r>
      <rPr>
        <sz val="10"/>
        <rFont val="WenQuanYi Zen Hei"/>
        <family val="2"/>
      </rPr>
      <t xml:space="preserve">セルコメント（統計システム確定分）</t>
    </r>
  </si>
  <si>
    <t xml:space="preserve">平均組合員数（長期・業務・退職等年金）</t>
  </si>
  <si>
    <t xml:space="preserve">短期事務費決算額（円）</t>
  </si>
  <si>
    <t xml:space="preserve">連合会交付金のうち退職等年金分（円）</t>
  </si>
  <si>
    <r>
      <rPr>
        <b val="true"/>
        <sz val="10"/>
        <rFont val="MS ゴシック"/>
        <family val="0"/>
        <charset val="1"/>
      </rPr>
      <t xml:space="preserve">■3 </t>
    </r>
    <r>
      <rPr>
        <b val="true"/>
        <sz val="10"/>
        <rFont val="WenQuanYi Zen Hei"/>
        <family val="2"/>
      </rPr>
      <t xml:space="preserve">基幹システム出力（試算表）貼り付け欄 ― 勘定科目・借方残高・貸方残高</t>
    </r>
  </si>
  <si>
    <t xml:space="preserve">合計</t>
  </si>
  <si>
    <r>
      <rPr>
        <sz val="10"/>
        <rFont val="WenQuanYi Zen Hei"/>
        <family val="2"/>
      </rPr>
      <t xml:space="preserve">※基幹システムの</t>
    </r>
    <r>
      <rPr>
        <sz val="10"/>
        <rFont val="MS ゴシック"/>
        <family val="0"/>
        <charset val="1"/>
      </rPr>
      <t xml:space="preserve">3</t>
    </r>
    <r>
      <rPr>
        <sz val="10"/>
        <rFont val="WenQuanYi Zen Hei"/>
        <family val="2"/>
      </rPr>
      <t xml:space="preserve">月分残高（修正前）を貼り付けます。科目の並び順は問いません。</t>
    </r>
  </si>
  <si>
    <t xml:space="preserve">勘定科目</t>
  </si>
  <si>
    <t xml:space="preserve">借方残高（円）</t>
  </si>
  <si>
    <t xml:space="preserve">貸方残高（円）</t>
  </si>
  <si>
    <t xml:space="preserve">精算表への取込判定</t>
  </si>
  <si>
    <t xml:space="preserve">普通預金</t>
  </si>
  <si>
    <t xml:space="preserve">立替金</t>
  </si>
  <si>
    <t xml:space="preserve">器具及び備品</t>
  </si>
  <si>
    <t xml:space="preserve">役員報酬</t>
  </si>
  <si>
    <t xml:space="preserve">職員給与</t>
  </si>
  <si>
    <t xml:space="preserve">厚生費</t>
  </si>
  <si>
    <t xml:space="preserve">旅    費</t>
  </si>
  <si>
    <t xml:space="preserve">事務費</t>
  </si>
  <si>
    <t xml:space="preserve">賃金</t>
  </si>
  <si>
    <t xml:space="preserve">委託費</t>
  </si>
  <si>
    <t xml:space="preserve">光熱水料</t>
  </si>
  <si>
    <t xml:space="preserve">修繕費</t>
  </si>
  <si>
    <t xml:space="preserve">賃借料</t>
  </si>
  <si>
    <t xml:space="preserve">普及費</t>
  </si>
  <si>
    <t xml:space="preserve">負担金</t>
  </si>
  <si>
    <t xml:space="preserve">連合会分担金</t>
  </si>
  <si>
    <t xml:space="preserve">事務費負担金払込金</t>
  </si>
  <si>
    <t xml:space="preserve">預り金</t>
  </si>
  <si>
    <t xml:space="preserve">受入保証金</t>
  </si>
  <si>
    <t xml:space="preserve">利益剰余金</t>
  </si>
  <si>
    <t xml:space="preserve">雑収入</t>
  </si>
  <si>
    <t xml:space="preserve">連合会交付金</t>
  </si>
  <si>
    <t xml:space="preserve">検算シート（入力・転記ミスのチェック）</t>
  </si>
  <si>
    <t xml:space="preserve">No</t>
  </si>
  <si>
    <t xml:space="preserve">チェック内容</t>
  </si>
  <si>
    <t xml:space="preserve">値１</t>
  </si>
  <si>
    <t xml:space="preserve">値２</t>
  </si>
  <si>
    <t xml:space="preserve">差</t>
  </si>
  <si>
    <t xml:space="preserve">判定</t>
  </si>
  <si>
    <r>
      <rPr>
        <sz val="10"/>
        <rFont val="WenQuanYi Zen Hei"/>
        <family val="2"/>
      </rPr>
      <t xml:space="preserve">基幹取込の借方合計 ＝ 決算精算表の</t>
    </r>
    <r>
      <rPr>
        <sz val="10"/>
        <rFont val="MS ゴシック"/>
        <family val="0"/>
        <charset val="1"/>
      </rPr>
      <t xml:space="preserve">3</t>
    </r>
    <r>
      <rPr>
        <sz val="10"/>
        <rFont val="WenQuanYi Zen Hei"/>
        <family val="2"/>
      </rPr>
      <t xml:space="preserve">月分残高（借方）  ※差があれば精算表に無い科目あり</t>
    </r>
  </si>
  <si>
    <r>
      <rPr>
        <sz val="10"/>
        <rFont val="WenQuanYi Zen Hei"/>
        <family val="2"/>
      </rPr>
      <t xml:space="preserve">基幹取込の貸方合計 ＝ 決算精算表の</t>
    </r>
    <r>
      <rPr>
        <sz val="10"/>
        <rFont val="MS ゴシック"/>
        <family val="0"/>
        <charset val="1"/>
      </rPr>
      <t xml:space="preserve">3</t>
    </r>
    <r>
      <rPr>
        <sz val="10"/>
        <rFont val="WenQuanYi Zen Hei"/>
        <family val="2"/>
      </rPr>
      <t xml:space="preserve">月分残高（貸方）</t>
    </r>
  </si>
  <si>
    <t xml:space="preserve">決算精算表 差引残高：借方合計 ＝ 貸方合計</t>
  </si>
  <si>
    <t xml:space="preserve">貸借対照表：資産合計 ＝ 負債・純資産合計</t>
  </si>
  <si>
    <t xml:space="preserve">損益計算書：損失側合計 ＝ 利益側合計</t>
  </si>
  <si>
    <t xml:space="preserve">貸借対照表の資産合計 ＝ 決算精算表の資産合計（前払費用等の未反映を検出）</t>
  </si>
  <si>
    <t xml:space="preserve">損益計算書の費用 ＝ 決算精算表の費用（固定資産除却損等の未反映を検出）</t>
  </si>
  <si>
    <t xml:space="preserve">損益計算書の収益 ＝ 決算精算表の収益（補助金等の未反映を検出）</t>
  </si>
  <si>
    <t xml:space="preserve">預金明細表の合計 ＝ 基幹の普通預金残高</t>
  </si>
  <si>
    <t xml:space="preserve">立替金明細表の合計 ＝ 基幹の立替金残高（修正後）</t>
  </si>
  <si>
    <t xml:space="preserve">預り金明細表の合計 ＝ 基幹の預り金残高</t>
  </si>
  <si>
    <t xml:space="preserve">受入保証金明細表の合計 ＝ 基幹の受入保証金残高</t>
  </si>
  <si>
    <t xml:space="preserve">固定資産明細表の差引期末残高 ＝ 貸借対照表の器具及び備品</t>
  </si>
  <si>
    <t xml:space="preserve">積立金明細表の貸借対照表計上額 ＝ 貸借対照表の積立金</t>
  </si>
  <si>
    <t xml:space="preserve">利益剰余金計算書の積立金（期末） ＝ 貸借対照表の積立金</t>
  </si>
  <si>
    <r>
      <rPr>
        <sz val="10"/>
        <rFont val="WenQuanYi Zen Hei"/>
        <family val="2"/>
      </rPr>
      <t xml:space="preserve">決算書</t>
    </r>
    <r>
      <rPr>
        <sz val="10"/>
        <rFont val="MS ゴシック"/>
        <family val="0"/>
        <charset val="1"/>
      </rPr>
      <t xml:space="preserve">P19 </t>
    </r>
    <r>
      <rPr>
        <sz val="10"/>
        <rFont val="WenQuanYi Zen Hei"/>
        <family val="2"/>
      </rPr>
      <t xml:space="preserve">支出合計 ＝ 決算精算表の費用合計</t>
    </r>
  </si>
  <si>
    <r>
      <rPr>
        <sz val="10"/>
        <rFont val="WenQuanYi Zen Hei"/>
        <family val="2"/>
      </rPr>
      <t xml:space="preserve">決算書</t>
    </r>
    <r>
      <rPr>
        <sz val="10"/>
        <rFont val="MS ゴシック"/>
        <family val="0"/>
        <charset val="1"/>
      </rPr>
      <t xml:space="preserve">P18 </t>
    </r>
    <r>
      <rPr>
        <sz val="10"/>
        <rFont val="WenQuanYi Zen Hei"/>
        <family val="2"/>
      </rPr>
      <t xml:space="preserve">収入合計 ＝ 決算精算表の収益合計（損益除く）</t>
    </r>
  </si>
  <si>
    <t xml:space="preserve">総括表（業務経理）当期収支差額 ＝ 当期利益金−当期損失金</t>
  </si>
  <si>
    <t xml:space="preserve">総括表（業務経理）次期繰越額 ＝ 貸借対照表の積立金</t>
  </si>
  <si>
    <t xml:space="preserve">総括表 前期繰越額（前年度シートから引継） ＝ 基幹の前期繰越積立金</t>
  </si>
  <si>
    <r>
      <rPr>
        <sz val="10"/>
        <rFont val="WenQuanYi Zen Hei"/>
        <family val="2"/>
      </rPr>
      <t xml:space="preserve">決算書</t>
    </r>
    <r>
      <rPr>
        <sz val="10"/>
        <rFont val="MS ゴシック"/>
        <family val="0"/>
        <charset val="1"/>
      </rPr>
      <t xml:space="preserve">P19 </t>
    </r>
    <r>
      <rPr>
        <sz val="10"/>
        <rFont val="WenQuanYi Zen Hei"/>
        <family val="2"/>
      </rPr>
      <t xml:space="preserve">前年度決算額の合計 ＝ 総括表の前年度（</t>
    </r>
    <r>
      <rPr>
        <sz val="10"/>
        <rFont val="MS ゴシック"/>
        <family val="0"/>
        <charset val="1"/>
      </rPr>
      <t xml:space="preserve">6</t>
    </r>
    <r>
      <rPr>
        <sz val="10"/>
        <rFont val="WenQuanYi Zen Hei"/>
        <family val="2"/>
      </rPr>
      <t xml:space="preserve">年度）支出合計</t>
    </r>
  </si>
  <si>
    <r>
      <rPr>
        <sz val="10"/>
        <rFont val="WenQuanYi Zen Hei"/>
        <family val="2"/>
      </rPr>
      <t xml:space="preserve">決算書</t>
    </r>
    <r>
      <rPr>
        <sz val="10"/>
        <rFont val="MS ゴシック"/>
        <family val="0"/>
        <charset val="1"/>
      </rPr>
      <t xml:space="preserve">P18 </t>
    </r>
    <r>
      <rPr>
        <sz val="10"/>
        <rFont val="WenQuanYi Zen Hei"/>
        <family val="2"/>
      </rPr>
      <t xml:space="preserve">前年度決算額の合計 ＝ 総括表の前年度（</t>
    </r>
    <r>
      <rPr>
        <sz val="10"/>
        <rFont val="MS ゴシック"/>
        <family val="0"/>
        <charset val="1"/>
      </rPr>
      <t xml:space="preserve">6</t>
    </r>
    <r>
      <rPr>
        <sz val="10"/>
        <rFont val="WenQuanYi Zen Hei"/>
        <family val="2"/>
      </rPr>
      <t xml:space="preserve">年度）収入合計</t>
    </r>
  </si>
  <si>
    <r>
      <rPr>
        <sz val="10"/>
        <rFont val="WenQuanYi Zen Hei"/>
        <family val="2"/>
      </rPr>
      <t xml:space="preserve">決算書</t>
    </r>
    <r>
      <rPr>
        <sz val="10"/>
        <rFont val="MS ゴシック"/>
        <family val="0"/>
        <charset val="1"/>
      </rPr>
      <t xml:space="preserve">P18 </t>
    </r>
    <r>
      <rPr>
        <sz val="10"/>
        <rFont val="WenQuanYi Zen Hei"/>
        <family val="2"/>
      </rPr>
      <t xml:space="preserve">事業計画額の合計 ＝ </t>
    </r>
    <r>
      <rPr>
        <sz val="10"/>
        <rFont val="MS ゴシック"/>
        <family val="0"/>
        <charset val="1"/>
      </rPr>
      <t xml:space="preserve">P19 </t>
    </r>
    <r>
      <rPr>
        <sz val="10"/>
        <rFont val="WenQuanYi Zen Hei"/>
        <family val="2"/>
      </rPr>
      <t xml:space="preserve">事業計画額の合計</t>
    </r>
  </si>
  <si>
    <r>
      <rPr>
        <b val="true"/>
        <sz val="14"/>
        <rFont val="WenQuanYi Zen Hei"/>
        <family val="2"/>
      </rPr>
      <t xml:space="preserve">原本照合（元の</t>
    </r>
    <r>
      <rPr>
        <b val="true"/>
        <sz val="14"/>
        <rFont val="MS ゴシック"/>
        <family val="0"/>
        <charset val="1"/>
      </rPr>
      <t xml:space="preserve">.xls</t>
    </r>
    <r>
      <rPr>
        <b val="true"/>
        <sz val="14"/>
        <rFont val="WenQuanYi Zen Hei"/>
        <family val="2"/>
      </rPr>
      <t xml:space="preserve">ファイルの数値 ⇔ このブックの現在値）</t>
    </r>
  </si>
  <si>
    <r>
      <rPr>
        <sz val="10"/>
        <rFont val="WenQuanYi Zen Hei"/>
        <family val="2"/>
      </rPr>
      <t xml:space="preserve">※令和</t>
    </r>
    <r>
      <rPr>
        <sz val="10"/>
        <rFont val="MS ゴシック"/>
        <family val="0"/>
        <charset val="1"/>
      </rPr>
      <t xml:space="preserve">7</t>
    </r>
    <r>
      <rPr>
        <sz val="10"/>
        <rFont val="WenQuanYi Zen Hei"/>
        <family val="2"/>
      </rPr>
      <t xml:space="preserve">年度サンプルデータ入力時点の照合記録。本番データを入力すると差が出ます（正常）。不要なら削除してください。</t>
    </r>
  </si>
  <si>
    <t xml:space="preserve">シート</t>
  </si>
  <si>
    <t xml:space="preserve">セル</t>
  </si>
  <si>
    <r>
      <rPr>
        <b val="true"/>
        <sz val="10"/>
        <color rgb="FFFFFFFF"/>
        <rFont val="WenQuanYi Zen Hei"/>
        <family val="2"/>
      </rPr>
      <t xml:space="preserve">原本値</t>
    </r>
    <r>
      <rPr>
        <b val="true"/>
        <sz val="10"/>
        <color rgb="FFFFFFFF"/>
        <rFont val="MS ゴシック"/>
        <family val="0"/>
        <charset val="1"/>
      </rPr>
      <t xml:space="preserve">(.xls)</t>
    </r>
  </si>
  <si>
    <t xml:space="preserve">現在値</t>
  </si>
  <si>
    <t xml:space="preserve">備考</t>
  </si>
  <si>
    <t xml:space="preserve">決算精算表</t>
  </si>
  <si>
    <t xml:space="preserve">A9</t>
  </si>
  <si>
    <t xml:space="preserve">C9</t>
  </si>
  <si>
    <t xml:space="preserve">A10</t>
  </si>
  <si>
    <t xml:space="preserve">B10</t>
  </si>
  <si>
    <t xml:space="preserve">C10</t>
  </si>
  <si>
    <t xml:space="preserve">A11</t>
  </si>
  <si>
    <t xml:space="preserve">C11</t>
  </si>
  <si>
    <r>
      <rPr>
        <sz val="10"/>
        <rFont val="WenQuanYi Zen Hei"/>
        <family val="2"/>
      </rPr>
      <t xml:space="preserve">元は空欄。数式化（値は</t>
    </r>
    <r>
      <rPr>
        <sz val="10"/>
        <rFont val="MS ゴシック"/>
        <family val="0"/>
        <charset val="1"/>
      </rPr>
      <t xml:space="preserve">0</t>
    </r>
    <r>
      <rPr>
        <sz val="10"/>
        <rFont val="WenQuanYi Zen Hei"/>
        <family val="2"/>
      </rPr>
      <t xml:space="preserve">。表示は空欄のまま）</t>
    </r>
  </si>
  <si>
    <t xml:space="preserve">A12</t>
  </si>
  <si>
    <t xml:space="preserve">B12</t>
  </si>
  <si>
    <t xml:space="preserve">C12</t>
  </si>
  <si>
    <t xml:space="preserve">A13</t>
  </si>
  <si>
    <t xml:space="preserve">C13</t>
  </si>
  <si>
    <t xml:space="preserve">F13</t>
  </si>
  <si>
    <t xml:space="preserve">E14</t>
  </si>
  <si>
    <t xml:space="preserve">F14</t>
  </si>
  <si>
    <t xml:space="preserve">G14</t>
  </si>
  <si>
    <t xml:space="preserve">E15</t>
  </si>
  <si>
    <t xml:space="preserve">F15</t>
  </si>
  <si>
    <t xml:space="preserve">G15</t>
  </si>
  <si>
    <t xml:space="preserve">E16</t>
  </si>
  <si>
    <t xml:space="preserve">G16</t>
  </si>
  <si>
    <t xml:space="preserve">E17</t>
  </si>
  <si>
    <t xml:space="preserve">G17</t>
  </si>
  <si>
    <t xml:space="preserve">E18</t>
  </si>
  <si>
    <t xml:space="preserve">B19</t>
  </si>
  <si>
    <t xml:space="preserve">E19</t>
  </si>
  <si>
    <t xml:space="preserve">F19</t>
  </si>
  <si>
    <t xml:space="preserve">G19</t>
  </si>
  <si>
    <t xml:space="preserve">A20</t>
  </si>
  <si>
    <t xml:space="preserve">B20</t>
  </si>
  <si>
    <t xml:space="preserve">C20</t>
  </si>
  <si>
    <t xml:space="preserve">E20</t>
  </si>
  <si>
    <t xml:space="preserve">F20</t>
  </si>
  <si>
    <t xml:space="preserve">G20</t>
  </si>
  <si>
    <t xml:space="preserve">A21</t>
  </si>
  <si>
    <t xml:space="preserve">C21</t>
  </si>
  <si>
    <t xml:space="preserve">A22</t>
  </si>
  <si>
    <t xml:space="preserve">B22</t>
  </si>
  <si>
    <t xml:space="preserve">C22</t>
  </si>
  <si>
    <t xml:space="preserve">A23</t>
  </si>
  <si>
    <t xml:space="preserve">C23</t>
  </si>
  <si>
    <t xml:space="preserve">A24</t>
  </si>
  <si>
    <t xml:space="preserve">C24</t>
  </si>
  <si>
    <t xml:space="preserve">A25</t>
  </si>
  <si>
    <t xml:space="preserve">B25</t>
  </si>
  <si>
    <t xml:space="preserve">C25</t>
  </si>
  <si>
    <t xml:space="preserve">A26</t>
  </si>
  <si>
    <t xml:space="preserve">B26</t>
  </si>
  <si>
    <t xml:space="preserve">C26</t>
  </si>
  <si>
    <t xml:space="preserve">A27</t>
  </si>
  <si>
    <t xml:space="preserve">B27</t>
  </si>
  <si>
    <t xml:space="preserve">C27</t>
  </si>
  <si>
    <t xml:space="preserve">A28</t>
  </si>
  <si>
    <t xml:space="preserve">B28</t>
  </si>
  <si>
    <t xml:space="preserve">C28</t>
  </si>
  <si>
    <t xml:space="preserve">A29</t>
  </si>
  <si>
    <t xml:space="preserve">C29</t>
  </si>
  <si>
    <t xml:space="preserve">A30</t>
  </si>
  <si>
    <t xml:space="preserve">B30</t>
  </si>
  <si>
    <t xml:space="preserve">C30</t>
  </si>
  <si>
    <t xml:space="preserve">A31</t>
  </si>
  <si>
    <t xml:space="preserve">B31</t>
  </si>
  <si>
    <t xml:space="preserve">C31</t>
  </si>
  <si>
    <t xml:space="preserve">A32</t>
  </si>
  <si>
    <t xml:space="preserve">B32</t>
  </si>
  <si>
    <t xml:space="preserve">C32</t>
  </si>
  <si>
    <t xml:space="preserve">A33</t>
  </si>
  <si>
    <t xml:space="preserve">C33</t>
  </si>
  <si>
    <t xml:space="preserve">A34</t>
  </si>
  <si>
    <t xml:space="preserve">C34</t>
  </si>
  <si>
    <t xml:space="preserve">A35</t>
  </si>
  <si>
    <t xml:space="preserve">B35</t>
  </si>
  <si>
    <t xml:space="preserve">C35</t>
  </si>
  <si>
    <t xml:space="preserve">A36</t>
  </si>
  <si>
    <t xml:space="preserve">C36</t>
  </si>
  <si>
    <t xml:space="preserve">A37</t>
  </si>
  <si>
    <t xml:space="preserve">B37</t>
  </si>
  <si>
    <t xml:space="preserve">C37</t>
  </si>
  <si>
    <t xml:space="preserve">A38</t>
  </si>
  <si>
    <t xml:space="preserve">B38</t>
  </si>
  <si>
    <t xml:space="preserve">B39</t>
  </si>
  <si>
    <t xml:space="preserve">E39</t>
  </si>
  <si>
    <t xml:space="preserve">G39</t>
  </si>
  <si>
    <t xml:space="preserve">E40</t>
  </si>
  <si>
    <t xml:space="preserve">G40</t>
  </si>
  <si>
    <t xml:space="preserve">E41</t>
  </si>
  <si>
    <t xml:space="preserve">G41</t>
  </si>
  <si>
    <t xml:space="preserve">E42</t>
  </si>
  <si>
    <t xml:space="preserve">G42</t>
  </si>
  <si>
    <t xml:space="preserve">E43</t>
  </si>
  <si>
    <t xml:space="preserve">G43</t>
  </si>
  <si>
    <t xml:space="preserve">E44</t>
  </si>
  <si>
    <t xml:space="preserve">F44</t>
  </si>
  <si>
    <t xml:space="preserve">G44</t>
  </si>
  <si>
    <t xml:space="preserve">E45</t>
  </si>
  <si>
    <t xml:space="preserve">G45</t>
  </si>
  <si>
    <t xml:space="preserve">E46</t>
  </si>
  <si>
    <t xml:space="preserve">F46</t>
  </si>
  <si>
    <t xml:space="preserve">G46</t>
  </si>
  <si>
    <t xml:space="preserve">A47</t>
  </si>
  <si>
    <t xml:space="preserve">B47</t>
  </si>
  <si>
    <t xml:space="preserve">C47</t>
  </si>
  <si>
    <t xml:space="preserve">E47</t>
  </si>
  <si>
    <t xml:space="preserve">F47</t>
  </si>
  <si>
    <t xml:space="preserve">G47</t>
  </si>
  <si>
    <t xml:space="preserve">A48</t>
  </si>
  <si>
    <t xml:space="preserve">B48</t>
  </si>
  <si>
    <t xml:space="preserve">C48</t>
  </si>
  <si>
    <t xml:space="preserve">E48</t>
  </si>
  <si>
    <t xml:space="preserve">F48</t>
  </si>
  <si>
    <t xml:space="preserve">G48</t>
  </si>
  <si>
    <t xml:space="preserve">財務諸表</t>
  </si>
  <si>
    <t xml:space="preserve">D6</t>
  </si>
  <si>
    <t xml:space="preserve">H6</t>
  </si>
  <si>
    <t xml:space="preserve">C7</t>
  </si>
  <si>
    <t xml:space="preserve">G7</t>
  </si>
  <si>
    <t xml:space="preserve">C8</t>
  </si>
  <si>
    <t xml:space="preserve">G8</t>
  </si>
  <si>
    <t xml:space="preserve">G9</t>
  </si>
  <si>
    <t xml:space="preserve">G10</t>
  </si>
  <si>
    <t xml:space="preserve">D12</t>
  </si>
  <si>
    <t xml:space="preserve">H12</t>
  </si>
  <si>
    <t xml:space="preserve">B14</t>
  </si>
  <si>
    <t xml:space="preserve">H14</t>
  </si>
  <si>
    <t xml:space="preserve">F16</t>
  </si>
  <si>
    <t xml:space="preserve">H19</t>
  </si>
  <si>
    <t xml:space="preserve">D25</t>
  </si>
  <si>
    <t xml:space="preserve">H25</t>
  </si>
  <si>
    <t xml:space="preserve">D36</t>
  </si>
  <si>
    <t xml:space="preserve">H36</t>
  </si>
  <si>
    <t xml:space="preserve">G37</t>
  </si>
  <si>
    <t xml:space="preserve">F38</t>
  </si>
  <si>
    <t xml:space="preserve">F39</t>
  </si>
  <si>
    <t xml:space="preserve">B40</t>
  </si>
  <si>
    <t xml:space="preserve">B41</t>
  </si>
  <si>
    <t xml:space="preserve">B42</t>
  </si>
  <si>
    <t xml:space="preserve">F42</t>
  </si>
  <si>
    <t xml:space="preserve">B43</t>
  </si>
  <si>
    <t xml:space="preserve">B44</t>
  </si>
  <si>
    <t xml:space="preserve">B45</t>
  </si>
  <si>
    <t xml:space="preserve">B46</t>
  </si>
  <si>
    <t xml:space="preserve">H46</t>
  </si>
  <si>
    <t xml:space="preserve">B49</t>
  </si>
  <si>
    <t xml:space="preserve">H49</t>
  </si>
  <si>
    <t xml:space="preserve">B50</t>
  </si>
  <si>
    <t xml:space="preserve">G50</t>
  </si>
  <si>
    <t xml:space="preserve">B51</t>
  </si>
  <si>
    <t xml:space="preserve">B52</t>
  </si>
  <si>
    <t xml:space="preserve">D53</t>
  </si>
  <si>
    <t xml:space="preserve">H53</t>
  </si>
  <si>
    <t xml:space="preserve">C54</t>
  </si>
  <si>
    <t xml:space="preserve">G54</t>
  </si>
  <si>
    <t xml:space="preserve">D56</t>
  </si>
  <si>
    <t xml:space="preserve">C57</t>
  </si>
  <si>
    <t xml:space="preserve">D59</t>
  </si>
  <si>
    <t xml:space="preserve">H59</t>
  </si>
  <si>
    <t xml:space="preserve">附属明細表</t>
  </si>
  <si>
    <t xml:space="preserve">M5</t>
  </si>
  <si>
    <t xml:space="preserve">M6</t>
  </si>
  <si>
    <t xml:space="preserve">G12</t>
  </si>
  <si>
    <t xml:space="preserve">P23</t>
  </si>
  <si>
    <t xml:space="preserve">S23</t>
  </si>
  <si>
    <t xml:space="preserve">G31</t>
  </si>
  <si>
    <t xml:space="preserve">G32</t>
  </si>
  <si>
    <t xml:space="preserve">G38</t>
  </si>
  <si>
    <t xml:space="preserve">G52</t>
  </si>
  <si>
    <t xml:space="preserve">G53</t>
  </si>
  <si>
    <t xml:space="preserve">G60</t>
  </si>
  <si>
    <t xml:space="preserve">G61</t>
  </si>
  <si>
    <t xml:space="preserve">G62</t>
  </si>
  <si>
    <t xml:space="preserve">G68</t>
  </si>
  <si>
    <t xml:space="preserve">G69</t>
  </si>
  <si>
    <t xml:space="preserve">D76</t>
  </si>
  <si>
    <t xml:space="preserve">G76</t>
  </si>
  <si>
    <t xml:space="preserve">J76</t>
  </si>
  <si>
    <t xml:space="preserve">M76</t>
  </si>
  <si>
    <t xml:space="preserve">P76</t>
  </si>
  <si>
    <t xml:space="preserve">S76</t>
  </si>
  <si>
    <t xml:space="preserve">D77</t>
  </si>
  <si>
    <t xml:space="preserve">G77</t>
  </si>
  <si>
    <t xml:space="preserve">J77</t>
  </si>
  <si>
    <t xml:space="preserve">M77</t>
  </si>
  <si>
    <t xml:space="preserve">P77</t>
  </si>
  <si>
    <t xml:space="preserve">S77</t>
  </si>
  <si>
    <t xml:space="preserve">F83</t>
  </si>
  <si>
    <t xml:space="preserve">H83</t>
  </si>
  <si>
    <t xml:space="preserve">K83</t>
  </si>
  <si>
    <t xml:space="preserve">N83</t>
  </si>
  <si>
    <t xml:space="preserve">Q83</t>
  </si>
  <si>
    <t xml:space="preserve">F84</t>
  </si>
  <si>
    <t xml:space="preserve">H84</t>
  </si>
  <si>
    <t xml:space="preserve">K84</t>
  </si>
  <si>
    <t xml:space="preserve">N84</t>
  </si>
  <si>
    <t xml:space="preserve">Q84</t>
  </si>
  <si>
    <t xml:space="preserve">F85</t>
  </si>
  <si>
    <t xml:space="preserve">H85</t>
  </si>
  <si>
    <t xml:space="preserve">K85</t>
  </si>
  <si>
    <t xml:space="preserve">N85</t>
  </si>
  <si>
    <t xml:space="preserve">E91</t>
  </si>
  <si>
    <t xml:space="preserve">I91</t>
  </si>
  <si>
    <t xml:space="preserve">M91</t>
  </si>
  <si>
    <t xml:space="preserve">Q91</t>
  </si>
  <si>
    <t xml:space="preserve">E92</t>
  </si>
  <si>
    <t xml:space="preserve">I92</t>
  </si>
  <si>
    <t xml:space="preserve">M92</t>
  </si>
  <si>
    <t xml:space="preserve">Q92</t>
  </si>
  <si>
    <t xml:space="preserve">F98</t>
  </si>
  <si>
    <t xml:space="preserve">H98</t>
  </si>
  <si>
    <t xml:space="preserve">J98</t>
  </si>
  <si>
    <t xml:space="preserve">L98</t>
  </si>
  <si>
    <t xml:space="preserve">N98</t>
  </si>
  <si>
    <t xml:space="preserve">D99</t>
  </si>
  <si>
    <t xml:space="preserve">F99</t>
  </si>
  <si>
    <t xml:space="preserve">H99</t>
  </si>
  <si>
    <t xml:space="preserve">L99</t>
  </si>
  <si>
    <t xml:space="preserve">F100</t>
  </si>
  <si>
    <t xml:space="preserve">H100</t>
  </si>
  <si>
    <t xml:space="preserve">J100</t>
  </si>
  <si>
    <t xml:space="preserve">L100</t>
  </si>
  <si>
    <t xml:space="preserve">E106</t>
  </si>
  <si>
    <t xml:space="preserve">I106</t>
  </si>
  <si>
    <t xml:space="preserve">M106</t>
  </si>
  <si>
    <t xml:space="preserve">Q106</t>
  </si>
  <si>
    <t xml:space="preserve">E107</t>
  </si>
  <si>
    <t xml:space="preserve">I107</t>
  </si>
  <si>
    <t xml:space="preserve">M107</t>
  </si>
  <si>
    <t xml:space="preserve">Q107</t>
  </si>
  <si>
    <t xml:space="preserve">E115</t>
  </si>
  <si>
    <t xml:space="preserve">I115</t>
  </si>
  <si>
    <t xml:space="preserve">Q115</t>
  </si>
  <si>
    <t xml:space="preserve">E116</t>
  </si>
  <si>
    <t xml:space="preserve">I116</t>
  </si>
  <si>
    <t xml:space="preserve">M116</t>
  </si>
  <si>
    <t xml:space="preserve">Q116</t>
  </si>
  <si>
    <t xml:space="preserve">E122</t>
  </si>
  <si>
    <t xml:space="preserve">J122</t>
  </si>
  <si>
    <t xml:space="preserve">O122</t>
  </si>
  <si>
    <t xml:space="preserve">T122</t>
  </si>
  <si>
    <t xml:space="preserve">E123</t>
  </si>
  <si>
    <t xml:space="preserve">J123</t>
  </si>
  <si>
    <t xml:space="preserve">O123</t>
  </si>
  <si>
    <t xml:space="preserve">T123</t>
  </si>
  <si>
    <t xml:space="preserve">E124</t>
  </si>
  <si>
    <t xml:space="preserve">J124</t>
  </si>
  <si>
    <t xml:space="preserve">O124</t>
  </si>
  <si>
    <t xml:space="preserve">T124</t>
  </si>
  <si>
    <t xml:space="preserve">E125</t>
  </si>
  <si>
    <t xml:space="preserve">J125</t>
  </si>
  <si>
    <t xml:space="preserve">O125</t>
  </si>
  <si>
    <t xml:space="preserve">T125</t>
  </si>
  <si>
    <t xml:space="preserve">E126</t>
  </si>
  <si>
    <t xml:space="preserve">J126</t>
  </si>
  <si>
    <t xml:space="preserve">O126</t>
  </si>
  <si>
    <t xml:space="preserve">T126</t>
  </si>
  <si>
    <t xml:space="preserve">P133</t>
  </si>
  <si>
    <t xml:space="preserve">P134</t>
  </si>
  <si>
    <t xml:space="preserve">P135</t>
  </si>
  <si>
    <t xml:space="preserve">K136</t>
  </si>
  <si>
    <t xml:space="preserve">K137</t>
  </si>
  <si>
    <t xml:space="preserve">Q139</t>
  </si>
  <si>
    <t xml:space="preserve">Q145</t>
  </si>
  <si>
    <t xml:space="preserve">Q147</t>
  </si>
  <si>
    <t xml:space="preserve">Q149</t>
  </si>
  <si>
    <t xml:space="preserve">Q150</t>
  </si>
  <si>
    <r>
      <rPr>
        <sz val="10"/>
        <rFont val="WenQuanYi Zen Hei"/>
        <family val="2"/>
      </rPr>
      <t xml:space="preserve">業務経理</t>
    </r>
    <r>
      <rPr>
        <sz val="10"/>
        <rFont val="MS ゴシック"/>
        <family val="0"/>
        <charset val="1"/>
      </rPr>
      <t xml:space="preserve">P18</t>
    </r>
  </si>
  <si>
    <t xml:space="preserve">Y6</t>
  </si>
  <si>
    <t xml:space="preserve">AJ6</t>
  </si>
  <si>
    <t xml:space="preserve">AU6</t>
  </si>
  <si>
    <t xml:space="preserve">Y7</t>
  </si>
  <si>
    <t xml:space="preserve">AJ7</t>
  </si>
  <si>
    <t xml:space="preserve">AU7</t>
  </si>
  <si>
    <t xml:space="preserve">Y8</t>
  </si>
  <si>
    <t xml:space="preserve">AJ8</t>
  </si>
  <si>
    <t xml:space="preserve">AU8</t>
  </si>
  <si>
    <t xml:space="preserve">Y9</t>
  </si>
  <si>
    <t xml:space="preserve">AJ9</t>
  </si>
  <si>
    <t xml:space="preserve">AU9</t>
  </si>
  <si>
    <t xml:space="preserve">Y10</t>
  </si>
  <si>
    <t xml:space="preserve">AJ10</t>
  </si>
  <si>
    <t xml:space="preserve">AU10</t>
  </si>
  <si>
    <t xml:space="preserve">Y11</t>
  </si>
  <si>
    <t xml:space="preserve">AJ11</t>
  </si>
  <si>
    <t xml:space="preserve">AU11</t>
  </si>
  <si>
    <t xml:space="preserve">Y21</t>
  </si>
  <si>
    <t xml:space="preserve">AJ21</t>
  </si>
  <si>
    <t xml:space="preserve">AU21</t>
  </si>
  <si>
    <t xml:space="preserve">M27</t>
  </si>
  <si>
    <t xml:space="preserve">V27</t>
  </si>
  <si>
    <t xml:space="preserve">AE27</t>
  </si>
  <si>
    <t xml:space="preserve">AN27</t>
  </si>
  <si>
    <t xml:space="preserve">AW27</t>
  </si>
  <si>
    <t xml:space="preserve">M28</t>
  </si>
  <si>
    <t xml:space="preserve">V28</t>
  </si>
  <si>
    <t xml:space="preserve">AE28</t>
  </si>
  <si>
    <t xml:space="preserve">AN28</t>
  </si>
  <si>
    <t xml:space="preserve">AW28</t>
  </si>
  <si>
    <t xml:space="preserve">M29</t>
  </si>
  <si>
    <t xml:space="preserve">V29</t>
  </si>
  <si>
    <t xml:space="preserve">AE29</t>
  </si>
  <si>
    <t xml:space="preserve">AN29</t>
  </si>
  <si>
    <t xml:space="preserve">AW29</t>
  </si>
  <si>
    <t xml:space="preserve">M30</t>
  </si>
  <si>
    <t xml:space="preserve">V30</t>
  </si>
  <si>
    <t xml:space="preserve">AE30</t>
  </si>
  <si>
    <t xml:space="preserve">AN30</t>
  </si>
  <si>
    <t xml:space="preserve">AW30</t>
  </si>
  <si>
    <t xml:space="preserve">M31</t>
  </si>
  <si>
    <t xml:space="preserve">V31</t>
  </si>
  <si>
    <t xml:space="preserve">AE31</t>
  </si>
  <si>
    <t xml:space="preserve">AN31</t>
  </si>
  <si>
    <t xml:space="preserve">AW31</t>
  </si>
  <si>
    <t xml:space="preserve">M32</t>
  </si>
  <si>
    <t xml:space="preserve">V32</t>
  </si>
  <si>
    <t xml:space="preserve">AE32</t>
  </si>
  <si>
    <t xml:space="preserve">AN32</t>
  </si>
  <si>
    <t xml:space="preserve">AW32</t>
  </si>
  <si>
    <r>
      <rPr>
        <sz val="10"/>
        <rFont val="WenQuanYi Zen Hei"/>
        <family val="2"/>
      </rPr>
      <t xml:space="preserve">業務経理</t>
    </r>
    <r>
      <rPr>
        <sz val="10"/>
        <rFont val="MS ゴシック"/>
        <family val="0"/>
        <charset val="1"/>
      </rPr>
      <t xml:space="preserve">P19</t>
    </r>
  </si>
  <si>
    <t xml:space="preserve">V5</t>
  </si>
  <si>
    <t xml:space="preserve">AE5</t>
  </si>
  <si>
    <t xml:space="preserve">AN5</t>
  </si>
  <si>
    <t xml:space="preserve">AW5</t>
  </si>
  <si>
    <t xml:space="preserve">V6</t>
  </si>
  <si>
    <t xml:space="preserve">AE6</t>
  </si>
  <si>
    <t xml:space="preserve">AN6</t>
  </si>
  <si>
    <t xml:space="preserve">AW6</t>
  </si>
  <si>
    <t xml:space="preserve">M7</t>
  </si>
  <si>
    <t xml:space="preserve">V7</t>
  </si>
  <si>
    <t xml:space="preserve">AE7</t>
  </si>
  <si>
    <t xml:space="preserve">AN7</t>
  </si>
  <si>
    <t xml:space="preserve">AW7</t>
  </si>
  <si>
    <t xml:space="preserve">M8</t>
  </si>
  <si>
    <t xml:space="preserve">V8</t>
  </si>
  <si>
    <t xml:space="preserve">AE8</t>
  </si>
  <si>
    <t xml:space="preserve">AN8</t>
  </si>
  <si>
    <t xml:space="preserve">AW8</t>
  </si>
  <si>
    <t xml:space="preserve">M9</t>
  </si>
  <si>
    <t xml:space="preserve">V9</t>
  </si>
  <si>
    <t xml:space="preserve">AE9</t>
  </si>
  <si>
    <t xml:space="preserve">AN9</t>
  </si>
  <si>
    <t xml:space="preserve">AW9</t>
  </si>
  <si>
    <t xml:space="preserve">M10</t>
  </si>
  <si>
    <t xml:space="preserve">V10</t>
  </si>
  <si>
    <t xml:space="preserve">AE10</t>
  </si>
  <si>
    <t xml:space="preserve">AN10</t>
  </si>
  <si>
    <t xml:space="preserve">AW10</t>
  </si>
  <si>
    <t xml:space="preserve">M11</t>
  </si>
  <si>
    <t xml:space="preserve">V11</t>
  </si>
  <si>
    <t xml:space="preserve">AE11</t>
  </si>
  <si>
    <t xml:space="preserve">AN11</t>
  </si>
  <si>
    <t xml:space="preserve">AW11</t>
  </si>
  <si>
    <t xml:space="preserve">M12</t>
  </si>
  <si>
    <t xml:space="preserve">V12</t>
  </si>
  <si>
    <t xml:space="preserve">AE12</t>
  </si>
  <si>
    <t xml:space="preserve">AN12</t>
  </si>
  <si>
    <t xml:space="preserve">AW12</t>
  </si>
  <si>
    <t xml:space="preserve">M13</t>
  </si>
  <si>
    <t xml:space="preserve">V13</t>
  </si>
  <si>
    <t xml:space="preserve">AE13</t>
  </si>
  <si>
    <t xml:space="preserve">AN13</t>
  </si>
  <si>
    <t xml:space="preserve">AW13</t>
  </si>
  <si>
    <t xml:space="preserve">M14</t>
  </si>
  <si>
    <t xml:space="preserve">V14</t>
  </si>
  <si>
    <t xml:space="preserve">AE14</t>
  </si>
  <si>
    <t xml:space="preserve">AN14</t>
  </si>
  <si>
    <t xml:space="preserve">AW14</t>
  </si>
  <si>
    <t xml:space="preserve">M15</t>
  </si>
  <si>
    <t xml:space="preserve">V15</t>
  </si>
  <si>
    <t xml:space="preserve">AE15</t>
  </si>
  <si>
    <t xml:space="preserve">AN15</t>
  </si>
  <si>
    <t xml:space="preserve">AW15</t>
  </si>
  <si>
    <t xml:space="preserve">M16</t>
  </si>
  <si>
    <t xml:space="preserve">V16</t>
  </si>
  <si>
    <t xml:space="preserve">AE16</t>
  </si>
  <si>
    <t xml:space="preserve">AN16</t>
  </si>
  <si>
    <t xml:space="preserve">AW16</t>
  </si>
  <si>
    <t xml:space="preserve">M17</t>
  </si>
  <si>
    <t xml:space="preserve">V17</t>
  </si>
  <si>
    <t xml:space="preserve">AE17</t>
  </si>
  <si>
    <t xml:space="preserve">AN17</t>
  </si>
  <si>
    <t xml:space="preserve">AW17</t>
  </si>
  <si>
    <t xml:space="preserve">AE18</t>
  </si>
  <si>
    <t xml:space="preserve">AW18</t>
  </si>
  <si>
    <t xml:space="preserve">M19</t>
  </si>
  <si>
    <t xml:space="preserve">V19</t>
  </si>
  <si>
    <t xml:space="preserve">AE19</t>
  </si>
  <si>
    <t xml:space="preserve">AN19</t>
  </si>
  <si>
    <t xml:space="preserve">AW19</t>
  </si>
  <si>
    <t xml:space="preserve">M20</t>
  </si>
  <si>
    <t xml:space="preserve">V20</t>
  </si>
  <si>
    <t xml:space="preserve">AE20</t>
  </si>
  <si>
    <t xml:space="preserve">AN20</t>
  </si>
  <si>
    <t xml:space="preserve">AW20</t>
  </si>
  <si>
    <t xml:space="preserve">M21</t>
  </si>
  <si>
    <t xml:space="preserve">V21</t>
  </si>
  <si>
    <t xml:space="preserve">AE21</t>
  </si>
  <si>
    <t xml:space="preserve">AN21</t>
  </si>
  <si>
    <t xml:space="preserve">AW21</t>
  </si>
  <si>
    <t xml:space="preserve">AE22</t>
  </si>
  <si>
    <t xml:space="preserve">AW22</t>
  </si>
  <si>
    <t xml:space="preserve">M23</t>
  </si>
  <si>
    <t xml:space="preserve">V23</t>
  </si>
  <si>
    <t xml:space="preserve">AE23</t>
  </si>
  <si>
    <t xml:space="preserve">AN23</t>
  </si>
  <si>
    <t xml:space="preserve">AW23</t>
  </si>
  <si>
    <t xml:space="preserve">M24</t>
  </si>
  <si>
    <t xml:space="preserve">V24</t>
  </si>
  <si>
    <t xml:space="preserve">AE24</t>
  </si>
  <si>
    <t xml:space="preserve">AN24</t>
  </si>
  <si>
    <t xml:space="preserve">AW24</t>
  </si>
  <si>
    <t xml:space="preserve">M25</t>
  </si>
  <si>
    <t xml:space="preserve">V25</t>
  </si>
  <si>
    <t xml:space="preserve">AE25</t>
  </si>
  <si>
    <t xml:space="preserve">AN25</t>
  </si>
  <si>
    <t xml:space="preserve">AW25</t>
  </si>
  <si>
    <t xml:space="preserve">M26</t>
  </si>
  <si>
    <t xml:space="preserve">V26</t>
  </si>
  <si>
    <t xml:space="preserve">AE26</t>
  </si>
  <si>
    <t xml:space="preserve">AN26</t>
  </si>
  <si>
    <t xml:space="preserve">AW26</t>
  </si>
  <si>
    <r>
      <rPr>
        <sz val="10"/>
        <rFont val="WenQuanYi Zen Hei"/>
        <family val="2"/>
      </rPr>
      <t xml:space="preserve">〇総括　</t>
    </r>
    <r>
      <rPr>
        <sz val="10"/>
        <rFont val="MS ゴシック"/>
        <family val="0"/>
        <charset val="1"/>
      </rPr>
      <t xml:space="preserve">6</t>
    </r>
    <r>
      <rPr>
        <sz val="10"/>
        <rFont val="WenQuanYi Zen Hei"/>
        <family val="2"/>
      </rPr>
      <t xml:space="preserve">～</t>
    </r>
    <r>
      <rPr>
        <sz val="10"/>
        <rFont val="MS ゴシック"/>
        <family val="0"/>
        <charset val="1"/>
      </rPr>
      <t xml:space="preserve">7</t>
    </r>
    <r>
      <rPr>
        <sz val="10"/>
        <rFont val="WenQuanYi Zen Hei"/>
        <family val="2"/>
      </rPr>
      <t xml:space="preserve">（メモなし）</t>
    </r>
  </si>
  <si>
    <t xml:space="preserve">E6</t>
  </si>
  <si>
    <t xml:space="preserve">F6</t>
  </si>
  <si>
    <t xml:space="preserve">G6</t>
  </si>
  <si>
    <t xml:space="preserve">I6</t>
  </si>
  <si>
    <t xml:space="preserve">J6</t>
  </si>
  <si>
    <t xml:space="preserve">K6</t>
  </si>
  <si>
    <t xml:space="preserve">L6</t>
  </si>
  <si>
    <t xml:space="preserve">N6</t>
  </si>
  <si>
    <t xml:space="preserve">O6</t>
  </si>
  <si>
    <t xml:space="preserve">P6</t>
  </si>
  <si>
    <t xml:space="preserve">Q6</t>
  </si>
  <si>
    <t xml:space="preserve">R6</t>
  </si>
  <si>
    <t xml:space="preserve">S6</t>
  </si>
  <si>
    <t xml:space="preserve">F7</t>
  </si>
  <si>
    <t xml:space="preserve">H7</t>
  </si>
  <si>
    <t xml:space="preserve">I7</t>
  </si>
  <si>
    <t xml:space="preserve">J7</t>
  </si>
  <si>
    <t xml:space="preserve">K7</t>
  </si>
  <si>
    <t xml:space="preserve">元は空欄。基幹データから自動入力</t>
  </si>
  <si>
    <t xml:space="preserve">L7</t>
  </si>
  <si>
    <r>
      <rPr>
        <sz val="10"/>
        <rFont val="MS ゴシック"/>
        <family val="0"/>
        <charset val="1"/>
      </rPr>
      <t xml:space="preserve">K</t>
    </r>
    <r>
      <rPr>
        <sz val="10"/>
        <rFont val="WenQuanYi Zen Hei"/>
        <family val="2"/>
      </rPr>
      <t xml:space="preserve">列の自動入力に連動して再計算（元ファイルの</t>
    </r>
    <r>
      <rPr>
        <sz val="10"/>
        <rFont val="MS ゴシック"/>
        <family val="0"/>
        <charset val="1"/>
      </rPr>
      <t xml:space="preserve">K</t>
    </r>
    <r>
      <rPr>
        <sz val="10"/>
        <rFont val="WenQuanYi Zen Hei"/>
        <family val="2"/>
      </rPr>
      <t xml:space="preserve">列が空欄のため）</t>
    </r>
  </si>
  <si>
    <t xml:space="preserve">O7</t>
  </si>
  <si>
    <t xml:space="preserve">P7</t>
  </si>
  <si>
    <t xml:space="preserve">S7</t>
  </si>
  <si>
    <t xml:space="preserve">F8</t>
  </si>
  <si>
    <t xml:space="preserve">H8</t>
  </si>
  <si>
    <t xml:space="preserve">I8</t>
  </si>
  <si>
    <t xml:space="preserve">J8</t>
  </si>
  <si>
    <t xml:space="preserve">O8</t>
  </si>
  <si>
    <t xml:space="preserve">P8</t>
  </si>
  <si>
    <t xml:space="preserve">S8</t>
  </si>
  <si>
    <t xml:space="preserve">F9</t>
  </si>
  <si>
    <t xml:space="preserve">H9</t>
  </si>
  <si>
    <t xml:space="preserve">I9</t>
  </si>
  <si>
    <t xml:space="preserve">J9</t>
  </si>
  <si>
    <t xml:space="preserve">K9</t>
  </si>
  <si>
    <t xml:space="preserve">O9</t>
  </si>
  <si>
    <t xml:space="preserve">P9</t>
  </si>
  <si>
    <t xml:space="preserve">S9</t>
  </si>
  <si>
    <t xml:space="preserve">H10</t>
  </si>
  <si>
    <t xml:space="preserve">I10</t>
  </si>
  <si>
    <t xml:space="preserve">J10</t>
  </si>
  <si>
    <t xml:space="preserve">P10</t>
  </si>
  <si>
    <t xml:space="preserve">S10</t>
  </si>
  <si>
    <t xml:space="preserve">F11</t>
  </si>
  <si>
    <t xml:space="preserve">G11</t>
  </si>
  <si>
    <t xml:space="preserve">P11</t>
  </si>
  <si>
    <t xml:space="preserve">S11</t>
  </si>
  <si>
    <t xml:space="preserve">F12</t>
  </si>
  <si>
    <t xml:space="preserve">G13</t>
  </si>
  <si>
    <t xml:space="preserve">P13</t>
  </si>
  <si>
    <t xml:space="preserve">P14</t>
  </si>
  <si>
    <t xml:space="preserve">S14</t>
  </si>
  <si>
    <t xml:space="preserve">H15</t>
  </si>
  <si>
    <t xml:space="preserve">I15</t>
  </si>
  <si>
    <t xml:space="preserve">J15</t>
  </si>
  <si>
    <t xml:space="preserve">P15</t>
  </si>
  <si>
    <t xml:space="preserve">S15</t>
  </si>
  <si>
    <t xml:space="preserve">H16</t>
  </si>
  <si>
    <t xml:space="preserve">I16</t>
  </si>
  <si>
    <t xml:space="preserve">J16</t>
  </si>
  <si>
    <t xml:space="preserve">P16</t>
  </si>
  <si>
    <t xml:space="preserve">S16</t>
  </si>
  <si>
    <t xml:space="preserve">N17</t>
  </si>
  <si>
    <t xml:space="preserve">O17</t>
  </si>
  <si>
    <t xml:space="preserve">P17</t>
  </si>
  <si>
    <t xml:space="preserve">S17</t>
  </si>
  <si>
    <t xml:space="preserve">F18</t>
  </si>
  <si>
    <t xml:space="preserve">G18</t>
  </si>
  <si>
    <t xml:space="preserve">K18</t>
  </si>
  <si>
    <t xml:space="preserve">L18</t>
  </si>
  <si>
    <t xml:space="preserve">M18</t>
  </si>
  <si>
    <t xml:space="preserve">P18</t>
  </si>
  <si>
    <t xml:space="preserve">S18</t>
  </si>
  <si>
    <t xml:space="preserve">K19</t>
  </si>
  <si>
    <t xml:space="preserve">L19</t>
  </si>
  <si>
    <t xml:space="preserve">P19</t>
  </si>
  <si>
    <t xml:space="preserve">R19</t>
  </si>
  <si>
    <t xml:space="preserve">S19</t>
  </si>
  <si>
    <t xml:space="preserve">K20</t>
  </si>
  <si>
    <t xml:space="preserve">L20</t>
  </si>
  <si>
    <t xml:space="preserve">P20</t>
  </si>
  <si>
    <t xml:space="preserve">S20</t>
  </si>
  <si>
    <t xml:space="preserve">G21</t>
  </si>
  <si>
    <t xml:space="preserve">P21</t>
  </si>
  <si>
    <t xml:space="preserve">S21</t>
  </si>
  <si>
    <t xml:space="preserve">G22</t>
  </si>
  <si>
    <t xml:space="preserve">M22</t>
  </si>
  <si>
    <t xml:space="preserve">P22</t>
  </si>
  <si>
    <t xml:space="preserve">R22</t>
  </si>
  <si>
    <t xml:space="preserve">S22</t>
  </si>
  <si>
    <t xml:space="preserve">F23</t>
  </si>
  <si>
    <t xml:space="preserve">G23</t>
  </si>
  <si>
    <t xml:space="preserve">K23</t>
  </si>
  <si>
    <t xml:space="preserve">L23</t>
  </si>
  <si>
    <t xml:space="preserve">G24</t>
  </si>
  <si>
    <t xml:space="preserve">P24</t>
  </si>
  <si>
    <t xml:space="preserve">G25</t>
  </si>
  <si>
    <t xml:space="preserve">P25</t>
  </si>
  <si>
    <t xml:space="preserve">S25</t>
  </si>
  <si>
    <t xml:space="preserve">F26</t>
  </si>
  <si>
    <t xml:space="preserve">G26</t>
  </si>
  <si>
    <t xml:space="preserve">K26</t>
  </si>
  <si>
    <t xml:space="preserve">N26</t>
  </si>
  <si>
    <t xml:space="preserve">O26</t>
  </si>
  <si>
    <t xml:space="preserve">P26</t>
  </si>
  <si>
    <t xml:space="preserve">S26</t>
  </si>
  <si>
    <t xml:space="preserve">F27</t>
  </si>
  <si>
    <t xml:space="preserve">G27</t>
  </si>
  <si>
    <t xml:space="preserve">P27</t>
  </si>
  <si>
    <t xml:space="preserve">S27</t>
  </si>
  <si>
    <t xml:space="preserve">E28</t>
  </si>
  <si>
    <t xml:space="preserve">F28</t>
  </si>
  <si>
    <t xml:space="preserve">G28</t>
  </si>
  <si>
    <t xml:space="preserve">H28</t>
  </si>
  <si>
    <t xml:space="preserve">I28</t>
  </si>
  <si>
    <t xml:space="preserve">J28</t>
  </si>
  <si>
    <t xml:space="preserve">K28</t>
  </si>
  <si>
    <r>
      <rPr>
        <sz val="10"/>
        <rFont val="WenQuanYi Zen Hei"/>
        <family val="2"/>
      </rPr>
      <t xml:space="preserve">令和</t>
    </r>
    <r>
      <rPr>
        <sz val="10"/>
        <rFont val="MS ゴシック"/>
        <family val="0"/>
        <charset val="1"/>
      </rPr>
      <t xml:space="preserve">7</t>
    </r>
    <r>
      <rPr>
        <sz val="10"/>
        <rFont val="WenQuanYi Zen Hei"/>
        <family val="2"/>
      </rPr>
      <t xml:space="preserve">年度欄</t>
    </r>
    <r>
      <rPr>
        <sz val="10"/>
        <rFont val="MS ゴシック"/>
        <family val="0"/>
        <charset val="1"/>
      </rPr>
      <t xml:space="preserve">(K</t>
    </r>
    <r>
      <rPr>
        <sz val="10"/>
        <rFont val="WenQuanYi Zen Hei"/>
        <family val="2"/>
      </rPr>
      <t xml:space="preserve">列</t>
    </r>
    <r>
      <rPr>
        <sz val="10"/>
        <rFont val="MS ゴシック"/>
        <family val="0"/>
        <charset val="1"/>
      </rPr>
      <t xml:space="preserve">)</t>
    </r>
    <r>
      <rPr>
        <sz val="10"/>
        <rFont val="WenQuanYi Zen Hei"/>
        <family val="2"/>
      </rPr>
      <t xml:space="preserve">が元ファイルで空欄だったため、基幹データから自動入力。これに連動して再計算</t>
    </r>
  </si>
  <si>
    <t xml:space="preserve">L28</t>
  </si>
  <si>
    <t xml:space="preserve">N28</t>
  </si>
  <si>
    <t xml:space="preserve">O28</t>
  </si>
  <si>
    <t xml:space="preserve">P28</t>
  </si>
  <si>
    <t xml:space="preserve">Q28</t>
  </si>
  <si>
    <t xml:space="preserve">R28</t>
  </si>
  <si>
    <t xml:space="preserve">S28</t>
  </si>
  <si>
    <t xml:space="preserve">F29</t>
  </si>
  <si>
    <t xml:space="preserve">G29</t>
  </si>
  <si>
    <t xml:space="preserve">P29</t>
  </si>
  <si>
    <t xml:space="preserve">S29</t>
  </si>
  <si>
    <t xml:space="preserve">F30</t>
  </si>
  <si>
    <t xml:space="preserve">G30</t>
  </si>
  <si>
    <t xml:space="preserve">P30</t>
  </si>
  <si>
    <t xml:space="preserve">S30</t>
  </si>
  <si>
    <t xml:space="preserve">F31</t>
  </si>
  <si>
    <t xml:space="preserve">P31</t>
  </si>
  <si>
    <t xml:space="preserve">S31</t>
  </si>
  <si>
    <t xml:space="preserve">F32</t>
  </si>
  <si>
    <t xml:space="preserve">P32</t>
  </si>
  <si>
    <t xml:space="preserve">S32</t>
  </si>
  <si>
    <t xml:space="preserve">F33</t>
  </si>
  <si>
    <t xml:space="preserve">G33</t>
  </si>
  <si>
    <t xml:space="preserve">M33</t>
  </si>
  <si>
    <t xml:space="preserve">P33</t>
  </si>
  <si>
    <t xml:space="preserve">S33</t>
  </si>
  <si>
    <t xml:space="preserve">F34</t>
  </si>
  <si>
    <t xml:space="preserve">G34</t>
  </si>
  <si>
    <t xml:space="preserve">M34</t>
  </si>
  <si>
    <t xml:space="preserve">P34</t>
  </si>
  <si>
    <t xml:space="preserve">S34</t>
  </si>
  <si>
    <t xml:space="preserve">G35</t>
  </si>
  <si>
    <t xml:space="preserve">M35</t>
  </si>
  <si>
    <t xml:space="preserve">P35</t>
  </si>
  <si>
    <t xml:space="preserve">S35</t>
  </si>
  <si>
    <t xml:space="preserve">G36</t>
  </si>
  <si>
    <t xml:space="preserve">I36</t>
  </si>
  <si>
    <t xml:space="preserve">J36</t>
  </si>
  <si>
    <t xml:space="preserve">M36</t>
  </si>
  <si>
    <t xml:space="preserve">P36</t>
  </si>
  <si>
    <t xml:space="preserve">S36</t>
  </si>
  <si>
    <t xml:space="preserve">H37</t>
  </si>
  <si>
    <t xml:space="preserve">I37</t>
  </si>
  <si>
    <t xml:space="preserve">J37</t>
  </si>
  <si>
    <t xml:space="preserve">M37</t>
  </si>
  <si>
    <t xml:space="preserve">P37</t>
  </si>
  <si>
    <t xml:space="preserve">S37</t>
  </si>
  <si>
    <t xml:space="preserve">H38</t>
  </si>
  <si>
    <t xml:space="preserve">I38</t>
  </si>
  <si>
    <t xml:space="preserve">J38</t>
  </si>
  <si>
    <t xml:space="preserve">M38</t>
  </si>
  <si>
    <t xml:space="preserve">P38</t>
  </si>
  <si>
    <t xml:space="preserve">S38</t>
  </si>
  <si>
    <t xml:space="preserve">H39</t>
  </si>
  <si>
    <t xml:space="preserve">I39</t>
  </si>
  <si>
    <t xml:space="preserve">J39</t>
  </si>
  <si>
    <t xml:space="preserve">M39</t>
  </si>
  <si>
    <t xml:space="preserve">P39</t>
  </si>
  <si>
    <t xml:space="preserve">S39</t>
  </si>
  <si>
    <t xml:space="preserve">M40</t>
  </si>
  <si>
    <t xml:space="preserve">P40</t>
  </si>
  <si>
    <t xml:space="preserve">S40</t>
  </si>
  <si>
    <t xml:space="preserve">F41</t>
  </si>
  <si>
    <t xml:space="preserve">H41</t>
  </si>
  <si>
    <t xml:space="preserve">I41</t>
  </si>
  <si>
    <t xml:space="preserve">J41</t>
  </si>
  <si>
    <t xml:space="preserve">M41</t>
  </si>
  <si>
    <t xml:space="preserve">P41</t>
  </si>
  <si>
    <t xml:space="preserve">S41</t>
  </si>
  <si>
    <t xml:space="preserve">H42</t>
  </si>
  <si>
    <t xml:space="preserve">I42</t>
  </si>
  <si>
    <t xml:space="preserve">J42</t>
  </si>
  <si>
    <t xml:space="preserve">M42</t>
  </si>
  <si>
    <t xml:space="preserve">P42</t>
  </si>
  <si>
    <t xml:space="preserve">S42</t>
  </si>
  <si>
    <t xml:space="preserve">K43</t>
  </si>
  <si>
    <t xml:space="preserve">L43</t>
  </si>
  <si>
    <t xml:space="preserve">M43</t>
  </si>
  <si>
    <t xml:space="preserve">O43</t>
  </si>
  <si>
    <t xml:space="preserve">P43</t>
  </si>
  <si>
    <t xml:space="preserve">R43</t>
  </si>
  <si>
    <t xml:space="preserve">S43</t>
  </si>
  <si>
    <t xml:space="preserve">K44</t>
  </si>
  <si>
    <t xml:space="preserve">L44</t>
  </si>
  <si>
    <t xml:space="preserve">M44</t>
  </si>
  <si>
    <t xml:space="preserve">O44</t>
  </si>
  <si>
    <t xml:space="preserve">P44</t>
  </si>
  <si>
    <t xml:space="preserve">R44</t>
  </si>
  <si>
    <t xml:space="preserve">S44</t>
  </si>
  <si>
    <t xml:space="preserve">M45</t>
  </si>
  <si>
    <t xml:space="preserve">P45</t>
  </si>
  <si>
    <t xml:space="preserve">S45</t>
  </si>
  <si>
    <t xml:space="preserve">M46</t>
  </si>
  <si>
    <t xml:space="preserve">P46</t>
  </si>
  <si>
    <t xml:space="preserve">S46</t>
  </si>
  <si>
    <t xml:space="preserve">K47</t>
  </si>
  <si>
    <t xml:space="preserve">M47</t>
  </si>
  <si>
    <t xml:space="preserve">O47</t>
  </si>
  <si>
    <t xml:space="preserve">P47</t>
  </si>
  <si>
    <t xml:space="preserve">S47</t>
  </si>
  <si>
    <t xml:space="preserve">M48</t>
  </si>
  <si>
    <t xml:space="preserve">P48</t>
  </si>
  <si>
    <t xml:space="preserve">S48</t>
  </si>
  <si>
    <t xml:space="preserve">E49</t>
  </si>
  <si>
    <t xml:space="preserve">F49</t>
  </si>
  <si>
    <t xml:space="preserve">G49</t>
  </si>
  <si>
    <t xml:space="preserve">I49</t>
  </si>
  <si>
    <t xml:space="preserve">J49</t>
  </si>
  <si>
    <t xml:space="preserve">K49</t>
  </si>
  <si>
    <t xml:space="preserve">L49</t>
  </si>
  <si>
    <t xml:space="preserve">M49</t>
  </si>
  <si>
    <t xml:space="preserve">N49</t>
  </si>
  <si>
    <t xml:space="preserve">O49</t>
  </si>
  <si>
    <t xml:space="preserve">P49</t>
  </si>
  <si>
    <t xml:space="preserve">Q49</t>
  </si>
  <si>
    <t xml:space="preserve">R49</t>
  </si>
  <si>
    <t xml:space="preserve">S49</t>
  </si>
  <si>
    <t xml:space="preserve">E50</t>
  </si>
  <si>
    <t xml:space="preserve">F50</t>
  </si>
  <si>
    <t xml:space="preserve">H50</t>
  </si>
  <si>
    <t xml:space="preserve">I50</t>
  </si>
  <si>
    <t xml:space="preserve">J50</t>
  </si>
  <si>
    <t xml:space="preserve">K50</t>
  </si>
  <si>
    <t xml:space="preserve">L50</t>
  </si>
  <si>
    <t xml:space="preserve">M50</t>
  </si>
  <si>
    <t xml:space="preserve">N50</t>
  </si>
  <si>
    <t xml:space="preserve">O50</t>
  </si>
  <si>
    <t xml:space="preserve">P50</t>
  </si>
  <si>
    <t xml:space="preserve">Q50</t>
  </si>
  <si>
    <t xml:space="preserve">R50</t>
  </si>
  <si>
    <t xml:space="preserve">S50</t>
  </si>
  <si>
    <t xml:space="preserve">E51</t>
  </si>
  <si>
    <t xml:space="preserve">F51</t>
  </si>
  <si>
    <t xml:space="preserve">G51</t>
  </si>
  <si>
    <t xml:space="preserve">H51</t>
  </si>
  <si>
    <t xml:space="preserve">I51</t>
  </si>
  <si>
    <t xml:space="preserve">J51</t>
  </si>
  <si>
    <t xml:space="preserve">K51</t>
  </si>
  <si>
    <t xml:space="preserve">L51</t>
  </si>
  <si>
    <t xml:space="preserve">M51</t>
  </si>
  <si>
    <t xml:space="preserve">N51</t>
  </si>
  <si>
    <t xml:space="preserve">O51</t>
  </si>
  <si>
    <t xml:space="preserve">P51</t>
  </si>
  <si>
    <t xml:space="preserve">Q51</t>
  </si>
  <si>
    <t xml:space="preserve">R51</t>
  </si>
  <si>
    <t xml:space="preserve">S51</t>
  </si>
  <si>
    <t xml:space="preserve">E53</t>
  </si>
  <si>
    <t xml:space="preserve">N53</t>
  </si>
  <si>
    <t xml:space="preserve">E54</t>
  </si>
  <si>
    <r>
      <rPr>
        <sz val="10"/>
        <rFont val="WenQuanYi Zen Hei"/>
        <family val="2"/>
      </rPr>
      <t xml:space="preserve">総括　</t>
    </r>
    <r>
      <rPr>
        <sz val="10"/>
        <rFont val="MS ゴシック"/>
        <family val="0"/>
        <charset val="1"/>
      </rPr>
      <t xml:space="preserve">6</t>
    </r>
    <r>
      <rPr>
        <sz val="10"/>
        <rFont val="WenQuanYi Zen Hei"/>
        <family val="2"/>
      </rPr>
      <t xml:space="preserve">～</t>
    </r>
    <r>
      <rPr>
        <sz val="10"/>
        <rFont val="MS ゴシック"/>
        <family val="0"/>
        <charset val="1"/>
      </rPr>
      <t xml:space="preserve">7</t>
    </r>
    <r>
      <rPr>
        <sz val="10"/>
        <rFont val="WenQuanYi Zen Hei"/>
        <family val="2"/>
      </rPr>
      <t xml:space="preserve">（メモあり）</t>
    </r>
  </si>
  <si>
    <t xml:space="preserve">E7</t>
  </si>
  <si>
    <t xml:space="preserve">N7</t>
  </si>
  <si>
    <t xml:space="preserve">Q7</t>
  </si>
  <si>
    <t xml:space="preserve">R7</t>
  </si>
  <si>
    <t xml:space="preserve">E8</t>
  </si>
  <si>
    <t xml:space="preserve">K8</t>
  </si>
  <si>
    <t xml:space="preserve">L8</t>
  </si>
  <si>
    <t xml:space="preserve">N8</t>
  </si>
  <si>
    <t xml:space="preserve">Q8</t>
  </si>
  <si>
    <t xml:space="preserve">R8</t>
  </si>
  <si>
    <t xml:space="preserve">E9</t>
  </si>
  <si>
    <t xml:space="preserve">L9</t>
  </si>
  <si>
    <t xml:space="preserve">N9</t>
  </si>
  <si>
    <t xml:space="preserve">Q9</t>
  </si>
  <si>
    <t xml:space="preserve">R9</t>
  </si>
  <si>
    <t xml:space="preserve">E10</t>
  </si>
  <si>
    <t xml:space="preserve">F10</t>
  </si>
  <si>
    <t xml:space="preserve">K10</t>
  </si>
  <si>
    <t xml:space="preserve">L10</t>
  </si>
  <si>
    <t xml:space="preserve">N10</t>
  </si>
  <si>
    <t xml:space="preserve">O10</t>
  </si>
  <si>
    <t xml:space="preserve">Q10</t>
  </si>
  <si>
    <t xml:space="preserve">R10</t>
  </si>
  <si>
    <t xml:space="preserve">E11</t>
  </si>
  <si>
    <t xml:space="preserve">K11</t>
  </si>
  <si>
    <t xml:space="preserve">L11</t>
  </si>
  <si>
    <t xml:space="preserve">N11</t>
  </si>
  <si>
    <t xml:space="preserve">O11</t>
  </si>
  <si>
    <t xml:space="preserve">Q11</t>
  </si>
  <si>
    <t xml:space="preserve">R11</t>
  </si>
  <si>
    <t xml:space="preserve">E12</t>
  </si>
  <si>
    <t xml:space="preserve">K12</t>
  </si>
  <si>
    <t xml:space="preserve">L12</t>
  </si>
  <si>
    <t xml:space="preserve">N12</t>
  </si>
  <si>
    <t xml:space="preserve">O12</t>
  </si>
  <si>
    <t xml:space="preserve">P12</t>
  </si>
  <si>
    <t xml:space="preserve">Q12</t>
  </si>
  <si>
    <t xml:space="preserve">R12</t>
  </si>
  <si>
    <t xml:space="preserve">S12</t>
  </si>
  <si>
    <t xml:space="preserve">E13</t>
  </si>
  <si>
    <t xml:space="preserve">K13</t>
  </si>
  <si>
    <t xml:space="preserve">L13</t>
  </si>
  <si>
    <t xml:space="preserve">N13</t>
  </si>
  <si>
    <t xml:space="preserve">O13</t>
  </si>
  <si>
    <t xml:space="preserve">Q13</t>
  </si>
  <si>
    <t xml:space="preserve">R13</t>
  </si>
  <si>
    <t xml:space="preserve">K14</t>
  </si>
  <si>
    <t xml:space="preserve">L14</t>
  </si>
  <si>
    <t xml:space="preserve">N14</t>
  </si>
  <si>
    <t xml:space="preserve">O14</t>
  </si>
  <si>
    <t xml:space="preserve">Q14</t>
  </si>
  <si>
    <t xml:space="preserve">R14</t>
  </si>
  <si>
    <t xml:space="preserve">K15</t>
  </si>
  <si>
    <t xml:space="preserve">L15</t>
  </si>
  <si>
    <t xml:space="preserve">N15</t>
  </si>
  <si>
    <t xml:space="preserve">O15</t>
  </si>
  <si>
    <t xml:space="preserve">Q15</t>
  </si>
  <si>
    <t xml:space="preserve">R15</t>
  </si>
  <si>
    <t xml:space="preserve">K16</t>
  </si>
  <si>
    <t xml:space="preserve">L16</t>
  </si>
  <si>
    <t xml:space="preserve">N16</t>
  </si>
  <si>
    <t xml:space="preserve">O16</t>
  </si>
  <si>
    <t xml:space="preserve">Q16</t>
  </si>
  <si>
    <t xml:space="preserve">R16</t>
  </si>
  <si>
    <t xml:space="preserve">F17</t>
  </si>
  <si>
    <t xml:space="preserve">K17</t>
  </si>
  <si>
    <t xml:space="preserve">L17</t>
  </si>
  <si>
    <t xml:space="preserve">Q17</t>
  </si>
  <si>
    <t xml:space="preserve">R17</t>
  </si>
  <si>
    <t xml:space="preserve">N18</t>
  </si>
  <si>
    <t xml:space="preserve">O18</t>
  </si>
  <si>
    <t xml:space="preserve">Q18</t>
  </si>
  <si>
    <t xml:space="preserve">R18</t>
  </si>
  <si>
    <t xml:space="preserve">N19</t>
  </si>
  <si>
    <t xml:space="preserve">O19</t>
  </si>
  <si>
    <t xml:space="preserve">Q19</t>
  </si>
  <si>
    <t xml:space="preserve">N20</t>
  </si>
  <si>
    <t xml:space="preserve">O20</t>
  </si>
  <si>
    <t xml:space="preserve">Q20</t>
  </si>
  <si>
    <t xml:space="preserve">R20</t>
  </si>
  <si>
    <t xml:space="preserve">E21</t>
  </si>
  <si>
    <t xml:space="preserve">F21</t>
  </si>
  <si>
    <t xml:space="preserve">K21</t>
  </si>
  <si>
    <t xml:space="preserve">L21</t>
  </si>
  <si>
    <t xml:space="preserve">N21</t>
  </si>
  <si>
    <t xml:space="preserve">O21</t>
  </si>
  <si>
    <t xml:space="preserve">Q21</t>
  </si>
  <si>
    <t xml:space="preserve">R21</t>
  </si>
  <si>
    <t xml:space="preserve">E22</t>
  </si>
  <si>
    <t xml:space="preserve">F22</t>
  </si>
  <si>
    <t xml:space="preserve">K22</t>
  </si>
  <si>
    <t xml:space="preserve">L22</t>
  </si>
  <si>
    <t xml:space="preserve">N22</t>
  </si>
  <si>
    <t xml:space="preserve">O22</t>
  </si>
  <si>
    <t xml:space="preserve">Q22</t>
  </si>
  <si>
    <t xml:space="preserve">E23</t>
  </si>
  <si>
    <t xml:space="preserve">N23</t>
  </si>
  <si>
    <t xml:space="preserve">O23</t>
  </si>
  <si>
    <t xml:space="preserve">Q23</t>
  </si>
  <si>
    <t xml:space="preserve">R23</t>
  </si>
  <si>
    <t xml:space="preserve">E24</t>
  </si>
  <si>
    <t xml:space="preserve">F24</t>
  </si>
  <si>
    <t xml:space="preserve">K24</t>
  </si>
  <si>
    <t xml:space="preserve">L24</t>
  </si>
  <si>
    <t xml:space="preserve">N24</t>
  </si>
  <si>
    <t xml:space="preserve">O24</t>
  </si>
  <si>
    <t xml:space="preserve">Q24</t>
  </si>
  <si>
    <t xml:space="preserve">R24</t>
  </si>
  <si>
    <t xml:space="preserve">S24</t>
  </si>
  <si>
    <t xml:space="preserve">E25</t>
  </si>
  <si>
    <t xml:space="preserve">F25</t>
  </si>
  <si>
    <t xml:space="preserve">K25</t>
  </si>
  <si>
    <t xml:space="preserve">L25</t>
  </si>
  <si>
    <t xml:space="preserve">N25</t>
  </si>
  <si>
    <t xml:space="preserve">O25</t>
  </si>
  <si>
    <t xml:space="preserve">Q25</t>
  </si>
  <si>
    <t xml:space="preserve">R25</t>
  </si>
  <si>
    <t xml:space="preserve">E26</t>
  </si>
  <si>
    <t xml:space="preserve">L26</t>
  </si>
  <si>
    <t xml:space="preserve">Q26</t>
  </si>
  <si>
    <t xml:space="preserve">R26</t>
  </si>
  <si>
    <t xml:space="preserve">E27</t>
  </si>
  <si>
    <t xml:space="preserve">K27</t>
  </si>
  <si>
    <t xml:space="preserve">L27</t>
  </si>
  <si>
    <t xml:space="preserve">N27</t>
  </si>
  <si>
    <t xml:space="preserve">O27</t>
  </si>
  <si>
    <t xml:space="preserve">Q27</t>
  </si>
  <si>
    <t xml:space="preserve">R27</t>
  </si>
  <si>
    <t xml:space="preserve">E29</t>
  </si>
  <si>
    <t xml:space="preserve">K29</t>
  </si>
  <si>
    <t xml:space="preserve">L29</t>
  </si>
  <si>
    <t xml:space="preserve">N29</t>
  </si>
  <si>
    <t xml:space="preserve">O29</t>
  </si>
  <si>
    <t xml:space="preserve">Q29</t>
  </si>
  <si>
    <t xml:space="preserve">R29</t>
  </si>
  <si>
    <t xml:space="preserve">E30</t>
  </si>
  <si>
    <t xml:space="preserve">K30</t>
  </si>
  <si>
    <t xml:space="preserve">L30</t>
  </si>
  <si>
    <t xml:space="preserve">N30</t>
  </si>
  <si>
    <t xml:space="preserve">O30</t>
  </si>
  <si>
    <t xml:space="preserve">Q30</t>
  </si>
  <si>
    <t xml:space="preserve">R30</t>
  </si>
  <si>
    <t xml:space="preserve">E31</t>
  </si>
  <si>
    <t xml:space="preserve">K31</t>
  </si>
  <si>
    <t xml:space="preserve">L31</t>
  </si>
  <si>
    <t xml:space="preserve">N31</t>
  </si>
  <si>
    <t xml:space="preserve">O31</t>
  </si>
  <si>
    <t xml:space="preserve">Q31</t>
  </si>
  <si>
    <t xml:space="preserve">R31</t>
  </si>
  <si>
    <t xml:space="preserve">E32</t>
  </si>
  <si>
    <t xml:space="preserve">K32</t>
  </si>
  <si>
    <t xml:space="preserve">L32</t>
  </si>
  <si>
    <t xml:space="preserve">N32</t>
  </si>
  <si>
    <t xml:space="preserve">O32</t>
  </si>
  <si>
    <t xml:space="preserve">Q32</t>
  </si>
  <si>
    <t xml:space="preserve">R32</t>
  </si>
  <si>
    <t xml:space="preserve">E33</t>
  </si>
  <si>
    <t xml:space="preserve">K33</t>
  </si>
  <si>
    <t xml:space="preserve">L33</t>
  </si>
  <si>
    <t xml:space="preserve">N33</t>
  </si>
  <si>
    <t xml:space="preserve">O33</t>
  </si>
  <si>
    <t xml:space="preserve">Q33</t>
  </si>
  <si>
    <t xml:space="preserve">R33</t>
  </si>
  <si>
    <t xml:space="preserve">E34</t>
  </si>
  <si>
    <t xml:space="preserve">K34</t>
  </si>
  <si>
    <t xml:space="preserve">L34</t>
  </si>
  <si>
    <t xml:space="preserve">N34</t>
  </si>
  <si>
    <t xml:space="preserve">O34</t>
  </si>
  <si>
    <t xml:space="preserve">Q34</t>
  </si>
  <si>
    <t xml:space="preserve">R34</t>
  </si>
  <si>
    <t xml:space="preserve">E35</t>
  </si>
  <si>
    <t xml:space="preserve">F35</t>
  </si>
  <si>
    <t xml:space="preserve">K35</t>
  </si>
  <si>
    <t xml:space="preserve">L35</t>
  </si>
  <si>
    <t xml:space="preserve">N35</t>
  </si>
  <si>
    <t xml:space="preserve">O35</t>
  </si>
  <si>
    <t xml:space="preserve">Q35</t>
  </si>
  <si>
    <t xml:space="preserve">R35</t>
  </si>
  <si>
    <t xml:space="preserve">E36</t>
  </si>
  <si>
    <t xml:space="preserve">F36</t>
  </si>
  <si>
    <t xml:space="preserve">K36</t>
  </si>
  <si>
    <t xml:space="preserve">L36</t>
  </si>
  <si>
    <t xml:space="preserve">N36</t>
  </si>
  <si>
    <t xml:space="preserve">O36</t>
  </si>
  <si>
    <t xml:space="preserve">Q36</t>
  </si>
  <si>
    <t xml:space="preserve">R36</t>
  </si>
  <si>
    <t xml:space="preserve">E37</t>
  </si>
  <si>
    <t xml:space="preserve">F37</t>
  </si>
  <si>
    <t xml:space="preserve">K37</t>
  </si>
  <si>
    <t xml:space="preserve">L37</t>
  </si>
  <si>
    <t xml:space="preserve">N37</t>
  </si>
  <si>
    <t xml:space="preserve">O37</t>
  </si>
  <si>
    <t xml:space="preserve">Q37</t>
  </si>
  <si>
    <t xml:space="preserve">R37</t>
  </si>
  <si>
    <t xml:space="preserve">E38</t>
  </si>
  <si>
    <t xml:space="preserve">K38</t>
  </si>
  <si>
    <t xml:space="preserve">L38</t>
  </si>
  <si>
    <t xml:space="preserve">N38</t>
  </si>
  <si>
    <t xml:space="preserve">O38</t>
  </si>
  <si>
    <t xml:space="preserve">Q38</t>
  </si>
  <si>
    <t xml:space="preserve">R38</t>
  </si>
  <si>
    <t xml:space="preserve">K39</t>
  </si>
  <si>
    <t xml:space="preserve">L39</t>
  </si>
  <si>
    <t xml:space="preserve">N39</t>
  </si>
  <si>
    <t xml:space="preserve">O39</t>
  </si>
  <si>
    <t xml:space="preserve">Q39</t>
  </si>
  <si>
    <t xml:space="preserve">R39</t>
  </si>
  <si>
    <t xml:space="preserve">F40</t>
  </si>
  <si>
    <t xml:space="preserve">K40</t>
  </si>
  <si>
    <t xml:space="preserve">L40</t>
  </si>
  <si>
    <t xml:space="preserve">N40</t>
  </si>
  <si>
    <t xml:space="preserve">O40</t>
  </si>
  <si>
    <t xml:space="preserve">Q40</t>
  </si>
  <si>
    <t xml:space="preserve">R40</t>
  </si>
  <si>
    <t xml:space="preserve">K41</t>
  </si>
  <si>
    <t xml:space="preserve">L41</t>
  </si>
  <si>
    <t xml:space="preserve">N41</t>
  </si>
  <si>
    <t xml:space="preserve">O41</t>
  </si>
  <si>
    <t xml:space="preserve">Q41</t>
  </si>
  <si>
    <t xml:space="preserve">R41</t>
  </si>
  <si>
    <t xml:space="preserve">K42</t>
  </si>
  <si>
    <t xml:space="preserve">L42</t>
  </si>
  <si>
    <t xml:space="preserve">N42</t>
  </si>
  <si>
    <t xml:space="preserve">O42</t>
  </si>
  <si>
    <t xml:space="preserve">Q42</t>
  </si>
  <si>
    <t xml:space="preserve">R42</t>
  </si>
  <si>
    <t xml:space="preserve">F43</t>
  </si>
  <si>
    <t xml:space="preserve">N43</t>
  </si>
  <si>
    <t xml:space="preserve">Q43</t>
  </si>
  <si>
    <t xml:space="preserve">N44</t>
  </si>
  <si>
    <t xml:space="preserve">Q44</t>
  </si>
  <si>
    <t xml:space="preserve">F45</t>
  </si>
  <si>
    <t xml:space="preserve">K45</t>
  </si>
  <si>
    <t xml:space="preserve">L45</t>
  </si>
  <si>
    <t xml:space="preserve">N45</t>
  </si>
  <si>
    <t xml:space="preserve">O45</t>
  </si>
  <si>
    <t xml:space="preserve">Q45</t>
  </si>
  <si>
    <t xml:space="preserve">R45</t>
  </si>
  <si>
    <t xml:space="preserve">K46</t>
  </si>
  <si>
    <t xml:space="preserve">L46</t>
  </si>
  <si>
    <t xml:space="preserve">N46</t>
  </si>
  <si>
    <t xml:space="preserve">O46</t>
  </si>
  <si>
    <t xml:space="preserve">Q46</t>
  </si>
  <si>
    <t xml:space="preserve">R46</t>
  </si>
  <si>
    <t xml:space="preserve">L47</t>
  </si>
  <si>
    <t xml:space="preserve">N47</t>
  </si>
  <si>
    <t xml:space="preserve">Q47</t>
  </si>
  <si>
    <t xml:space="preserve">R47</t>
  </si>
  <si>
    <t xml:space="preserve">K48</t>
  </si>
  <si>
    <t xml:space="preserve">L48</t>
  </si>
  <si>
    <t xml:space="preserve">N48</t>
  </si>
  <si>
    <t xml:space="preserve">O48</t>
  </si>
  <si>
    <t xml:space="preserve">Q48</t>
  </si>
  <si>
    <t xml:space="preserve">R48</t>
  </si>
  <si>
    <r>
      <rPr>
        <sz val="10"/>
        <rFont val="WenQuanYi Zen Hei"/>
        <family val="2"/>
      </rPr>
      <t xml:space="preserve">○総括　</t>
    </r>
    <r>
      <rPr>
        <sz val="10"/>
        <rFont val="MS ゴシック"/>
        <family val="0"/>
        <charset val="1"/>
      </rPr>
      <t xml:space="preserve">5</t>
    </r>
    <r>
      <rPr>
        <sz val="10"/>
        <rFont val="WenQuanYi Zen Hei"/>
        <family val="2"/>
      </rPr>
      <t xml:space="preserve">～</t>
    </r>
    <r>
      <rPr>
        <sz val="10"/>
        <rFont val="MS ゴシック"/>
        <family val="0"/>
        <charset val="1"/>
      </rPr>
      <t xml:space="preserve">6 (</t>
    </r>
    <r>
      <rPr>
        <sz val="10"/>
        <rFont val="WenQuanYi Zen Hei"/>
        <family val="2"/>
      </rPr>
      <t xml:space="preserve">メモなし</t>
    </r>
    <r>
      <rPr>
        <sz val="10"/>
        <rFont val="MS ゴシック"/>
        <family val="0"/>
        <charset val="1"/>
      </rPr>
      <t xml:space="preserve">)</t>
    </r>
  </si>
  <si>
    <t xml:space="preserve">広島市職員共済組合業務経理決算精算表</t>
  </si>
  <si>
    <t xml:space="preserve">借                 方</t>
  </si>
  <si>
    <t xml:space="preserve">勘  定  科  目</t>
  </si>
  <si>
    <t xml:space="preserve">貸                 方</t>
  </si>
  <si>
    <t xml:space="preserve">差引残高</t>
  </si>
  <si>
    <t xml:space="preserve">修正増減</t>
  </si>
  <si>
    <t xml:space="preserve">３月分残高</t>
  </si>
  <si>
    <t xml:space="preserve">円</t>
  </si>
  <si>
    <t xml:space="preserve">普通預金 </t>
  </si>
  <si>
    <t xml:space="preserve">前払費用</t>
  </si>
  <si>
    <t xml:space="preserve">未収金</t>
  </si>
  <si>
    <t xml:space="preserve"> </t>
  </si>
  <si>
    <t xml:space="preserve">未払金</t>
  </si>
  <si>
    <t xml:space="preserve">未払費用</t>
  </si>
  <si>
    <t xml:space="preserve">資本剰余金</t>
  </si>
  <si>
    <t xml:space="preserve">小          計</t>
  </si>
  <si>
    <t xml:space="preserve">減価償却費</t>
  </si>
  <si>
    <t xml:space="preserve">固定資産除却損</t>
  </si>
  <si>
    <t xml:space="preserve">前期損益修正損</t>
  </si>
  <si>
    <t xml:space="preserve">当期利益金</t>
  </si>
  <si>
    <t xml:space="preserve">補助金</t>
  </si>
  <si>
    <t xml:space="preserve">利息及び配当金</t>
  </si>
  <si>
    <t xml:space="preserve">短期経理より繰入</t>
  </si>
  <si>
    <t xml:space="preserve">前期損益修正益</t>
  </si>
  <si>
    <t xml:space="preserve">当期損失金</t>
  </si>
  <si>
    <t xml:space="preserve">合          計</t>
  </si>
  <si>
    <t xml:space="preserve">  この決算精算表を審査したところ事実に相違ないことを証明する。</t>
  </si>
  <si>
    <t xml:space="preserve">業務経理</t>
  </si>
  <si>
    <t xml:space="preserve">貸借対照表</t>
  </si>
  <si>
    <t xml:space="preserve">借                  方</t>
  </si>
  <si>
    <t xml:space="preserve">金        額</t>
  </si>
  <si>
    <t xml:space="preserve">貸                   方</t>
  </si>
  <si>
    <t xml:space="preserve">流 動 資 産</t>
  </si>
  <si>
    <t xml:space="preserve">流 動 負 債</t>
  </si>
  <si>
    <t xml:space="preserve">固 定 資 産</t>
  </si>
  <si>
    <t xml:space="preserve">負債合計</t>
  </si>
  <si>
    <t xml:space="preserve">有形固定資産</t>
  </si>
  <si>
    <t xml:space="preserve">剰  余  金</t>
  </si>
  <si>
    <t xml:space="preserve">積 立 金</t>
  </si>
  <si>
    <t xml:space="preserve">純資産合計</t>
  </si>
  <si>
    <t xml:space="preserve">資     産     合     計</t>
  </si>
  <si>
    <t xml:space="preserve">負 債  ・  純 資 産 合 計</t>
  </si>
  <si>
    <t xml:space="preserve">  別途積立金は、地方公務員等共済組合法施行規程第86条に基づき、計上している。</t>
  </si>
  <si>
    <t xml:space="preserve">損益計算書</t>
  </si>
  <si>
    <t xml:space="preserve">損                    失</t>
  </si>
  <si>
    <t xml:space="preserve">利                    益</t>
  </si>
  <si>
    <t xml:space="preserve">経 常 費 用</t>
  </si>
  <si>
    <t xml:space="preserve">経 常 収 益</t>
  </si>
  <si>
    <t xml:space="preserve">事  業  費  用</t>
  </si>
  <si>
    <t xml:space="preserve">事業収益</t>
  </si>
  <si>
    <t xml:space="preserve">補助金等収入</t>
  </si>
  <si>
    <t xml:space="preserve">事 務 費</t>
  </si>
  <si>
    <t xml:space="preserve">事業外収益</t>
  </si>
  <si>
    <t xml:space="preserve">委 託 費</t>
  </si>
  <si>
    <t xml:space="preserve">  利息及び配当金</t>
  </si>
  <si>
    <t xml:space="preserve">繰  入  金</t>
  </si>
  <si>
    <t xml:space="preserve">賃 借 料</t>
  </si>
  <si>
    <t xml:space="preserve">普 及 費</t>
  </si>
  <si>
    <t xml:space="preserve">負 担 金</t>
  </si>
  <si>
    <t xml:space="preserve">特 別 利 益</t>
  </si>
  <si>
    <t xml:space="preserve"> 前期損益修正益</t>
  </si>
  <si>
    <t xml:space="preserve">　 事務費負担金払込金</t>
  </si>
  <si>
    <t xml:space="preserve">特 別 損 失</t>
  </si>
  <si>
    <t xml:space="preserve"> 当期損失金</t>
  </si>
  <si>
    <t xml:space="preserve">  当期利益金</t>
  </si>
  <si>
    <t xml:space="preserve">  合                    計</t>
  </si>
  <si>
    <t xml:space="preserve">合                    計</t>
  </si>
  <si>
    <t xml:space="preserve">預金明細表</t>
  </si>
  <si>
    <t xml:space="preserve">取引金融機関等の名称</t>
  </si>
  <si>
    <t xml:space="preserve">区                分</t>
  </si>
  <si>
    <t xml:space="preserve">金                額</t>
  </si>
  <si>
    <t xml:space="preserve">摘                要</t>
  </si>
  <si>
    <t xml:space="preserve">広島銀行広島市役所支店</t>
  </si>
  <si>
    <t xml:space="preserve">普    通    預    金</t>
  </si>
  <si>
    <t xml:space="preserve">№０８００４６５</t>
  </si>
  <si>
    <t xml:space="preserve">合                計</t>
  </si>
  <si>
    <t xml:space="preserve">立替金明細表</t>
  </si>
  <si>
    <t xml:space="preserve">種                別</t>
  </si>
  <si>
    <t xml:space="preserve">氏                名</t>
  </si>
  <si>
    <t xml:space="preserve">全国市町村職員共済組合連合会　</t>
  </si>
  <si>
    <t xml:space="preserve">年金過払金等返還金の払込料金（4月～3月分）　</t>
  </si>
  <si>
    <t xml:space="preserve">過払金等返還金</t>
  </si>
  <si>
    <t xml:space="preserve">組合員１名分</t>
  </si>
  <si>
    <t xml:space="preserve">他の経理立替分</t>
  </si>
  <si>
    <t xml:space="preserve">前払費用明細表</t>
  </si>
  <si>
    <t xml:space="preserve">科　　目</t>
  </si>
  <si>
    <t xml:space="preserve">摘　　　　　　　要</t>
  </si>
  <si>
    <t xml:space="preserve">支　　　　　払</t>
  </si>
  <si>
    <t xml:space="preserve">貸借対照表
計　上　額</t>
  </si>
  <si>
    <t xml:space="preserve">備　　考</t>
  </si>
  <si>
    <t xml:space="preserve">年 月 日</t>
  </si>
  <si>
    <t xml:space="preserve">伝票番号</t>
  </si>
  <si>
    <t xml:space="preserve">金　　額</t>
  </si>
  <si>
    <t xml:space="preserve">賃　借　料</t>
  </si>
  <si>
    <t xml:space="preserve">合　　　　　　　　計</t>
  </si>
  <si>
    <t xml:space="preserve">未収金明細表</t>
  </si>
  <si>
    <t xml:space="preserve">保健経理より</t>
  </si>
  <si>
    <t xml:space="preserve">事務費負担金精算返納分
（特定健康診査等負担金）</t>
  </si>
  <si>
    <t xml:space="preserve">広島市福利課</t>
  </si>
  <si>
    <t xml:space="preserve">事務費負担金の精算による追加交付</t>
  </si>
  <si>
    <t xml:space="preserve">短期経理より</t>
  </si>
  <si>
    <t xml:space="preserve">組合事務費短期分２５％</t>
  </si>
  <si>
    <t xml:space="preserve">未払金明細表</t>
  </si>
  <si>
    <t xml:space="preserve">ゆうちょ銀行</t>
  </si>
  <si>
    <t xml:space="preserve">年金過払金等返還金の払込料金立替払（10月～3月分）</t>
  </si>
  <si>
    <r>
      <rPr>
        <sz val="7"/>
        <rFont val="ＭＳ 明朝"/>
        <family val="1"/>
        <charset val="128"/>
      </rPr>
      <t xml:space="preserve">(</t>
    </r>
    <r>
      <rPr>
        <sz val="7"/>
        <rFont val="WenQuanYi Zen Hei"/>
        <family val="2"/>
      </rPr>
      <t xml:space="preserve">一財</t>
    </r>
    <r>
      <rPr>
        <sz val="7"/>
        <rFont val="ＭＳ 明朝"/>
        <family val="1"/>
        <charset val="128"/>
      </rPr>
      <t xml:space="preserve">)</t>
    </r>
    <r>
      <rPr>
        <sz val="7"/>
        <rFont val="WenQuanYi Zen Hei"/>
        <family val="2"/>
      </rPr>
      <t xml:space="preserve">広島市職員互助会　外</t>
    </r>
  </si>
  <si>
    <t xml:space="preserve">コピー用紙等消耗品購入代分担金等</t>
  </si>
  <si>
    <t xml:space="preserve">みずほリサーチ＆テクノロジーズ（株）外</t>
  </si>
  <si>
    <t xml:space="preserve">個別番号管理システム運営及び保守費用　外</t>
  </si>
  <si>
    <t xml:space="preserve">広島市総務課</t>
  </si>
  <si>
    <t xml:space="preserve">電気・ガス・水道料金等10月～3月分</t>
  </si>
  <si>
    <r>
      <rPr>
        <sz val="9"/>
        <rFont val="ＭＳ 明朝"/>
        <family val="1"/>
        <charset val="128"/>
      </rPr>
      <t xml:space="preserve">J</t>
    </r>
    <r>
      <rPr>
        <sz val="9"/>
        <rFont val="WenQuanYi Zen Hei"/>
        <family val="2"/>
      </rPr>
      <t xml:space="preserve">　</t>
    </r>
    <r>
      <rPr>
        <sz val="9"/>
        <rFont val="ＭＳ 明朝"/>
        <family val="1"/>
        <charset val="128"/>
      </rPr>
      <t xml:space="preserve">E</t>
    </r>
    <r>
      <rPr>
        <sz val="9"/>
        <rFont val="WenQuanYi Zen Hei"/>
        <family val="2"/>
      </rPr>
      <t xml:space="preserve">　</t>
    </r>
    <r>
      <rPr>
        <sz val="9"/>
        <rFont val="ＭＳ 明朝"/>
        <family val="1"/>
        <charset val="128"/>
      </rPr>
      <t xml:space="preserve">C</t>
    </r>
    <r>
      <rPr>
        <sz val="9"/>
        <rFont val="WenQuanYi Zen Hei"/>
        <family val="2"/>
      </rPr>
      <t xml:space="preserve">　</t>
    </r>
    <r>
      <rPr>
        <sz val="9"/>
        <rFont val="ＭＳ 明朝"/>
        <family val="1"/>
        <charset val="128"/>
      </rPr>
      <t xml:space="preserve">C</t>
    </r>
    <r>
      <rPr>
        <sz val="9"/>
        <rFont val="WenQuanYi Zen Hei"/>
        <family val="2"/>
      </rPr>
      <t xml:space="preserve">㈱　外</t>
    </r>
  </si>
  <si>
    <t xml:space="preserve">基幹システム用機器等賃貸借料　外</t>
  </si>
  <si>
    <r>
      <rPr>
        <sz val="9"/>
        <rFont val="ＭＳ 明朝"/>
        <family val="1"/>
        <charset val="128"/>
      </rPr>
      <t xml:space="preserve">(</t>
    </r>
    <r>
      <rPr>
        <sz val="9"/>
        <rFont val="WenQuanYi Zen Hei"/>
        <family val="2"/>
      </rPr>
      <t xml:space="preserve">一財</t>
    </r>
    <r>
      <rPr>
        <sz val="9"/>
        <rFont val="ＭＳ 明朝"/>
        <family val="1"/>
        <charset val="128"/>
      </rPr>
      <t xml:space="preserve">)</t>
    </r>
    <r>
      <rPr>
        <sz val="9"/>
        <rFont val="WenQuanYi Zen Hei"/>
        <family val="2"/>
      </rPr>
      <t xml:space="preserve">広島市職員互助会</t>
    </r>
  </si>
  <si>
    <t xml:space="preserve">厚生だより印刷代分担金</t>
  </si>
  <si>
    <t xml:space="preserve">厚生労働省　年金局</t>
  </si>
  <si>
    <t xml:space="preserve">３月分厚生年金保険料等</t>
  </si>
  <si>
    <t xml:space="preserve">広島市福利課　外</t>
  </si>
  <si>
    <t xml:space="preserve">事務費負担金の精算による返還　外</t>
  </si>
  <si>
    <t xml:space="preserve">未払費用明細表</t>
  </si>
  <si>
    <t xml:space="preserve">非常勤職員手当</t>
  </si>
  <si>
    <t xml:space="preserve">非常勤職員１名</t>
  </si>
  <si>
    <t xml:space="preserve">時間外手当３月分</t>
  </si>
  <si>
    <t xml:space="preserve">臨時職員２名</t>
  </si>
  <si>
    <t xml:space="preserve">３月分賃金</t>
  </si>
  <si>
    <t xml:space="preserve">預り金明細表</t>
  </si>
  <si>
    <t xml:space="preserve">雇用保険保険料</t>
  </si>
  <si>
    <t xml:space="preserve">広島労働局</t>
  </si>
  <si>
    <t xml:space="preserve">組合職員給与より控除分</t>
  </si>
  <si>
    <t xml:space="preserve">厚生年金保険料</t>
  </si>
  <si>
    <t xml:space="preserve">受入保証金明細表</t>
  </si>
  <si>
    <t xml:space="preserve">ガリバーインターナショナル㈱</t>
  </si>
  <si>
    <t xml:space="preserve">療養費支給申請書に係る内容点検及び入力業務</t>
  </si>
  <si>
    <t xml:space="preserve">固定資産明細表</t>
  </si>
  <si>
    <t xml:space="preserve">資産の種類</t>
  </si>
  <si>
    <t xml:space="preserve">期首残高</t>
  </si>
  <si>
    <t xml:space="preserve">当期増加額</t>
  </si>
  <si>
    <t xml:space="preserve">当期減少額</t>
  </si>
  <si>
    <t xml:space="preserve">期末残高</t>
  </si>
  <si>
    <t xml:space="preserve">当期償却額</t>
  </si>
  <si>
    <t xml:space="preserve">差引期末残高</t>
  </si>
  <si>
    <t xml:space="preserve">適　　用</t>
  </si>
  <si>
    <t xml:space="preserve">　</t>
  </si>
  <si>
    <t xml:space="preserve">合　計</t>
  </si>
  <si>
    <t xml:space="preserve">減価償却費明細表</t>
  </si>
  <si>
    <t xml:space="preserve">耐用年数</t>
  </si>
  <si>
    <t xml:space="preserve">取得原価</t>
  </si>
  <si>
    <t xml:space="preserve">償却累計額</t>
  </si>
  <si>
    <t xml:space="preserve">当期末残高</t>
  </si>
  <si>
    <t xml:space="preserve">償却累計率</t>
  </si>
  <si>
    <t xml:space="preserve">適　　     用</t>
  </si>
  <si>
    <t xml:space="preserve">％</t>
  </si>
  <si>
    <t xml:space="preserve">５年</t>
  </si>
  <si>
    <t xml:space="preserve">カードプリンタ　　
令和４年７月２９日取得</t>
  </si>
  <si>
    <t xml:space="preserve">〃</t>
  </si>
  <si>
    <t xml:space="preserve">４年</t>
  </si>
  <si>
    <t xml:space="preserve">個人番号管理システム
シンクライアント端末
令和５年２月７日取得</t>
  </si>
  <si>
    <t xml:space="preserve">積立金明細表</t>
  </si>
  <si>
    <t xml:space="preserve">区        分</t>
  </si>
  <si>
    <t xml:space="preserve">前期繰越額</t>
  </si>
  <si>
    <t xml:space="preserve">貸借対照表計上額</t>
  </si>
  <si>
    <t xml:space="preserve">摘        要</t>
  </si>
  <si>
    <t xml:space="preserve">積立金</t>
  </si>
  <si>
    <t xml:space="preserve">合        計</t>
  </si>
  <si>
    <t xml:space="preserve">摘                                  要</t>
  </si>
  <si>
    <t xml:space="preserve">年</t>
  </si>
  <si>
    <t xml:space="preserve">パーソナルコンピューター  １台  平成１１年５月２６日取得</t>
  </si>
  <si>
    <t xml:space="preserve">６</t>
  </si>
  <si>
    <t xml:space="preserve">電話加入権</t>
  </si>
  <si>
    <t xml:space="preserve">－</t>
  </si>
  <si>
    <t xml:space="preserve">平成１１年５月２４日取得</t>
  </si>
  <si>
    <t xml:space="preserve">合      計</t>
  </si>
  <si>
    <t xml:space="preserve">減価償却累計額明細表</t>
  </si>
  <si>
    <t xml:space="preserve">減価償却累計額</t>
  </si>
  <si>
    <t xml:space="preserve">器具及び備品の
減価償却費</t>
  </si>
  <si>
    <t xml:space="preserve">支出実績表</t>
  </si>
  <si>
    <t xml:space="preserve">科        目</t>
  </si>
  <si>
    <t xml:space="preserve">予 算 額</t>
  </si>
  <si>
    <t xml:space="preserve">支出済額</t>
  </si>
  <si>
    <t xml:space="preserve">支出未済額</t>
  </si>
  <si>
    <t xml:space="preserve">不     用     額</t>
  </si>
  <si>
    <t xml:space="preserve">旅費</t>
  </si>
  <si>
    <t xml:space="preserve">(A)</t>
  </si>
  <si>
    <t xml:space="preserve">(B)</t>
  </si>
  <si>
    <t xml:space="preserve">利益剰余金計算書</t>
  </si>
  <si>
    <t xml:space="preserve">１</t>
  </si>
  <si>
    <t xml:space="preserve">２</t>
  </si>
  <si>
    <t xml:space="preserve">３</t>
  </si>
  <si>
    <t xml:space="preserve">当期処分額</t>
  </si>
  <si>
    <t xml:space="preserve">別途積立金取り崩し</t>
  </si>
  <si>
    <t xml:space="preserve">積立金取り崩し</t>
  </si>
  <si>
    <t xml:space="preserve">【参考】R3事務費（旅費＋事務費）</t>
  </si>
  <si>
    <t xml:space="preserve">　予算額（最高限度額）</t>
  </si>
  <si>
    <t xml:space="preserve">①</t>
  </si>
  <si>
    <t xml:space="preserve">　支出済額</t>
  </si>
  <si>
    <t xml:space="preserve">②</t>
  </si>
  <si>
    <t xml:space="preserve">　不用額</t>
  </si>
  <si>
    <t xml:space="preserve">①－②</t>
  </si>
  <si>
    <t xml:space="preserve">(A)+(B)</t>
  </si>
  <si>
    <t xml:space="preserve">〔７〕  業務経理</t>
  </si>
  <si>
    <t xml:space="preserve">１．組合の事務に要する費用に充てるため地方公共団体が負担する金額について</t>
  </si>
  <si>
    <t xml:space="preserve">（短期、厚生年金保険及び経過的長期分）</t>
  </si>
  <si>
    <t xml:space="preserve">　組合員１人当たりの額</t>
  </si>
  <si>
    <t xml:space="preserve">（単位：円）</t>
  </si>
  <si>
    <t xml:space="preserve">区　　　　　　　　　分</t>
  </si>
  <si>
    <t xml:space="preserve">比　較　増　△　減</t>
  </si>
  <si>
    <t xml:space="preserve">事務費 （ Ａ + B + C + D )</t>
  </si>
  <si>
    <t xml:space="preserve">内　　　訳</t>
  </si>
  <si>
    <t xml:space="preserve">地方公共団体負担金（総額）</t>
  </si>
  <si>
    <t xml:space="preserve">地方公共団体負担金のうち短期分</t>
  </si>
  <si>
    <t xml:space="preserve">( A )</t>
  </si>
  <si>
    <t xml:space="preserve">( B )</t>
  </si>
  <si>
    <r>
      <rPr>
        <sz val="10"/>
        <rFont val="ＭＳ Ｐ明朝"/>
        <family val="1"/>
        <charset val="128"/>
      </rPr>
      <t xml:space="preserve">( </t>
    </r>
    <r>
      <rPr>
        <sz val="10"/>
        <rFont val="WenQuanYi Zen Hei"/>
        <family val="2"/>
      </rPr>
      <t xml:space="preserve">Ｃ </t>
    </r>
    <r>
      <rPr>
        <sz val="10"/>
        <rFont val="ＭＳ Ｐ明朝"/>
        <family val="1"/>
        <charset val="128"/>
      </rPr>
      <t xml:space="preserve">)</t>
    </r>
  </si>
  <si>
    <t xml:space="preserve">その他</t>
  </si>
  <si>
    <r>
      <rPr>
        <sz val="10"/>
        <rFont val="ＭＳ Ｐ明朝"/>
        <family val="1"/>
        <charset val="128"/>
      </rPr>
      <t xml:space="preserve">( </t>
    </r>
    <r>
      <rPr>
        <sz val="10"/>
        <rFont val="WenQuanYi Zen Hei"/>
        <family val="2"/>
      </rPr>
      <t xml:space="preserve">Ｄ </t>
    </r>
    <r>
      <rPr>
        <sz val="10"/>
        <rFont val="ＭＳ Ｐ明朝"/>
        <family val="1"/>
        <charset val="128"/>
      </rPr>
      <t xml:space="preserve">)</t>
    </r>
  </si>
  <si>
    <r>
      <rPr>
        <sz val="10"/>
        <rFont val="ＭＳ Ｐ明朝"/>
        <family val="1"/>
        <charset val="128"/>
      </rPr>
      <t xml:space="preserve">(</t>
    </r>
    <r>
      <rPr>
        <sz val="10"/>
        <rFont val="WenQuanYi Zen Hei"/>
        <family val="2"/>
      </rPr>
      <t xml:space="preserve">注</t>
    </r>
    <r>
      <rPr>
        <sz val="10"/>
        <rFont val="ＭＳ Ｐ明朝"/>
        <family val="1"/>
        <charset val="128"/>
      </rPr>
      <t xml:space="preserve">)</t>
    </r>
  </si>
  <si>
    <t xml:space="preserve">１　「短期経理より繰入（Ｂ）」の欄は、定款で定める組合員１人あたりの繰入額</t>
  </si>
  <si>
    <t xml:space="preserve">２　「連合会交付金（Ｃ）」の欄は、厚生年金保険及び経過的長期給付事務費に係る連合会交付金の額を</t>
  </si>
  <si>
    <t xml:space="preserve">　 平均組合員数で割った組合員１人当たりの額</t>
  </si>
  <si>
    <t xml:space="preserve">３    　「その他(D)」の欄は、業務経理の剰余金を取り崩す場合における取崩額を平均組合員数で割った組合員1人</t>
  </si>
  <si>
    <t xml:space="preserve">　　当たりの額</t>
  </si>
  <si>
    <t xml:space="preserve">１－２．退職等年金給付に係る事務費について</t>
  </si>
  <si>
    <t xml:space="preserve">区　　　　　　分</t>
  </si>
  <si>
    <t xml:space="preserve">比較増△減</t>
  </si>
  <si>
    <t xml:space="preserve">事務費（連合会交付金）</t>
  </si>
  <si>
    <t xml:space="preserve">　　　年度</t>
  </si>
  <si>
    <t xml:space="preserve">表中の数値は、退職等年金給付事務費に係る連合会交付金の額を平均組合員数で割った組合員１人当たりの額</t>
  </si>
  <si>
    <t xml:space="preserve">内訳</t>
  </si>
  <si>
    <t xml:space="preserve">２．収入について</t>
  </si>
  <si>
    <t xml:space="preserve">（注）</t>
  </si>
  <si>
    <t xml:space="preserve">　退職等年金給付事務費に係る連合会交付金の額を平均組合員数で割った組合員</t>
  </si>
  <si>
    <t xml:space="preserve">区　　　分 </t>
  </si>
  <si>
    <t xml:space="preserve">事 業 計 画 額</t>
  </si>
  <si>
    <t xml:space="preserve">決　　算　　額</t>
  </si>
  <si>
    <t xml:space="preserve">比 較 増 △ 減</t>
  </si>
  <si>
    <t xml:space="preserve">前 年 度 決 算 額 と の 比 較 </t>
  </si>
  <si>
    <t xml:space="preserve">１人当たりの額を記入すること。</t>
  </si>
  <si>
    <t xml:space="preserve"> 科　　　目</t>
  </si>
  <si>
    <t xml:space="preserve">前年度決算額</t>
  </si>
  <si>
    <t xml:space="preserve">３．支出について</t>
  </si>
  <si>
    <t xml:space="preserve">前 年 度 決 算 額 と の 比 較</t>
  </si>
  <si>
    <t xml:space="preserve">会議費</t>
  </si>
  <si>
    <t xml:space="preserve">諸謝金</t>
  </si>
  <si>
    <t xml:space="preserve">食糧費</t>
  </si>
  <si>
    <t xml:space="preserve">雑費</t>
  </si>
  <si>
    <t xml:space="preserve">合　　　　　　　計</t>
  </si>
  <si>
    <t xml:space="preserve">４．利益剰余金の処分について</t>
  </si>
  <si>
    <t xml:space="preserve">当期利益金バージョン</t>
  </si>
  <si>
    <t xml:space="preserve">　　本年度における収支決算を行った結果、当期利益金として　　円を生じた。</t>
  </si>
  <si>
    <t xml:space="preserve">　　この利益金に前年度より繰り越した積立金　　円を合わせ、翌年度へ繰り越す積立金は、</t>
  </si>
  <si>
    <t xml:space="preserve">　　　円となる。</t>
  </si>
  <si>
    <t xml:space="preserve">５.利益剰余金の処分について</t>
  </si>
  <si>
    <t xml:space="preserve">　本年度における収支決算を行った結果、当期利益金として　　　　　円を生じたが、こ</t>
  </si>
  <si>
    <t xml:space="preserve">れを次のとおり処分した。</t>
  </si>
  <si>
    <t xml:space="preserve">　当期処分額</t>
  </si>
  <si>
    <t xml:space="preserve">○○積立金へ積立</t>
  </si>
  <si>
    <t xml:space="preserve">　したがって、前年度より繰り越した積立金　　　　　円と当期利益金　　　　　円から</t>
  </si>
  <si>
    <t xml:space="preserve">当期処分額　　　　　円を差し引いた額　　　　　円を合わせ、翌年度へ繰り越す積立金</t>
  </si>
  <si>
    <t xml:space="preserve">は、　　　　　円となる。</t>
  </si>
  <si>
    <t xml:space="preserve">　本年度における収支決算を行った結果、当期損失金として　　　　　円を生じたが、前</t>
  </si>
  <si>
    <t xml:space="preserve">年度より繰り越した積立金　　　　円を取り崩して補てんした。なお、翌年度へ繰り越す</t>
  </si>
  <si>
    <t xml:space="preserve">積立金は、　　　　円となる。</t>
  </si>
  <si>
    <t xml:space="preserve">６．欠損金の処分について</t>
  </si>
  <si>
    <t xml:space="preserve">　本年度における収支決算を行った結果、当期損失金として　　　　　円を生じ、前年度</t>
  </si>
  <si>
    <t xml:space="preserve">より繰り越した積立金　　　　円を取り崩して補てんしたが、なお足りず、翌年度へ繰り</t>
  </si>
  <si>
    <t xml:space="preserve">越す繰越欠損金は、　　　　円となる。</t>
  </si>
  <si>
    <t xml:space="preserve">より繰り越した繰越欠損金　　　　円と合わせ、翌年度へ繰り越す繰越欠損金は、　　円　　　</t>
  </si>
  <si>
    <t xml:space="preserve">となる。</t>
  </si>
  <si>
    <t xml:space="preserve">科目</t>
  </si>
  <si>
    <t xml:space="preserve">短期経理</t>
  </si>
  <si>
    <t xml:space="preserve">長期経理</t>
  </si>
  <si>
    <t xml:space="preserve">保健経理</t>
  </si>
  <si>
    <t xml:space="preserve">貸付経理</t>
  </si>
  <si>
    <t xml:space="preserve">比較増減</t>
  </si>
  <si>
    <t xml:space="preserve">前期繰越額（A）</t>
  </si>
  <si>
    <t xml:space="preserve">収入の部</t>
  </si>
  <si>
    <t xml:space="preserve">掛金</t>
  </si>
  <si>
    <t xml:space="preserve">償還差益</t>
  </si>
  <si>
    <t xml:space="preserve">育児介護休業手当金
交付金</t>
  </si>
  <si>
    <t xml:space="preserve">高額医療交付金</t>
  </si>
  <si>
    <t xml:space="preserve">災害給付交付金</t>
  </si>
  <si>
    <t xml:space="preserve">賠償金</t>
  </si>
  <si>
    <t xml:space="preserve">退職一時金等返還金</t>
  </si>
  <si>
    <t xml:space="preserve">出産育児交付金</t>
  </si>
  <si>
    <t xml:space="preserve">施設収入</t>
  </si>
  <si>
    <t xml:space="preserve">雑収入他</t>
  </si>
  <si>
    <t xml:space="preserve">長期経理より繰入</t>
  </si>
  <si>
    <t xml:space="preserve">組合員貸付金利息</t>
  </si>
  <si>
    <t xml:space="preserve">寄附金</t>
  </si>
  <si>
    <t xml:space="preserve">基礎年金国庫金</t>
  </si>
  <si>
    <t xml:space="preserve">前年度繰越支払準備金</t>
  </si>
  <si>
    <t xml:space="preserve">当期収入合計
           （B）</t>
  </si>
  <si>
    <t xml:space="preserve">支出の部</t>
  </si>
  <si>
    <t xml:space="preserve">保健給付</t>
  </si>
  <si>
    <t xml:space="preserve">休業給付</t>
  </si>
  <si>
    <t xml:space="preserve">災害給付</t>
  </si>
  <si>
    <t xml:space="preserve">附加給付</t>
  </si>
  <si>
    <t xml:space="preserve">一部負担金払戻金</t>
  </si>
  <si>
    <t xml:space="preserve">拠出金・納付金</t>
  </si>
  <si>
    <t xml:space="preserve">任意継続掛金還付金</t>
  </si>
  <si>
    <t xml:space="preserve">退職給付</t>
  </si>
  <si>
    <t xml:space="preserve">障害給付</t>
  </si>
  <si>
    <t xml:space="preserve">遺族給付</t>
  </si>
  <si>
    <t xml:space="preserve">基礎年金拠出金負担金</t>
  </si>
  <si>
    <t xml:space="preserve">連合会払込金</t>
  </si>
  <si>
    <t xml:space="preserve">業務経理へ繰入</t>
  </si>
  <si>
    <t xml:space="preserve">事業費用</t>
  </si>
  <si>
    <t xml:space="preserve">基礎年金</t>
  </si>
  <si>
    <t xml:space="preserve">基礎年金返還金</t>
  </si>
  <si>
    <t xml:space="preserve">次年度繰越支払準備金</t>
  </si>
  <si>
    <t xml:space="preserve">当期支出合計
          （C）</t>
  </si>
  <si>
    <t xml:space="preserve">当期収支差額
             (B)-(C)</t>
  </si>
  <si>
    <t xml:space="preserve">次期繰越額  
    (A)+(B)-(C)</t>
  </si>
  <si>
    <t xml:space="preserve">経常費用</t>
  </si>
  <si>
    <t xml:space="preserve">長期</t>
  </si>
  <si>
    <t xml:space="preserve">事務局長・次長のみが持つ資料にはコメントを印刷する。それ以外の人に渡すものにはそのコメントは印刷しない。</t>
  </si>
  <si>
    <t xml:space="preserve">業務</t>
  </si>
  <si>
    <t xml:space="preserve">令和６年度決算総括表</t>
  </si>
  <si>
    <t xml:space="preserve">６年度</t>
  </si>
  <si>
    <t xml:space="preserve">５年度</t>
  </si>
</sst>
</file>

<file path=xl/styles.xml><?xml version="1.0" encoding="utf-8"?>
<styleSheet xmlns="http://schemas.openxmlformats.org/spreadsheetml/2006/main">
  <numFmts count="13">
    <numFmt numFmtId="164" formatCode="General"/>
    <numFmt numFmtId="165" formatCode="0"/>
    <numFmt numFmtId="166" formatCode="#,##0"/>
    <numFmt numFmtId="167" formatCode="#,##0;&quot;△ &quot;#,##0;0"/>
    <numFmt numFmtId="168" formatCode="#,##0;&quot;△ &quot;#,##0"/>
    <numFmt numFmtId="169" formatCode="#,##0;&quot;△ &quot;#,##0;;"/>
    <numFmt numFmtId="170" formatCode="@"/>
    <numFmt numFmtId="171" formatCode="[$-409]#,##0_);[RED]\(#,##0\)"/>
    <numFmt numFmtId="172" formatCode="[$-1030411]ge\.m\.d;@"/>
    <numFmt numFmtId="173" formatCode="0.0_ "/>
    <numFmt numFmtId="174" formatCode="#,##0.0;&quot;△ &quot;#,##0.0"/>
    <numFmt numFmtId="175" formatCode="#,##0_ "/>
    <numFmt numFmtId="176" formatCode="General"/>
  </numFmts>
  <fonts count="85">
    <font>
      <sz val="11"/>
      <name val="ＭＳ Ｐゴシック"/>
      <family val="3"/>
      <charset val="128"/>
    </font>
    <font>
      <sz val="10"/>
      <name val="Arial"/>
      <family val="0"/>
    </font>
    <font>
      <sz val="10"/>
      <name val="Arial"/>
      <family val="0"/>
    </font>
    <font>
      <sz val="10"/>
      <name val="Arial"/>
      <family val="0"/>
    </font>
    <font>
      <b val="true"/>
      <sz val="14"/>
      <name val="WenQuanYi Zen Hei"/>
      <family val="2"/>
    </font>
    <font>
      <sz val="10"/>
      <name val="WenQuanYi Zen Hei"/>
      <family val="2"/>
    </font>
    <font>
      <sz val="10"/>
      <name val="MS ゴシック"/>
      <family val="0"/>
      <charset val="1"/>
    </font>
    <font>
      <b val="true"/>
      <sz val="12"/>
      <name val="WenQuanYi Zen Hei"/>
      <family val="2"/>
    </font>
    <font>
      <b val="true"/>
      <sz val="10"/>
      <name val="WenQuanYi Zen Hei"/>
      <family val="2"/>
    </font>
    <font>
      <b val="true"/>
      <sz val="10"/>
      <name val="MS ゴシック"/>
      <family val="0"/>
      <charset val="1"/>
    </font>
    <font>
      <sz val="10"/>
      <color rgb="FF0000FF"/>
      <name val="MS ゴシック"/>
      <family val="0"/>
      <charset val="1"/>
    </font>
    <font>
      <sz val="10"/>
      <color rgb="FF0000FF"/>
      <name val="WenQuanYi Zen Hei"/>
      <family val="2"/>
    </font>
    <font>
      <b val="true"/>
      <sz val="10"/>
      <color rgb="FFFFFFFF"/>
      <name val="WenQuanYi Zen Hei"/>
      <family val="2"/>
    </font>
    <font>
      <b val="true"/>
      <sz val="10"/>
      <color rgb="FFFFFFFF"/>
      <name val="MS ゴシック"/>
      <family val="0"/>
      <charset val="1"/>
    </font>
    <font>
      <b val="true"/>
      <sz val="14"/>
      <name val="MS ゴシック"/>
      <family val="0"/>
      <charset val="1"/>
    </font>
    <font>
      <sz val="11"/>
      <name val="ＭＳ 明朝"/>
      <family val="1"/>
      <charset val="128"/>
    </font>
    <font>
      <b val="true"/>
      <sz val="16"/>
      <name val="WenQuanYi Zen Hei"/>
      <family val="2"/>
      <charset val="1"/>
    </font>
    <font>
      <u val="single"/>
      <sz val="16"/>
      <name val="ＭＳ 明朝"/>
      <family val="1"/>
      <charset val="128"/>
    </font>
    <font>
      <sz val="11"/>
      <name val="WenQuanYi Zen Hei"/>
      <family val="2"/>
      <charset val="1"/>
    </font>
    <font>
      <sz val="11"/>
      <color rgb="FF000000"/>
      <name val="WenQuanYi Zen Hei"/>
      <family val="2"/>
      <charset val="1"/>
    </font>
    <font>
      <sz val="10"/>
      <name val="WenQuanYi Zen Hei"/>
      <family val="2"/>
      <charset val="1"/>
    </font>
    <font>
      <sz val="9"/>
      <name val="WenQuanYi Zen Hei"/>
      <family val="2"/>
      <charset val="1"/>
    </font>
    <font>
      <sz val="10"/>
      <name val="ＭＳ 明朝"/>
      <family val="1"/>
      <charset val="128"/>
    </font>
    <font>
      <sz val="9"/>
      <color rgb="FF0000FF"/>
      <name val="ＭＳ 明朝"/>
      <family val="1"/>
      <charset val="128"/>
    </font>
    <font>
      <sz val="9"/>
      <name val="ＭＳ 明朝"/>
      <family val="1"/>
      <charset val="128"/>
    </font>
    <font>
      <sz val="9"/>
      <color rgb="FFFF0000"/>
      <name val="ＭＳ 明朝"/>
      <family val="1"/>
      <charset val="128"/>
    </font>
    <font>
      <sz val="9"/>
      <color rgb="FFFFFFFF"/>
      <name val="ＭＳ 明朝"/>
      <family val="1"/>
      <charset val="128"/>
    </font>
    <font>
      <sz val="9"/>
      <color rgb="FF000000"/>
      <name val="WenQuanYi Zen Hei"/>
      <family val="2"/>
      <charset val="1"/>
    </font>
    <font>
      <sz val="10"/>
      <color rgb="FF000000"/>
      <name val="WenQuanYi Zen Hei"/>
      <family val="2"/>
      <charset val="1"/>
    </font>
    <font>
      <sz val="10"/>
      <color rgb="FF000000"/>
      <name val="ＭＳ 明朝"/>
      <family val="1"/>
      <charset val="128"/>
    </font>
    <font>
      <sz val="10"/>
      <name val="Arial"/>
      <family val="2"/>
    </font>
    <font>
      <sz val="8"/>
      <name val="ＭＳ 明朝"/>
      <family val="1"/>
      <charset val="128"/>
    </font>
    <font>
      <b val="true"/>
      <u val="single"/>
      <sz val="16"/>
      <name val="ＭＳ 明朝"/>
      <family val="1"/>
      <charset val="128"/>
    </font>
    <font>
      <b val="true"/>
      <sz val="16"/>
      <name val="ＭＳ 明朝"/>
      <family val="1"/>
      <charset val="128"/>
    </font>
    <font>
      <b val="true"/>
      <u val="single"/>
      <sz val="8"/>
      <name val="ＭＳ 明朝"/>
      <family val="1"/>
      <charset val="128"/>
    </font>
    <font>
      <sz val="8"/>
      <name val="WenQuanYi Zen Hei"/>
      <family val="2"/>
      <charset val="1"/>
    </font>
    <font>
      <b val="true"/>
      <u val="single"/>
      <sz val="8"/>
      <name val="WenQuanYi Zen Hei"/>
      <family val="2"/>
      <charset val="1"/>
    </font>
    <font>
      <sz val="8"/>
      <color rgb="FF0000FF"/>
      <name val="ＭＳ 明朝"/>
      <family val="1"/>
      <charset val="128"/>
    </font>
    <font>
      <sz val="8"/>
      <color rgb="FFFF0000"/>
      <name val="ＭＳ 明朝"/>
      <family val="1"/>
      <charset val="128"/>
    </font>
    <font>
      <b val="true"/>
      <sz val="8"/>
      <name val="WenQuanYi Zen Hei"/>
      <family val="2"/>
      <charset val="1"/>
    </font>
    <font>
      <sz val="8"/>
      <color rgb="FFFF0000"/>
      <name val="WenQuanYi Zen Hei"/>
      <family val="2"/>
      <charset val="1"/>
    </font>
    <font>
      <sz val="7"/>
      <name val="WenQuanYi Zen Hei"/>
      <family val="2"/>
      <charset val="1"/>
    </font>
    <font>
      <sz val="6"/>
      <name val="WenQuanYi Zen Hei"/>
      <family val="2"/>
      <charset val="1"/>
    </font>
    <font>
      <sz val="5"/>
      <name val="WenQuanYi Zen Hei"/>
      <family val="2"/>
      <charset val="1"/>
    </font>
    <font>
      <sz val="7"/>
      <name val="ＭＳ 明朝"/>
      <family val="1"/>
      <charset val="128"/>
    </font>
    <font>
      <b val="true"/>
      <u val="single"/>
      <sz val="8"/>
      <name val="ＭＳ ゴシック"/>
      <family val="3"/>
      <charset val="128"/>
    </font>
    <font>
      <u val="single"/>
      <sz val="14"/>
      <name val="ＭＳ 明朝"/>
      <family val="1"/>
      <charset val="128"/>
    </font>
    <font>
      <sz val="14"/>
      <name val="ＭＳ 明朝"/>
      <family val="1"/>
      <charset val="128"/>
    </font>
    <font>
      <sz val="10"/>
      <color rgb="FF0000FF"/>
      <name val="ＭＳ 明朝"/>
      <family val="1"/>
      <charset val="128"/>
    </font>
    <font>
      <sz val="7"/>
      <name val="WenQuanYi Zen Hei"/>
      <family val="2"/>
    </font>
    <font>
      <sz val="7.5"/>
      <name val="WenQuanYi Zen Hei"/>
      <family val="2"/>
      <charset val="1"/>
    </font>
    <font>
      <sz val="9"/>
      <name val="WenQuanYi Zen Hei"/>
      <family val="2"/>
    </font>
    <font>
      <sz val="10"/>
      <color rgb="FF008000"/>
      <name val="ＭＳ 明朝"/>
      <family val="1"/>
      <charset val="128"/>
    </font>
    <font>
      <sz val="10"/>
      <color rgb="FFFF0000"/>
      <name val="ＭＳ 明朝"/>
      <family val="1"/>
      <charset val="128"/>
    </font>
    <font>
      <sz val="11"/>
      <color rgb="FF000000"/>
      <name val="ＭＳ 明朝"/>
      <family val="1"/>
      <charset val="128"/>
    </font>
    <font>
      <b val="true"/>
      <sz val="16"/>
      <color rgb="FF000000"/>
      <name val="WenQuanYi Zen Hei"/>
      <family val="2"/>
      <charset val="1"/>
    </font>
    <font>
      <b val="true"/>
      <sz val="16"/>
      <color rgb="FF000000"/>
      <name val="ＭＳ 明朝"/>
      <family val="1"/>
      <charset val="128"/>
    </font>
    <font>
      <u val="single"/>
      <sz val="14"/>
      <color rgb="FF000000"/>
      <name val="ＭＳ 明朝"/>
      <family val="1"/>
      <charset val="128"/>
    </font>
    <font>
      <sz val="14"/>
      <color rgb="FF000000"/>
      <name val="ＭＳ 明朝"/>
      <family val="1"/>
      <charset val="128"/>
    </font>
    <font>
      <sz val="8"/>
      <color rgb="FF000000"/>
      <name val="WenQuanYi Zen Hei"/>
      <family val="2"/>
      <charset val="1"/>
    </font>
    <font>
      <sz val="10"/>
      <color rgb="FF0000FF"/>
      <name val="WenQuanYi Zen Hei"/>
      <family val="2"/>
      <charset val="1"/>
    </font>
    <font>
      <b val="true"/>
      <sz val="14"/>
      <name val="WenQuanYi Zen Hei"/>
      <family val="2"/>
      <charset val="1"/>
    </font>
    <font>
      <b val="true"/>
      <sz val="14"/>
      <name val="ＭＳ 明朝"/>
      <family val="1"/>
      <charset val="128"/>
    </font>
    <font>
      <sz val="18"/>
      <name val="WenQuanYi Zen Hei"/>
      <family val="2"/>
      <charset val="1"/>
    </font>
    <font>
      <sz val="10"/>
      <name val="ＭＳ Ｐ明朝"/>
      <family val="1"/>
      <charset val="128"/>
    </font>
    <font>
      <sz val="10"/>
      <color rgb="FF0000FF"/>
      <name val="ＭＳ Ｐ明朝"/>
      <family val="1"/>
      <charset val="128"/>
    </font>
    <font>
      <sz val="11"/>
      <name val="ＭＳ Ｐ明朝"/>
      <family val="1"/>
      <charset val="128"/>
    </font>
    <font>
      <sz val="10"/>
      <color rgb="FF003366"/>
      <name val="ＭＳ Ｐ明朝"/>
      <family val="1"/>
      <charset val="128"/>
    </font>
    <font>
      <sz val="9.5"/>
      <name val="WenQuanYi Zen Hei"/>
      <family val="2"/>
      <charset val="1"/>
    </font>
    <font>
      <sz val="10"/>
      <color rgb="FFFF0000"/>
      <name val="ＭＳ Ｐ明朝"/>
      <family val="1"/>
      <charset val="128"/>
    </font>
    <font>
      <b val="true"/>
      <sz val="11"/>
      <name val="WenQuanYi Zen Hei"/>
      <family val="2"/>
      <charset val="1"/>
    </font>
    <font>
      <sz val="11"/>
      <color rgb="FFFF0000"/>
      <name val="WenQuanYi Zen Hei"/>
      <family val="2"/>
      <charset val="1"/>
    </font>
    <font>
      <b val="true"/>
      <u val="single"/>
      <sz val="18"/>
      <name val="WenQuanYi Zen Hei"/>
      <family val="2"/>
      <charset val="1"/>
    </font>
    <font>
      <b val="true"/>
      <u val="single"/>
      <sz val="18"/>
      <name val="ＭＳ ゴシック"/>
      <family val="3"/>
      <charset val="128"/>
    </font>
    <font>
      <sz val="18"/>
      <name val="ＭＳ ゴシック"/>
      <family val="3"/>
      <charset val="128"/>
    </font>
    <font>
      <sz val="10"/>
      <name val="ＭＳ ゴシック"/>
      <family val="3"/>
      <charset val="128"/>
    </font>
    <font>
      <sz val="11"/>
      <color rgb="FF0000FF"/>
      <name val="WenQuanYi Zen Hei"/>
      <family val="2"/>
    </font>
    <font>
      <sz val="11"/>
      <color rgb="FF0000FF"/>
      <name val="ＭＳ ゴシック"/>
      <family val="3"/>
      <charset val="128"/>
    </font>
    <font>
      <sz val="11"/>
      <color rgb="FFFF0000"/>
      <name val="ＭＳ ゴシック"/>
      <family val="3"/>
      <charset val="128"/>
    </font>
    <font>
      <sz val="11"/>
      <name val="ＭＳ ゴシック"/>
      <family val="3"/>
      <charset val="128"/>
    </font>
    <font>
      <sz val="11"/>
      <color rgb="FF000000"/>
      <name val="ＭＳ ゴシック"/>
      <family val="3"/>
      <charset val="128"/>
    </font>
    <font>
      <u val="single"/>
      <sz val="10"/>
      <color rgb="FF000000"/>
      <name val="ＭＳ ゴシック"/>
      <family val="3"/>
      <charset val="128"/>
    </font>
    <font>
      <b val="true"/>
      <u val="single"/>
      <sz val="18"/>
      <name val="WenQuanYi Zen Hei"/>
      <family val="2"/>
    </font>
    <font>
      <sz val="10"/>
      <color rgb="FF0000FF"/>
      <name val="ＭＳ ゴシック"/>
      <family val="3"/>
      <charset val="128"/>
    </font>
    <font>
      <sz val="10"/>
      <color rgb="FFFF0000"/>
      <name val="ＭＳ ゴシック"/>
      <family val="3"/>
      <charset val="128"/>
    </font>
  </fonts>
  <fills count="7">
    <fill>
      <patternFill patternType="none"/>
    </fill>
    <fill>
      <patternFill patternType="gray125"/>
    </fill>
    <fill>
      <patternFill patternType="solid">
        <fgColor rgb="FFDDEBF7"/>
        <bgColor rgb="FFCCFFFF"/>
      </patternFill>
    </fill>
    <fill>
      <patternFill patternType="solid">
        <fgColor rgb="FFFFF2CC"/>
        <bgColor rgb="FFFFEB9C"/>
      </patternFill>
    </fill>
    <fill>
      <patternFill patternType="solid">
        <fgColor rgb="FF1F4E78"/>
        <bgColor rgb="FF003366"/>
      </patternFill>
    </fill>
    <fill>
      <patternFill patternType="solid">
        <fgColor rgb="FFFFFFFF"/>
        <bgColor rgb="FFFFF2CC"/>
      </patternFill>
    </fill>
    <fill>
      <patternFill patternType="solid">
        <fgColor rgb="FFFFFF00"/>
        <bgColor rgb="FFFFFF00"/>
      </patternFill>
    </fill>
  </fills>
  <borders count="13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bottom style="double"/>
      <diagonal/>
    </border>
    <border diagonalUp="false" diagonalDown="false">
      <left style="medium"/>
      <right/>
      <top style="medium"/>
      <bottom/>
      <diagonal/>
    </border>
    <border diagonalUp="false" diagonalDown="false">
      <left/>
      <right/>
      <top style="medium"/>
      <bottom/>
      <diagonal/>
    </border>
    <border diagonalUp="false" diagonalDown="false">
      <left/>
      <right/>
      <top style="medium"/>
      <bottom style="thin"/>
      <diagonal/>
    </border>
    <border diagonalUp="false" diagonalDown="false">
      <left/>
      <right style="medium"/>
      <top style="medium"/>
      <bottom/>
      <diagonal/>
    </border>
    <border diagonalUp="false" diagonalDown="false">
      <left style="medium"/>
      <right/>
      <top/>
      <bottom/>
      <diagonal/>
    </border>
    <border diagonalUp="false" diagonalDown="false">
      <left/>
      <right/>
      <top style="thin"/>
      <bottom style="double"/>
      <diagonal/>
    </border>
    <border diagonalUp="false" diagonalDown="false">
      <left/>
      <right style="medium"/>
      <top/>
      <bottom/>
      <diagonal/>
    </border>
    <border diagonalUp="false" diagonalDown="false">
      <left style="medium"/>
      <right/>
      <top/>
      <bottom style="thin"/>
      <diagonal/>
    </border>
    <border diagonalUp="false" diagonalDown="false">
      <left style="medium"/>
      <right/>
      <top style="thin"/>
      <bottom/>
      <diagonal/>
    </border>
    <border diagonalUp="false" diagonalDown="false">
      <left style="double"/>
      <right style="double"/>
      <top style="thin"/>
      <bottom style="thin"/>
      <diagonal/>
    </border>
    <border diagonalUp="false" diagonalDown="false">
      <left/>
      <right style="medium"/>
      <top style="thin"/>
      <bottom style="thin"/>
      <diagonal/>
    </border>
    <border diagonalUp="false" diagonalDown="false">
      <left style="medium"/>
      <right style="thin"/>
      <top style="thin"/>
      <bottom style="thin"/>
      <diagonal/>
    </border>
    <border diagonalUp="false" diagonalDown="false">
      <left style="thin"/>
      <right style="thin"/>
      <top style="thin"/>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style="medium"/>
      <top style="thin"/>
      <bottom style="thin"/>
      <diagonal/>
    </border>
    <border diagonalUp="false" diagonalDown="false">
      <left style="thin"/>
      <right style="thin"/>
      <top style="thin"/>
      <bottom/>
      <diagonal/>
    </border>
    <border diagonalUp="false" diagonalDown="false">
      <left/>
      <right/>
      <top style="thin"/>
      <bottom/>
      <diagonal/>
    </border>
    <border diagonalUp="false" diagonalDown="false">
      <left style="double"/>
      <right style="double"/>
      <top style="thin"/>
      <bottom/>
      <diagonal/>
    </border>
    <border diagonalUp="false" diagonalDown="false">
      <left style="thin"/>
      <right style="medium"/>
      <top style="thin"/>
      <bottom/>
      <diagonal/>
    </border>
    <border diagonalUp="false" diagonalDown="false">
      <left style="medium"/>
      <right style="thin"/>
      <top/>
      <bottom style="thin"/>
      <diagonal/>
    </border>
    <border diagonalUp="false" diagonalDown="false">
      <left style="thin"/>
      <right style="thin"/>
      <top/>
      <bottom style="thin"/>
      <diagonal/>
    </border>
    <border diagonalUp="false" diagonalDown="false">
      <left style="thin"/>
      <right/>
      <top/>
      <bottom style="thin"/>
      <diagonal/>
    </border>
    <border diagonalUp="false" diagonalDown="false">
      <left style="double"/>
      <right style="double"/>
      <top/>
      <bottom style="thin"/>
      <diagonal/>
    </border>
    <border diagonalUp="false" diagonalDown="false">
      <left/>
      <right style="thin"/>
      <top/>
      <bottom style="thin"/>
      <diagonal/>
    </border>
    <border diagonalUp="false" diagonalDown="false">
      <left style="thin"/>
      <right style="medium"/>
      <top/>
      <bottom style="thin"/>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top style="medium"/>
      <bottom style="medium"/>
      <diagonal/>
    </border>
    <border diagonalUp="false" diagonalDown="false">
      <left style="double"/>
      <right style="double"/>
      <top style="medium"/>
      <bottom style="medium"/>
      <diagonal/>
    </border>
    <border diagonalUp="false" diagonalDown="false">
      <left/>
      <right style="thin"/>
      <top style="medium"/>
      <bottom style="medium"/>
      <diagonal/>
    </border>
    <border diagonalUp="false" diagonalDown="false">
      <left style="thin"/>
      <right style="medium"/>
      <top style="medium"/>
      <bottom style="medium"/>
      <diagonal/>
    </border>
    <border diagonalUp="false" diagonalDown="false">
      <left/>
      <right/>
      <top style="thin"/>
      <bottom style="thin"/>
      <diagonal/>
    </border>
    <border diagonalUp="false" diagonalDown="false">
      <left/>
      <right/>
      <top/>
      <bottom style="thin"/>
      <diagonal/>
    </border>
    <border diagonalUp="false" diagonalDown="false">
      <left/>
      <right style="medium"/>
      <top/>
      <bottom style="thin"/>
      <diagonal/>
    </border>
    <border diagonalUp="false" diagonalDown="false">
      <left style="medium"/>
      <right style="medium"/>
      <top/>
      <bottom/>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style="thin"/>
      <diagonal/>
    </border>
    <border diagonalUp="false" diagonalDown="false">
      <left style="medium"/>
      <right style="double"/>
      <top style="medium"/>
      <bottom style="thin"/>
      <diagonal/>
    </border>
    <border diagonalUp="false" diagonalDown="false">
      <left/>
      <right style="medium"/>
      <top style="medium"/>
      <bottom style="thin"/>
      <diagonal/>
    </border>
    <border diagonalUp="false" diagonalDown="false">
      <left style="medium"/>
      <right style="thin"/>
      <top/>
      <bottom/>
      <diagonal/>
    </border>
    <border diagonalUp="false" diagonalDown="false">
      <left style="thin"/>
      <right style="thin"/>
      <top/>
      <bottom/>
      <diagonal/>
    </border>
    <border diagonalUp="false" diagonalDown="false">
      <left style="thin"/>
      <right style="medium"/>
      <top/>
      <bottom/>
      <diagonal/>
    </border>
    <border diagonalUp="false" diagonalDown="false">
      <left style="medium"/>
      <right style="double"/>
      <top/>
      <bottom/>
      <diagonal/>
    </border>
    <border diagonalUp="false" diagonalDown="false">
      <left/>
      <right style="thin"/>
      <top/>
      <bottom/>
      <diagonal/>
    </border>
    <border diagonalUp="false" diagonalDown="false">
      <left style="medium"/>
      <right style="medium"/>
      <top style="thin"/>
      <bottom/>
      <diagonal/>
    </border>
    <border diagonalUp="false" diagonalDown="false">
      <left style="thin"/>
      <right/>
      <top/>
      <bottom/>
      <diagonal/>
    </border>
    <border diagonalUp="false" diagonalDown="false">
      <left style="medium"/>
      <right style="medium"/>
      <top style="thin"/>
      <bottom style="medium"/>
      <diagonal/>
    </border>
    <border diagonalUp="false" diagonalDown="false">
      <left style="medium"/>
      <right style="double"/>
      <top style="thin"/>
      <bottom style="medium"/>
      <diagonal/>
    </border>
    <border diagonalUp="false" diagonalDown="false">
      <left/>
      <right style="medium"/>
      <top style="thin"/>
      <bottom style="medium"/>
      <diagonal/>
    </border>
    <border diagonalUp="false" diagonalDown="false">
      <left style="medium"/>
      <right/>
      <top style="medium"/>
      <bottom style="thin"/>
      <diagonal/>
    </border>
    <border diagonalUp="false" diagonalDown="false">
      <left style="medium"/>
      <right style="double"/>
      <top/>
      <bottom style="thin"/>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right style="thin"/>
      <top style="thin"/>
      <bottom/>
      <diagonal/>
    </border>
    <border diagonalUp="false" diagonalDown="false">
      <left style="thin"/>
      <right/>
      <top style="thin"/>
      <bottom/>
      <diagonal/>
    </border>
    <border diagonalUp="false" diagonalDown="false">
      <left/>
      <right style="medium"/>
      <top style="thin"/>
      <bottom/>
      <diagonal/>
    </border>
    <border diagonalUp="false" diagonalDown="false">
      <left style="medium"/>
      <right style="thin"/>
      <top style="thin"/>
      <bottom style="medium"/>
      <diagonal/>
    </border>
    <border diagonalUp="true" diagonalDown="false">
      <left style="thin"/>
      <right style="thin"/>
      <top style="thin"/>
      <bottom style="medium"/>
      <diagonal style="thin"/>
    </border>
    <border diagonalUp="false" diagonalDown="false">
      <left style="thin"/>
      <right/>
      <top style="thin"/>
      <bottom style="medium"/>
      <diagonal/>
    </border>
    <border diagonalUp="false" diagonalDown="false">
      <left/>
      <right style="thin"/>
      <top style="thin"/>
      <bottom style="medium"/>
      <diagonal/>
    </border>
    <border diagonalUp="true" diagonalDown="false">
      <left style="thin"/>
      <right style="medium"/>
      <top style="thin"/>
      <bottom style="medium"/>
      <diagonal style="thin"/>
    </border>
    <border diagonalUp="false" diagonalDown="false">
      <left/>
      <right style="thin"/>
      <top/>
      <bottom style="medium"/>
      <diagonal/>
    </border>
    <border diagonalUp="false" diagonalDown="false">
      <left style="thin"/>
      <right/>
      <top style="medium"/>
      <bottom style="thin"/>
      <diagonal/>
    </border>
    <border diagonalUp="false" diagonalDown="false">
      <left style="thin"/>
      <right style="medium"/>
      <top style="thin"/>
      <bottom style="medium"/>
      <diagonal/>
    </border>
    <border diagonalUp="false" diagonalDown="false">
      <left style="thin"/>
      <right/>
      <top/>
      <bottom style="medium"/>
      <diagonal/>
    </border>
    <border diagonalUp="true" diagonalDown="false">
      <left style="thin"/>
      <right style="thin"/>
      <top/>
      <bottom style="medium"/>
      <diagonal style="thin"/>
    </border>
    <border diagonalUp="true" diagonalDown="false">
      <left style="thin"/>
      <right style="medium"/>
      <top/>
      <bottom style="medium"/>
      <diagonal style="thin"/>
    </border>
    <border diagonalUp="false" diagonalDown="false">
      <left style="thin"/>
      <right style="thin"/>
      <top style="thin"/>
      <bottom style="medium"/>
      <diagonal/>
    </border>
    <border diagonalUp="false" diagonalDown="false">
      <left style="thin"/>
      <right style="thin"/>
      <top/>
      <bottom style="medium"/>
      <diagonal/>
    </border>
    <border diagonalUp="false" diagonalDown="false">
      <left style="medium"/>
      <right style="thin"/>
      <top/>
      <bottom style="hair"/>
      <diagonal/>
    </border>
    <border diagonalUp="false" diagonalDown="false">
      <left style="thin"/>
      <right style="thin"/>
      <top/>
      <bottom style="hair"/>
      <diagonal/>
    </border>
    <border diagonalUp="false" diagonalDown="false">
      <left style="thin"/>
      <right style="medium"/>
      <top/>
      <bottom style="hair"/>
      <diagonal/>
    </border>
    <border diagonalUp="false" diagonalDown="false">
      <left style="medium"/>
      <right style="thin"/>
      <top style="thin"/>
      <botto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dashed"/>
      <right/>
      <top style="dashed"/>
      <bottom style="thin"/>
      <diagonal/>
    </border>
    <border diagonalUp="false" diagonalDown="false">
      <left/>
      <right/>
      <top style="dashed"/>
      <bottom style="thin"/>
      <diagonal/>
    </border>
    <border diagonalUp="false" diagonalDown="false">
      <left/>
      <right style="thin"/>
      <top style="dashed"/>
      <bottom style="thin"/>
      <diagonal/>
    </border>
    <border diagonalUp="false" diagonalDown="false">
      <left style="thin"/>
      <right style="thin"/>
      <top style="dashed"/>
      <bottom style="thin"/>
      <diagonal/>
    </border>
    <border diagonalUp="false" diagonalDown="false">
      <left style="medium"/>
      <right/>
      <top style="medium"/>
      <bottom style="double"/>
      <diagonal/>
    </border>
    <border diagonalUp="false" diagonalDown="false">
      <left style="double"/>
      <right style="double"/>
      <top style="medium"/>
      <bottom style="thin"/>
      <diagonal/>
    </border>
    <border diagonalUp="false" diagonalDown="false">
      <left style="double"/>
      <right style="double"/>
      <top style="medium"/>
      <bottom/>
      <diagonal/>
    </border>
    <border diagonalUp="false" diagonalDown="false">
      <left style="double"/>
      <right style="medium"/>
      <top style="medium"/>
      <bottom/>
      <diagonal/>
    </border>
    <border diagonalUp="false" diagonalDown="false">
      <left style="double"/>
      <right style="thin"/>
      <top style="thin"/>
      <bottom style="double"/>
      <diagonal/>
    </border>
    <border diagonalUp="false" diagonalDown="false">
      <left/>
      <right style="thin"/>
      <top style="thin"/>
      <bottom style="double"/>
      <diagonal/>
    </border>
    <border diagonalUp="false" diagonalDown="false">
      <left style="thin"/>
      <right style="double"/>
      <top style="thin"/>
      <bottom style="double"/>
      <diagonal/>
    </border>
    <border diagonalUp="false" diagonalDown="false">
      <left style="thin"/>
      <right style="thin"/>
      <top style="thin"/>
      <bottom style="double"/>
      <diagonal/>
    </border>
    <border diagonalUp="false" diagonalDown="false">
      <left style="thin"/>
      <right style="medium"/>
      <top style="thin"/>
      <bottom style="double"/>
      <diagonal/>
    </border>
    <border diagonalUp="false" diagonalDown="false">
      <left style="medium"/>
      <right/>
      <top style="double"/>
      <bottom style="double"/>
      <diagonal/>
    </border>
    <border diagonalUp="false" diagonalDown="false">
      <left style="double"/>
      <right/>
      <top style="double"/>
      <bottom style="double"/>
      <diagonal/>
    </border>
    <border diagonalUp="false" diagonalDown="false">
      <left style="thin"/>
      <right style="thin"/>
      <top style="double"/>
      <bottom style="double"/>
      <diagonal/>
    </border>
    <border diagonalUp="false" diagonalDown="false">
      <left style="thin"/>
      <right style="double"/>
      <top style="double"/>
      <bottom style="double"/>
      <diagonal/>
    </border>
    <border diagonalUp="false" diagonalDown="false">
      <left style="double"/>
      <right style="thin"/>
      <top style="double"/>
      <bottom style="double"/>
      <diagonal/>
    </border>
    <border diagonalUp="false" diagonalDown="false">
      <left/>
      <right style="thin"/>
      <top style="double"/>
      <bottom style="double"/>
      <diagonal/>
    </border>
    <border diagonalUp="false" diagonalDown="false">
      <left style="thin"/>
      <right style="medium"/>
      <top style="double"/>
      <bottom style="double"/>
      <diagonal/>
    </border>
    <border diagonalUp="false" diagonalDown="false">
      <left style="medium"/>
      <right style="thin"/>
      <top style="double"/>
      <bottom style="double"/>
      <diagonal/>
    </border>
    <border diagonalUp="false" diagonalDown="false">
      <left style="double"/>
      <right style="thin"/>
      <top style="double"/>
      <bottom style="thin"/>
      <diagonal/>
    </border>
    <border diagonalUp="false" diagonalDown="false">
      <left/>
      <right style="thin"/>
      <top style="double"/>
      <bottom style="thin"/>
      <diagonal/>
    </border>
    <border diagonalUp="false" diagonalDown="false">
      <left style="thin"/>
      <right style="double"/>
      <top/>
      <bottom style="thin"/>
      <diagonal/>
    </border>
    <border diagonalUp="false" diagonalDown="false">
      <left style="double"/>
      <right/>
      <top/>
      <bottom style="thin"/>
      <diagonal/>
    </border>
    <border diagonalUp="false" diagonalDown="false">
      <left style="thin"/>
      <right style="thin"/>
      <top style="double"/>
      <bottom style="thin"/>
      <diagonal/>
    </border>
    <border diagonalUp="false" diagonalDown="false">
      <left style="double"/>
      <right/>
      <top style="double"/>
      <bottom style="thin"/>
      <diagonal/>
    </border>
    <border diagonalUp="false" diagonalDown="false">
      <left style="thin"/>
      <right style="double"/>
      <top style="double"/>
      <bottom style="thin"/>
      <diagonal/>
    </border>
    <border diagonalUp="false" diagonalDown="false">
      <left style="double"/>
      <right style="thin"/>
      <top style="thin"/>
      <bottom style="thin"/>
      <diagonal/>
    </border>
    <border diagonalUp="false" diagonalDown="false">
      <left style="thin"/>
      <right style="double"/>
      <top style="thin"/>
      <bottom style="thin"/>
      <diagonal/>
    </border>
    <border diagonalUp="false" diagonalDown="false">
      <left style="double"/>
      <right/>
      <top style="thin"/>
      <bottom style="thin"/>
      <diagonal/>
    </border>
    <border diagonalUp="false" diagonalDown="false">
      <left style="thin"/>
      <right style="double"/>
      <top/>
      <bottom/>
      <diagonal/>
    </border>
    <border diagonalUp="false" diagonalDown="false">
      <left style="double"/>
      <right style="thin"/>
      <top style="thin"/>
      <bottom/>
      <diagonal/>
    </border>
    <border diagonalUp="false" diagonalDown="false">
      <left style="double"/>
      <right/>
      <top style="thin"/>
      <bottom/>
      <diagonal/>
    </border>
    <border diagonalUp="false" diagonalDown="false">
      <left style="thin"/>
      <right style="double"/>
      <top style="thin"/>
      <bottom/>
      <diagonal/>
    </border>
    <border diagonalUp="false" diagonalDown="false">
      <left style="double"/>
      <right/>
      <top style="thin"/>
      <bottom style="double"/>
      <diagonal/>
    </border>
    <border diagonalUp="false" diagonalDown="false">
      <left style="double"/>
      <right/>
      <top style="double"/>
      <bottom/>
      <diagonal/>
    </border>
    <border diagonalUp="false" diagonalDown="false">
      <left style="thin"/>
      <right style="thin"/>
      <top style="double"/>
      <bottom/>
      <diagonal/>
    </border>
    <border diagonalUp="false" diagonalDown="false">
      <left style="double"/>
      <right style="thin"/>
      <top/>
      <bottom style="thin"/>
      <diagonal/>
    </border>
    <border diagonalUp="false" diagonalDown="false">
      <left style="double"/>
      <right/>
      <top/>
      <bottom/>
      <diagonal/>
    </border>
    <border diagonalUp="false" diagonalDown="false">
      <left style="double"/>
      <right/>
      <top/>
      <bottom style="double"/>
      <diagonal/>
    </border>
    <border diagonalUp="false" diagonalDown="false">
      <left style="thin"/>
      <right style="thin"/>
      <top/>
      <bottom style="double"/>
      <diagonal/>
    </border>
    <border diagonalUp="false" diagonalDown="false">
      <left style="medium"/>
      <right style="double"/>
      <top style="double"/>
      <bottom style="double"/>
      <diagonal/>
    </border>
    <border diagonalUp="false" diagonalDown="false">
      <left/>
      <right/>
      <top style="double"/>
      <bottom style="double"/>
      <diagonal/>
    </border>
    <border diagonalUp="false" diagonalDown="false">
      <left style="medium"/>
      <right/>
      <top style="thin"/>
      <bottom style="medium"/>
      <diagonal/>
    </border>
    <border diagonalUp="false" diagonalDown="false">
      <left style="double"/>
      <right/>
      <top style="thin"/>
      <bottom style="medium"/>
      <diagonal/>
    </border>
    <border diagonalUp="false" diagonalDown="false">
      <left style="thin"/>
      <right style="double"/>
      <top style="thin"/>
      <bottom style="medium"/>
      <diagonal/>
    </border>
    <border diagonalUp="false" diagonalDown="false">
      <left style="double"/>
      <right style="thin"/>
      <top style="thin"/>
      <bottom style="medium"/>
      <diagonal/>
    </border>
    <border diagonalUp="false" diagonalDown="false">
      <left/>
      <right/>
      <top style="thin"/>
      <bottom style="medium"/>
      <diagonal/>
    </border>
    <border diagonalUp="false" diagonalDown="false">
      <left/>
      <right/>
      <top style="double"/>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7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true">
      <alignment horizontal="general" vertical="bottom" textRotation="0" wrapText="false" indent="0" shrinkToFit="false"/>
      <protection locked="false" hidden="false"/>
    </xf>
    <xf numFmtId="164" fontId="0" fillId="0" borderId="0" xfId="0" applyFont="false" applyBorder="false" applyAlignment="false" applyProtection="true">
      <alignment horizontal="general" vertical="bottom" textRotation="0" wrapText="false" indent="0" shrinkToFit="false"/>
      <protection locked="false" hidden="false"/>
    </xf>
    <xf numFmtId="164" fontId="5" fillId="0" borderId="0" xfId="0" applyFont="true" applyBorder="false" applyAlignment="false" applyProtection="true">
      <alignment horizontal="general" vertical="bottom" textRotation="0" wrapText="false" indent="0" shrinkToFit="false"/>
      <protection locked="false" hidden="false"/>
    </xf>
    <xf numFmtId="164" fontId="9" fillId="2" borderId="0" xfId="0" applyFont="true" applyBorder="false" applyAlignment="false" applyProtection="true">
      <alignment horizontal="general" vertical="bottom" textRotation="0" wrapText="false" indent="0" shrinkToFit="false"/>
      <protection locked="false" hidden="false"/>
    </xf>
    <xf numFmtId="164" fontId="0" fillId="2" borderId="0" xfId="0" applyFont="false" applyBorder="false" applyAlignment="false" applyProtection="true">
      <alignment horizontal="general" vertical="bottom" textRotation="0" wrapText="false" indent="0" shrinkToFit="false"/>
      <protection locked="false" hidden="false"/>
    </xf>
    <xf numFmtId="165" fontId="10" fillId="3" borderId="1" xfId="0" applyFont="true" applyBorder="true" applyAlignment="false" applyProtection="true">
      <alignment horizontal="general" vertical="bottom" textRotation="0" wrapText="false" indent="0" shrinkToFit="false"/>
      <protection locked="false" hidden="false"/>
    </xf>
    <xf numFmtId="164" fontId="11" fillId="3" borderId="1" xfId="0" applyFont="true" applyBorder="true" applyAlignment="false" applyProtection="true">
      <alignment horizontal="general" vertical="bottom" textRotation="0" wrapText="false" indent="0" shrinkToFit="false"/>
      <protection locked="false" hidden="false"/>
    </xf>
    <xf numFmtId="166" fontId="10" fillId="3" borderId="1" xfId="0" applyFont="true" applyBorder="true" applyAlignment="false" applyProtection="true">
      <alignment horizontal="general" vertical="bottom" textRotation="0" wrapText="false" indent="0" shrinkToFit="false"/>
      <protection locked="false" hidden="false"/>
    </xf>
    <xf numFmtId="164" fontId="8" fillId="0" borderId="0" xfId="0" applyFont="true" applyBorder="false" applyAlignment="false" applyProtection="true">
      <alignment horizontal="general" vertical="bottom" textRotation="0" wrapText="false" indent="0" shrinkToFit="false"/>
      <protection locked="fals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2" fillId="4" borderId="1" xfId="0" applyFont="true" applyBorder="true" applyAlignment="true" applyProtection="true">
      <alignment horizontal="center" vertical="bottom" textRotation="0" wrapText="false" indent="0" shrinkToFit="false"/>
      <protection locked="fals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13" fillId="4" borderId="0" xfId="0" applyFont="true" applyBorder="false" applyAlignment="true" applyProtection="false">
      <alignment horizontal="center" vertical="bottom" textRotation="0" wrapText="false" indent="0" shrinkToFit="false"/>
      <protection locked="true" hidden="false"/>
    </xf>
    <xf numFmtId="164" fontId="12" fillId="4" borderId="0" xfId="0" applyFont="true" applyBorder="fals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true" applyProtection="false">
      <alignment horizontal="general" vertical="center" textRotation="0" wrapText="tru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8" fontId="15" fillId="0" borderId="0" xfId="0" applyFont="true" applyBorder="false" applyAlignment="true" applyProtection="true">
      <alignment horizontal="general" vertical="center" textRotation="0" wrapText="false" indent="0" shrinkToFit="false"/>
      <protection locked="false" hidden="false"/>
    </xf>
    <xf numFmtId="168" fontId="16" fillId="0" borderId="2" xfId="0" applyFont="true" applyBorder="true" applyAlignment="true" applyProtection="true">
      <alignment horizontal="distributed" vertical="bottom" textRotation="0" wrapText="false" indent="0" shrinkToFit="false"/>
      <protection locked="false" hidden="false"/>
    </xf>
    <xf numFmtId="168" fontId="17" fillId="0" borderId="0" xfId="0" applyFont="true" applyBorder="false" applyAlignment="true" applyProtection="true">
      <alignment horizontal="center" vertical="center" textRotation="0" wrapText="false" indent="0" shrinkToFit="false"/>
      <protection locked="false" hidden="false"/>
    </xf>
    <xf numFmtId="168" fontId="15" fillId="0" borderId="0" xfId="0" applyFont="true" applyBorder="false" applyAlignment="true" applyProtection="true">
      <alignment horizontal="center" vertical="center" textRotation="0" wrapText="false" indent="0" shrinkToFit="false"/>
      <protection locked="false" hidden="false"/>
    </xf>
    <xf numFmtId="168" fontId="15" fillId="0" borderId="3" xfId="0" applyFont="true" applyBorder="true" applyAlignment="true" applyProtection="true">
      <alignment horizontal="general" vertical="center" textRotation="0" wrapText="false" indent="0" shrinkToFit="false"/>
      <protection locked="false" hidden="false"/>
    </xf>
    <xf numFmtId="164" fontId="0" fillId="0" borderId="4" xfId="0" applyFont="false" applyBorder="true" applyAlignment="true" applyProtection="true">
      <alignment horizontal="general" vertical="bottom" textRotation="0" wrapText="false" indent="0" shrinkToFit="false"/>
      <protection locked="false" hidden="false"/>
    </xf>
    <xf numFmtId="168" fontId="18" fillId="0" borderId="5" xfId="0" applyFont="true" applyBorder="true" applyAlignment="true" applyProtection="true">
      <alignment horizontal="distributed" vertical="bottom" textRotation="0" wrapText="false" indent="0" shrinkToFit="false"/>
      <protection locked="false" hidden="false"/>
    </xf>
    <xf numFmtId="168" fontId="15" fillId="0" borderId="4" xfId="0" applyFont="true" applyBorder="true" applyAlignment="true" applyProtection="true">
      <alignment horizontal="center" vertical="center" textRotation="0" wrapText="false" indent="0" shrinkToFit="false"/>
      <protection locked="false" hidden="false"/>
    </xf>
    <xf numFmtId="168" fontId="15" fillId="0" borderId="6" xfId="0" applyFont="true" applyBorder="true" applyAlignment="true" applyProtection="true">
      <alignment horizontal="general" vertical="center" textRotation="0" wrapText="false" indent="0" shrinkToFit="false"/>
      <protection locked="false" hidden="false"/>
    </xf>
    <xf numFmtId="168" fontId="15" fillId="0" borderId="7" xfId="0" applyFont="true" applyBorder="true" applyAlignment="true" applyProtection="true">
      <alignment horizontal="general" vertical="center" textRotation="0" wrapText="false" indent="0" shrinkToFit="false"/>
      <protection locked="false" hidden="false"/>
    </xf>
    <xf numFmtId="164" fontId="0" fillId="0" borderId="0" xfId="0" applyFont="false" applyBorder="false" applyAlignment="true" applyProtection="true">
      <alignment horizontal="general" vertical="bottom" textRotation="0" wrapText="false" indent="0" shrinkToFit="false"/>
      <protection locked="false" hidden="false"/>
    </xf>
    <xf numFmtId="168" fontId="15" fillId="0" borderId="0" xfId="0" applyFont="true" applyBorder="false" applyAlignment="true" applyProtection="true">
      <alignment horizontal="distributed" vertical="bottom" textRotation="0" wrapText="false" indent="0" shrinkToFit="false"/>
      <protection locked="false" hidden="false"/>
    </xf>
    <xf numFmtId="168" fontId="19" fillId="0" borderId="8" xfId="0" applyFont="true" applyBorder="true" applyAlignment="true" applyProtection="false">
      <alignment horizontal="distributed" vertical="bottom" textRotation="0" wrapText="false" indent="0" shrinkToFit="false"/>
      <protection locked="true" hidden="false"/>
    </xf>
    <xf numFmtId="168" fontId="15" fillId="0" borderId="9" xfId="0" applyFont="true" applyBorder="true" applyAlignment="true" applyProtection="true">
      <alignment horizontal="general" vertical="center" textRotation="0" wrapText="false" indent="0" shrinkToFit="false"/>
      <protection locked="false" hidden="false"/>
    </xf>
    <xf numFmtId="164" fontId="0" fillId="0" borderId="10" xfId="0" applyFont="false" applyBorder="true" applyAlignment="true" applyProtection="true">
      <alignment horizontal="general" vertical="bottom" textRotation="0" wrapText="false" indent="0" shrinkToFit="false"/>
      <protection locked="false" hidden="false"/>
    </xf>
    <xf numFmtId="168" fontId="15" fillId="0" borderId="9" xfId="0" applyFont="true" applyBorder="true" applyAlignment="true" applyProtection="true">
      <alignment horizontal="center" vertical="center" textRotation="0" wrapText="false" indent="0" shrinkToFit="false"/>
      <protection locked="false" hidden="false"/>
    </xf>
    <xf numFmtId="168" fontId="20" fillId="0" borderId="11" xfId="0" applyFont="true" applyBorder="true" applyAlignment="true" applyProtection="true">
      <alignment horizontal="center" vertical="center" textRotation="0" wrapText="false" indent="0" shrinkToFit="false"/>
      <protection locked="false" hidden="false"/>
    </xf>
    <xf numFmtId="168" fontId="20" fillId="0" borderId="12" xfId="0" applyFont="true" applyBorder="true" applyAlignment="true" applyProtection="true">
      <alignment horizontal="center" vertical="center" textRotation="0" wrapText="false" indent="0" shrinkToFit="false"/>
      <protection locked="false" hidden="false"/>
    </xf>
    <xf numFmtId="168" fontId="20" fillId="0" borderId="13" xfId="0" applyFont="true" applyBorder="true" applyAlignment="true" applyProtection="true">
      <alignment horizontal="center" vertical="center" textRotation="0" wrapText="false" indent="0" shrinkToFit="false"/>
      <protection locked="false" hidden="false"/>
    </xf>
    <xf numFmtId="168" fontId="20" fillId="0" borderId="14" xfId="0" applyFont="true" applyBorder="true" applyAlignment="true" applyProtection="true">
      <alignment horizontal="distributed" vertical="center" textRotation="0" wrapText="false" indent="0" shrinkToFit="false"/>
      <protection locked="false" hidden="false"/>
    </xf>
    <xf numFmtId="168" fontId="20" fillId="0" borderId="15" xfId="0" applyFont="true" applyBorder="true" applyAlignment="true" applyProtection="true">
      <alignment horizontal="distributed" vertical="center" textRotation="0" wrapText="false" indent="0" shrinkToFit="false"/>
      <protection locked="false" hidden="false"/>
    </xf>
    <xf numFmtId="168" fontId="20" fillId="0" borderId="16" xfId="0" applyFont="true" applyBorder="true" applyAlignment="true" applyProtection="true">
      <alignment horizontal="distributed" vertical="center" textRotation="0" wrapText="false" indent="0" shrinkToFit="false"/>
      <protection locked="false" hidden="false"/>
    </xf>
    <xf numFmtId="168" fontId="20" fillId="0" borderId="17" xfId="0" applyFont="true" applyBorder="true" applyAlignment="true" applyProtection="true">
      <alignment horizontal="distributed" vertical="center" textRotation="0" wrapText="false" indent="0" shrinkToFit="false"/>
      <protection locked="false" hidden="false"/>
    </xf>
    <xf numFmtId="168" fontId="20" fillId="0" borderId="18" xfId="0" applyFont="true" applyBorder="true" applyAlignment="true" applyProtection="true">
      <alignment horizontal="distributed" vertical="center" textRotation="0" wrapText="false" indent="0" shrinkToFit="false"/>
      <protection locked="false" hidden="false"/>
    </xf>
    <xf numFmtId="168" fontId="21" fillId="0" borderId="11" xfId="0" applyFont="true" applyBorder="true" applyAlignment="true" applyProtection="true">
      <alignment horizontal="right" vertical="center" textRotation="0" wrapText="false" indent="0" shrinkToFit="false"/>
      <protection locked="false" hidden="false"/>
    </xf>
    <xf numFmtId="168" fontId="21" fillId="0" borderId="19" xfId="0" applyFont="true" applyBorder="true" applyAlignment="true" applyProtection="true">
      <alignment horizontal="right" vertical="center" textRotation="0" wrapText="false" indent="0" shrinkToFit="false"/>
      <protection locked="false" hidden="false"/>
    </xf>
    <xf numFmtId="168" fontId="21" fillId="0" borderId="20" xfId="0" applyFont="true" applyBorder="true" applyAlignment="true" applyProtection="true">
      <alignment horizontal="right" vertical="center" textRotation="0" wrapText="false" indent="0" shrinkToFit="false"/>
      <protection locked="false" hidden="false"/>
    </xf>
    <xf numFmtId="168" fontId="22" fillId="0" borderId="21" xfId="0" applyFont="true" applyBorder="true" applyAlignment="true" applyProtection="true">
      <alignment horizontal="center" vertical="center" textRotation="0" wrapText="false" indent="0" shrinkToFit="false"/>
      <protection locked="false" hidden="false"/>
    </xf>
    <xf numFmtId="168" fontId="21" fillId="0" borderId="22" xfId="0" applyFont="true" applyBorder="true" applyAlignment="true" applyProtection="true">
      <alignment horizontal="right" vertical="center" textRotation="0" wrapText="false" indent="0" shrinkToFit="false"/>
      <protection locked="false" hidden="false"/>
    </xf>
    <xf numFmtId="168" fontId="23" fillId="0" borderId="23" xfId="0" applyFont="true" applyBorder="true" applyAlignment="true" applyProtection="false">
      <alignment horizontal="general" vertical="center" textRotation="0" wrapText="false" indent="0" shrinkToFit="false"/>
      <protection locked="true" hidden="false"/>
    </xf>
    <xf numFmtId="168" fontId="24" fillId="0" borderId="24" xfId="0" applyFont="true" applyBorder="true" applyAlignment="true" applyProtection="true">
      <alignment horizontal="general" vertical="center" textRotation="0" wrapText="false" indent="0" shrinkToFit="false"/>
      <protection locked="false" hidden="false"/>
    </xf>
    <xf numFmtId="169" fontId="24" fillId="0" borderId="25" xfId="0" applyFont="true" applyBorder="true" applyAlignment="true" applyProtection="false">
      <alignment horizontal="general" vertical="center" textRotation="0" wrapText="false" indent="0" shrinkToFit="false"/>
      <protection locked="true" hidden="false"/>
    </xf>
    <xf numFmtId="168" fontId="20" fillId="0" borderId="26" xfId="0" applyFont="true" applyBorder="true" applyAlignment="true" applyProtection="true">
      <alignment horizontal="distributed" vertical="center" textRotation="0" wrapText="false" indent="0" shrinkToFit="false"/>
      <protection locked="false" hidden="false"/>
    </xf>
    <xf numFmtId="168" fontId="25" fillId="0" borderId="27" xfId="0" applyFont="true" applyBorder="true" applyAlignment="true" applyProtection="true">
      <alignment horizontal="general" vertical="center" textRotation="0" wrapText="false" indent="0" shrinkToFit="false"/>
      <protection locked="false" hidden="false"/>
    </xf>
    <xf numFmtId="168" fontId="25" fillId="0" borderId="24" xfId="0" applyFont="true" applyBorder="true" applyAlignment="true" applyProtection="true">
      <alignment horizontal="general" vertical="center" textRotation="0" wrapText="false" indent="0" shrinkToFit="false"/>
      <protection locked="false" hidden="false"/>
    </xf>
    <xf numFmtId="168" fontId="24" fillId="0" borderId="28" xfId="0" applyFont="true" applyBorder="true" applyAlignment="true" applyProtection="true">
      <alignment horizontal="general" vertical="center" textRotation="0" wrapText="false" indent="0" shrinkToFit="false"/>
      <protection locked="false" hidden="false"/>
    </xf>
    <xf numFmtId="169" fontId="24" fillId="0" borderId="15" xfId="0" applyFont="true" applyBorder="true" applyAlignment="true" applyProtection="false">
      <alignment horizontal="general" vertical="center" textRotation="0" wrapText="false" indent="0" shrinkToFit="false"/>
      <protection locked="true" hidden="false"/>
    </xf>
    <xf numFmtId="169" fontId="24" fillId="0" borderId="16" xfId="0" applyFont="true" applyBorder="true" applyAlignment="true" applyProtection="false">
      <alignment horizontal="general" vertical="center" textRotation="0" wrapText="false" indent="0" shrinkToFit="false"/>
      <protection locked="true" hidden="false"/>
    </xf>
    <xf numFmtId="168" fontId="20" fillId="0" borderId="12" xfId="0" applyFont="true" applyBorder="true" applyAlignment="true" applyProtection="true">
      <alignment horizontal="distributed" vertical="center" textRotation="0" wrapText="false" indent="0" shrinkToFit="false"/>
      <protection locked="false" hidden="false"/>
    </xf>
    <xf numFmtId="168" fontId="25" fillId="0" borderId="17" xfId="0" applyFont="true" applyBorder="true" applyAlignment="true" applyProtection="true">
      <alignment horizontal="general" vertical="center" textRotation="0" wrapText="false" indent="0" shrinkToFit="false"/>
      <protection locked="false" hidden="false"/>
    </xf>
    <xf numFmtId="168" fontId="25" fillId="0" borderId="15" xfId="0" applyFont="true" applyBorder="true" applyAlignment="true" applyProtection="true">
      <alignment horizontal="general" vertical="center" textRotation="0" wrapText="false" indent="0" shrinkToFit="false"/>
      <protection locked="false" hidden="false"/>
    </xf>
    <xf numFmtId="168" fontId="24" fillId="0" borderId="18" xfId="0" applyFont="true" applyBorder="true" applyAlignment="true" applyProtection="true">
      <alignment horizontal="general" vertical="center" textRotation="0" wrapText="false" indent="0" shrinkToFit="false"/>
      <protection locked="false" hidden="false"/>
    </xf>
    <xf numFmtId="168" fontId="24" fillId="0" borderId="15" xfId="0" applyFont="true" applyBorder="true" applyAlignment="true" applyProtection="true">
      <alignment horizontal="general" vertical="center" textRotation="0" wrapText="false" indent="0" shrinkToFit="false"/>
      <protection locked="false" hidden="false"/>
    </xf>
    <xf numFmtId="168" fontId="24" fillId="0" borderId="17" xfId="0" applyFont="true" applyBorder="true" applyAlignment="true" applyProtection="true">
      <alignment horizontal="general" vertical="center" textRotation="0" wrapText="false" indent="0" shrinkToFit="false"/>
      <protection locked="false" hidden="false"/>
    </xf>
    <xf numFmtId="168" fontId="23" fillId="0" borderId="18" xfId="0" applyFont="true" applyBorder="true" applyAlignment="true" applyProtection="true">
      <alignment horizontal="general" vertical="center" textRotation="0" wrapText="false" indent="0" shrinkToFit="false"/>
      <protection locked="false" hidden="false"/>
    </xf>
    <xf numFmtId="168" fontId="24" fillId="0" borderId="14" xfId="0" applyFont="true" applyBorder="true" applyAlignment="true" applyProtection="true">
      <alignment horizontal="general" vertical="center" textRotation="0" wrapText="false" indent="0" shrinkToFit="false"/>
      <protection locked="false" hidden="false"/>
    </xf>
    <xf numFmtId="168" fontId="24" fillId="0" borderId="16" xfId="0" applyFont="true" applyBorder="true" applyAlignment="true" applyProtection="true">
      <alignment horizontal="general" vertical="center" textRotation="0" wrapText="false" indent="0" shrinkToFit="false"/>
      <protection locked="false" hidden="false"/>
    </xf>
    <xf numFmtId="169" fontId="24" fillId="0" borderId="17" xfId="0" applyFont="true" applyBorder="true" applyAlignment="true" applyProtection="false">
      <alignment horizontal="general" vertical="center" textRotation="0" wrapText="false" indent="0" shrinkToFit="false"/>
      <protection locked="true" hidden="false"/>
    </xf>
    <xf numFmtId="168" fontId="23" fillId="0" borderId="18" xfId="0" applyFont="true" applyBorder="true" applyAlignment="true" applyProtection="false">
      <alignment horizontal="general" vertical="center" textRotation="0" wrapText="false" indent="0" shrinkToFit="false"/>
      <protection locked="true" hidden="false"/>
    </xf>
    <xf numFmtId="168" fontId="23" fillId="0" borderId="15" xfId="0" applyFont="true" applyBorder="true" applyAlignment="true" applyProtection="false">
      <alignment horizontal="general" vertical="center" textRotation="0" wrapText="false" indent="0" shrinkToFit="false"/>
      <protection locked="true" hidden="false"/>
    </xf>
    <xf numFmtId="168" fontId="21" fillId="0" borderId="12" xfId="0" applyFont="true" applyBorder="true" applyAlignment="true" applyProtection="true">
      <alignment horizontal="distributed" vertical="center" textRotation="0" wrapText="false" indent="0" shrinkToFit="false"/>
      <protection locked="false" hidden="false"/>
    </xf>
    <xf numFmtId="168" fontId="23" fillId="0" borderId="29" xfId="0" applyFont="true" applyBorder="true" applyAlignment="true" applyProtection="false">
      <alignment horizontal="general" vertical="center" textRotation="0" wrapText="false" indent="0" shrinkToFit="false"/>
      <protection locked="true" hidden="false"/>
    </xf>
    <xf numFmtId="168" fontId="23" fillId="0" borderId="30" xfId="0" applyFont="true" applyBorder="true" applyAlignment="true" applyProtection="false">
      <alignment horizontal="general" vertical="center" textRotation="0" wrapText="false" indent="0" shrinkToFit="false"/>
      <protection locked="true" hidden="false"/>
    </xf>
    <xf numFmtId="168" fontId="23" fillId="0" borderId="31" xfId="0" applyFont="true" applyBorder="true" applyAlignment="true" applyProtection="false">
      <alignment horizontal="general" vertical="center" textRotation="0" wrapText="false" indent="0" shrinkToFit="false"/>
      <protection locked="true" hidden="false"/>
    </xf>
    <xf numFmtId="168" fontId="20" fillId="0" borderId="32" xfId="0" applyFont="true" applyBorder="true" applyAlignment="true" applyProtection="true">
      <alignment horizontal="center" vertical="center" textRotation="0" wrapText="false" indent="0" shrinkToFit="false"/>
      <protection locked="false" hidden="false"/>
    </xf>
    <xf numFmtId="168" fontId="23" fillId="0" borderId="33" xfId="0" applyFont="true" applyBorder="true" applyAlignment="true" applyProtection="false">
      <alignment horizontal="general" vertical="center" textRotation="0" wrapText="false" indent="0" shrinkToFit="false"/>
      <protection locked="true" hidden="false"/>
    </xf>
    <xf numFmtId="168" fontId="23" fillId="0" borderId="34" xfId="0" applyFont="true" applyBorder="true" applyAlignment="true" applyProtection="false">
      <alignment horizontal="general" vertical="center" textRotation="0" wrapText="false" indent="0" shrinkToFit="false"/>
      <protection locked="true" hidden="false"/>
    </xf>
    <xf numFmtId="168" fontId="23" fillId="0" borderId="14" xfId="0" applyFont="true" applyBorder="true" applyAlignment="true" applyProtection="false">
      <alignment horizontal="general" vertical="center" textRotation="0" wrapText="false" indent="0" shrinkToFit="false"/>
      <protection locked="true" hidden="false"/>
    </xf>
    <xf numFmtId="168" fontId="25" fillId="0" borderId="19" xfId="0" applyFont="true" applyBorder="true" applyAlignment="true" applyProtection="true">
      <alignment horizontal="general" vertical="center" textRotation="0" wrapText="false" indent="0" shrinkToFit="false"/>
      <protection locked="false" hidden="false"/>
    </xf>
    <xf numFmtId="168" fontId="26" fillId="0" borderId="14" xfId="0" applyFont="true" applyBorder="true" applyAlignment="true" applyProtection="false">
      <alignment horizontal="general" vertical="center" textRotation="0" wrapText="false" indent="0" shrinkToFit="false"/>
      <protection locked="true" hidden="false"/>
    </xf>
    <xf numFmtId="168" fontId="26" fillId="0" borderId="15" xfId="0" applyFont="true" applyBorder="true" applyAlignment="true" applyProtection="true">
      <alignment horizontal="general" vertical="center" textRotation="0" wrapText="false" indent="0" shrinkToFit="false"/>
      <protection locked="false" hidden="false"/>
    </xf>
    <xf numFmtId="169" fontId="26" fillId="0" borderId="16" xfId="0" applyFont="true" applyBorder="true" applyAlignment="true" applyProtection="false">
      <alignment horizontal="general" vertical="center" textRotation="0" wrapText="false" indent="0" shrinkToFit="false"/>
      <protection locked="true" hidden="false"/>
    </xf>
    <xf numFmtId="168" fontId="25" fillId="0" borderId="19" xfId="0" applyFont="true" applyBorder="true" applyAlignment="true" applyProtection="true">
      <alignment horizontal="right" vertical="center" textRotation="0" wrapText="false" indent="0" shrinkToFit="false"/>
      <protection locked="false" hidden="false"/>
    </xf>
    <xf numFmtId="168" fontId="25" fillId="0" borderId="15" xfId="0" applyFont="true" applyBorder="true" applyAlignment="true" applyProtection="true">
      <alignment horizontal="right" vertical="center" textRotation="0" wrapText="false" indent="0" shrinkToFit="false"/>
      <protection locked="false" hidden="false"/>
    </xf>
    <xf numFmtId="168" fontId="27" fillId="5" borderId="12" xfId="0" applyFont="true" applyBorder="true" applyAlignment="true" applyProtection="true">
      <alignment horizontal="distributed" vertical="center" textRotation="0" wrapText="false" indent="0" shrinkToFit="false"/>
      <protection locked="false" hidden="false"/>
    </xf>
    <xf numFmtId="168" fontId="24" fillId="0" borderId="15" xfId="0" applyFont="true" applyBorder="true" applyAlignment="true" applyProtection="false">
      <alignment horizontal="general" vertical="center" textRotation="0" wrapText="false" indent="0" shrinkToFit="false"/>
      <protection locked="true" hidden="false"/>
    </xf>
    <xf numFmtId="168" fontId="23" fillId="0" borderId="14" xfId="0" applyFont="true" applyBorder="true" applyAlignment="true" applyProtection="true">
      <alignment horizontal="general" vertical="center" textRotation="0" wrapText="false" indent="0" shrinkToFit="false"/>
      <protection locked="false" hidden="false"/>
    </xf>
    <xf numFmtId="168" fontId="25" fillId="0" borderId="16" xfId="0" applyFont="true" applyBorder="true" applyAlignment="true" applyProtection="true">
      <alignment horizontal="general" vertical="center" textRotation="0" wrapText="false" indent="0" shrinkToFit="false"/>
      <protection locked="false" hidden="false"/>
    </xf>
    <xf numFmtId="168" fontId="25" fillId="0" borderId="35" xfId="0" applyFont="true" applyBorder="true" applyAlignment="true" applyProtection="true">
      <alignment horizontal="general" vertical="center" textRotation="0" wrapText="false" indent="0" shrinkToFit="false"/>
      <protection locked="false" hidden="false"/>
    </xf>
    <xf numFmtId="168" fontId="22" fillId="0" borderId="3" xfId="0" applyFont="true" applyBorder="true" applyAlignment="true" applyProtection="true">
      <alignment horizontal="general" vertical="center" textRotation="0" wrapText="false" indent="0" shrinkToFit="false"/>
      <protection locked="false" hidden="false"/>
    </xf>
    <xf numFmtId="168" fontId="22" fillId="0" borderId="4" xfId="0" applyFont="true" applyBorder="true" applyAlignment="true" applyProtection="true">
      <alignment horizontal="general" vertical="center" textRotation="0" wrapText="false" indent="0" shrinkToFit="false"/>
      <protection locked="false" hidden="false"/>
    </xf>
    <xf numFmtId="168" fontId="22" fillId="0" borderId="0" xfId="0" applyFont="true" applyBorder="false" applyAlignment="true" applyProtection="true">
      <alignment horizontal="general" vertical="center" textRotation="0" wrapText="false" indent="0" shrinkToFit="false"/>
      <protection locked="false" hidden="false"/>
    </xf>
    <xf numFmtId="168" fontId="22" fillId="0" borderId="0" xfId="0" applyFont="true" applyBorder="false" applyAlignment="true" applyProtection="true">
      <alignment horizontal="distributed" vertical="center" textRotation="0" wrapText="false" indent="0" shrinkToFit="false"/>
      <protection locked="false" hidden="false"/>
    </xf>
    <xf numFmtId="168" fontId="22" fillId="0" borderId="9" xfId="0" applyFont="true" applyBorder="true" applyAlignment="true" applyProtection="true">
      <alignment horizontal="general" vertical="center" textRotation="0" wrapText="false" indent="0" shrinkToFit="false"/>
      <protection locked="false" hidden="false"/>
    </xf>
    <xf numFmtId="170" fontId="28" fillId="0" borderId="10" xfId="0" applyFont="true" applyBorder="true" applyAlignment="true" applyProtection="false">
      <alignment horizontal="center" vertical="top" textRotation="0" wrapText="false" indent="0" shrinkToFit="false"/>
      <protection locked="true" hidden="false"/>
    </xf>
    <xf numFmtId="168" fontId="29" fillId="0" borderId="36" xfId="0" applyFont="true" applyBorder="true" applyAlignment="true" applyProtection="true">
      <alignment horizontal="general" vertical="top" textRotation="0" wrapText="false" indent="0" shrinkToFit="false"/>
      <protection locked="false" hidden="false"/>
    </xf>
    <xf numFmtId="168" fontId="28" fillId="0" borderId="36" xfId="0" applyFont="true" applyBorder="true" applyAlignment="true" applyProtection="false">
      <alignment horizontal="left" vertical="top" textRotation="0" wrapText="false" indent="0" shrinkToFit="false"/>
      <protection locked="true" hidden="false"/>
    </xf>
    <xf numFmtId="168" fontId="28" fillId="0" borderId="36" xfId="0" applyFont="true" applyBorder="true" applyAlignment="true" applyProtection="true">
      <alignment horizontal="left" vertical="top" textRotation="0" wrapText="false" indent="0" shrinkToFit="false"/>
      <protection locked="false" hidden="false"/>
    </xf>
    <xf numFmtId="168" fontId="22" fillId="0" borderId="37" xfId="0" applyFont="true" applyBorder="true" applyAlignment="true" applyProtection="true">
      <alignment horizontal="left" vertical="top" textRotation="0" wrapText="false" indent="0" shrinkToFit="false"/>
      <protection locked="false" hidden="false"/>
    </xf>
    <xf numFmtId="168" fontId="15" fillId="0" borderId="0" xfId="0" applyFont="true" applyBorder="false" applyAlignment="true" applyProtection="true">
      <alignment horizontal="general" vertical="top" textRotation="0" wrapText="false" indent="0" shrinkToFit="false"/>
      <protection locked="false" hidden="false"/>
    </xf>
    <xf numFmtId="164" fontId="0" fillId="0" borderId="0" xfId="0" applyFont="false" applyBorder="false" applyAlignment="true" applyProtection="false">
      <alignment horizontal="general" vertical="top" textRotation="0" wrapText="false" indent="0" shrinkToFit="false"/>
      <protection locked="true" hidden="false"/>
    </xf>
    <xf numFmtId="168" fontId="22" fillId="0" borderId="7" xfId="0" applyFont="true" applyBorder="true" applyAlignment="true" applyProtection="true">
      <alignment horizontal="general" vertical="center" textRotation="0" wrapText="false" indent="0" shrinkToFit="false"/>
      <protection locked="false" hidden="false"/>
    </xf>
    <xf numFmtId="168" fontId="20" fillId="0" borderId="38" xfId="0" applyFont="true" applyBorder="true" applyAlignment="true" applyProtection="true">
      <alignment horizontal="left" vertical="center" textRotation="0" wrapText="false" indent="0" shrinkToFit="false"/>
      <protection locked="false" hidden="false"/>
    </xf>
    <xf numFmtId="170" fontId="28" fillId="0" borderId="7" xfId="0" applyFont="true" applyBorder="true" applyAlignment="true" applyProtection="false">
      <alignment horizontal="center" vertical="center" textRotation="0" wrapText="false" indent="0" shrinkToFit="false"/>
      <protection locked="true" hidden="false"/>
    </xf>
    <xf numFmtId="168" fontId="29" fillId="0" borderId="0" xfId="0" applyFont="true" applyBorder="false" applyAlignment="true" applyProtection="true">
      <alignment horizontal="general" vertical="center" textRotation="0" wrapText="false" indent="0" shrinkToFit="false"/>
      <protection locked="false" hidden="false"/>
    </xf>
    <xf numFmtId="168" fontId="29" fillId="0" borderId="9" xfId="0" applyFont="true" applyBorder="true" applyAlignment="true" applyProtection="true">
      <alignment horizontal="general" vertical="center" textRotation="0" wrapText="false" indent="0" shrinkToFit="false"/>
      <protection locked="false" hidden="false"/>
    </xf>
    <xf numFmtId="168" fontId="29" fillId="0" borderId="39" xfId="0" applyFont="true" applyBorder="true" applyAlignment="true" applyProtection="true">
      <alignment horizontal="general" vertical="top" textRotation="0" wrapText="false" indent="0" shrinkToFit="false"/>
      <protection locked="false" hidden="false"/>
    </xf>
    <xf numFmtId="168" fontId="29" fillId="0" borderId="40" xfId="0" applyFont="true" applyBorder="true" applyAlignment="true" applyProtection="true">
      <alignment horizontal="general" vertical="top" textRotation="0" wrapText="false" indent="0" shrinkToFit="false"/>
      <protection locked="false" hidden="false"/>
    </xf>
    <xf numFmtId="168" fontId="28" fillId="0" borderId="41" xfId="0" applyFont="true" applyBorder="true" applyAlignment="true" applyProtection="false">
      <alignment horizontal="left" vertical="top"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true">
      <alignment horizontal="center" vertical="bottom" textRotation="0" wrapText="false" indent="0" shrinkToFit="false"/>
      <protection locked="false" hidden="false"/>
    </xf>
    <xf numFmtId="164" fontId="16" fillId="0" borderId="36" xfId="0" applyFont="true" applyBorder="true" applyAlignment="true" applyProtection="true">
      <alignment horizontal="distributed" vertical="bottom" textRotation="0" wrapText="false" indent="0" shrinkToFit="false"/>
      <protection locked="false" hidden="false"/>
    </xf>
    <xf numFmtId="164" fontId="33" fillId="0" borderId="0" xfId="0" applyFont="true" applyBorder="false" applyAlignment="true" applyProtection="true">
      <alignment horizontal="distributed" vertical="bottom" textRotation="0" wrapText="false" indent="0" shrinkToFit="false"/>
      <protection locked="false" hidden="false"/>
    </xf>
    <xf numFmtId="164" fontId="16" fillId="0" borderId="8" xfId="0" applyFont="true" applyBorder="true" applyAlignment="true" applyProtection="true">
      <alignment horizontal="distributed" vertical="bottom" textRotation="0" wrapText="false" indent="0" shrinkToFit="false"/>
      <protection locked="false" hidden="false"/>
    </xf>
    <xf numFmtId="164" fontId="31" fillId="0" borderId="0" xfId="0" applyFont="true" applyBorder="false" applyAlignment="true" applyProtection="true">
      <alignment horizontal="general" vertical="center" textRotation="0" wrapText="false" indent="0" shrinkToFit="false"/>
      <protection locked="false" hidden="false"/>
    </xf>
    <xf numFmtId="164" fontId="34" fillId="0" borderId="0" xfId="0" applyFont="true" applyBorder="false" applyAlignment="true" applyProtection="true">
      <alignment horizontal="center" vertical="center" textRotation="0" wrapText="false" indent="0" shrinkToFit="false"/>
      <protection locked="false" hidden="false"/>
    </xf>
    <xf numFmtId="164" fontId="35" fillId="0" borderId="40" xfId="0" applyFont="true" applyBorder="true" applyAlignment="true" applyProtection="false">
      <alignment horizontal="right" vertical="center" textRotation="0" wrapText="false" indent="0" shrinkToFit="false"/>
      <protection locked="true" hidden="false"/>
    </xf>
    <xf numFmtId="164" fontId="35" fillId="0" borderId="42" xfId="0" applyFont="true" applyBorder="true" applyAlignment="true" applyProtection="true">
      <alignment horizontal="center" vertical="center" textRotation="0" wrapText="false" indent="0" shrinkToFit="false"/>
      <protection locked="false" hidden="false"/>
    </xf>
    <xf numFmtId="164" fontId="35" fillId="0" borderId="43" xfId="0" applyFont="true" applyBorder="true" applyAlignment="true" applyProtection="true">
      <alignment horizontal="center" vertical="center" textRotation="0" wrapText="false" indent="0" shrinkToFit="false"/>
      <protection locked="false" hidden="false"/>
    </xf>
    <xf numFmtId="164" fontId="35" fillId="0" borderId="44" xfId="0" applyFont="true" applyBorder="true" applyAlignment="true" applyProtection="true">
      <alignment horizontal="center" vertical="center" textRotation="0" wrapText="false" indent="0" shrinkToFit="false"/>
      <protection locked="false" hidden="false"/>
    </xf>
    <xf numFmtId="164" fontId="31" fillId="0" borderId="0" xfId="0" applyFont="true" applyBorder="false" applyAlignment="true" applyProtection="false">
      <alignment horizontal="center" vertical="center" textRotation="0" wrapText="false" indent="0" shrinkToFit="false"/>
      <protection locked="true" hidden="false"/>
    </xf>
    <xf numFmtId="164" fontId="31" fillId="0" borderId="45" xfId="0" applyFont="true" applyBorder="true" applyAlignment="true" applyProtection="true">
      <alignment horizontal="center" vertical="center" textRotation="0" wrapText="false" indent="0" shrinkToFit="false"/>
      <protection locked="false" hidden="false"/>
    </xf>
    <xf numFmtId="164" fontId="35" fillId="0" borderId="46" xfId="0" applyFont="true" applyBorder="true" applyAlignment="true" applyProtection="true">
      <alignment horizontal="right" vertical="center" textRotation="0" wrapText="false" indent="0" shrinkToFit="false"/>
      <protection locked="false" hidden="false"/>
    </xf>
    <xf numFmtId="164" fontId="35" fillId="0" borderId="47" xfId="0" applyFont="true" applyBorder="true" applyAlignment="true" applyProtection="true">
      <alignment horizontal="right" vertical="center" textRotation="0" wrapText="false" indent="0" shrinkToFit="false"/>
      <protection locked="false" hidden="false"/>
    </xf>
    <xf numFmtId="164" fontId="35" fillId="0" borderId="48" xfId="0" applyFont="true" applyBorder="true" applyAlignment="true" applyProtection="true">
      <alignment horizontal="right" vertical="center" textRotation="0" wrapText="false" indent="0" shrinkToFit="false"/>
      <protection locked="false" hidden="false"/>
    </xf>
    <xf numFmtId="164" fontId="31" fillId="0" borderId="49" xfId="0" applyFont="true" applyBorder="true" applyAlignment="true" applyProtection="true">
      <alignment horizontal="center" vertical="center" textRotation="0" wrapText="false" indent="0" shrinkToFit="false"/>
      <protection locked="false" hidden="false"/>
    </xf>
    <xf numFmtId="164" fontId="35" fillId="0" borderId="50" xfId="0" applyFont="true" applyBorder="true" applyAlignment="true" applyProtection="true">
      <alignment horizontal="right" vertical="center" textRotation="0" wrapText="false" indent="0" shrinkToFit="false"/>
      <protection locked="false" hidden="false"/>
    </xf>
    <xf numFmtId="164" fontId="31" fillId="0" borderId="0" xfId="0" applyFont="true" applyBorder="false" applyAlignment="true" applyProtection="true">
      <alignment horizontal="general" vertical="bottom" textRotation="0" wrapText="false" indent="0" shrinkToFit="false"/>
      <protection locked="false" hidden="false"/>
    </xf>
    <xf numFmtId="164" fontId="36" fillId="0" borderId="45" xfId="0" applyFont="true" applyBorder="true" applyAlignment="true" applyProtection="true">
      <alignment horizontal="left" vertical="center" textRotation="0" wrapText="false" indent="0" shrinkToFit="false"/>
      <protection locked="false" hidden="false"/>
    </xf>
    <xf numFmtId="164" fontId="31" fillId="0" borderId="46" xfId="0" applyFont="true" applyBorder="true" applyAlignment="true" applyProtection="true">
      <alignment horizontal="center" vertical="center" textRotation="0" wrapText="false" indent="0" shrinkToFit="false"/>
      <protection locked="false" hidden="false"/>
    </xf>
    <xf numFmtId="164" fontId="31" fillId="0" borderId="47" xfId="0" applyFont="true" applyBorder="true" applyAlignment="true" applyProtection="true">
      <alignment horizontal="center" vertical="center" textRotation="0" wrapText="false" indent="0" shrinkToFit="false"/>
      <protection locked="false" hidden="false"/>
    </xf>
    <xf numFmtId="168" fontId="37" fillId="0" borderId="48" xfId="0" applyFont="true" applyBorder="true" applyAlignment="true" applyProtection="false">
      <alignment horizontal="right" vertical="center" textRotation="0" wrapText="false" indent="0" shrinkToFit="false"/>
      <protection locked="true" hidden="false"/>
    </xf>
    <xf numFmtId="164" fontId="36" fillId="0" borderId="49" xfId="0" applyFont="true" applyBorder="true" applyAlignment="true" applyProtection="true">
      <alignment horizontal="left" vertical="center" textRotation="0" wrapText="false" indent="0" shrinkToFit="false"/>
      <protection locked="false" hidden="false"/>
    </xf>
    <xf numFmtId="168" fontId="31" fillId="0" borderId="46" xfId="0" applyFont="true" applyBorder="true" applyAlignment="true" applyProtection="true">
      <alignment horizontal="general" vertical="center" textRotation="0" wrapText="false" indent="0" shrinkToFit="false"/>
      <protection locked="false" hidden="false"/>
    </xf>
    <xf numFmtId="168" fontId="31" fillId="0" borderId="51" xfId="0" applyFont="true" applyBorder="true" applyAlignment="true" applyProtection="true">
      <alignment horizontal="general" vertical="center" textRotation="0" wrapText="false" indent="0" shrinkToFit="false"/>
      <protection locked="false" hidden="false"/>
    </xf>
    <xf numFmtId="168" fontId="37" fillId="0" borderId="38" xfId="0" applyFont="true" applyBorder="true" applyAlignment="true" applyProtection="false">
      <alignment horizontal="general" vertical="center" textRotation="0" wrapText="false" indent="0" shrinkToFit="false"/>
      <protection locked="true" hidden="false"/>
    </xf>
    <xf numFmtId="164" fontId="35" fillId="0" borderId="45" xfId="0" applyFont="true" applyBorder="true" applyAlignment="true" applyProtection="true">
      <alignment horizontal="left" vertical="center" textRotation="0" wrapText="false" indent="1" shrinkToFit="false"/>
      <protection locked="false" hidden="false"/>
    </xf>
    <xf numFmtId="168" fontId="31" fillId="0" borderId="47" xfId="0" applyFont="true" applyBorder="true" applyAlignment="true" applyProtection="false">
      <alignment horizontal="right" vertical="center" textRotation="0" wrapText="false" indent="0" shrinkToFit="false"/>
      <protection locked="true" hidden="false"/>
    </xf>
    <xf numFmtId="168" fontId="31" fillId="0" borderId="48" xfId="0" applyFont="true" applyBorder="true" applyAlignment="true" applyProtection="true">
      <alignment horizontal="right" vertical="center" textRotation="0" wrapText="false" indent="0" shrinkToFit="false"/>
      <protection locked="false" hidden="false"/>
    </xf>
    <xf numFmtId="164" fontId="35" fillId="0" borderId="49" xfId="0" applyFont="true" applyBorder="true" applyAlignment="true" applyProtection="true">
      <alignment horizontal="left" vertical="center" textRotation="0" wrapText="false" indent="1" shrinkToFit="false"/>
      <protection locked="false" hidden="false"/>
    </xf>
    <xf numFmtId="168" fontId="31" fillId="0" borderId="46" xfId="0" applyFont="true" applyBorder="true" applyAlignment="true" applyProtection="false">
      <alignment horizontal="general" vertical="center" textRotation="0" wrapText="false" indent="0" shrinkToFit="false"/>
      <protection locked="true" hidden="false"/>
    </xf>
    <xf numFmtId="168" fontId="31" fillId="0" borderId="38" xfId="0" applyFont="true" applyBorder="true" applyAlignment="true" applyProtection="true">
      <alignment horizontal="general" vertical="center" textRotation="0" wrapText="false" indent="0" shrinkToFit="false"/>
      <protection locked="false" hidden="false"/>
    </xf>
    <xf numFmtId="168" fontId="31" fillId="0" borderId="48" xfId="0" applyFont="true" applyBorder="true" applyAlignment="true" applyProtection="true">
      <alignment horizontal="general" vertical="center" textRotation="0" wrapText="false" indent="0" shrinkToFit="false"/>
      <protection locked="false" hidden="false"/>
    </xf>
    <xf numFmtId="164" fontId="31" fillId="0" borderId="45" xfId="0" applyFont="true" applyBorder="true" applyAlignment="true" applyProtection="true">
      <alignment horizontal="general" vertical="bottom" textRotation="0" wrapText="false" indent="0" shrinkToFit="false"/>
      <protection locked="false" hidden="false"/>
    </xf>
    <xf numFmtId="164" fontId="31" fillId="0" borderId="46" xfId="0" applyFont="true" applyBorder="true" applyAlignment="true" applyProtection="true">
      <alignment horizontal="general" vertical="center" textRotation="0" wrapText="false" indent="0" shrinkToFit="false"/>
      <protection locked="false" hidden="false"/>
    </xf>
    <xf numFmtId="168" fontId="38" fillId="0" borderId="47" xfId="0" applyFont="true" applyBorder="true" applyAlignment="true" applyProtection="true">
      <alignment horizontal="right" vertical="center" textRotation="0" wrapText="false" indent="0" shrinkToFit="false"/>
      <protection locked="false" hidden="false"/>
    </xf>
    <xf numFmtId="168" fontId="31" fillId="0" borderId="47" xfId="0" applyFont="true" applyBorder="true" applyAlignment="true" applyProtection="true">
      <alignment horizontal="general" vertical="center" textRotation="0" wrapText="false" indent="0" shrinkToFit="false"/>
      <protection locked="false" hidden="false"/>
    </xf>
    <xf numFmtId="168" fontId="37" fillId="0" borderId="48" xfId="0" applyFont="true" applyBorder="true" applyAlignment="true" applyProtection="false">
      <alignment horizontal="general" vertical="center" textRotation="0" wrapText="false" indent="0" shrinkToFit="false"/>
      <protection locked="true" hidden="false"/>
    </xf>
    <xf numFmtId="164" fontId="39" fillId="0" borderId="49" xfId="0" applyFont="true" applyBorder="true" applyAlignment="true" applyProtection="true">
      <alignment horizontal="distributed" vertical="center" textRotation="0" wrapText="false" indent="0" shrinkToFit="false"/>
      <protection locked="false" hidden="false"/>
    </xf>
    <xf numFmtId="164" fontId="35" fillId="0" borderId="45" xfId="0" applyFont="true" applyBorder="true" applyAlignment="true" applyProtection="true">
      <alignment horizontal="distributed" vertical="center" textRotation="0" wrapText="false" indent="0" shrinkToFit="false"/>
      <protection locked="false" hidden="false"/>
    </xf>
    <xf numFmtId="168" fontId="37" fillId="0" borderId="47" xfId="0" applyFont="true" applyBorder="true" applyAlignment="true" applyProtection="false">
      <alignment horizontal="general" vertical="center" textRotation="0" wrapText="false" indent="0" shrinkToFit="false"/>
      <protection locked="true" hidden="false"/>
    </xf>
    <xf numFmtId="164" fontId="31" fillId="0" borderId="49" xfId="0" applyFont="true" applyBorder="true" applyAlignment="true" applyProtection="true">
      <alignment horizontal="distributed" vertical="center" textRotation="0" wrapText="false" indent="0" shrinkToFit="false"/>
      <protection locked="false" hidden="false"/>
    </xf>
    <xf numFmtId="168" fontId="37" fillId="0" borderId="46" xfId="0" applyFont="true" applyBorder="true" applyAlignment="true" applyProtection="true">
      <alignment horizontal="general" vertical="center" textRotation="0" wrapText="false" indent="0" shrinkToFit="false"/>
      <protection locked="false" hidden="false"/>
    </xf>
    <xf numFmtId="164" fontId="35" fillId="0" borderId="49" xfId="0" applyFont="true" applyBorder="true" applyAlignment="true" applyProtection="true">
      <alignment horizontal="distributed" vertical="center" textRotation="0" wrapText="false" indent="0" shrinkToFit="false"/>
      <protection locked="false" hidden="false"/>
    </xf>
    <xf numFmtId="168" fontId="37" fillId="0" borderId="51" xfId="0" applyFont="true" applyBorder="true" applyAlignment="true" applyProtection="false">
      <alignment horizontal="general" vertical="center" textRotation="0" wrapText="false" indent="0" shrinkToFit="false"/>
      <protection locked="true" hidden="false"/>
    </xf>
    <xf numFmtId="168" fontId="37" fillId="0" borderId="48" xfId="0" applyFont="true" applyBorder="true" applyAlignment="true" applyProtection="true">
      <alignment horizontal="general" vertical="center" textRotation="0" wrapText="false" indent="0" shrinkToFit="false"/>
      <protection locked="false" hidden="false"/>
    </xf>
    <xf numFmtId="168" fontId="37" fillId="0" borderId="38" xfId="0" applyFont="true" applyBorder="true" applyAlignment="true" applyProtection="true">
      <alignment horizontal="general" vertical="center" textRotation="0" wrapText="false" indent="0" shrinkToFit="false"/>
      <protection locked="false" hidden="false"/>
    </xf>
    <xf numFmtId="168" fontId="31" fillId="0" borderId="47" xfId="0" applyFont="true" applyBorder="true" applyAlignment="true" applyProtection="true">
      <alignment horizontal="right" vertical="center" textRotation="0" wrapText="false" indent="0" shrinkToFit="false"/>
      <protection locked="false" hidden="false"/>
    </xf>
    <xf numFmtId="164" fontId="31" fillId="0" borderId="49" xfId="0" applyFont="true" applyBorder="true" applyAlignment="true" applyProtection="true">
      <alignment horizontal="right" vertical="center" textRotation="0" wrapText="false" indent="0" shrinkToFit="false"/>
      <protection locked="false" hidden="false"/>
    </xf>
    <xf numFmtId="164" fontId="35" fillId="0" borderId="52" xfId="0" applyFont="true" applyBorder="true" applyAlignment="true" applyProtection="true">
      <alignment horizontal="center" vertical="center" textRotation="0" wrapText="false" indent="0" shrinkToFit="false"/>
      <protection locked="false" hidden="false"/>
    </xf>
    <xf numFmtId="168" fontId="37" fillId="0" borderId="53" xfId="0" applyFont="true" applyBorder="true" applyAlignment="true" applyProtection="false">
      <alignment horizontal="general" vertical="center" textRotation="0" wrapText="false" indent="0" shrinkToFit="false"/>
      <protection locked="true" hidden="false"/>
    </xf>
    <xf numFmtId="164" fontId="35" fillId="0" borderId="54" xfId="0" applyFont="true" applyBorder="true" applyAlignment="true" applyProtection="true">
      <alignment horizontal="center" vertical="center" textRotation="0" wrapText="false" indent="0" shrinkToFit="false"/>
      <protection locked="false" hidden="false"/>
    </xf>
    <xf numFmtId="168" fontId="37" fillId="0" borderId="52" xfId="0" applyFont="true" applyBorder="true" applyAlignment="true" applyProtection="false">
      <alignment horizontal="general" vertical="center" textRotation="0" wrapText="false" indent="0" shrinkToFit="false"/>
      <protection locked="true" hidden="false"/>
    </xf>
    <xf numFmtId="164" fontId="40" fillId="0" borderId="0" xfId="0" applyFont="true" applyBorder="false" applyAlignment="true" applyProtection="true">
      <alignment horizontal="left" vertical="center" textRotation="0" wrapText="false" indent="0" shrinkToFit="false"/>
      <protection locked="false" hidden="false"/>
    </xf>
    <xf numFmtId="168" fontId="31" fillId="0" borderId="0" xfId="0" applyFont="true" applyBorder="false" applyAlignment="true" applyProtection="true">
      <alignment horizontal="general" vertical="center" textRotation="0" wrapText="false" indent="0" shrinkToFit="false"/>
      <protection locked="false" hidden="false"/>
    </xf>
    <xf numFmtId="164" fontId="35" fillId="0" borderId="4" xfId="0" applyFont="true" applyBorder="true" applyAlignment="true" applyProtection="false">
      <alignment horizontal="left" vertical="center" textRotation="0" wrapText="true" indent="0" shrinkToFit="false"/>
      <protection locked="true" hidden="false"/>
    </xf>
    <xf numFmtId="164" fontId="32" fillId="0" borderId="0" xfId="0" applyFont="true" applyBorder="false" applyAlignment="true" applyProtection="true">
      <alignment horizontal="center" vertical="center" textRotation="0" wrapText="false" indent="0" shrinkToFit="false"/>
      <protection locked="false" hidden="false"/>
    </xf>
    <xf numFmtId="164" fontId="35" fillId="0" borderId="0" xfId="0" applyFont="true" applyBorder="true" applyAlignment="true" applyProtection="false">
      <alignment horizontal="right" vertical="center" textRotation="0" wrapText="false" indent="0" shrinkToFit="false"/>
      <protection locked="true" hidden="false"/>
    </xf>
    <xf numFmtId="164" fontId="35" fillId="0" borderId="55" xfId="0" applyFont="true" applyBorder="true" applyAlignment="true" applyProtection="true">
      <alignment horizontal="center" vertical="center" textRotation="0" wrapText="false" indent="0" shrinkToFit="false"/>
      <protection locked="false" hidden="false"/>
    </xf>
    <xf numFmtId="164" fontId="35" fillId="0" borderId="5" xfId="0" applyFont="true" applyBorder="true" applyAlignment="true" applyProtection="true">
      <alignment horizontal="center" vertical="center" textRotation="0" wrapText="false" indent="0" shrinkToFit="false"/>
      <protection locked="false" hidden="false"/>
    </xf>
    <xf numFmtId="164" fontId="35" fillId="0" borderId="51" xfId="0" applyFont="true" applyBorder="true" applyAlignment="true" applyProtection="true">
      <alignment horizontal="right" vertical="center" textRotation="0" wrapText="false" indent="0" shrinkToFit="false"/>
      <protection locked="false" hidden="false"/>
    </xf>
    <xf numFmtId="164" fontId="35" fillId="0" borderId="38" xfId="0" applyFont="true" applyBorder="true" applyAlignment="true" applyProtection="true">
      <alignment horizontal="right" vertical="center" textRotation="0" wrapText="false" indent="0" shrinkToFit="false"/>
      <protection locked="false" hidden="false"/>
    </xf>
    <xf numFmtId="168" fontId="31" fillId="0" borderId="46" xfId="0" applyFont="true" applyBorder="true" applyAlignment="true" applyProtection="true">
      <alignment horizontal="center" vertical="center" textRotation="0" wrapText="false" indent="0" shrinkToFit="false"/>
      <protection locked="false" hidden="false"/>
    </xf>
    <xf numFmtId="168" fontId="31" fillId="0" borderId="51" xfId="0" applyFont="true" applyBorder="true" applyAlignment="true" applyProtection="true">
      <alignment horizontal="center" vertical="center" textRotation="0" wrapText="false" indent="0" shrinkToFit="false"/>
      <protection locked="false" hidden="false"/>
    </xf>
    <xf numFmtId="168" fontId="37" fillId="0" borderId="38" xfId="0" applyFont="true" applyBorder="true" applyAlignment="true" applyProtection="false">
      <alignment horizontal="right" vertical="center" textRotation="0" wrapText="false" indent="0" shrinkToFit="false"/>
      <protection locked="true" hidden="false"/>
    </xf>
    <xf numFmtId="168" fontId="37" fillId="0" borderId="51" xfId="0" applyFont="true" applyBorder="true" applyAlignment="true" applyProtection="false">
      <alignment horizontal="right" vertical="center" textRotation="0" wrapText="false" indent="0" shrinkToFit="false"/>
      <protection locked="true" hidden="false"/>
    </xf>
    <xf numFmtId="168" fontId="31" fillId="0" borderId="38" xfId="0" applyFont="true" applyBorder="true" applyAlignment="true" applyProtection="true">
      <alignment horizontal="center" vertical="center" textRotation="0" wrapText="false" indent="0" shrinkToFit="false"/>
      <protection locked="false" hidden="false"/>
    </xf>
    <xf numFmtId="164" fontId="35" fillId="0" borderId="45" xfId="0" applyFont="true" applyBorder="true" applyAlignment="true" applyProtection="true">
      <alignment horizontal="distributed" vertical="center" textRotation="0" wrapText="false" indent="1" shrinkToFit="false"/>
      <protection locked="false" hidden="false"/>
    </xf>
    <xf numFmtId="171" fontId="37" fillId="0" borderId="51" xfId="0" applyFont="true" applyBorder="true" applyAlignment="true" applyProtection="true">
      <alignment horizontal="general" vertical="center" textRotation="0" wrapText="false" indent="0" shrinkToFit="false"/>
      <protection locked="false" hidden="false"/>
    </xf>
    <xf numFmtId="164" fontId="35" fillId="0" borderId="45" xfId="0" applyFont="true" applyBorder="true" applyAlignment="true" applyProtection="true">
      <alignment horizontal="distributed" vertical="center" textRotation="0" wrapText="true" indent="1" shrinkToFit="false"/>
      <protection locked="false" hidden="false"/>
    </xf>
    <xf numFmtId="164" fontId="35" fillId="0" borderId="49" xfId="0" applyFont="true" applyBorder="true" applyAlignment="true" applyProtection="true">
      <alignment horizontal="distributed" vertical="center" textRotation="0" wrapText="true" indent="0" shrinkToFit="false"/>
      <protection locked="false" hidden="false"/>
    </xf>
    <xf numFmtId="171" fontId="37" fillId="0" borderId="51" xfId="0" applyFont="true" applyBorder="true" applyAlignment="true" applyProtection="false">
      <alignment horizontal="general" vertical="center" textRotation="0" wrapText="false" indent="0" shrinkToFit="false"/>
      <protection locked="true" hidden="false"/>
    </xf>
    <xf numFmtId="164" fontId="41" fillId="0" borderId="49" xfId="0" applyFont="true" applyBorder="true" applyAlignment="true" applyProtection="true">
      <alignment horizontal="distributed" vertical="center" textRotation="0" wrapText="true" indent="0" shrinkToFit="false"/>
      <protection locked="false" hidden="false"/>
    </xf>
    <xf numFmtId="169" fontId="31" fillId="0" borderId="46" xfId="0" applyFont="true" applyBorder="true" applyAlignment="true" applyProtection="false">
      <alignment horizontal="general" vertical="center" textRotation="0" wrapText="false" indent="0" shrinkToFit="false"/>
      <protection locked="true" hidden="false"/>
    </xf>
    <xf numFmtId="164" fontId="41" fillId="0" borderId="49" xfId="0" applyFont="true" applyBorder="true" applyAlignment="true" applyProtection="true">
      <alignment horizontal="right" vertical="center" textRotation="0" wrapText="true" indent="0" shrinkToFit="false"/>
      <protection locked="false" hidden="false"/>
    </xf>
    <xf numFmtId="171" fontId="31" fillId="0" borderId="51" xfId="0" applyFont="true" applyBorder="true" applyAlignment="true" applyProtection="false">
      <alignment horizontal="general" vertical="center" textRotation="0" wrapText="false" indent="0" shrinkToFit="false"/>
      <protection locked="true" hidden="false"/>
    </xf>
    <xf numFmtId="171" fontId="31" fillId="0" borderId="51" xfId="0" applyFont="true" applyBorder="true" applyAlignment="true" applyProtection="true">
      <alignment horizontal="general" vertical="center" textRotation="0" wrapText="false" indent="0" shrinkToFit="false"/>
      <protection locked="false" hidden="false"/>
    </xf>
    <xf numFmtId="164" fontId="31" fillId="0" borderId="38" xfId="0" applyFont="true" applyBorder="true" applyAlignment="true" applyProtection="true">
      <alignment horizontal="general" vertical="bottom" textRotation="0" wrapText="false" indent="0" shrinkToFit="false"/>
      <protection locked="false" hidden="false"/>
    </xf>
    <xf numFmtId="168" fontId="31" fillId="0" borderId="51" xfId="0" applyFont="true" applyBorder="true" applyAlignment="true" applyProtection="false">
      <alignment horizontal="general" vertical="center" textRotation="0" wrapText="false" indent="0" shrinkToFit="false"/>
      <protection locked="true" hidden="false"/>
    </xf>
    <xf numFmtId="164" fontId="42" fillId="0" borderId="45" xfId="0" applyFont="true" applyBorder="true" applyAlignment="true" applyProtection="true">
      <alignment horizontal="center" vertical="center" textRotation="0" wrapText="false" indent="0" shrinkToFit="false"/>
      <protection locked="false" hidden="false"/>
    </xf>
    <xf numFmtId="164" fontId="43" fillId="0" borderId="45" xfId="0" applyFont="true" applyBorder="true" applyAlignment="true" applyProtection="true">
      <alignment horizontal="distributed" vertical="center" textRotation="0" wrapText="true" indent="0" shrinkToFit="false"/>
      <protection locked="false" hidden="false"/>
    </xf>
    <xf numFmtId="164" fontId="44" fillId="0" borderId="45" xfId="0" applyFont="true" applyBorder="true" applyAlignment="true" applyProtection="true">
      <alignment horizontal="right" vertical="center" textRotation="0" wrapText="true" indent="0" shrinkToFit="false"/>
      <protection locked="false" hidden="false"/>
    </xf>
    <xf numFmtId="164" fontId="35" fillId="0" borderId="45" xfId="0" applyFont="true" applyBorder="true" applyAlignment="true" applyProtection="true">
      <alignment horizontal="distributed" vertical="center" textRotation="0" wrapText="true" indent="0" shrinkToFit="false"/>
      <protection locked="false" hidden="false"/>
    </xf>
    <xf numFmtId="164" fontId="31" fillId="0" borderId="23" xfId="0" applyFont="true" applyBorder="true" applyAlignment="true" applyProtection="true">
      <alignment horizontal="general" vertical="bottom" textRotation="0" wrapText="false" indent="0" shrinkToFit="false"/>
      <protection locked="false" hidden="false"/>
    </xf>
    <xf numFmtId="164" fontId="31" fillId="0" borderId="56" xfId="0" applyFont="true" applyBorder="true" applyAlignment="true" applyProtection="true">
      <alignment horizontal="general" vertical="bottom" textRotation="0" wrapText="false" indent="0" shrinkToFit="false"/>
      <protection locked="false" hidden="false"/>
    </xf>
    <xf numFmtId="168" fontId="45" fillId="0" borderId="49" xfId="0" applyFont="true" applyBorder="true" applyAlignment="true" applyProtection="true">
      <alignment horizontal="general" vertical="center" textRotation="0" wrapText="true" indent="0" shrinkToFit="false"/>
      <protection locked="fals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0" borderId="2" xfId="0" applyFont="true" applyBorder="true" applyAlignment="true" applyProtection="true">
      <alignment horizontal="distributed" vertical="bottom" textRotation="0" wrapText="false" indent="0" shrinkToFit="false"/>
      <protection locked="false" hidden="false"/>
    </xf>
    <xf numFmtId="164" fontId="33" fillId="0" borderId="0" xfId="0" applyFont="true" applyBorder="true" applyAlignment="true" applyProtection="true">
      <alignment horizontal="distributed" vertical="bottom" textRotation="0" wrapText="false" indent="0" shrinkToFit="false"/>
      <protection locked="false" hidden="false"/>
    </xf>
    <xf numFmtId="164" fontId="46" fillId="0" borderId="0" xfId="0" applyFont="true" applyBorder="false" applyAlignment="true" applyProtection="true">
      <alignment horizontal="center" vertical="bottom" textRotation="0" wrapText="false" indent="0" shrinkToFit="false"/>
      <protection locked="false" hidden="false"/>
    </xf>
    <xf numFmtId="164" fontId="47" fillId="0" borderId="0" xfId="0" applyFont="true" applyBorder="false" applyAlignment="true" applyProtection="true">
      <alignment horizontal="center" vertical="bottom" textRotation="0" wrapText="false" indent="0" shrinkToFit="false"/>
      <protection locked="false" hidden="false"/>
    </xf>
    <xf numFmtId="164" fontId="20" fillId="0" borderId="57" xfId="0" applyFont="true" applyBorder="true" applyAlignment="true" applyProtection="true">
      <alignment horizontal="distributed" vertical="center" textRotation="0" wrapText="false" indent="0" shrinkToFit="false"/>
      <protection locked="false" hidden="false"/>
    </xf>
    <xf numFmtId="164" fontId="20" fillId="0" borderId="58" xfId="0" applyFont="true" applyBorder="true" applyAlignment="true" applyProtection="true">
      <alignment horizontal="center" vertical="center" textRotation="0" wrapText="false" indent="0" shrinkToFit="false"/>
      <protection locked="false" hidden="false"/>
    </xf>
    <xf numFmtId="164" fontId="20" fillId="0" borderId="59" xfId="0" applyFont="true" applyBorder="true" applyAlignment="true" applyProtection="true">
      <alignment horizontal="center" vertical="center" textRotation="0" wrapText="false" indent="0" shrinkToFit="false"/>
      <protection locked="false" hidden="false"/>
    </xf>
    <xf numFmtId="164" fontId="15" fillId="0" borderId="0" xfId="0" applyFont="true" applyBorder="false" applyAlignment="true" applyProtection="false">
      <alignment horizontal="general" vertical="center" textRotation="0" wrapText="false" indent="0" shrinkToFit="false"/>
      <protection locked="true" hidden="false"/>
    </xf>
    <xf numFmtId="164" fontId="15" fillId="0" borderId="11" xfId="0" applyFont="true" applyBorder="true" applyAlignment="true" applyProtection="true">
      <alignment horizontal="center" vertical="center" textRotation="0" wrapText="false" indent="0" shrinkToFit="false"/>
      <protection locked="false" hidden="false"/>
    </xf>
    <xf numFmtId="164" fontId="15" fillId="0" borderId="20" xfId="0" applyFont="true" applyBorder="true" applyAlignment="true" applyProtection="true">
      <alignment horizontal="center" vertical="center" textRotation="0" wrapText="false" indent="0" shrinkToFit="false"/>
      <protection locked="false" hidden="false"/>
    </xf>
    <xf numFmtId="164" fontId="15" fillId="0" borderId="60" xfId="0" applyFont="true" applyBorder="true" applyAlignment="true" applyProtection="true">
      <alignment horizontal="center" vertical="center" textRotation="0" wrapText="false" indent="0" shrinkToFit="false"/>
      <protection locked="false" hidden="false"/>
    </xf>
    <xf numFmtId="164" fontId="15" fillId="0" borderId="61" xfId="0" applyFont="true" applyBorder="true" applyAlignment="true" applyProtection="true">
      <alignment horizontal="center" vertical="center" textRotation="0" wrapText="false" indent="0" shrinkToFit="false"/>
      <protection locked="false" hidden="false"/>
    </xf>
    <xf numFmtId="168" fontId="35" fillId="0" borderId="60" xfId="0" applyFont="true" applyBorder="true" applyAlignment="true" applyProtection="true">
      <alignment horizontal="left" vertical="center" textRotation="0" wrapText="false" indent="0" shrinkToFit="false"/>
      <protection locked="false" hidden="false"/>
    </xf>
    <xf numFmtId="164" fontId="15" fillId="0" borderId="62" xfId="0" applyFont="true" applyBorder="true" applyAlignment="true" applyProtection="true">
      <alignment horizontal="center" vertical="center" textRotation="0" wrapText="false" indent="0" shrinkToFit="false"/>
      <protection locked="false" hidden="false"/>
    </xf>
    <xf numFmtId="164" fontId="20" fillId="0" borderId="23" xfId="0" applyFont="true" applyBorder="true" applyAlignment="true" applyProtection="true">
      <alignment horizontal="distributed" vertical="center" textRotation="0" wrapText="false" indent="0" shrinkToFit="false"/>
      <protection locked="false" hidden="false"/>
    </xf>
    <xf numFmtId="164" fontId="20" fillId="0" borderId="24" xfId="0" applyFont="true" applyBorder="true" applyAlignment="true" applyProtection="true">
      <alignment horizontal="center" vertical="center" textRotation="0" wrapText="false" indent="0" shrinkToFit="false"/>
      <protection locked="false" hidden="false"/>
    </xf>
    <xf numFmtId="168" fontId="22" fillId="0" borderId="25" xfId="0" applyFont="true" applyBorder="true" applyAlignment="true" applyProtection="true">
      <alignment horizontal="right" vertical="center" textRotation="0" wrapText="false" indent="0" shrinkToFit="false"/>
      <protection locked="false" hidden="false"/>
    </xf>
    <xf numFmtId="164" fontId="22" fillId="0" borderId="0" xfId="0" applyFont="true" applyBorder="false" applyAlignment="true" applyProtection="true">
      <alignment horizontal="general" vertical="top" textRotation="0" wrapText="false" indent="0" shrinkToFit="false"/>
      <protection locked="false" hidden="false"/>
    </xf>
    <xf numFmtId="164" fontId="20" fillId="0" borderId="28" xfId="0" applyFont="true" applyBorder="true" applyAlignment="true" applyProtection="true">
      <alignment horizontal="left" vertical="top" textRotation="0" wrapText="true" indent="0" shrinkToFit="false"/>
      <protection locked="false" hidden="false"/>
    </xf>
    <xf numFmtId="164" fontId="15" fillId="0" borderId="0" xfId="0" applyFont="true" applyBorder="false" applyAlignment="true" applyProtection="false">
      <alignment horizontal="general" vertical="top" textRotation="0" wrapText="false" indent="0" shrinkToFit="false"/>
      <protection locked="true" hidden="false"/>
    </xf>
    <xf numFmtId="164" fontId="20" fillId="0" borderId="63" xfId="0" applyFont="true" applyBorder="true" applyAlignment="true" applyProtection="true">
      <alignment horizontal="center" vertical="center" textRotation="0" wrapText="false" indent="0" shrinkToFit="false"/>
      <protection locked="false" hidden="false"/>
    </xf>
    <xf numFmtId="164" fontId="22" fillId="0" borderId="64" xfId="0" applyFont="true" applyBorder="true" applyAlignment="true" applyProtection="true">
      <alignment horizontal="distributed" vertical="center" textRotation="0" wrapText="false" indent="0" shrinkToFit="false"/>
      <protection locked="false" hidden="false"/>
    </xf>
    <xf numFmtId="168" fontId="48" fillId="0" borderId="65" xfId="0" applyFont="true" applyBorder="true" applyAlignment="true" applyProtection="false">
      <alignment horizontal="right" vertical="center" textRotation="0" wrapText="false" indent="0" shrinkToFit="false"/>
      <protection locked="true" hidden="false"/>
    </xf>
    <xf numFmtId="164" fontId="22" fillId="0" borderId="66" xfId="0" applyFont="true" applyBorder="true" applyAlignment="true" applyProtection="true">
      <alignment horizontal="right" vertical="center" textRotation="0" wrapText="false" indent="0" shrinkToFit="false"/>
      <protection locked="false" hidden="false"/>
    </xf>
    <xf numFmtId="164" fontId="22" fillId="0" borderId="67" xfId="0" applyFont="true" applyBorder="true" applyAlignment="true" applyProtection="true">
      <alignment horizontal="left" vertical="center" textRotation="0" wrapText="true" indent="0" shrinkToFit="false"/>
      <protection locked="false" hidden="false"/>
    </xf>
    <xf numFmtId="164" fontId="15" fillId="0" borderId="0" xfId="0" applyFont="true" applyBorder="false" applyAlignment="true" applyProtection="true">
      <alignment horizontal="center" vertical="center" textRotation="0" wrapText="false" indent="0" shrinkToFit="false"/>
      <protection locked="false" hidden="false"/>
    </xf>
    <xf numFmtId="168" fontId="15" fillId="0" borderId="0" xfId="0" applyFont="true" applyBorder="false" applyAlignment="true" applyProtection="true">
      <alignment horizontal="general" vertical="bottom" textRotation="0" wrapText="false" indent="0" shrinkToFit="false"/>
      <protection locked="false" hidden="false"/>
    </xf>
    <xf numFmtId="164" fontId="20" fillId="0" borderId="57" xfId="0" applyFont="true" applyBorder="true" applyAlignment="true" applyProtection="true">
      <alignment horizontal="center" vertical="center" textRotation="0" wrapText="false" indent="0" shrinkToFit="false"/>
      <protection locked="false" hidden="false"/>
    </xf>
    <xf numFmtId="168" fontId="15" fillId="0" borderId="60" xfId="0" applyFont="true" applyBorder="true" applyAlignment="true" applyProtection="true">
      <alignment horizontal="left" vertical="center" textRotation="0" wrapText="false" indent="0" shrinkToFit="false"/>
      <protection locked="false" hidden="false"/>
    </xf>
    <xf numFmtId="164" fontId="20" fillId="0" borderId="23" xfId="0" applyFont="true" applyBorder="true" applyAlignment="true" applyProtection="true">
      <alignment horizontal="distributed" vertical="center" textRotation="0" wrapText="false" indent="1" shrinkToFit="false"/>
      <protection locked="false" hidden="false"/>
    </xf>
    <xf numFmtId="168" fontId="22" fillId="0" borderId="27" xfId="0" applyFont="true" applyBorder="true" applyAlignment="true" applyProtection="true">
      <alignment horizontal="left" vertical="center" textRotation="0" wrapText="false" indent="0" shrinkToFit="false"/>
      <protection locked="false" hidden="false"/>
    </xf>
    <xf numFmtId="168" fontId="20" fillId="0" borderId="24" xfId="0" applyFont="true" applyBorder="true" applyAlignment="true" applyProtection="true">
      <alignment horizontal="center" vertical="center" textRotation="0" wrapText="false" indent="0" shrinkToFit="true"/>
      <protection locked="false" hidden="false"/>
    </xf>
    <xf numFmtId="164" fontId="41" fillId="0" borderId="28" xfId="0" applyFont="true" applyBorder="true" applyAlignment="true" applyProtection="true">
      <alignment horizontal="left" vertical="center" textRotation="0" wrapText="true" indent="0" shrinkToFit="false"/>
      <protection locked="false" hidden="false"/>
    </xf>
    <xf numFmtId="168" fontId="22" fillId="0" borderId="68" xfId="0" applyFont="true" applyBorder="true" applyAlignment="true" applyProtection="true">
      <alignment horizontal="left" vertical="center" textRotation="0" wrapText="false" indent="0" shrinkToFit="false"/>
      <protection locked="false" hidden="false"/>
    </xf>
    <xf numFmtId="168" fontId="22" fillId="0" borderId="64" xfId="0" applyFont="true" applyBorder="true" applyAlignment="true" applyProtection="true">
      <alignment horizontal="distributed" vertical="center" textRotation="0" wrapText="false" indent="0" shrinkToFit="false"/>
      <protection locked="false" hidden="false"/>
    </xf>
    <xf numFmtId="164" fontId="20" fillId="0" borderId="69" xfId="0" applyFont="true" applyBorder="true" applyAlignment="true" applyProtection="true">
      <alignment horizontal="center" vertical="center" textRotation="0" wrapText="true" indent="0" shrinkToFit="false"/>
      <protection locked="false" hidden="false"/>
    </xf>
    <xf numFmtId="164" fontId="21" fillId="0" borderId="15" xfId="0" applyFont="true" applyBorder="true" applyAlignment="true" applyProtection="true">
      <alignment horizontal="center" vertical="center" textRotation="0" wrapText="false" indent="0" shrinkToFit="false"/>
      <protection locked="false" hidden="false"/>
    </xf>
    <xf numFmtId="168" fontId="31" fillId="0" borderId="20" xfId="0" applyFont="true" applyBorder="true" applyAlignment="true" applyProtection="true">
      <alignment horizontal="left" vertical="center" textRotation="0" wrapText="false" indent="0" shrinkToFit="false"/>
      <protection locked="false" hidden="false"/>
    </xf>
    <xf numFmtId="164" fontId="20" fillId="0" borderId="23" xfId="0" applyFont="true" applyBorder="true" applyAlignment="true" applyProtection="true">
      <alignment horizontal="center" vertical="center" textRotation="0" wrapText="false" indent="0" shrinkToFit="false"/>
      <protection locked="false" hidden="false"/>
    </xf>
    <xf numFmtId="164" fontId="31" fillId="0" borderId="24" xfId="0" applyFont="true" applyBorder="true" applyAlignment="true" applyProtection="true">
      <alignment horizontal="left" vertical="center" textRotation="0" wrapText="true" indent="0" shrinkToFit="false"/>
      <protection locked="false" hidden="false"/>
    </xf>
    <xf numFmtId="172" fontId="22" fillId="0" borderId="25" xfId="0" applyFont="true" applyBorder="true" applyAlignment="true" applyProtection="true">
      <alignment horizontal="center" vertical="center" textRotation="0" wrapText="false" indent="0" shrinkToFit="false"/>
      <protection locked="false" hidden="false"/>
    </xf>
    <xf numFmtId="168" fontId="22" fillId="0" borderId="24" xfId="0" applyFont="true" applyBorder="true" applyAlignment="true" applyProtection="true">
      <alignment horizontal="center" vertical="center" textRotation="0" wrapText="false" indent="0" shrinkToFit="true"/>
      <protection locked="false" hidden="false"/>
    </xf>
    <xf numFmtId="168" fontId="22" fillId="0" borderId="25" xfId="0" applyFont="true" applyBorder="true" applyAlignment="true" applyProtection="true">
      <alignment horizontal="right" vertical="center" textRotation="0" wrapText="false" indent="0" shrinkToFit="true"/>
      <protection locked="false" hidden="false"/>
    </xf>
    <xf numFmtId="168" fontId="22" fillId="0" borderId="27" xfId="0" applyFont="true" applyBorder="true" applyAlignment="true" applyProtection="true">
      <alignment horizontal="general" vertical="center" textRotation="0" wrapText="false" indent="0" shrinkToFit="true"/>
      <protection locked="false" hidden="false"/>
    </xf>
    <xf numFmtId="164" fontId="31" fillId="0" borderId="27" xfId="0" applyFont="true" applyBorder="true" applyAlignment="true" applyProtection="true">
      <alignment horizontal="general" vertical="center" textRotation="0" wrapText="true" indent="0" shrinkToFit="false"/>
      <protection locked="false" hidden="false"/>
    </xf>
    <xf numFmtId="164" fontId="31" fillId="0" borderId="28" xfId="0" applyFont="true" applyBorder="true" applyAlignment="true" applyProtection="true">
      <alignment horizontal="center" vertical="center" textRotation="0" wrapText="true" indent="0" shrinkToFit="false"/>
      <protection locked="false" hidden="false"/>
    </xf>
    <xf numFmtId="164" fontId="31" fillId="0" borderId="15" xfId="0" applyFont="true" applyBorder="true" applyAlignment="true" applyProtection="true">
      <alignment horizontal="left" vertical="center" textRotation="0" wrapText="true" indent="0" shrinkToFit="false"/>
      <protection locked="false" hidden="false"/>
    </xf>
    <xf numFmtId="168" fontId="22" fillId="0" borderId="16" xfId="0" applyFont="true" applyBorder="true" applyAlignment="true" applyProtection="true">
      <alignment horizontal="right" vertical="center" textRotation="0" wrapText="false" indent="0" shrinkToFit="true"/>
      <protection locked="false" hidden="false"/>
    </xf>
    <xf numFmtId="168" fontId="22" fillId="0" borderId="17" xfId="0" applyFont="true" applyBorder="true" applyAlignment="true" applyProtection="true">
      <alignment horizontal="general" vertical="center" textRotation="0" wrapText="false" indent="0" shrinkToFit="true"/>
      <protection locked="false" hidden="false"/>
    </xf>
    <xf numFmtId="164" fontId="31" fillId="0" borderId="17" xfId="0" applyFont="true" applyBorder="true" applyAlignment="true" applyProtection="true">
      <alignment horizontal="general" vertical="center" textRotation="0" wrapText="true" indent="0" shrinkToFit="false"/>
      <protection locked="false" hidden="false"/>
    </xf>
    <xf numFmtId="164" fontId="31" fillId="0" borderId="18" xfId="0" applyFont="true" applyBorder="true" applyAlignment="true" applyProtection="true">
      <alignment horizontal="center" vertical="center" textRotation="0" wrapText="true" indent="0" shrinkToFit="false"/>
      <protection locked="false" hidden="false"/>
    </xf>
    <xf numFmtId="168" fontId="48" fillId="0" borderId="66" xfId="0" applyFont="true" applyBorder="true" applyAlignment="true" applyProtection="true">
      <alignment horizontal="general" vertical="center" textRotation="0" wrapText="false" indent="0" shrinkToFit="false"/>
      <protection locked="false" hidden="false"/>
    </xf>
    <xf numFmtId="168" fontId="48" fillId="0" borderId="65" xfId="0" applyFont="true" applyBorder="true" applyAlignment="true" applyProtection="false">
      <alignment horizontal="right" vertical="center" textRotation="0" wrapText="true" indent="0" shrinkToFit="false"/>
      <protection locked="true" hidden="false"/>
    </xf>
    <xf numFmtId="164" fontId="22" fillId="0" borderId="66" xfId="0" applyFont="true" applyBorder="true" applyAlignment="true" applyProtection="true">
      <alignment horizontal="general" vertical="center" textRotation="0" wrapText="true" indent="0" shrinkToFit="false"/>
      <protection locked="false" hidden="false"/>
    </xf>
    <xf numFmtId="164" fontId="22" fillId="0" borderId="70" xfId="0" applyFont="true" applyBorder="true" applyAlignment="true" applyProtection="true">
      <alignment horizontal="center" vertical="center" textRotation="0" wrapText="true" indent="0" shrinkToFit="false"/>
      <protection locked="false" hidden="false"/>
    </xf>
    <xf numFmtId="168" fontId="20" fillId="0" borderId="24" xfId="0" applyFont="true" applyBorder="true" applyAlignment="true" applyProtection="true">
      <alignment horizontal="distributed" vertical="center" textRotation="0" wrapText="false" indent="1" shrinkToFit="false"/>
      <protection locked="false" hidden="false"/>
    </xf>
    <xf numFmtId="164" fontId="35" fillId="0" borderId="28" xfId="0" applyFont="true" applyBorder="true" applyAlignment="true" applyProtection="true">
      <alignment horizontal="left" vertical="center" textRotation="0" wrapText="true" indent="0" shrinkToFit="false"/>
      <protection locked="false" hidden="false"/>
    </xf>
    <xf numFmtId="164" fontId="21" fillId="0" borderId="28" xfId="0" applyFont="true" applyBorder="true" applyAlignment="true" applyProtection="true">
      <alignment horizontal="left" vertical="center" textRotation="0" wrapText="true" indent="0" shrinkToFit="false"/>
      <protection locked="false" hidden="false"/>
    </xf>
    <xf numFmtId="164" fontId="22" fillId="0" borderId="0" xfId="0" applyFont="true" applyBorder="false" applyAlignment="true" applyProtection="false">
      <alignment horizontal="general" vertical="center" textRotation="0" wrapText="false" indent="0" shrinkToFit="false"/>
      <protection locked="true" hidden="false"/>
    </xf>
    <xf numFmtId="171" fontId="22" fillId="0" borderId="25" xfId="0" applyFont="true" applyBorder="true" applyAlignment="true" applyProtection="true">
      <alignment horizontal="general" vertical="center" textRotation="0" wrapText="false" indent="0" shrinkToFit="false"/>
      <protection locked="false" hidden="false"/>
    </xf>
    <xf numFmtId="164" fontId="15" fillId="0" borderId="27" xfId="0" applyFont="true" applyBorder="true" applyAlignment="true" applyProtection="true">
      <alignment horizontal="general" vertical="center" textRotation="0" wrapText="false" indent="0" shrinkToFit="false"/>
      <protection locked="false" hidden="false"/>
    </xf>
    <xf numFmtId="164" fontId="21" fillId="0" borderId="24" xfId="0" applyFont="true" applyBorder="true" applyAlignment="true" applyProtection="true">
      <alignment horizontal="distributed" vertical="center" textRotation="0" wrapText="false" indent="1" shrinkToFit="false"/>
      <protection locked="false" hidden="false"/>
    </xf>
    <xf numFmtId="164" fontId="20" fillId="0" borderId="14" xfId="0" applyFont="true" applyBorder="true" applyAlignment="true" applyProtection="true">
      <alignment horizontal="distributed" vertical="center" textRotation="0" wrapText="false" indent="1" shrinkToFit="false"/>
      <protection locked="false" hidden="false"/>
    </xf>
    <xf numFmtId="168" fontId="22" fillId="0" borderId="16" xfId="0" applyFont="true" applyBorder="true" applyAlignment="true" applyProtection="true">
      <alignment horizontal="right" vertical="center" textRotation="0" wrapText="false" indent="0" shrinkToFit="false"/>
      <protection locked="false" hidden="false"/>
    </xf>
    <xf numFmtId="168" fontId="24" fillId="0" borderId="27" xfId="0" applyFont="true" applyBorder="true" applyAlignment="true" applyProtection="true">
      <alignment horizontal="left" vertical="center" textRotation="0" wrapText="false" indent="0" shrinkToFit="false"/>
      <protection locked="false" hidden="false"/>
    </xf>
    <xf numFmtId="168" fontId="44" fillId="0" borderId="15" xfId="0" applyFont="true" applyBorder="true" applyAlignment="true" applyProtection="true">
      <alignment horizontal="distributed" vertical="center" textRotation="0" wrapText="false" indent="1" shrinkToFit="false"/>
      <protection locked="false" hidden="false"/>
    </xf>
    <xf numFmtId="164" fontId="35" fillId="0" borderId="18" xfId="0" applyFont="true" applyBorder="true" applyAlignment="true" applyProtection="true">
      <alignment horizontal="left" vertical="center" textRotation="0" wrapText="true" indent="0" shrinkToFit="false"/>
      <protection locked="false" hidden="false"/>
    </xf>
    <xf numFmtId="168" fontId="41" fillId="0" borderId="15" xfId="0" applyFont="true" applyBorder="true" applyAlignment="true" applyProtection="true">
      <alignment horizontal="center" vertical="center" textRotation="0" wrapText="false" indent="0" shrinkToFit="true"/>
      <protection locked="false" hidden="false"/>
    </xf>
    <xf numFmtId="168" fontId="21" fillId="0" borderId="15" xfId="0" applyFont="true" applyBorder="true" applyAlignment="true" applyProtection="true">
      <alignment horizontal="distributed" vertical="center" textRotation="0" wrapText="false" indent="1" shrinkToFit="false"/>
      <protection locked="false" hidden="false"/>
    </xf>
    <xf numFmtId="164" fontId="50" fillId="0" borderId="18" xfId="0" applyFont="true" applyBorder="true" applyAlignment="true" applyProtection="true">
      <alignment horizontal="general" vertical="center" textRotation="0" wrapText="false" indent="0" shrinkToFit="true"/>
      <protection locked="false" hidden="false"/>
    </xf>
    <xf numFmtId="168" fontId="24" fillId="0" borderId="24" xfId="0" applyFont="true" applyBorder="true" applyAlignment="true" applyProtection="true">
      <alignment horizontal="distributed" vertical="center" textRotation="0" wrapText="false" indent="1" shrinkToFit="false"/>
      <protection locked="false" hidden="false"/>
    </xf>
    <xf numFmtId="164" fontId="21" fillId="0" borderId="28" xfId="0" applyFont="true" applyBorder="true" applyAlignment="true" applyProtection="true">
      <alignment horizontal="left" vertical="center" textRotation="0" wrapText="false" indent="0" shrinkToFit="true"/>
      <protection locked="false" hidden="false"/>
    </xf>
    <xf numFmtId="168" fontId="21" fillId="0" borderId="24" xfId="0" applyFont="true" applyBorder="true" applyAlignment="true" applyProtection="true">
      <alignment horizontal="distributed" vertical="center" textRotation="0" wrapText="false" indent="1" shrinkToFit="false"/>
      <protection locked="false" hidden="false"/>
    </xf>
    <xf numFmtId="164" fontId="35" fillId="0" borderId="28" xfId="0" applyFont="true" applyBorder="true" applyAlignment="true" applyProtection="true">
      <alignment horizontal="left" vertical="center" textRotation="0" wrapText="false" indent="0" shrinkToFit="true"/>
      <protection locked="false" hidden="false"/>
    </xf>
    <xf numFmtId="168" fontId="48" fillId="0" borderId="71" xfId="0" applyFont="true" applyBorder="true" applyAlignment="true" applyProtection="false">
      <alignment horizontal="right" vertical="center" textRotation="0" wrapText="false" indent="0" shrinkToFit="false"/>
      <protection locked="true" hidden="false"/>
    </xf>
    <xf numFmtId="168" fontId="24" fillId="0" borderId="68" xfId="0" applyFont="true" applyBorder="true" applyAlignment="true" applyProtection="true">
      <alignment horizontal="left" vertical="center" textRotation="0" wrapText="false" indent="0" shrinkToFit="false"/>
      <protection locked="false" hidden="false"/>
    </xf>
    <xf numFmtId="168" fontId="24" fillId="0" borderId="72" xfId="0" applyFont="true" applyBorder="true" applyAlignment="true" applyProtection="true">
      <alignment horizontal="distributed" vertical="center" textRotation="0" wrapText="false" indent="0" shrinkToFit="false"/>
      <protection locked="false" hidden="false"/>
    </xf>
    <xf numFmtId="164" fontId="24" fillId="0" borderId="73" xfId="0" applyFont="true" applyBorder="true" applyAlignment="true" applyProtection="true">
      <alignment horizontal="left" vertical="center" textRotation="0" wrapText="true" indent="0" shrinkToFit="false"/>
      <protection locked="false" hidden="false"/>
    </xf>
    <xf numFmtId="164" fontId="20" fillId="0" borderId="28" xfId="0" applyFont="true" applyBorder="true" applyAlignment="true" applyProtection="true">
      <alignment horizontal="left" vertical="center" textRotation="0" wrapText="true" indent="0" shrinkToFit="false"/>
      <protection locked="false" hidden="false"/>
    </xf>
    <xf numFmtId="164" fontId="20" fillId="0" borderId="69" xfId="0" applyFont="true" applyBorder="true" applyAlignment="true" applyProtection="true">
      <alignment horizontal="center" vertical="center" textRotation="0" wrapText="false" indent="0" shrinkToFit="false"/>
      <protection locked="false" hidden="false"/>
    </xf>
    <xf numFmtId="168" fontId="35" fillId="0" borderId="20" xfId="0" applyFont="true" applyBorder="true" applyAlignment="true" applyProtection="true">
      <alignment horizontal="left" vertical="center" textRotation="0" wrapText="false" indent="0" shrinkToFit="false"/>
      <protection locked="false" hidden="false"/>
    </xf>
    <xf numFmtId="168" fontId="22" fillId="0" borderId="27" xfId="0" applyFont="true" applyBorder="true" applyAlignment="true" applyProtection="true">
      <alignment horizontal="general" vertical="center" textRotation="0" wrapText="false" indent="0" shrinkToFit="false"/>
      <protection locked="false" hidden="false"/>
    </xf>
    <xf numFmtId="168" fontId="22" fillId="0" borderId="66" xfId="0" applyFont="true" applyBorder="true" applyAlignment="true" applyProtection="true">
      <alignment horizontal="general" vertical="center" textRotation="0" wrapText="false" indent="0" shrinkToFit="false"/>
      <protection locked="false" hidden="false"/>
    </xf>
    <xf numFmtId="168" fontId="22" fillId="0" borderId="64" xfId="0" applyFont="true" applyBorder="true" applyAlignment="true" applyProtection="true">
      <alignment horizontal="center" vertical="center" textRotation="0" wrapText="false" indent="0" shrinkToFit="false"/>
      <protection locked="false" hidden="false"/>
    </xf>
    <xf numFmtId="164" fontId="22" fillId="0" borderId="67" xfId="0" applyFont="true" applyBorder="true" applyAlignment="true" applyProtection="true">
      <alignment horizontal="center" vertical="center" textRotation="0" wrapText="true" indent="0" shrinkToFit="false"/>
      <protection locked="false" hidden="false"/>
    </xf>
    <xf numFmtId="164" fontId="22" fillId="0" borderId="0" xfId="0" applyFont="true" applyBorder="false" applyAlignment="true" applyProtection="true">
      <alignment horizontal="center" vertical="center" textRotation="0" wrapText="false" indent="0" shrinkToFit="false"/>
      <protection locked="false" hidden="false"/>
    </xf>
    <xf numFmtId="168" fontId="52" fillId="0" borderId="4" xfId="0" applyFont="true" applyBorder="true" applyAlignment="true" applyProtection="true">
      <alignment horizontal="right" vertical="center" textRotation="0" wrapText="false" indent="0" shrinkToFit="false"/>
      <protection locked="false" hidden="false"/>
    </xf>
    <xf numFmtId="168" fontId="22" fillId="0" borderId="0" xfId="0" applyFont="true" applyBorder="false" applyAlignment="true" applyProtection="true">
      <alignment horizontal="right" vertical="center" textRotation="0" wrapText="false" indent="0" shrinkToFit="false"/>
      <protection locked="false" hidden="false"/>
    </xf>
    <xf numFmtId="168" fontId="53" fillId="0" borderId="4" xfId="0" applyFont="true" applyBorder="true" applyAlignment="true" applyProtection="true">
      <alignment horizontal="right" vertical="center" textRotation="0" wrapText="false" indent="0" shrinkToFit="false"/>
      <protection locked="false" hidden="false"/>
    </xf>
    <xf numFmtId="168" fontId="22" fillId="0" borderId="0" xfId="0" applyFont="true" applyBorder="false" applyAlignment="true" applyProtection="true">
      <alignment horizontal="center" vertical="center" textRotation="0" wrapText="false" indent="0" shrinkToFit="false"/>
      <protection locked="false" hidden="false"/>
    </xf>
    <xf numFmtId="164" fontId="22" fillId="0" borderId="0" xfId="0" applyFont="true" applyBorder="false" applyAlignment="true" applyProtection="true">
      <alignment horizontal="center" vertical="center" textRotation="0" wrapText="true" indent="0" shrinkToFit="false"/>
      <protection locked="false" hidden="false"/>
    </xf>
    <xf numFmtId="164" fontId="54" fillId="0" borderId="0" xfId="0" applyFont="true" applyBorder="false" applyAlignment="true" applyProtection="true">
      <alignment horizontal="general" vertical="bottom" textRotation="0" wrapText="false" indent="0" shrinkToFit="false"/>
      <protection locked="false" hidden="false"/>
    </xf>
    <xf numFmtId="164" fontId="55" fillId="0" borderId="2" xfId="0" applyFont="true" applyBorder="true" applyAlignment="true" applyProtection="true">
      <alignment horizontal="distributed" vertical="bottom" textRotation="0" wrapText="false" indent="0" shrinkToFit="false"/>
      <protection locked="false" hidden="false"/>
    </xf>
    <xf numFmtId="164" fontId="56" fillId="0" borderId="0" xfId="0" applyFont="true" applyBorder="true" applyAlignment="true" applyProtection="true">
      <alignment horizontal="distributed" vertical="bottom" textRotation="0" wrapText="false" indent="0" shrinkToFit="false"/>
      <protection locked="false" hidden="false"/>
    </xf>
    <xf numFmtId="164" fontId="54" fillId="0" borderId="0" xfId="0" applyFont="true" applyBorder="false" applyAlignment="true" applyProtection="true">
      <alignment horizontal="general" vertical="center" textRotation="0" wrapText="false" indent="0" shrinkToFit="false"/>
      <protection locked="false" hidden="false"/>
    </xf>
    <xf numFmtId="164" fontId="57" fillId="0" borderId="0" xfId="0" applyFont="true" applyBorder="false" applyAlignment="true" applyProtection="true">
      <alignment horizontal="center" vertical="bottom" textRotation="0" wrapText="false" indent="0" shrinkToFit="false"/>
      <protection locked="false" hidden="false"/>
    </xf>
    <xf numFmtId="164" fontId="58" fillId="0" borderId="0" xfId="0" applyFont="true" applyBorder="false" applyAlignment="true" applyProtection="true">
      <alignment horizontal="center" vertical="bottom" textRotation="0" wrapText="false" indent="0" shrinkToFit="false"/>
      <protection locked="false" hidden="false"/>
    </xf>
    <xf numFmtId="164" fontId="28" fillId="0" borderId="57" xfId="0" applyFont="true" applyBorder="true" applyAlignment="true" applyProtection="true">
      <alignment horizontal="center" vertical="center" textRotation="0" wrapText="false" indent="0" shrinkToFit="false"/>
      <protection locked="false" hidden="false"/>
    </xf>
    <xf numFmtId="164" fontId="28" fillId="0" borderId="58" xfId="0" applyFont="true" applyBorder="true" applyAlignment="true" applyProtection="true">
      <alignment horizontal="center" vertical="center" textRotation="0" wrapText="false" indent="0" shrinkToFit="false"/>
      <protection locked="false" hidden="false"/>
    </xf>
    <xf numFmtId="164" fontId="28" fillId="0" borderId="59" xfId="0" applyFont="true" applyBorder="true" applyAlignment="true" applyProtection="true">
      <alignment horizontal="center" vertical="center" textRotation="0" wrapText="false" indent="0" shrinkToFit="false"/>
      <protection locked="false" hidden="false"/>
    </xf>
    <xf numFmtId="164" fontId="54" fillId="0" borderId="11" xfId="0" applyFont="true" applyBorder="true" applyAlignment="true" applyProtection="true">
      <alignment horizontal="center" vertical="center" textRotation="0" wrapText="false" indent="0" shrinkToFit="false"/>
      <protection locked="false" hidden="false"/>
    </xf>
    <xf numFmtId="164" fontId="54" fillId="0" borderId="20" xfId="0" applyFont="true" applyBorder="true" applyAlignment="true" applyProtection="true">
      <alignment horizontal="center" vertical="center" textRotation="0" wrapText="false" indent="0" shrinkToFit="false"/>
      <protection locked="false" hidden="false"/>
    </xf>
    <xf numFmtId="164" fontId="54" fillId="0" borderId="60" xfId="0" applyFont="true" applyBorder="true" applyAlignment="true" applyProtection="true">
      <alignment horizontal="center" vertical="center" textRotation="0" wrapText="false" indent="0" shrinkToFit="false"/>
      <protection locked="false" hidden="false"/>
    </xf>
    <xf numFmtId="164" fontId="54" fillId="0" borderId="61" xfId="0" applyFont="true" applyBorder="true" applyAlignment="true" applyProtection="true">
      <alignment horizontal="center" vertical="center" textRotation="0" wrapText="false" indent="0" shrinkToFit="false"/>
      <protection locked="false" hidden="false"/>
    </xf>
    <xf numFmtId="168" fontId="59" fillId="0" borderId="60" xfId="0" applyFont="true" applyBorder="true" applyAlignment="true" applyProtection="true">
      <alignment horizontal="left" vertical="center" textRotation="0" wrapText="false" indent="0" shrinkToFit="false"/>
      <protection locked="false" hidden="false"/>
    </xf>
    <xf numFmtId="168" fontId="54" fillId="0" borderId="60" xfId="0" applyFont="true" applyBorder="true" applyAlignment="true" applyProtection="true">
      <alignment horizontal="left" vertical="center" textRotation="0" wrapText="false" indent="0" shrinkToFit="false"/>
      <protection locked="false" hidden="false"/>
    </xf>
    <xf numFmtId="164" fontId="54" fillId="0" borderId="62" xfId="0" applyFont="true" applyBorder="true" applyAlignment="true" applyProtection="true">
      <alignment horizontal="center" vertical="center" textRotation="0" wrapText="false" indent="0" shrinkToFit="false"/>
      <protection locked="false" hidden="false"/>
    </xf>
    <xf numFmtId="164" fontId="28" fillId="0" borderId="23" xfId="0" applyFont="true" applyBorder="true" applyAlignment="true" applyProtection="true">
      <alignment horizontal="distributed" vertical="center" textRotation="0" wrapText="false" indent="0" shrinkToFit="false"/>
      <protection locked="false" hidden="false"/>
    </xf>
    <xf numFmtId="168" fontId="29" fillId="0" borderId="25" xfId="0" applyFont="true" applyBorder="true" applyAlignment="true" applyProtection="true">
      <alignment horizontal="right" vertical="center" textRotation="0" wrapText="false" indent="0" shrinkToFit="false"/>
      <protection locked="false" hidden="false"/>
    </xf>
    <xf numFmtId="168" fontId="29" fillId="0" borderId="36" xfId="0" applyFont="true" applyBorder="true" applyAlignment="true" applyProtection="true">
      <alignment horizontal="left" vertical="center" textRotation="0" wrapText="false" indent="0" shrinkToFit="false"/>
      <protection locked="false" hidden="false"/>
    </xf>
    <xf numFmtId="164" fontId="59" fillId="0" borderId="24" xfId="0" applyFont="true" applyBorder="true" applyAlignment="true" applyProtection="true">
      <alignment horizontal="distributed" vertical="center" textRotation="0" wrapText="false" indent="0" shrinkToFit="false"/>
      <protection locked="false" hidden="false"/>
    </xf>
    <xf numFmtId="164" fontId="59" fillId="0" borderId="28" xfId="0" applyFont="true" applyBorder="true" applyAlignment="true" applyProtection="true">
      <alignment horizontal="left" vertical="center" textRotation="0" wrapText="true" indent="0" shrinkToFit="false"/>
      <protection locked="false" hidden="false"/>
    </xf>
    <xf numFmtId="164" fontId="28" fillId="0" borderId="63" xfId="0" applyFont="true" applyBorder="true" applyAlignment="true" applyProtection="true">
      <alignment horizontal="center" vertical="center" textRotation="0" wrapText="false" indent="0" shrinkToFit="false"/>
      <protection locked="false" hidden="false"/>
    </xf>
    <xf numFmtId="168" fontId="29" fillId="0" borderId="65" xfId="0" applyFont="true" applyBorder="true" applyAlignment="true" applyProtection="false">
      <alignment horizontal="right" vertical="center" textRotation="0" wrapText="false" indent="0" shrinkToFit="false"/>
      <protection locked="true" hidden="false"/>
    </xf>
    <xf numFmtId="168" fontId="29" fillId="0" borderId="68" xfId="0" applyFont="true" applyBorder="true" applyAlignment="true" applyProtection="true">
      <alignment horizontal="left" vertical="center" textRotation="0" wrapText="false" indent="0" shrinkToFit="false"/>
      <protection locked="false" hidden="false"/>
    </xf>
    <xf numFmtId="168" fontId="29" fillId="0" borderId="64" xfId="0" applyFont="true" applyBorder="true" applyAlignment="true" applyProtection="true">
      <alignment horizontal="distributed" vertical="center" textRotation="0" wrapText="false" indent="0" shrinkToFit="false"/>
      <protection locked="false" hidden="false"/>
    </xf>
    <xf numFmtId="164" fontId="29" fillId="0" borderId="67" xfId="0" applyFont="true" applyBorder="true" applyAlignment="true" applyProtection="true">
      <alignment horizontal="left" vertical="center" textRotation="0" wrapText="true" indent="0" shrinkToFit="false"/>
      <protection locked="false" hidden="false"/>
    </xf>
    <xf numFmtId="168" fontId="52" fillId="0" borderId="0" xfId="0" applyFont="true" applyBorder="false" applyAlignment="true" applyProtection="true">
      <alignment horizontal="right" vertical="center" textRotation="0" wrapText="false" indent="0" shrinkToFit="false"/>
      <protection locked="false" hidden="false"/>
    </xf>
    <xf numFmtId="168" fontId="53" fillId="0" borderId="0" xfId="0" applyFont="true" applyBorder="false" applyAlignment="true" applyProtection="true">
      <alignment horizontal="right" vertical="center" textRotation="0" wrapText="false" indent="0" shrinkToFit="false"/>
      <protection locked="false" hidden="false"/>
    </xf>
    <xf numFmtId="164" fontId="20" fillId="0" borderId="58" xfId="0" applyFont="true" applyBorder="true" applyAlignment="true" applyProtection="true">
      <alignment horizontal="distributed" vertical="center" textRotation="0" wrapText="false" indent="0" shrinkToFit="false"/>
      <protection locked="false" hidden="false"/>
    </xf>
    <xf numFmtId="168" fontId="20" fillId="0" borderId="58" xfId="0" applyFont="true" applyBorder="true" applyAlignment="true" applyProtection="true">
      <alignment horizontal="distributed" vertical="center" textRotation="0" wrapText="false" indent="0" shrinkToFit="false"/>
      <protection locked="false" hidden="false"/>
    </xf>
    <xf numFmtId="164" fontId="21" fillId="0" borderId="58" xfId="0" applyFont="true" applyBorder="true" applyAlignment="true" applyProtection="true">
      <alignment horizontal="distributed" vertical="center" textRotation="0" wrapText="false" indent="0" shrinkToFit="true"/>
      <protection locked="false" hidden="false"/>
    </xf>
    <xf numFmtId="164" fontId="20" fillId="0" borderId="59" xfId="0" applyFont="true" applyBorder="true" applyAlignment="true" applyProtection="true">
      <alignment horizontal="center" vertical="center" textRotation="0" wrapText="true" indent="0" shrinkToFit="false"/>
      <protection locked="false" hidden="false"/>
    </xf>
    <xf numFmtId="164" fontId="22" fillId="0" borderId="7" xfId="0" applyFont="true" applyBorder="true" applyAlignment="true" applyProtection="true">
      <alignment horizontal="center" vertical="center" textRotation="0" wrapText="false" indent="0" shrinkToFit="false"/>
      <protection locked="false" hidden="false"/>
    </xf>
    <xf numFmtId="164" fontId="20" fillId="0" borderId="49" xfId="0" applyFont="true" applyBorder="true" applyAlignment="true" applyProtection="true">
      <alignment horizontal="center" vertical="center" textRotation="0" wrapText="false" indent="0" shrinkToFit="false"/>
      <protection locked="false" hidden="false"/>
    </xf>
    <xf numFmtId="164" fontId="22" fillId="0" borderId="51" xfId="0" applyFont="true" applyBorder="true" applyAlignment="true" applyProtection="true">
      <alignment horizontal="center" vertical="center" textRotation="0" wrapText="false" indent="0" shrinkToFit="false"/>
      <protection locked="false" hidden="false"/>
    </xf>
    <xf numFmtId="168" fontId="22" fillId="0" borderId="51" xfId="0" applyFont="true" applyBorder="true" applyAlignment="true" applyProtection="true">
      <alignment horizontal="right" vertical="center" textRotation="0" wrapText="false" indent="0" shrinkToFit="false"/>
      <protection locked="false" hidden="false"/>
    </xf>
    <xf numFmtId="168" fontId="22" fillId="0" borderId="51" xfId="0" applyFont="true" applyBorder="true" applyAlignment="true" applyProtection="true">
      <alignment horizontal="center" vertical="center" textRotation="0" wrapText="false" indent="0" shrinkToFit="false"/>
      <protection locked="false" hidden="false"/>
    </xf>
    <xf numFmtId="164" fontId="22" fillId="0" borderId="51" xfId="0" applyFont="true" applyBorder="true" applyAlignment="true" applyProtection="true">
      <alignment horizontal="center" vertical="center" textRotation="0" wrapText="true" indent="0" shrinkToFit="false"/>
      <protection locked="false" hidden="false"/>
    </xf>
    <xf numFmtId="164" fontId="22" fillId="0" borderId="9" xfId="0" applyFont="true" applyBorder="true" applyAlignment="true" applyProtection="true">
      <alignment horizontal="center" vertical="center" textRotation="0" wrapText="true" indent="0" shrinkToFit="false"/>
      <protection locked="false" hidden="false"/>
    </xf>
    <xf numFmtId="171" fontId="22" fillId="0" borderId="24" xfId="0" applyFont="true" applyBorder="true" applyAlignment="true" applyProtection="true">
      <alignment horizontal="right" vertical="center" textRotation="0" wrapText="false" indent="0" shrinkToFit="false"/>
      <protection locked="false" hidden="false"/>
    </xf>
    <xf numFmtId="171" fontId="48" fillId="0" borderId="24" xfId="0" applyFont="true" applyBorder="true" applyAlignment="true" applyProtection="false">
      <alignment horizontal="right" vertical="center" textRotation="0" wrapText="false" indent="0" shrinkToFit="false"/>
      <protection locked="true" hidden="false"/>
    </xf>
    <xf numFmtId="171" fontId="22" fillId="0" borderId="24" xfId="0" applyFont="true" applyBorder="true" applyAlignment="true" applyProtection="false">
      <alignment horizontal="right" vertical="center" textRotation="0" wrapText="false" indent="0" shrinkToFit="false"/>
      <protection locked="true" hidden="false"/>
    </xf>
    <xf numFmtId="164" fontId="31" fillId="0" borderId="28" xfId="0" applyFont="true" applyBorder="true" applyAlignment="true" applyProtection="true">
      <alignment horizontal="left" vertical="center" textRotation="0" wrapText="true" indent="0" shrinkToFit="false"/>
      <protection locked="false" hidden="false"/>
    </xf>
    <xf numFmtId="171" fontId="48" fillId="0" borderId="74" xfId="0" applyFont="true" applyBorder="true" applyAlignment="true" applyProtection="false">
      <alignment horizontal="right" vertical="center" textRotation="0" wrapText="false" indent="0" shrinkToFit="false"/>
      <protection locked="true" hidden="false"/>
    </xf>
    <xf numFmtId="171" fontId="48" fillId="0" borderId="75" xfId="0" applyFont="true" applyBorder="true" applyAlignment="true" applyProtection="false">
      <alignment horizontal="right" vertical="center" textRotation="0" wrapText="false" indent="0" shrinkToFit="false"/>
      <protection locked="true" hidden="false"/>
    </xf>
    <xf numFmtId="168" fontId="20" fillId="0" borderId="58" xfId="0" applyFont="true" applyBorder="true" applyAlignment="true" applyProtection="true">
      <alignment horizontal="center" vertical="center" textRotation="0" wrapText="false" indent="0" shrinkToFit="false"/>
      <protection locked="false" hidden="false"/>
    </xf>
    <xf numFmtId="168" fontId="35" fillId="0" borderId="58" xfId="0" applyFont="true" applyBorder="true" applyAlignment="true" applyProtection="true">
      <alignment horizontal="center" vertical="center" textRotation="0" wrapText="false" indent="0" shrinkToFit="false"/>
      <protection locked="false" hidden="false"/>
    </xf>
    <xf numFmtId="164" fontId="22" fillId="0" borderId="11" xfId="0" applyFont="true" applyBorder="true" applyAlignment="true" applyProtection="true">
      <alignment horizontal="center" vertical="center" textRotation="0" wrapText="false" indent="0" shrinkToFit="false"/>
      <protection locked="false" hidden="false"/>
    </xf>
    <xf numFmtId="164" fontId="22" fillId="0" borderId="20" xfId="0" applyFont="true" applyBorder="true" applyAlignment="true" applyProtection="true">
      <alignment horizontal="center" vertical="center" textRotation="0" wrapText="false" indent="0" shrinkToFit="false"/>
      <protection locked="false" hidden="false"/>
    </xf>
    <xf numFmtId="164" fontId="20" fillId="0" borderId="60" xfId="0" applyFont="true" applyBorder="true" applyAlignment="true" applyProtection="true">
      <alignment horizontal="center" vertical="center" textRotation="0" wrapText="false" indent="0" shrinkToFit="false"/>
      <protection locked="false" hidden="false"/>
    </xf>
    <xf numFmtId="164" fontId="22" fillId="0" borderId="61" xfId="0" applyFont="true" applyBorder="true" applyAlignment="true" applyProtection="true">
      <alignment horizontal="center" vertical="center" textRotation="0" wrapText="false" indent="0" shrinkToFit="false"/>
      <protection locked="false" hidden="false"/>
    </xf>
    <xf numFmtId="164" fontId="20" fillId="0" borderId="61" xfId="0" applyFont="true" applyBorder="true" applyAlignment="true" applyProtection="true">
      <alignment horizontal="center" vertical="center" textRotation="0" wrapText="false" indent="0" shrinkToFit="false"/>
      <protection locked="false" hidden="false"/>
    </xf>
    <xf numFmtId="168" fontId="22" fillId="0" borderId="60" xfId="0" applyFont="true" applyBorder="true" applyAlignment="true" applyProtection="true">
      <alignment horizontal="right" vertical="center" textRotation="0" wrapText="false" indent="0" shrinkToFit="false"/>
      <protection locked="false" hidden="false"/>
    </xf>
    <xf numFmtId="168" fontId="22" fillId="0" borderId="61" xfId="0" applyFont="true" applyBorder="true" applyAlignment="true" applyProtection="true">
      <alignment horizontal="right" vertical="center" textRotation="0" wrapText="false" indent="0" shrinkToFit="false"/>
      <protection locked="false" hidden="false"/>
    </xf>
    <xf numFmtId="164" fontId="20" fillId="0" borderId="20" xfId="0" applyFont="true" applyBorder="true" applyAlignment="true" applyProtection="true">
      <alignment horizontal="center" vertical="center" textRotation="0" wrapText="false" indent="0" shrinkToFit="false"/>
      <protection locked="false" hidden="false"/>
    </xf>
    <xf numFmtId="168" fontId="20" fillId="0" borderId="60" xfId="0" applyFont="true" applyBorder="true" applyAlignment="true" applyProtection="true">
      <alignment horizontal="right" vertical="center" textRotation="0" wrapText="false" indent="0" shrinkToFit="false"/>
      <protection locked="false" hidden="false"/>
    </xf>
    <xf numFmtId="168" fontId="22" fillId="0" borderId="20" xfId="0" applyFont="true" applyBorder="true" applyAlignment="true" applyProtection="true">
      <alignment horizontal="center" vertical="center" textRotation="0" wrapText="false" indent="0" shrinkToFit="false"/>
      <protection locked="false" hidden="false"/>
    </xf>
    <xf numFmtId="164" fontId="20" fillId="0" borderId="60" xfId="0" applyFont="true" applyBorder="true" applyAlignment="true" applyProtection="true">
      <alignment horizontal="right" vertical="center" textRotation="0" wrapText="false" indent="0" shrinkToFit="false"/>
      <protection locked="false" hidden="false"/>
    </xf>
    <xf numFmtId="164" fontId="22" fillId="0" borderId="20" xfId="0" applyFont="true" applyBorder="true" applyAlignment="true" applyProtection="true">
      <alignment horizontal="center" vertical="center" textRotation="0" wrapText="true" indent="0" shrinkToFit="false"/>
      <protection locked="false" hidden="false"/>
    </xf>
    <xf numFmtId="164" fontId="22" fillId="0" borderId="62" xfId="0" applyFont="true" applyBorder="true" applyAlignment="true" applyProtection="true">
      <alignment horizontal="center" vertical="center" textRotation="0" wrapText="true" indent="0" shrinkToFit="false"/>
      <protection locked="false" hidden="false"/>
    </xf>
    <xf numFmtId="164" fontId="21" fillId="0" borderId="76" xfId="0" applyFont="true" applyBorder="true" applyAlignment="true" applyProtection="true">
      <alignment horizontal="distributed" vertical="center" textRotation="0" wrapText="false" indent="0" shrinkToFit="false"/>
      <protection locked="false" hidden="false"/>
    </xf>
    <xf numFmtId="171" fontId="20" fillId="0" borderId="77" xfId="0" applyFont="true" applyBorder="true" applyAlignment="true" applyProtection="true">
      <alignment horizontal="center" vertical="center" textRotation="0" wrapText="false" indent="0" shrinkToFit="false"/>
      <protection locked="false" hidden="false"/>
    </xf>
    <xf numFmtId="171" fontId="22" fillId="0" borderId="77" xfId="0" applyFont="true" applyBorder="true" applyAlignment="true" applyProtection="true">
      <alignment horizontal="right" vertical="center" textRotation="0" wrapText="false" indent="0" shrinkToFit="false"/>
      <protection locked="false" hidden="false"/>
    </xf>
    <xf numFmtId="171" fontId="22" fillId="0" borderId="77" xfId="0" applyFont="true" applyBorder="true" applyAlignment="true" applyProtection="false">
      <alignment horizontal="right" vertical="center" textRotation="0" wrapText="false" indent="0" shrinkToFit="false"/>
      <protection locked="true" hidden="false"/>
    </xf>
    <xf numFmtId="173" fontId="48" fillId="0" borderId="77" xfId="0" applyFont="true" applyBorder="true" applyAlignment="true" applyProtection="false">
      <alignment horizontal="center" vertical="center" textRotation="0" wrapText="false" indent="0" shrinkToFit="false"/>
      <protection locked="true" hidden="false"/>
    </xf>
    <xf numFmtId="171" fontId="35" fillId="0" borderId="78" xfId="0" applyFont="true" applyBorder="true" applyAlignment="true" applyProtection="true">
      <alignment horizontal="left" vertical="center" textRotation="0" wrapText="true" indent="0" shrinkToFit="true"/>
      <protection locked="false" hidden="false"/>
    </xf>
    <xf numFmtId="171" fontId="20" fillId="0" borderId="24" xfId="0" applyFont="true" applyBorder="true" applyAlignment="true" applyProtection="true">
      <alignment horizontal="center" vertical="center" textRotation="0" wrapText="false" indent="0" shrinkToFit="false"/>
      <protection locked="false" hidden="false"/>
    </xf>
    <xf numFmtId="173" fontId="48" fillId="0" borderId="24" xfId="0" applyFont="true" applyBorder="true" applyAlignment="true" applyProtection="false">
      <alignment horizontal="center" vertical="center" textRotation="0" wrapText="false" indent="0" shrinkToFit="false"/>
      <protection locked="true" hidden="false"/>
    </xf>
    <xf numFmtId="171" fontId="35" fillId="0" borderId="28" xfId="0" applyFont="true" applyBorder="true" applyAlignment="true" applyProtection="true">
      <alignment horizontal="left" vertical="center" textRotation="0" wrapText="true" indent="0" shrinkToFit="true"/>
      <protection locked="false" hidden="false"/>
    </xf>
    <xf numFmtId="171" fontId="60" fillId="0" borderId="64" xfId="0" applyFont="true" applyBorder="true" applyAlignment="true" applyProtection="true">
      <alignment horizontal="center" vertical="center" textRotation="0" wrapText="false" indent="0" shrinkToFit="false"/>
      <protection locked="false" hidden="false"/>
    </xf>
    <xf numFmtId="171" fontId="48" fillId="0" borderId="74" xfId="0" applyFont="true" applyBorder="true" applyAlignment="true" applyProtection="false">
      <alignment horizontal="center" vertical="center" textRotation="0" wrapText="false" indent="0" shrinkToFit="false"/>
      <protection locked="true" hidden="false"/>
    </xf>
    <xf numFmtId="171" fontId="60" fillId="0" borderId="67" xfId="0" applyFont="true" applyBorder="true" applyAlignment="true" applyProtection="true">
      <alignment horizontal="center" vertical="center" textRotation="0" wrapText="false" indent="0" shrinkToFit="false"/>
      <protection locked="false" hidden="false"/>
    </xf>
    <xf numFmtId="164" fontId="21" fillId="0" borderId="58" xfId="0" applyFont="true" applyBorder="true" applyAlignment="true" applyProtection="true">
      <alignment horizontal="distributed" vertical="center" textRotation="0" wrapText="false" indent="0" shrinkToFit="false"/>
      <protection locked="false" hidden="false"/>
    </xf>
    <xf numFmtId="164" fontId="31" fillId="0" borderId="79" xfId="0" applyFont="true" applyBorder="true" applyAlignment="true" applyProtection="true">
      <alignment horizontal="distributed" vertical="center" textRotation="0" wrapText="false" indent="0" shrinkToFit="false"/>
      <protection locked="false" hidden="false"/>
    </xf>
    <xf numFmtId="164" fontId="35" fillId="0" borderId="19" xfId="0" applyFont="true" applyBorder="true" applyAlignment="true" applyProtection="true">
      <alignment horizontal="right" vertical="center" textRotation="0" wrapText="false" indent="0" shrinkToFit="false"/>
      <protection locked="false" hidden="false"/>
    </xf>
    <xf numFmtId="164" fontId="31" fillId="0" borderId="22" xfId="0" applyFont="true" applyBorder="true" applyAlignment="true" applyProtection="true">
      <alignment horizontal="distributed" vertical="center" textRotation="0" wrapText="false" indent="0" shrinkToFit="false"/>
      <protection locked="false" hidden="false"/>
    </xf>
    <xf numFmtId="168" fontId="22" fillId="0" borderId="24" xfId="0" applyFont="true" applyBorder="true" applyAlignment="true" applyProtection="false">
      <alignment horizontal="right" vertical="center" textRotation="0" wrapText="false" indent="0" shrinkToFit="false"/>
      <protection locked="true" hidden="false"/>
    </xf>
    <xf numFmtId="164" fontId="24" fillId="0" borderId="28" xfId="0" applyFont="true" applyBorder="true" applyAlignment="true" applyProtection="true">
      <alignment horizontal="left" vertical="center" textRotation="0" wrapText="true" indent="0" shrinkToFit="false"/>
      <protection locked="false" hidden="false"/>
    </xf>
    <xf numFmtId="168" fontId="48" fillId="0" borderId="74" xfId="0" applyFont="true" applyBorder="true" applyAlignment="true" applyProtection="false">
      <alignment horizontal="right" vertical="center" textRotation="0" wrapText="false" indent="0" shrinkToFit="false"/>
      <protection locked="true" hidden="false"/>
    </xf>
    <xf numFmtId="168" fontId="22" fillId="0" borderId="74" xfId="0" applyFont="true" applyBorder="true" applyAlignment="true" applyProtection="false">
      <alignment horizontal="right" vertical="center" textRotation="0" wrapText="false" indent="0" shrinkToFit="false"/>
      <protection locked="true" hidden="false"/>
    </xf>
    <xf numFmtId="164" fontId="24" fillId="0" borderId="67" xfId="0" applyFont="true" applyBorder="true" applyAlignment="true" applyProtection="true">
      <alignment horizontal="left" vertical="center" textRotation="0" wrapText="true" indent="0" shrinkToFit="false"/>
      <protection locked="false" hidden="false"/>
    </xf>
    <xf numFmtId="164" fontId="15" fillId="6" borderId="0" xfId="0" applyFont="true" applyBorder="false" applyAlignment="true" applyProtection="true">
      <alignment horizontal="general" vertical="bottom" textRotation="0" wrapText="false" indent="0" shrinkToFit="false"/>
      <protection locked="false" hidden="false"/>
    </xf>
    <xf numFmtId="164" fontId="16" fillId="6" borderId="2" xfId="0" applyFont="true" applyBorder="true" applyAlignment="true" applyProtection="true">
      <alignment horizontal="distributed" vertical="bottom" textRotation="0" wrapText="false" indent="0" shrinkToFit="false"/>
      <protection locked="false" hidden="false"/>
    </xf>
    <xf numFmtId="164" fontId="33" fillId="6" borderId="0" xfId="0" applyFont="true" applyBorder="true" applyAlignment="true" applyProtection="true">
      <alignment horizontal="distributed" vertical="bottom" textRotation="0" wrapText="false" indent="0" shrinkToFit="false"/>
      <protection locked="false" hidden="false"/>
    </xf>
    <xf numFmtId="164" fontId="15" fillId="6" borderId="0" xfId="0" applyFont="true" applyBorder="false" applyAlignment="true" applyProtection="true">
      <alignment horizontal="right" vertical="center" textRotation="0" wrapText="false" indent="0" shrinkToFit="false"/>
      <protection locked="false" hidden="false"/>
    </xf>
    <xf numFmtId="164" fontId="41" fillId="6" borderId="57" xfId="0" applyFont="true" applyBorder="true" applyAlignment="true" applyProtection="true">
      <alignment horizontal="distributed" vertical="center" textRotation="0" wrapText="false" indent="0" shrinkToFit="false"/>
      <protection locked="false" hidden="false"/>
    </xf>
    <xf numFmtId="168" fontId="41" fillId="6" borderId="58" xfId="0" applyFont="true" applyBorder="true" applyAlignment="true" applyProtection="true">
      <alignment horizontal="distributed" vertical="center" textRotation="0" wrapText="false" indent="0" shrinkToFit="false"/>
      <protection locked="false" hidden="false"/>
    </xf>
    <xf numFmtId="164" fontId="41" fillId="6" borderId="58" xfId="0" applyFont="true" applyBorder="true" applyAlignment="true" applyProtection="true">
      <alignment horizontal="distributed" vertical="center" textRotation="0" wrapText="false" indent="0" shrinkToFit="false"/>
      <protection locked="false" hidden="false"/>
    </xf>
    <xf numFmtId="164" fontId="41" fillId="6" borderId="59" xfId="0" applyFont="true" applyBorder="true" applyAlignment="true" applyProtection="true">
      <alignment horizontal="center" vertical="center" textRotation="0" wrapText="false" indent="0" shrinkToFit="false"/>
      <protection locked="false" hidden="false"/>
    </xf>
    <xf numFmtId="164" fontId="15" fillId="0" borderId="0" xfId="0" applyFont="true" applyBorder="false" applyAlignment="true" applyProtection="false">
      <alignment horizontal="left" vertical="center" textRotation="0" wrapText="false" indent="0" shrinkToFit="false"/>
      <protection locked="true" hidden="false"/>
    </xf>
    <xf numFmtId="164" fontId="31" fillId="6" borderId="79" xfId="0" applyFont="true" applyBorder="true" applyAlignment="true" applyProtection="true">
      <alignment horizontal="center" vertical="center" textRotation="0" wrapText="false" indent="0" shrinkToFit="false"/>
      <protection locked="false" hidden="false"/>
    </xf>
    <xf numFmtId="168" fontId="35" fillId="6" borderId="19" xfId="0" applyFont="true" applyBorder="true" applyAlignment="true" applyProtection="true">
      <alignment horizontal="right" vertical="center" textRotation="0" wrapText="false" indent="0" shrinkToFit="false"/>
      <protection locked="false" hidden="false"/>
    </xf>
    <xf numFmtId="164" fontId="35" fillId="6" borderId="19" xfId="0" applyFont="true" applyBorder="true" applyAlignment="true" applyProtection="true">
      <alignment horizontal="right" vertical="center" textRotation="0" wrapText="false" indent="0" shrinkToFit="false"/>
      <protection locked="false" hidden="false"/>
    </xf>
    <xf numFmtId="164" fontId="35" fillId="6" borderId="18" xfId="0" applyFont="true" applyBorder="true" applyAlignment="true" applyProtection="true">
      <alignment horizontal="left" vertical="center" textRotation="0" wrapText="true" indent="0" shrinkToFit="false"/>
      <protection locked="false" hidden="false"/>
    </xf>
    <xf numFmtId="164" fontId="35" fillId="6" borderId="23" xfId="0" applyFont="true" applyBorder="true" applyAlignment="true" applyProtection="true">
      <alignment horizontal="distributed" vertical="top" textRotation="0" wrapText="false" indent="0" shrinkToFit="false"/>
      <protection locked="false" hidden="false"/>
    </xf>
    <xf numFmtId="170" fontId="35" fillId="6" borderId="24" xfId="0" applyFont="true" applyBorder="true" applyAlignment="true" applyProtection="true">
      <alignment horizontal="center" vertical="top" textRotation="0" wrapText="false" indent="0" shrinkToFit="false"/>
      <protection locked="false" hidden="false"/>
    </xf>
    <xf numFmtId="168" fontId="31" fillId="6" borderId="24" xfId="0" applyFont="true" applyBorder="true" applyAlignment="true" applyProtection="true">
      <alignment horizontal="general" vertical="top" textRotation="0" wrapText="false" indent="0" shrinkToFit="false"/>
      <protection locked="false" hidden="false"/>
    </xf>
    <xf numFmtId="174" fontId="31" fillId="6" borderId="24" xfId="0" applyFont="true" applyBorder="true" applyAlignment="true" applyProtection="false">
      <alignment horizontal="general" vertical="top" textRotation="0" wrapText="false" indent="0" shrinkToFit="false"/>
      <protection locked="true" hidden="false"/>
    </xf>
    <xf numFmtId="164" fontId="35" fillId="6" borderId="14" xfId="0" applyFont="true" applyBorder="true" applyAlignment="true" applyProtection="true">
      <alignment horizontal="distributed" vertical="center" textRotation="0" wrapText="false" indent="0" shrinkToFit="false"/>
      <protection locked="false" hidden="false"/>
    </xf>
    <xf numFmtId="168" fontId="31" fillId="6" borderId="15" xfId="0" applyFont="true" applyBorder="true" applyAlignment="true" applyProtection="true">
      <alignment horizontal="center" vertical="center" textRotation="0" wrapText="false" indent="0" shrinkToFit="false"/>
      <protection locked="false" hidden="false"/>
    </xf>
    <xf numFmtId="168" fontId="31" fillId="6" borderId="15" xfId="0" applyFont="true" applyBorder="true" applyAlignment="true" applyProtection="true">
      <alignment horizontal="general" vertical="center" textRotation="0" wrapText="false" indent="0" shrinkToFit="false"/>
      <protection locked="false" hidden="false"/>
    </xf>
    <xf numFmtId="170" fontId="35" fillId="6" borderId="15" xfId="0" applyFont="true" applyBorder="true" applyAlignment="true" applyProtection="true">
      <alignment horizontal="right" vertical="center" textRotation="0" wrapText="false" indent="0" shrinkToFit="false"/>
      <protection locked="false" hidden="false"/>
    </xf>
    <xf numFmtId="164" fontId="35" fillId="6" borderId="63" xfId="0" applyFont="true" applyBorder="true" applyAlignment="true" applyProtection="true">
      <alignment horizontal="center" vertical="center" textRotation="0" wrapText="false" indent="0" shrinkToFit="false"/>
      <protection locked="false" hidden="false"/>
    </xf>
    <xf numFmtId="168" fontId="31" fillId="6" borderId="64" xfId="0" applyFont="true" applyBorder="true" applyAlignment="true" applyProtection="true">
      <alignment horizontal="center" vertical="center" textRotation="0" wrapText="false" indent="0" shrinkToFit="false"/>
      <protection locked="false" hidden="false"/>
    </xf>
    <xf numFmtId="168" fontId="31" fillId="6" borderId="74" xfId="0" applyFont="true" applyBorder="true" applyAlignment="true" applyProtection="false">
      <alignment horizontal="general" vertical="center" textRotation="0" wrapText="false" indent="0" shrinkToFit="false"/>
      <protection locked="true" hidden="false"/>
    </xf>
    <xf numFmtId="168" fontId="31" fillId="6" borderId="64" xfId="0" applyFont="true" applyBorder="true" applyAlignment="true" applyProtection="true">
      <alignment horizontal="general" vertical="center" textRotation="0" wrapText="false" indent="0" shrinkToFit="false"/>
      <protection locked="false" hidden="false"/>
    </xf>
    <xf numFmtId="164" fontId="31" fillId="6" borderId="67" xfId="0" applyFont="true" applyBorder="true" applyAlignment="true" applyProtection="true">
      <alignment horizontal="left" vertical="center" textRotation="0" wrapText="true" indent="0" shrinkToFit="false"/>
      <protection locked="false" hidden="false"/>
    </xf>
    <xf numFmtId="164" fontId="61" fillId="6" borderId="2" xfId="0" applyFont="true" applyBorder="true" applyAlignment="true" applyProtection="true">
      <alignment horizontal="distributed" vertical="bottom" textRotation="0" wrapText="false" indent="0" shrinkToFit="false"/>
      <protection locked="false" hidden="false"/>
    </xf>
    <xf numFmtId="164" fontId="20" fillId="6" borderId="57" xfId="0" applyFont="true" applyBorder="true" applyAlignment="true" applyProtection="true">
      <alignment horizontal="center" vertical="center" textRotation="0" wrapText="false" indent="0" shrinkToFit="false"/>
      <protection locked="false" hidden="false"/>
    </xf>
    <xf numFmtId="164" fontId="20" fillId="6" borderId="58" xfId="0" applyFont="true" applyBorder="true" applyAlignment="true" applyProtection="true">
      <alignment horizontal="distributed" vertical="center" textRotation="0" wrapText="false" indent="0" shrinkToFit="false"/>
      <protection locked="false" hidden="false"/>
    </xf>
    <xf numFmtId="164" fontId="21" fillId="6" borderId="58" xfId="0" applyFont="true" applyBorder="true" applyAlignment="true" applyProtection="true">
      <alignment horizontal="distributed" vertical="center" textRotation="0" wrapText="false" indent="0" shrinkToFit="false"/>
      <protection locked="false" hidden="false"/>
    </xf>
    <xf numFmtId="164" fontId="20" fillId="6" borderId="59" xfId="0" applyFont="true" applyBorder="true" applyAlignment="true" applyProtection="true">
      <alignment horizontal="center" vertical="center" textRotation="0" wrapText="false" indent="0" shrinkToFit="false"/>
      <protection locked="false" hidden="false"/>
    </xf>
    <xf numFmtId="164" fontId="15" fillId="5" borderId="0" xfId="0" applyFont="true" applyBorder="false" applyAlignment="true" applyProtection="false">
      <alignment horizontal="general" vertical="bottom" textRotation="0" wrapText="false" indent="0" shrinkToFit="false"/>
      <protection locked="true" hidden="false"/>
    </xf>
    <xf numFmtId="164" fontId="31" fillId="6" borderId="22" xfId="0" applyFont="true" applyBorder="true" applyAlignment="true" applyProtection="true">
      <alignment horizontal="distributed" vertical="center" textRotation="0" wrapText="false" indent="0" shrinkToFit="false"/>
      <protection locked="false" hidden="false"/>
    </xf>
    <xf numFmtId="164" fontId="20" fillId="6" borderId="23" xfId="0" applyFont="true" applyBorder="true" applyAlignment="true" applyProtection="true">
      <alignment horizontal="distributed" vertical="top" textRotation="0" wrapText="false" indent="0" shrinkToFit="false"/>
      <protection locked="false" hidden="false"/>
    </xf>
    <xf numFmtId="168" fontId="22" fillId="6" borderId="24" xfId="0" applyFont="true" applyBorder="true" applyAlignment="true" applyProtection="true">
      <alignment horizontal="right" vertical="top" textRotation="0" wrapText="false" indent="0" shrinkToFit="false"/>
      <protection locked="false" hidden="false"/>
    </xf>
    <xf numFmtId="168" fontId="22" fillId="6" borderId="24" xfId="0" applyFont="true" applyBorder="true" applyAlignment="true" applyProtection="false">
      <alignment horizontal="right" vertical="top" textRotation="0" wrapText="false" indent="0" shrinkToFit="false"/>
      <protection locked="true" hidden="false"/>
    </xf>
    <xf numFmtId="164" fontId="22" fillId="6" borderId="28" xfId="0" applyFont="true" applyBorder="true" applyAlignment="true" applyProtection="true">
      <alignment horizontal="left" vertical="top" textRotation="0" wrapText="true" indent="0" shrinkToFit="false"/>
      <protection locked="false" hidden="false"/>
    </xf>
    <xf numFmtId="164" fontId="15" fillId="5" borderId="0" xfId="0" applyFont="true" applyBorder="false" applyAlignment="true" applyProtection="false">
      <alignment horizontal="general" vertical="top" textRotation="0" wrapText="false" indent="0" shrinkToFit="false"/>
      <protection locked="true" hidden="false"/>
    </xf>
    <xf numFmtId="164" fontId="20" fillId="6" borderId="63" xfId="0" applyFont="true" applyBorder="true" applyAlignment="true" applyProtection="true">
      <alignment horizontal="center" vertical="center" textRotation="0" wrapText="false" indent="0" shrinkToFit="false"/>
      <protection locked="false" hidden="false"/>
    </xf>
    <xf numFmtId="168" fontId="22" fillId="6" borderId="74" xfId="0" applyFont="true" applyBorder="true" applyAlignment="true" applyProtection="false">
      <alignment horizontal="right" vertical="center" textRotation="0" wrapText="false" indent="0" shrinkToFit="false"/>
      <protection locked="true" hidden="false"/>
    </xf>
    <xf numFmtId="164" fontId="22" fillId="6" borderId="67" xfId="0" applyFont="true" applyBorder="true" applyAlignment="true" applyProtection="true">
      <alignment horizontal="left" vertical="center" textRotation="0" wrapText="true" indent="0" shrinkToFit="false"/>
      <protection locked="false" hidden="false"/>
    </xf>
    <xf numFmtId="164" fontId="16" fillId="0" borderId="2" xfId="0" applyFont="true" applyBorder="true" applyAlignment="true" applyProtection="true">
      <alignment horizontal="general" vertical="bottom" textRotation="0" wrapText="false" indent="0" shrinkToFit="false"/>
      <protection locked="false" hidden="false"/>
    </xf>
    <xf numFmtId="164" fontId="21" fillId="0" borderId="18" xfId="0" applyFont="true" applyBorder="true" applyAlignment="true" applyProtection="true">
      <alignment horizontal="left" vertical="center" textRotation="0" wrapText="true" indent="0" shrinkToFit="false"/>
      <protection locked="false" hidden="false"/>
    </xf>
    <xf numFmtId="164" fontId="20" fillId="0" borderId="23" xfId="0" applyFont="true" applyBorder="true" applyAlignment="true" applyProtection="true">
      <alignment horizontal="distributed" vertical="center" textRotation="0" wrapText="false" indent="0" shrinkToFit="true"/>
      <protection locked="false" hidden="false"/>
    </xf>
    <xf numFmtId="168" fontId="22" fillId="0" borderId="24" xfId="0" applyFont="true" applyBorder="true" applyAlignment="true" applyProtection="true">
      <alignment horizontal="right" vertical="center" textRotation="0" wrapText="false" indent="0" shrinkToFit="false"/>
      <protection locked="false" hidden="false"/>
    </xf>
    <xf numFmtId="168" fontId="48" fillId="0" borderId="24" xfId="0" applyFont="true" applyBorder="true" applyAlignment="true" applyProtection="false">
      <alignment horizontal="right" vertical="center" textRotation="0" wrapText="false" indent="0" shrinkToFit="false"/>
      <protection locked="true" hidden="false"/>
    </xf>
    <xf numFmtId="164" fontId="15" fillId="0" borderId="79" xfId="0" applyFont="true" applyBorder="true" applyAlignment="true" applyProtection="true">
      <alignment horizontal="center" vertical="center" textRotation="0" wrapText="false" indent="0" shrinkToFit="false"/>
      <protection locked="false" hidden="false"/>
    </xf>
    <xf numFmtId="164" fontId="35" fillId="0" borderId="22" xfId="0" applyFont="true" applyBorder="true" applyAlignment="true" applyProtection="true">
      <alignment horizontal="right" vertical="center" textRotation="0" wrapText="false" indent="0" shrinkToFit="false"/>
      <protection locked="false" hidden="false"/>
    </xf>
    <xf numFmtId="168" fontId="48" fillId="0" borderId="28" xfId="0" applyFont="true" applyBorder="true" applyAlignment="true" applyProtection="false">
      <alignment horizontal="right" vertical="center" textRotation="0" wrapText="false" indent="0" shrinkToFit="false"/>
      <protection locked="true" hidden="false"/>
    </xf>
    <xf numFmtId="164" fontId="20" fillId="0" borderId="14" xfId="0" applyFont="true" applyBorder="true" applyAlignment="true" applyProtection="true">
      <alignment horizontal="distributed" vertical="center" textRotation="0" wrapText="false" indent="0" shrinkToFit="false"/>
      <protection locked="false" hidden="false"/>
    </xf>
    <xf numFmtId="168" fontId="22" fillId="0" borderId="15" xfId="0" applyFont="true" applyBorder="true" applyAlignment="true" applyProtection="false">
      <alignment horizontal="right" vertical="center" textRotation="0" wrapText="false" indent="0" shrinkToFit="false"/>
      <protection locked="true" hidden="false"/>
    </xf>
    <xf numFmtId="168" fontId="48" fillId="0" borderId="18" xfId="0" applyFont="true" applyBorder="true" applyAlignment="true" applyProtection="false">
      <alignment horizontal="right" vertical="center" textRotation="0" wrapText="false" indent="0" shrinkToFit="false"/>
      <protection locked="true" hidden="false"/>
    </xf>
    <xf numFmtId="164" fontId="15" fillId="0" borderId="0" xfId="0" applyFont="true" applyBorder="false" applyAlignment="true" applyProtection="true">
      <alignment horizontal="general" vertical="center" textRotation="0" wrapText="false" indent="0" shrinkToFit="false"/>
      <protection locked="false" hidden="false"/>
    </xf>
    <xf numFmtId="168" fontId="22" fillId="0" borderId="15" xfId="0" applyFont="true" applyBorder="true" applyAlignment="true" applyProtection="true">
      <alignment horizontal="right" vertical="center" textRotation="0" wrapText="false" indent="0" shrinkToFit="false"/>
      <protection locked="false" hidden="false"/>
    </xf>
    <xf numFmtId="168" fontId="48" fillId="0" borderId="70" xfId="0" applyFont="true" applyBorder="true" applyAlignment="true" applyProtection="false">
      <alignment horizontal="right" vertical="center" textRotation="0" wrapText="false" indent="0" shrinkToFit="false"/>
      <protection locked="true" hidden="false"/>
    </xf>
    <xf numFmtId="164" fontId="62" fillId="0" borderId="0" xfId="0" applyFont="true" applyBorder="false" applyAlignment="true" applyProtection="true">
      <alignment horizontal="center" vertical="center" textRotation="0" wrapText="false" indent="0" shrinkToFit="false"/>
      <protection locked="false" hidden="false"/>
    </xf>
    <xf numFmtId="164" fontId="15" fillId="0" borderId="0" xfId="0" applyFont="true" applyBorder="false" applyAlignment="true" applyProtection="true">
      <alignment horizontal="general" vertical="bottom" textRotation="0" wrapText="false" indent="0" shrinkToFit="false"/>
      <protection locked="false" hidden="false"/>
    </xf>
    <xf numFmtId="164" fontId="22" fillId="0" borderId="0" xfId="0" applyFont="true" applyBorder="false" applyAlignment="true" applyProtection="true">
      <alignment horizontal="general" vertical="center" textRotation="0" wrapText="false" indent="0" shrinkToFit="false"/>
      <protection locked="false" hidden="false"/>
    </xf>
    <xf numFmtId="164" fontId="20" fillId="0" borderId="0" xfId="0" applyFont="true" applyBorder="true" applyAlignment="true" applyProtection="false">
      <alignment horizontal="center" vertical="center" textRotation="0" wrapText="false" indent="0" shrinkToFit="false"/>
      <protection locked="true" hidden="false"/>
    </xf>
    <xf numFmtId="170" fontId="20" fillId="0" borderId="0" xfId="0" applyFont="true" applyBorder="false" applyAlignment="true" applyProtection="true">
      <alignment horizontal="center" vertical="center" textRotation="0" wrapText="false" indent="0" shrinkToFit="false"/>
      <protection locked="false" hidden="false"/>
    </xf>
    <xf numFmtId="164" fontId="20" fillId="0" borderId="0" xfId="0" applyFont="true" applyBorder="true" applyAlignment="true" applyProtection="true">
      <alignment horizontal="left" vertical="center" textRotation="0" wrapText="false" indent="0" shrinkToFit="false"/>
      <protection locked="false" hidden="false"/>
    </xf>
    <xf numFmtId="168" fontId="48" fillId="0" borderId="0" xfId="0" applyFont="true" applyBorder="true" applyAlignment="true" applyProtection="false">
      <alignment horizontal="right" vertical="center" textRotation="0" wrapText="false" indent="0" shrinkToFit="false"/>
      <protection locked="true" hidden="false"/>
    </xf>
    <xf numFmtId="164" fontId="20" fillId="0" borderId="0" xfId="0" applyFont="true" applyBorder="false" applyAlignment="true" applyProtection="true">
      <alignment horizontal="general" vertical="center" textRotation="0" wrapText="false" indent="0" shrinkToFit="false"/>
      <protection locked="false" hidden="false"/>
    </xf>
    <xf numFmtId="168" fontId="22" fillId="0" borderId="0" xfId="0" applyFont="true" applyBorder="true" applyAlignment="true" applyProtection="false">
      <alignment horizontal="right" vertical="center" textRotation="0" wrapText="false" indent="0" shrinkToFit="false"/>
      <protection locked="true" hidden="false"/>
    </xf>
    <xf numFmtId="168" fontId="22" fillId="0" borderId="0" xfId="0" applyFont="true" applyBorder="true" applyAlignment="true" applyProtection="true">
      <alignment horizontal="right" vertical="center" textRotation="0" wrapText="false" indent="0" shrinkToFit="false"/>
      <protection locked="false" hidden="false"/>
    </xf>
    <xf numFmtId="175" fontId="22" fillId="0" borderId="0" xfId="0" applyFont="true" applyBorder="true" applyAlignment="true" applyProtection="true">
      <alignment horizontal="general" vertical="center" textRotation="0" wrapText="false" indent="0" shrinkToFit="false"/>
      <protection locked="false" hidden="false"/>
    </xf>
    <xf numFmtId="168" fontId="48" fillId="0" borderId="8" xfId="0" applyFont="true" applyBorder="true" applyAlignment="true" applyProtection="false">
      <alignment horizontal="right" vertical="center" textRotation="0" wrapText="false" indent="0" shrinkToFit="false"/>
      <protection locked="true" hidden="false"/>
    </xf>
    <xf numFmtId="164" fontId="20" fillId="0" borderId="8" xfId="0" applyFont="true" applyBorder="true" applyAlignment="true" applyProtection="true">
      <alignment horizontal="general" vertical="center" textRotation="0" wrapText="false" indent="0" shrinkToFit="false"/>
      <protection locked="false" hidden="false"/>
    </xf>
    <xf numFmtId="164" fontId="21" fillId="0" borderId="0" xfId="0" applyFont="true" applyBorder="false" applyAlignment="true" applyProtection="true">
      <alignment horizontal="general" vertical="center" textRotation="0" wrapText="false" indent="0" shrinkToFit="false"/>
      <protection locked="false" hidden="false"/>
    </xf>
    <xf numFmtId="164" fontId="21" fillId="0" borderId="80" xfId="0" applyFont="true" applyBorder="true" applyAlignment="true" applyProtection="true">
      <alignment horizontal="left" vertical="center" textRotation="0" wrapText="false" indent="0" shrinkToFit="false"/>
      <protection locked="false" hidden="false"/>
    </xf>
    <xf numFmtId="164" fontId="24" fillId="0" borderId="4" xfId="0" applyFont="true" applyBorder="true" applyAlignment="true" applyProtection="true">
      <alignment horizontal="general" vertical="center" textRotation="0" wrapText="false" indent="0" shrinkToFit="false"/>
      <protection locked="false" hidden="false"/>
    </xf>
    <xf numFmtId="164" fontId="24" fillId="0" borderId="6" xfId="0" applyFont="true" applyBorder="true" applyAlignment="true" applyProtection="true">
      <alignment horizontal="general" vertical="center" textRotation="0" wrapText="false" indent="0" shrinkToFit="false"/>
      <protection locked="false" hidden="false"/>
    </xf>
    <xf numFmtId="168" fontId="22" fillId="0" borderId="39" xfId="0" applyFont="true" applyBorder="true" applyAlignment="true" applyProtection="false">
      <alignment horizontal="right" vertical="center" textRotation="0" wrapText="false" indent="0" shrinkToFit="false"/>
      <protection locked="true" hidden="false"/>
    </xf>
    <xf numFmtId="168" fontId="20" fillId="0" borderId="41" xfId="0" applyFont="true" applyBorder="true" applyAlignment="true" applyProtection="true">
      <alignment horizontal="general" vertical="center" textRotation="0" wrapText="false" indent="0" shrinkToFit="false"/>
      <protection locked="false" hidden="false"/>
    </xf>
    <xf numFmtId="168" fontId="22" fillId="0" borderId="81" xfId="0" applyFont="true" applyBorder="true" applyAlignment="true" applyProtection="true">
      <alignment horizontal="center" vertical="center" textRotation="0" wrapText="false" indent="0" shrinkToFit="false"/>
      <protection locked="false" hidden="false"/>
    </xf>
    <xf numFmtId="164" fontId="24" fillId="0" borderId="4" xfId="0" applyFont="true" applyBorder="true" applyAlignment="true" applyProtection="true">
      <alignment horizontal="center" vertical="center" textRotation="0" wrapText="false" indent="0" shrinkToFit="false"/>
      <protection locked="false" hidden="false"/>
    </xf>
    <xf numFmtId="164" fontId="24" fillId="0" borderId="6" xfId="0" applyFont="true" applyBorder="true" applyAlignment="true" applyProtection="true">
      <alignment horizontal="center" vertical="center" textRotation="0" wrapText="false" indent="0" shrinkToFit="false"/>
      <protection locked="false" hidden="false"/>
    </xf>
    <xf numFmtId="168" fontId="20" fillId="0" borderId="41" xfId="0" applyFont="true" applyBorder="true" applyAlignment="true" applyProtection="true">
      <alignment horizontal="general" vertical="bottom" textRotation="0" wrapText="false" indent="0" shrinkToFit="false"/>
      <protection locked="false" hidden="false"/>
    </xf>
    <xf numFmtId="168" fontId="20" fillId="0" borderId="81" xfId="0" applyFont="true" applyBorder="true" applyAlignment="true" applyProtection="true">
      <alignment horizontal="center" vertical="bottom" textRotation="0" wrapText="false" indent="0" shrinkToFit="false"/>
      <protection locked="false" hidden="false"/>
    </xf>
    <xf numFmtId="168" fontId="22" fillId="0" borderId="0" xfId="0" applyFont="true" applyBorder="true" applyAlignment="true" applyProtection="false">
      <alignment horizontal="right" vertical="bottom" textRotation="0" wrapText="false" indent="0" shrinkToFit="false"/>
      <protection locked="true" hidden="false"/>
    </xf>
    <xf numFmtId="164" fontId="22" fillId="0" borderId="4" xfId="0" applyFont="true" applyBorder="true" applyAlignment="true" applyProtection="true">
      <alignment horizontal="center" vertical="bottom" textRotation="0" wrapText="false" indent="0" shrinkToFit="false"/>
      <protection locked="false" hidden="false"/>
    </xf>
    <xf numFmtId="164" fontId="63" fillId="0" borderId="0" xfId="0" applyFont="true" applyBorder="true" applyAlignment="true" applyProtection="true">
      <alignment horizontal="left" vertical="center" textRotation="0" wrapText="false" indent="0" shrinkToFit="false"/>
      <protection locked="false" hidden="false"/>
    </xf>
    <xf numFmtId="164" fontId="20" fillId="0" borderId="0" xfId="0" applyFont="true" applyBorder="true" applyAlignment="true" applyProtection="true">
      <alignment horizontal="general" vertical="bottom" textRotation="0" wrapText="false" indent="0" shrinkToFit="false"/>
      <protection locked="false" hidden="false"/>
    </xf>
    <xf numFmtId="164" fontId="64" fillId="0" borderId="0" xfId="0" applyFont="true" applyBorder="false" applyAlignment="true" applyProtection="true">
      <alignment horizontal="general" vertical="bottom" textRotation="0" wrapText="false" indent="0" shrinkToFit="false"/>
      <protection locked="false" hidden="false"/>
    </xf>
    <xf numFmtId="164" fontId="20" fillId="0" borderId="0" xfId="0" applyFont="true" applyBorder="false" applyAlignment="true" applyProtection="true">
      <alignment horizontal="general" vertical="bottom" textRotation="0" wrapText="false" indent="0" shrinkToFit="false"/>
      <protection locked="false" hidden="false"/>
    </xf>
    <xf numFmtId="164" fontId="64" fillId="0" borderId="0" xfId="0" applyFont="true" applyBorder="false" applyAlignment="true" applyProtection="true">
      <alignment horizontal="general" vertical="center" textRotation="0" wrapText="false" indent="0" shrinkToFit="false"/>
      <protection locked="false" hidden="false"/>
    </xf>
    <xf numFmtId="164" fontId="20" fillId="0" borderId="0" xfId="0" applyFont="true" applyBorder="true" applyAlignment="true" applyProtection="true">
      <alignment horizontal="general" vertical="center" textRotation="0" wrapText="false" indent="0" shrinkToFit="false"/>
      <protection locked="false" hidden="false"/>
    </xf>
    <xf numFmtId="164" fontId="20" fillId="0" borderId="36" xfId="0" applyFont="true" applyBorder="true" applyAlignment="true" applyProtection="true">
      <alignment horizontal="right" vertical="bottom" textRotation="0" wrapText="false" indent="0" shrinkToFit="false"/>
      <protection locked="false" hidden="false"/>
    </xf>
    <xf numFmtId="164" fontId="20" fillId="0" borderId="15" xfId="0" applyFont="true" applyBorder="true" applyAlignment="true" applyProtection="true">
      <alignment horizontal="center" vertical="center" textRotation="0" wrapText="false" indent="0" shrinkToFit="false"/>
      <protection locked="false" hidden="false"/>
    </xf>
    <xf numFmtId="171" fontId="20" fillId="0" borderId="15" xfId="0" applyFont="true" applyBorder="true" applyAlignment="true" applyProtection="false">
      <alignment horizontal="center" vertical="center" textRotation="0" wrapText="false" indent="0" shrinkToFit="false"/>
      <protection locked="true" hidden="false"/>
    </xf>
    <xf numFmtId="164" fontId="64" fillId="0" borderId="61" xfId="0" applyFont="true" applyBorder="true" applyAlignment="true" applyProtection="true">
      <alignment horizontal="general" vertical="bottom" textRotation="0" wrapText="false" indent="0" shrinkToFit="false"/>
      <protection locked="false" hidden="false"/>
    </xf>
    <xf numFmtId="164" fontId="64" fillId="0" borderId="20" xfId="0" applyFont="true" applyBorder="true" applyAlignment="true" applyProtection="true">
      <alignment horizontal="general" vertical="bottom" textRotation="0" wrapText="false" indent="0" shrinkToFit="false"/>
      <protection locked="false" hidden="false"/>
    </xf>
    <xf numFmtId="164" fontId="64" fillId="0" borderId="20" xfId="0" applyFont="true" applyBorder="true" applyAlignment="true" applyProtection="true">
      <alignment horizontal="center" vertical="center" textRotation="0" wrapText="false" indent="0" shrinkToFit="false"/>
      <protection locked="false" hidden="false"/>
    </xf>
    <xf numFmtId="164" fontId="20" fillId="0" borderId="20" xfId="0" applyFont="true" applyBorder="true" applyAlignment="true" applyProtection="true">
      <alignment horizontal="distributed" vertical="center" textRotation="0" wrapText="false" indent="0" shrinkToFit="false"/>
      <protection locked="false" hidden="false"/>
    </xf>
    <xf numFmtId="164" fontId="0" fillId="0" borderId="20" xfId="0" applyFont="false" applyBorder="true" applyAlignment="true" applyProtection="true">
      <alignment horizontal="general" vertical="bottom" textRotation="0" wrapText="false" indent="0" shrinkToFit="false"/>
      <protection locked="false" hidden="false"/>
    </xf>
    <xf numFmtId="164" fontId="64" fillId="0" borderId="60" xfId="0" applyFont="true" applyBorder="true" applyAlignment="true" applyProtection="true">
      <alignment horizontal="general" vertical="bottom" textRotation="0" wrapText="false" indent="0" shrinkToFit="false"/>
      <protection locked="false" hidden="false"/>
    </xf>
    <xf numFmtId="171" fontId="65" fillId="0" borderId="19" xfId="0" applyFont="true" applyBorder="true" applyAlignment="true" applyProtection="true">
      <alignment horizontal="right" vertical="center" textRotation="0" wrapText="false" indent="0" shrinkToFit="false"/>
      <protection locked="false" hidden="false"/>
    </xf>
    <xf numFmtId="171" fontId="65" fillId="0" borderId="19" xfId="0" applyFont="true" applyBorder="true" applyAlignment="true" applyProtection="false">
      <alignment horizontal="right" vertical="center" textRotation="0" wrapText="false" indent="0" shrinkToFit="false"/>
      <protection locked="true" hidden="false"/>
    </xf>
    <xf numFmtId="168" fontId="65" fillId="0" borderId="19" xfId="0" applyFont="true" applyBorder="true" applyAlignment="true" applyProtection="false">
      <alignment horizontal="right" vertical="center" textRotation="0" wrapText="false" indent="0" shrinkToFit="false"/>
      <protection locked="true" hidden="false"/>
    </xf>
    <xf numFmtId="164" fontId="20" fillId="0" borderId="19" xfId="0" applyFont="true" applyBorder="true" applyAlignment="true" applyProtection="true">
      <alignment horizontal="center" vertical="center" textRotation="255" wrapText="false" indent="0" shrinkToFit="false"/>
      <protection locked="false" hidden="false"/>
    </xf>
    <xf numFmtId="164" fontId="20" fillId="0" borderId="20" xfId="0" applyFont="true" applyBorder="true" applyAlignment="true" applyProtection="true">
      <alignment horizontal="distributed" vertical="center" textRotation="0" wrapText="false" indent="0" shrinkToFit="true"/>
      <protection locked="false" hidden="false"/>
    </xf>
    <xf numFmtId="164" fontId="0" fillId="0" borderId="20" xfId="0" applyFont="false" applyBorder="true" applyAlignment="true" applyProtection="true">
      <alignment horizontal="general" vertical="bottom" textRotation="0" wrapText="false" indent="0" shrinkToFit="true"/>
      <protection locked="false" hidden="false"/>
    </xf>
    <xf numFmtId="164" fontId="64" fillId="0" borderId="20" xfId="0" applyFont="true" applyBorder="true" applyAlignment="true" applyProtection="true">
      <alignment horizontal="general" vertical="center" textRotation="0" wrapText="false" indent="0" shrinkToFit="false"/>
      <protection locked="false" hidden="false"/>
    </xf>
    <xf numFmtId="171" fontId="64" fillId="0" borderId="19" xfId="0" applyFont="true" applyBorder="true" applyAlignment="true" applyProtection="true">
      <alignment horizontal="right" vertical="center" textRotation="0" wrapText="false" indent="0" shrinkToFit="false"/>
      <protection locked="false" hidden="false"/>
    </xf>
    <xf numFmtId="171" fontId="64" fillId="0" borderId="19" xfId="0" applyFont="true" applyBorder="true" applyAlignment="true" applyProtection="false">
      <alignment horizontal="right" vertical="center" textRotation="0" wrapText="false" indent="0" shrinkToFit="false"/>
      <protection locked="true" hidden="false"/>
    </xf>
    <xf numFmtId="164" fontId="64" fillId="0" borderId="25" xfId="0" applyFont="true" applyBorder="true" applyAlignment="true" applyProtection="true">
      <alignment horizontal="general" vertical="bottom" textRotation="0" wrapText="false" indent="0" shrinkToFit="false"/>
      <protection locked="false" hidden="false"/>
    </xf>
    <xf numFmtId="164" fontId="64" fillId="0" borderId="36" xfId="0" applyFont="true" applyBorder="true" applyAlignment="true" applyProtection="true">
      <alignment horizontal="general" vertical="center" textRotation="0" wrapText="false" indent="0" shrinkToFit="true"/>
      <protection locked="false" hidden="false"/>
    </xf>
    <xf numFmtId="164" fontId="64" fillId="0" borderId="82" xfId="0" applyFont="true" applyBorder="true" applyAlignment="true" applyProtection="true">
      <alignment horizontal="general" vertical="center" textRotation="0" wrapText="false" indent="0" shrinkToFit="true"/>
      <protection locked="false" hidden="false"/>
    </xf>
    <xf numFmtId="164" fontId="35" fillId="0" borderId="83" xfId="0" applyFont="true" applyBorder="true" applyAlignment="true" applyProtection="true">
      <alignment horizontal="distributed" vertical="center" textRotation="0" wrapText="false" indent="0" shrinkToFit="true"/>
      <protection locked="false" hidden="false"/>
    </xf>
    <xf numFmtId="164" fontId="0" fillId="0" borderId="83" xfId="0" applyFont="false" applyBorder="true" applyAlignment="true" applyProtection="true">
      <alignment horizontal="general" vertical="bottom" textRotation="0" wrapText="false" indent="0" shrinkToFit="true"/>
      <protection locked="false" hidden="false"/>
    </xf>
    <xf numFmtId="164" fontId="64" fillId="0" borderId="83" xfId="0" applyFont="true" applyBorder="true" applyAlignment="true" applyProtection="true">
      <alignment horizontal="general" vertical="center" textRotation="0" wrapText="false" indent="0" shrinkToFit="false"/>
      <protection locked="false" hidden="false"/>
    </xf>
    <xf numFmtId="164" fontId="0" fillId="0" borderId="83" xfId="0" applyFont="false" applyBorder="true" applyAlignment="true" applyProtection="true">
      <alignment horizontal="general" vertical="bottom" textRotation="0" wrapText="false" indent="0" shrinkToFit="false"/>
      <protection locked="false" hidden="false"/>
    </xf>
    <xf numFmtId="164" fontId="64" fillId="0" borderId="84" xfId="0" applyFont="true" applyBorder="true" applyAlignment="true" applyProtection="true">
      <alignment horizontal="general" vertical="bottom" textRotation="0" wrapText="false" indent="0" shrinkToFit="false"/>
      <protection locked="false" hidden="false"/>
    </xf>
    <xf numFmtId="171" fontId="64" fillId="0" borderId="85" xfId="0" applyFont="true" applyBorder="true" applyAlignment="true" applyProtection="true">
      <alignment horizontal="right" vertical="center" textRotation="0" wrapText="false" indent="0" shrinkToFit="false"/>
      <protection locked="false" hidden="false"/>
    </xf>
    <xf numFmtId="171" fontId="64" fillId="0" borderId="85" xfId="0" applyFont="true" applyBorder="true" applyAlignment="true" applyProtection="false">
      <alignment horizontal="right" vertical="center" textRotation="0" wrapText="false" indent="0" shrinkToFit="false"/>
      <protection locked="true" hidden="false"/>
    </xf>
    <xf numFmtId="168" fontId="65" fillId="0" borderId="85" xfId="0" applyFont="true" applyBorder="true" applyAlignment="true" applyProtection="false">
      <alignment horizontal="right" vertical="center" textRotation="0" wrapText="false" indent="0" shrinkToFit="false"/>
      <protection locked="true" hidden="false"/>
    </xf>
    <xf numFmtId="164" fontId="64" fillId="0" borderId="16" xfId="0" applyFont="true" applyBorder="true" applyAlignment="true" applyProtection="true">
      <alignment horizontal="general" vertical="bottom" textRotation="0" wrapText="false" indent="0" shrinkToFit="false"/>
      <protection locked="false" hidden="false"/>
    </xf>
    <xf numFmtId="164" fontId="20" fillId="0" borderId="35" xfId="0" applyFont="true" applyBorder="true" applyAlignment="true" applyProtection="true">
      <alignment horizontal="distributed" vertical="center" textRotation="0" wrapText="false" indent="0" shrinkToFit="false"/>
      <protection locked="false" hidden="false"/>
    </xf>
    <xf numFmtId="164" fontId="0" fillId="0" borderId="35" xfId="0" applyFont="false" applyBorder="true" applyAlignment="true" applyProtection="true">
      <alignment horizontal="general" vertical="bottom" textRotation="0" wrapText="false" indent="0" shrinkToFit="false"/>
      <protection locked="false" hidden="false"/>
    </xf>
    <xf numFmtId="164" fontId="64" fillId="0" borderId="35" xfId="0" applyFont="true" applyBorder="true" applyAlignment="true" applyProtection="true">
      <alignment horizontal="general" vertical="center" textRotation="0" wrapText="false" indent="0" shrinkToFit="false"/>
      <protection locked="false" hidden="false"/>
    </xf>
    <xf numFmtId="164" fontId="64" fillId="0" borderId="35" xfId="0" applyFont="true" applyBorder="true" applyAlignment="true" applyProtection="true">
      <alignment horizontal="general" vertical="bottom" textRotation="0" wrapText="false" indent="0" shrinkToFit="false"/>
      <protection locked="false" hidden="false"/>
    </xf>
    <xf numFmtId="164" fontId="64" fillId="0" borderId="17" xfId="0" applyFont="true" applyBorder="true" applyAlignment="true" applyProtection="true">
      <alignment horizontal="general" vertical="bottom" textRotation="0" wrapText="false" indent="0" shrinkToFit="false"/>
      <protection locked="false" hidden="false"/>
    </xf>
    <xf numFmtId="171" fontId="64" fillId="0" borderId="15" xfId="0" applyFont="true" applyBorder="true" applyAlignment="true" applyProtection="true">
      <alignment horizontal="right" vertical="center" textRotation="0" wrapText="false" indent="0" shrinkToFit="false"/>
      <protection locked="false" hidden="false"/>
    </xf>
    <xf numFmtId="168" fontId="65" fillId="0" borderId="15" xfId="0" applyFont="true" applyBorder="true" applyAlignment="true" applyProtection="false">
      <alignment horizontal="right" vertical="center" textRotation="0" wrapText="false" indent="0" shrinkToFit="false"/>
      <protection locked="true" hidden="false"/>
    </xf>
    <xf numFmtId="171" fontId="64" fillId="0" borderId="15" xfId="0" applyFont="true" applyBorder="true" applyAlignment="true" applyProtection="false">
      <alignment horizontal="right" vertical="center" textRotation="0" wrapText="false" indent="0" shrinkToFit="false"/>
      <protection locked="true" hidden="false"/>
    </xf>
    <xf numFmtId="164" fontId="20" fillId="0" borderId="20" xfId="0" applyFont="true" applyBorder="true" applyAlignment="true" applyProtection="true">
      <alignment horizontal="general" vertical="bottom" textRotation="0" wrapText="false" indent="0" shrinkToFit="false"/>
      <protection locked="false" hidden="false"/>
    </xf>
    <xf numFmtId="164" fontId="15" fillId="0" borderId="20" xfId="0" applyFont="true" applyBorder="true" applyAlignment="true" applyProtection="true">
      <alignment horizontal="general" vertical="bottom" textRotation="0" wrapText="false" indent="0" shrinkToFit="false"/>
      <protection locked="false" hidden="false"/>
    </xf>
    <xf numFmtId="164" fontId="66" fillId="0" borderId="0" xfId="0" applyFont="true" applyBorder="false" applyAlignment="true" applyProtection="true">
      <alignment horizontal="left" vertical="bottom" textRotation="0" wrapText="false" indent="0" shrinkToFit="false"/>
      <protection locked="false" hidden="false"/>
    </xf>
    <xf numFmtId="171" fontId="20" fillId="0" borderId="15" xfId="0" applyFont="true" applyBorder="true" applyAlignment="true" applyProtection="true">
      <alignment horizontal="center" vertical="center" textRotation="0" wrapText="false" indent="0" shrinkToFit="false"/>
      <protection locked="false" hidden="false"/>
    </xf>
    <xf numFmtId="171" fontId="20" fillId="0" borderId="15" xfId="0" applyFont="true" applyBorder="true" applyAlignment="true" applyProtection="true">
      <alignment horizontal="center" vertical="center" textRotation="0" wrapText="true" indent="0" shrinkToFit="false"/>
      <protection locked="false" hidden="false"/>
    </xf>
    <xf numFmtId="164" fontId="64" fillId="0" borderId="15" xfId="0" applyFont="true" applyBorder="true" applyAlignment="true" applyProtection="true">
      <alignment horizontal="center" vertical="center" textRotation="0" wrapText="false" indent="0" shrinkToFit="false"/>
      <protection locked="false" hidden="false"/>
    </xf>
    <xf numFmtId="176" fontId="64" fillId="0" borderId="15" xfId="0" applyFont="true" applyBorder="true" applyAlignment="true" applyProtection="false">
      <alignment horizontal="center" vertical="center" textRotation="0" wrapText="false" indent="0" shrinkToFit="false"/>
      <protection locked="true" hidden="false"/>
    </xf>
    <xf numFmtId="168" fontId="67" fillId="0" borderId="15" xfId="0" applyFont="true" applyBorder="true" applyAlignment="true" applyProtection="false">
      <alignment horizontal="center" vertical="center" textRotation="0" wrapText="false" indent="0" shrinkToFit="false"/>
      <protection locked="true" hidden="false"/>
    </xf>
    <xf numFmtId="171" fontId="66" fillId="0" borderId="0" xfId="0" applyFont="true" applyBorder="false" applyAlignment="true" applyProtection="true">
      <alignment horizontal="center" vertical="center" textRotation="255" wrapText="false" indent="0" shrinkToFit="false"/>
      <protection locked="false" hidden="false"/>
    </xf>
    <xf numFmtId="171" fontId="66" fillId="0" borderId="0" xfId="0" applyFont="true" applyBorder="false" applyAlignment="true" applyProtection="true">
      <alignment horizontal="general" vertical="bottom" textRotation="0" wrapText="false" indent="0" shrinkToFit="false"/>
      <protection locked="false" hidden="false"/>
    </xf>
    <xf numFmtId="171" fontId="68" fillId="0" borderId="0" xfId="0" applyFont="true" applyBorder="false" applyAlignment="true" applyProtection="true">
      <alignment horizontal="general" vertical="bottom" textRotation="0" wrapText="false" indent="0" shrinkToFit="false"/>
      <protection locked="false" hidden="false"/>
    </xf>
    <xf numFmtId="171" fontId="66" fillId="0" borderId="0" xfId="0" applyFont="true" applyBorder="false" applyAlignment="true" applyProtection="true">
      <alignment horizontal="center" vertical="center" textRotation="0" wrapText="false" indent="0" shrinkToFit="false"/>
      <protection locked="false" hidden="false"/>
    </xf>
    <xf numFmtId="164" fontId="64" fillId="0" borderId="0" xfId="0" applyFont="true" applyBorder="false" applyAlignment="true" applyProtection="true">
      <alignment horizontal="right" vertical="bottom" textRotation="0" wrapText="false" indent="0" shrinkToFit="false"/>
      <protection locked="false" hidden="false"/>
    </xf>
    <xf numFmtId="164" fontId="35" fillId="0" borderId="0" xfId="0" applyFont="true" applyBorder="false" applyAlignment="true" applyProtection="true">
      <alignment horizontal="general" vertical="bottom" textRotation="0" wrapText="false" indent="0" shrinkToFit="false"/>
      <protection locked="false" hidden="false"/>
    </xf>
    <xf numFmtId="164" fontId="20" fillId="0" borderId="0" xfId="0" applyFont="true" applyBorder="true" applyAlignment="true" applyProtection="true">
      <alignment horizontal="right" vertical="center" textRotation="0" wrapText="false" indent="0" shrinkToFit="false"/>
      <protection locked="false" hidden="false"/>
    </xf>
    <xf numFmtId="164" fontId="18" fillId="0" borderId="0" xfId="0" applyFont="true" applyBorder="false" applyAlignment="true" applyProtection="true">
      <alignment horizontal="general" vertical="bottom" textRotation="0" wrapText="false" indent="0" shrinkToFit="false"/>
      <protection locked="false" hidden="false"/>
    </xf>
    <xf numFmtId="164" fontId="20" fillId="0" borderId="19" xfId="0" applyFont="true" applyBorder="true" applyAlignment="true" applyProtection="true">
      <alignment horizontal="right" vertical="center" textRotation="0" wrapText="false" indent="0" shrinkToFit="false"/>
      <protection locked="false" hidden="false"/>
    </xf>
    <xf numFmtId="164" fontId="20" fillId="0" borderId="35" xfId="0" applyFont="true" applyBorder="true" applyAlignment="true" applyProtection="true">
      <alignment horizontal="center" vertical="center" textRotation="0" wrapText="false" indent="0" shrinkToFit="false"/>
      <protection locked="false" hidden="false"/>
    </xf>
    <xf numFmtId="164" fontId="20" fillId="0" borderId="24" xfId="0" applyFont="true" applyBorder="true" applyAlignment="true" applyProtection="true">
      <alignment horizontal="left" vertical="center" textRotation="0" wrapText="false" indent="0" shrinkToFit="false"/>
      <protection locked="false" hidden="false"/>
    </xf>
    <xf numFmtId="164" fontId="20" fillId="0" borderId="27" xfId="0" applyFont="true" applyBorder="true" applyAlignment="true" applyProtection="true">
      <alignment horizontal="center" vertical="center" textRotation="0" wrapText="false" indent="0" shrinkToFit="false"/>
      <protection locked="false" hidden="false"/>
    </xf>
    <xf numFmtId="164" fontId="64" fillId="0" borderId="51" xfId="0" applyFont="true" applyBorder="true" applyAlignment="true" applyProtection="true">
      <alignment horizontal="general" vertical="bottom" textRotation="0" wrapText="false" indent="0" shrinkToFit="false"/>
      <protection locked="false" hidden="false"/>
    </xf>
    <xf numFmtId="171" fontId="64" fillId="0" borderId="51" xfId="0" applyFont="true" applyBorder="true" applyAlignment="true" applyProtection="true">
      <alignment horizontal="right" vertical="center" textRotation="0" wrapText="false" indent="0" shrinkToFit="false"/>
      <protection locked="false" hidden="false"/>
    </xf>
    <xf numFmtId="171" fontId="65" fillId="0" borderId="49" xfId="0" applyFont="true" applyBorder="true" applyAlignment="true" applyProtection="true">
      <alignment horizontal="general" vertical="bottom" textRotation="0" wrapText="false" indent="0" shrinkToFit="false"/>
      <protection locked="false" hidden="false"/>
    </xf>
    <xf numFmtId="171" fontId="64" fillId="0" borderId="0" xfId="0" applyFont="true" applyBorder="true" applyAlignment="true" applyProtection="false">
      <alignment horizontal="right" vertical="center" textRotation="0" wrapText="false" indent="0" shrinkToFit="false"/>
      <protection locked="true" hidden="false"/>
    </xf>
    <xf numFmtId="171" fontId="64" fillId="0" borderId="0" xfId="0" applyFont="true" applyBorder="false" applyAlignment="true" applyProtection="true">
      <alignment horizontal="general" vertical="bottom" textRotation="0" wrapText="false" indent="0" shrinkToFit="false"/>
      <protection locked="false" hidden="false"/>
    </xf>
    <xf numFmtId="168" fontId="65" fillId="0" borderId="51" xfId="0" applyFont="true" applyBorder="true" applyAlignment="true" applyProtection="false">
      <alignment horizontal="right" vertical="center" textRotation="0" wrapText="false" indent="0" shrinkToFit="false"/>
      <protection locked="true" hidden="false"/>
    </xf>
    <xf numFmtId="171" fontId="64" fillId="0" borderId="49" xfId="0" applyFont="true" applyBorder="true" applyAlignment="true" applyProtection="true">
      <alignment horizontal="general" vertical="bottom" textRotation="0" wrapText="false" indent="0" shrinkToFit="false"/>
      <protection locked="false" hidden="false"/>
    </xf>
    <xf numFmtId="171" fontId="64" fillId="0" borderId="0" xfId="0" applyFont="true" applyBorder="true" applyAlignment="true" applyProtection="true">
      <alignment horizontal="right" vertical="center" textRotation="0" wrapText="false" indent="0" shrinkToFit="false"/>
      <protection locked="false" hidden="false"/>
    </xf>
    <xf numFmtId="168" fontId="65" fillId="0" borderId="0" xfId="0" applyFont="true" applyBorder="true" applyAlignment="true" applyProtection="false">
      <alignment horizontal="right" vertical="center" textRotation="0" wrapText="false" indent="0" shrinkToFit="false"/>
      <protection locked="true" hidden="false"/>
    </xf>
    <xf numFmtId="164" fontId="64" fillId="0" borderId="49" xfId="0" applyFont="true" applyBorder="true" applyAlignment="true" applyProtection="true">
      <alignment horizontal="general" vertical="bottom" textRotation="0" wrapText="false" indent="0" shrinkToFit="false"/>
      <protection locked="false" hidden="false"/>
    </xf>
    <xf numFmtId="171" fontId="64" fillId="0" borderId="16" xfId="0" applyFont="true" applyBorder="true" applyAlignment="true" applyProtection="true">
      <alignment horizontal="right" vertical="center" textRotation="0" wrapText="false" indent="0" shrinkToFit="false"/>
      <protection locked="false" hidden="false"/>
    </xf>
    <xf numFmtId="171" fontId="65" fillId="0" borderId="17" xfId="0" applyFont="true" applyBorder="true" applyAlignment="true" applyProtection="true">
      <alignment horizontal="general" vertical="bottom" textRotation="0" wrapText="false" indent="0" shrinkToFit="false"/>
      <protection locked="false" hidden="false"/>
    </xf>
    <xf numFmtId="171" fontId="64" fillId="0" borderId="35" xfId="0" applyFont="true" applyBorder="true" applyAlignment="true" applyProtection="false">
      <alignment horizontal="right" vertical="center" textRotation="0" wrapText="false" indent="0" shrinkToFit="false"/>
      <protection locked="true" hidden="false"/>
    </xf>
    <xf numFmtId="171" fontId="64" fillId="0" borderId="35" xfId="0" applyFont="true" applyBorder="true" applyAlignment="true" applyProtection="true">
      <alignment horizontal="general" vertical="bottom" textRotation="0" wrapText="false" indent="0" shrinkToFit="false"/>
      <protection locked="false" hidden="false"/>
    </xf>
    <xf numFmtId="168" fontId="65" fillId="0" borderId="16" xfId="0" applyFont="true" applyBorder="true" applyAlignment="true" applyProtection="false">
      <alignment horizontal="right" vertical="center" textRotation="0" wrapText="false" indent="0" shrinkToFit="false"/>
      <protection locked="true" hidden="false"/>
    </xf>
    <xf numFmtId="171" fontId="64" fillId="0" borderId="17" xfId="0" applyFont="true" applyBorder="true" applyAlignment="true" applyProtection="true">
      <alignment horizontal="general" vertical="bottom" textRotation="0" wrapText="false" indent="0" shrinkToFit="false"/>
      <protection locked="false" hidden="false"/>
    </xf>
    <xf numFmtId="171" fontId="64" fillId="0" borderId="35" xfId="0" applyFont="true" applyBorder="true" applyAlignment="true" applyProtection="true">
      <alignment horizontal="right" vertical="center" textRotation="0" wrapText="false" indent="0" shrinkToFit="false"/>
      <protection locked="false" hidden="false"/>
    </xf>
    <xf numFmtId="168" fontId="65" fillId="0" borderId="35" xfId="0" applyFont="true" applyBorder="true" applyAlignment="true" applyProtection="false">
      <alignment horizontal="right" vertical="center" textRotation="0" wrapText="false" indent="0" shrinkToFit="false"/>
      <protection locked="true" hidden="false"/>
    </xf>
    <xf numFmtId="168" fontId="65" fillId="0" borderId="61" xfId="0" applyFont="true" applyBorder="true" applyAlignment="true" applyProtection="false">
      <alignment horizontal="right" vertical="center" textRotation="0" wrapText="false" indent="0" shrinkToFit="false"/>
      <protection locked="true" hidden="false"/>
    </xf>
    <xf numFmtId="171" fontId="64" fillId="0" borderId="60" xfId="0" applyFont="true" applyBorder="true" applyAlignment="true" applyProtection="true">
      <alignment horizontal="general" vertical="bottom" textRotation="0" wrapText="false" indent="0" shrinkToFit="false"/>
      <protection locked="false" hidden="false"/>
    </xf>
    <xf numFmtId="168" fontId="65" fillId="0" borderId="20" xfId="0" applyFont="true" applyBorder="true" applyAlignment="true" applyProtection="false">
      <alignment horizontal="right" vertical="center" textRotation="0" wrapText="false" indent="0" shrinkToFit="false"/>
      <protection locked="true" hidden="false"/>
    </xf>
    <xf numFmtId="171" fontId="65" fillId="0" borderId="16" xfId="0" applyFont="true" applyBorder="true" applyAlignment="true" applyProtection="false">
      <alignment horizontal="right" vertical="center" textRotation="0" wrapText="false" indent="0" shrinkToFit="false"/>
      <protection locked="true" hidden="false"/>
    </xf>
    <xf numFmtId="171" fontId="65" fillId="0" borderId="35" xfId="0" applyFont="true" applyBorder="true" applyAlignment="true" applyProtection="false">
      <alignment horizontal="right" vertical="center" textRotation="0" wrapText="false" indent="0" shrinkToFit="false"/>
      <protection locked="true" hidden="false"/>
    </xf>
    <xf numFmtId="171" fontId="65" fillId="0" borderId="35" xfId="0" applyFont="true" applyBorder="true" applyAlignment="true" applyProtection="true">
      <alignment horizontal="general" vertical="bottom" textRotation="0" wrapText="false" indent="0" shrinkToFit="false"/>
      <protection locked="false" hidden="false"/>
    </xf>
    <xf numFmtId="164" fontId="20" fillId="0" borderId="61" xfId="0" applyFont="true" applyBorder="true" applyAlignment="true" applyProtection="true">
      <alignment horizontal="right" vertical="center" textRotation="0" wrapText="false" indent="0" shrinkToFit="false"/>
      <protection locked="false" hidden="false"/>
    </xf>
    <xf numFmtId="164" fontId="20" fillId="0" borderId="25" xfId="0" applyFont="true" applyBorder="true" applyAlignment="true" applyProtection="true">
      <alignment horizontal="left" vertical="center" textRotation="0" wrapText="false" indent="0" shrinkToFit="false"/>
      <protection locked="false" hidden="false"/>
    </xf>
    <xf numFmtId="164" fontId="20" fillId="0" borderId="0" xfId="0" applyFont="true" applyBorder="true" applyAlignment="true" applyProtection="true">
      <alignment horizontal="distributed" vertical="center" textRotation="0" wrapText="false" indent="0" shrinkToFit="false"/>
      <protection locked="false" hidden="false"/>
    </xf>
    <xf numFmtId="171" fontId="69" fillId="0" borderId="49" xfId="0" applyFont="true" applyBorder="true" applyAlignment="true" applyProtection="true">
      <alignment horizontal="general" vertical="bottom" textRotation="0" wrapText="false" indent="0" shrinkToFit="false"/>
      <protection locked="false" hidden="false"/>
    </xf>
    <xf numFmtId="171" fontId="69" fillId="0" borderId="17" xfId="0" applyFont="true" applyBorder="true" applyAlignment="true" applyProtection="true">
      <alignment horizontal="general" vertical="bottom" textRotation="0" wrapText="false" indent="0" shrinkToFit="false"/>
      <protection locked="false" hidden="false"/>
    </xf>
    <xf numFmtId="164" fontId="21" fillId="0" borderId="35" xfId="0" applyFont="true" applyBorder="true" applyAlignment="true" applyProtection="true">
      <alignment horizontal="distributed" vertical="center" textRotation="0" wrapText="false" indent="0" shrinkToFit="false"/>
      <protection locked="fals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true">
      <alignment horizontal="distributed" vertical="bottom" textRotation="0" wrapText="false" indent="0" shrinkToFit="false"/>
      <protection locked="false" hidden="false"/>
    </xf>
    <xf numFmtId="164" fontId="60" fillId="0" borderId="0" xfId="0" applyFont="true" applyBorder="false" applyAlignment="true" applyProtection="true">
      <alignment horizontal="general" vertical="bottom" textRotation="0" wrapText="false" indent="0" shrinkToFit="false"/>
      <protection locked="fals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53" fillId="0" borderId="0" xfId="0" applyFont="true" applyBorder="false" applyAlignment="true" applyProtection="true">
      <alignment horizontal="distributed" vertical="bottom" textRotation="0" wrapText="false" indent="0" shrinkToFit="false"/>
      <protection locked="false" hidden="false"/>
    </xf>
    <xf numFmtId="164" fontId="70" fillId="0" borderId="0" xfId="0" applyFont="true" applyBorder="false" applyAlignment="true" applyProtection="true">
      <alignment horizontal="general" vertical="center" textRotation="0" wrapText="false" indent="0" shrinkToFit="false"/>
      <protection locked="false" hidden="false"/>
    </xf>
    <xf numFmtId="164" fontId="66" fillId="0" borderId="0" xfId="0" applyFont="true" applyBorder="false" applyAlignment="true" applyProtection="true">
      <alignment horizontal="general" vertical="center" textRotation="0" wrapText="false" indent="0" shrinkToFit="false"/>
      <protection locked="false" hidden="false"/>
    </xf>
    <xf numFmtId="164" fontId="18" fillId="0" borderId="0" xfId="0" applyFont="true" applyBorder="false" applyAlignment="true" applyProtection="true">
      <alignment horizontal="general" vertical="center" textRotation="0" wrapText="false" indent="0" shrinkToFit="false"/>
      <protection locked="false" hidden="false"/>
    </xf>
    <xf numFmtId="164" fontId="71" fillId="6" borderId="0" xfId="0" applyFont="true" applyBorder="false" applyAlignment="true" applyProtection="true">
      <alignment horizontal="general" vertical="center" textRotation="0" wrapText="false" indent="0" shrinkToFit="false"/>
      <protection locked="false" hidden="false"/>
    </xf>
    <xf numFmtId="164" fontId="66" fillId="6" borderId="0" xfId="0" applyFont="true" applyBorder="false" applyAlignment="true" applyProtection="true">
      <alignment horizontal="general" vertical="center" textRotation="0" wrapText="false" indent="0" shrinkToFit="false"/>
      <protection locked="false" hidden="false"/>
    </xf>
    <xf numFmtId="164" fontId="72" fillId="0" borderId="0" xfId="0" applyFont="true" applyBorder="true" applyAlignment="true" applyProtection="false">
      <alignment horizontal="center" vertical="bottom" textRotation="0" wrapText="false" indent="0" shrinkToFit="false"/>
      <protection locked="true" hidden="false"/>
    </xf>
    <xf numFmtId="164" fontId="73" fillId="0" borderId="0" xfId="0" applyFont="true" applyBorder="false" applyAlignment="true" applyProtection="true">
      <alignment horizontal="center" vertical="bottom" textRotation="0" wrapText="false" indent="0" shrinkToFit="false"/>
      <protection locked="false" hidden="false"/>
    </xf>
    <xf numFmtId="164" fontId="20" fillId="0" borderId="0" xfId="0" applyFont="true" applyBorder="false" applyAlignment="true" applyProtection="true">
      <alignment horizontal="center" vertical="bottom" textRotation="0" wrapText="false" indent="0" shrinkToFit="false"/>
      <protection locked="false" hidden="false"/>
    </xf>
    <xf numFmtId="164" fontId="74" fillId="0" borderId="0" xfId="0" applyFont="true" applyBorder="true" applyAlignment="true" applyProtection="true">
      <alignment horizontal="center" vertical="center" textRotation="180" wrapText="false" indent="0" shrinkToFit="false"/>
      <protection locked="false" hidden="false"/>
    </xf>
    <xf numFmtId="164" fontId="75" fillId="0" borderId="9" xfId="0" applyFont="true" applyBorder="true" applyAlignment="true" applyProtection="true">
      <alignment horizontal="center" vertical="center" textRotation="180" wrapText="false" indent="0" shrinkToFit="false"/>
      <protection locked="false" hidden="false"/>
    </xf>
    <xf numFmtId="164" fontId="18" fillId="0" borderId="86" xfId="0" applyFont="true" applyBorder="true" applyAlignment="true" applyProtection="true">
      <alignment horizontal="center" vertical="center" textRotation="0" wrapText="false" indent="0" shrinkToFit="false"/>
      <protection locked="false" hidden="false"/>
    </xf>
    <xf numFmtId="164" fontId="18" fillId="0" borderId="87" xfId="0" applyFont="true" applyBorder="true" applyAlignment="true" applyProtection="true">
      <alignment horizontal="center" vertical="center" textRotation="0" wrapText="false" indent="0" shrinkToFit="false"/>
      <protection locked="false" hidden="false"/>
    </xf>
    <xf numFmtId="164" fontId="18" fillId="0" borderId="88" xfId="0" applyFont="true" applyBorder="true" applyAlignment="true" applyProtection="true">
      <alignment horizontal="center" vertical="center" textRotation="0" wrapText="false" indent="0" shrinkToFit="false"/>
      <protection locked="false" hidden="false"/>
    </xf>
    <xf numFmtId="164" fontId="18" fillId="0" borderId="89" xfId="0" applyFont="true" applyBorder="true" applyAlignment="true" applyProtection="true">
      <alignment horizontal="center" vertical="center" textRotation="0" wrapText="false" indent="0" shrinkToFit="false"/>
      <protection locked="false" hidden="false"/>
    </xf>
    <xf numFmtId="164" fontId="18" fillId="0" borderId="90" xfId="0" applyFont="true" applyBorder="true" applyAlignment="true" applyProtection="false">
      <alignment horizontal="center" vertical="center" textRotation="0" wrapText="false" indent="0" shrinkToFit="false"/>
      <protection locked="true" hidden="false"/>
    </xf>
    <xf numFmtId="164" fontId="18" fillId="0" borderId="91" xfId="0" applyFont="true" applyBorder="true" applyAlignment="true" applyProtection="false">
      <alignment horizontal="center" vertical="center" textRotation="0" wrapText="false" indent="0" shrinkToFit="false"/>
      <protection locked="true" hidden="false"/>
    </xf>
    <xf numFmtId="164" fontId="18" fillId="0" borderId="92" xfId="0" applyFont="true" applyBorder="true" applyAlignment="true" applyProtection="true">
      <alignment horizontal="center" vertical="center" textRotation="0" wrapText="false" indent="0" shrinkToFit="false"/>
      <protection locked="false" hidden="false"/>
    </xf>
    <xf numFmtId="164" fontId="76" fillId="0" borderId="90" xfId="0" applyFont="true" applyBorder="true" applyAlignment="true" applyProtection="false">
      <alignment horizontal="center" vertical="center" textRotation="0" wrapText="false" indent="0" shrinkToFit="false"/>
      <protection locked="true" hidden="false"/>
    </xf>
    <xf numFmtId="164" fontId="76" fillId="0" borderId="93" xfId="0" applyFont="true" applyBorder="true" applyAlignment="true" applyProtection="false">
      <alignment horizontal="center" vertical="center" textRotation="0" wrapText="false" indent="0" shrinkToFit="false"/>
      <protection locked="true" hidden="false"/>
    </xf>
    <xf numFmtId="164" fontId="76" fillId="0" borderId="91" xfId="0" applyFont="true" applyBorder="true" applyAlignment="true" applyProtection="false">
      <alignment horizontal="center" vertical="center" textRotation="0" wrapText="false" indent="0" shrinkToFit="false"/>
      <protection locked="true" hidden="false"/>
    </xf>
    <xf numFmtId="164" fontId="18" fillId="0" borderId="94" xfId="0" applyFont="true" applyBorder="true" applyAlignment="true" applyProtection="true">
      <alignment horizontal="center" vertical="center" textRotation="0" wrapText="false" indent="0" shrinkToFit="false"/>
      <protection locked="false" hidden="false"/>
    </xf>
    <xf numFmtId="164" fontId="20" fillId="0" borderId="95" xfId="0" applyFont="true" applyBorder="true" applyAlignment="true" applyProtection="true">
      <alignment horizontal="distributed" vertical="center" textRotation="0" wrapText="false" indent="0" shrinkToFit="false"/>
      <protection locked="false" hidden="false"/>
    </xf>
    <xf numFmtId="168" fontId="77" fillId="0" borderId="96" xfId="0" applyFont="true" applyBorder="true" applyAlignment="true" applyProtection="false">
      <alignment horizontal="right" vertical="center" textRotation="0" wrapText="false" indent="0" shrinkToFit="false"/>
      <protection locked="true" hidden="false"/>
    </xf>
    <xf numFmtId="168" fontId="78" fillId="0" borderId="97" xfId="0" applyFont="true" applyBorder="true" applyAlignment="true" applyProtection="true">
      <alignment horizontal="right" vertical="center" textRotation="0" wrapText="false" indent="0" shrinkToFit="false"/>
      <protection locked="false" hidden="false"/>
    </xf>
    <xf numFmtId="168" fontId="77" fillId="0" borderId="98" xfId="0" applyFont="true" applyBorder="true" applyAlignment="true" applyProtection="false">
      <alignment horizontal="right" vertical="center" textRotation="0" wrapText="false" indent="0" shrinkToFit="false"/>
      <protection locked="true" hidden="false"/>
    </xf>
    <xf numFmtId="168" fontId="79" fillId="0" borderId="97" xfId="0" applyFont="true" applyBorder="true" applyAlignment="true" applyProtection="true">
      <alignment horizontal="right" vertical="center" textRotation="0" wrapText="false" indent="0" shrinkToFit="false"/>
      <protection locked="false" hidden="false"/>
    </xf>
    <xf numFmtId="168" fontId="77" fillId="0" borderId="99" xfId="0" applyFont="true" applyBorder="true" applyAlignment="true" applyProtection="false">
      <alignment horizontal="right" vertical="center" textRotation="0" wrapText="false" indent="0" shrinkToFit="false"/>
      <protection locked="true" hidden="false"/>
    </xf>
    <xf numFmtId="168" fontId="80" fillId="0" borderId="100" xfId="0" applyFont="true" applyBorder="true" applyAlignment="true" applyProtection="true">
      <alignment horizontal="right" vertical="center" textRotation="0" wrapText="false" indent="0" shrinkToFit="false"/>
      <protection locked="false" hidden="false"/>
    </xf>
    <xf numFmtId="168" fontId="77" fillId="0" borderId="100" xfId="0" applyFont="true" applyBorder="true" applyAlignment="true" applyProtection="false">
      <alignment horizontal="right" vertical="center" textRotation="0" wrapText="false" indent="0" shrinkToFit="false"/>
      <protection locked="true" hidden="false"/>
    </xf>
    <xf numFmtId="168" fontId="78" fillId="0" borderId="100" xfId="0" applyFont="true" applyBorder="true" applyAlignment="true" applyProtection="true">
      <alignment horizontal="right" vertical="center" textRotation="0" wrapText="false" indent="0" shrinkToFit="false"/>
      <protection locked="false" hidden="false"/>
    </xf>
    <xf numFmtId="168" fontId="79" fillId="0" borderId="100" xfId="0" applyFont="true" applyBorder="true" applyAlignment="true" applyProtection="true">
      <alignment horizontal="right" vertical="center" textRotation="0" wrapText="false" indent="0" shrinkToFit="false"/>
      <protection locked="false" hidden="false"/>
    </xf>
    <xf numFmtId="168" fontId="77" fillId="0" borderId="101" xfId="0" applyFont="true" applyBorder="true" applyAlignment="true" applyProtection="false">
      <alignment horizontal="right" vertical="center" textRotation="0" wrapText="false" indent="0" shrinkToFit="false"/>
      <protection locked="true" hidden="false"/>
    </xf>
    <xf numFmtId="164" fontId="18" fillId="0" borderId="102" xfId="0" applyFont="true" applyBorder="true" applyAlignment="true" applyProtection="true">
      <alignment horizontal="center" vertical="distributed" textRotation="255" wrapText="true" indent="3" shrinkToFit="false"/>
      <protection locked="false" hidden="false"/>
    </xf>
    <xf numFmtId="164" fontId="20" fillId="0" borderId="25" xfId="0" applyFont="true" applyBorder="true" applyAlignment="true" applyProtection="true">
      <alignment horizontal="distributed" vertical="center" textRotation="0" wrapText="false" indent="0" shrinkToFit="false"/>
      <protection locked="false" hidden="false"/>
    </xf>
    <xf numFmtId="168" fontId="78" fillId="0" borderId="103" xfId="0" applyFont="true" applyBorder="true" applyAlignment="true" applyProtection="true">
      <alignment horizontal="right" vertical="center" textRotation="0" wrapText="false" indent="0" shrinkToFit="false"/>
      <protection locked="false" hidden="false"/>
    </xf>
    <xf numFmtId="168" fontId="78" fillId="0" borderId="104" xfId="0" applyFont="true" applyBorder="true" applyAlignment="true" applyProtection="true">
      <alignment horizontal="right" vertical="center" textRotation="0" wrapText="false" indent="0" shrinkToFit="false"/>
      <protection locked="false" hidden="false"/>
    </xf>
    <xf numFmtId="168" fontId="77" fillId="0" borderId="105" xfId="0" applyFont="true" applyBorder="true" applyAlignment="true" applyProtection="false">
      <alignment horizontal="right" vertical="center" textRotation="0" wrapText="false" indent="0" shrinkToFit="false"/>
      <protection locked="true" hidden="false"/>
    </xf>
    <xf numFmtId="168" fontId="79" fillId="0" borderId="106" xfId="0" applyFont="true" applyBorder="true" applyAlignment="true" applyProtection="true">
      <alignment horizontal="right" vertical="center" textRotation="0" wrapText="false" indent="0" shrinkToFit="false"/>
      <protection locked="false" hidden="false"/>
    </xf>
    <xf numFmtId="168" fontId="78" fillId="0" borderId="107" xfId="0" applyFont="true" applyBorder="true" applyAlignment="true" applyProtection="true">
      <alignment horizontal="right" vertical="center" textRotation="0" wrapText="false" indent="0" shrinkToFit="false"/>
      <protection locked="false" hidden="false"/>
    </xf>
    <xf numFmtId="169" fontId="80" fillId="0" borderId="108" xfId="0" applyFont="true" applyBorder="true" applyAlignment="true" applyProtection="false">
      <alignment horizontal="right" vertical="center" textRotation="0" wrapText="false" indent="0" shrinkToFit="false"/>
      <protection locked="true" hidden="false"/>
    </xf>
    <xf numFmtId="168" fontId="79" fillId="0" borderId="107" xfId="0" applyFont="true" applyBorder="true" applyAlignment="true" applyProtection="true">
      <alignment horizontal="right" vertical="center" textRotation="0" wrapText="false" indent="0" shrinkToFit="false"/>
      <protection locked="false" hidden="false"/>
    </xf>
    <xf numFmtId="168" fontId="78" fillId="0" borderId="27" xfId="0" applyFont="true" applyBorder="true" applyAlignment="true" applyProtection="true">
      <alignment horizontal="right" vertical="center" textRotation="0" wrapText="false" indent="0" shrinkToFit="false"/>
      <protection locked="false" hidden="false"/>
    </xf>
    <xf numFmtId="168" fontId="77" fillId="0" borderId="109" xfId="0" applyFont="true" applyBorder="true" applyAlignment="true" applyProtection="false">
      <alignment horizontal="right" vertical="center" textRotation="0" wrapText="false" indent="0" shrinkToFit="false"/>
      <protection locked="true" hidden="false"/>
    </xf>
    <xf numFmtId="168" fontId="79" fillId="0" borderId="108" xfId="0" applyFont="true" applyBorder="true" applyAlignment="true" applyProtection="true">
      <alignment horizontal="right" vertical="center" textRotation="0" wrapText="false" indent="0" shrinkToFit="false"/>
      <protection locked="false" hidden="false"/>
    </xf>
    <xf numFmtId="168" fontId="77" fillId="0" borderId="28" xfId="0" applyFont="true" applyBorder="true" applyAlignment="true" applyProtection="false">
      <alignment horizontal="right" vertical="center" textRotation="0" wrapText="false" indent="0" shrinkToFit="false"/>
      <protection locked="true" hidden="false"/>
    </xf>
    <xf numFmtId="164" fontId="20" fillId="0" borderId="16" xfId="0" applyFont="true" applyBorder="true" applyAlignment="true" applyProtection="true">
      <alignment horizontal="distributed" vertical="center" textRotation="0" wrapText="false" indent="0" shrinkToFit="false"/>
      <protection locked="false" hidden="false"/>
    </xf>
    <xf numFmtId="168" fontId="78" fillId="0" borderId="110" xfId="0" applyFont="true" applyBorder="true" applyAlignment="true" applyProtection="true">
      <alignment horizontal="right" vertical="center" textRotation="0" wrapText="false" indent="0" shrinkToFit="false"/>
      <protection locked="false" hidden="false"/>
    </xf>
    <xf numFmtId="168" fontId="78" fillId="0" borderId="17" xfId="0" applyFont="true" applyBorder="true" applyAlignment="true" applyProtection="true">
      <alignment horizontal="right" vertical="center" textRotation="0" wrapText="false" indent="0" shrinkToFit="false"/>
      <protection locked="false" hidden="false"/>
    </xf>
    <xf numFmtId="168" fontId="77" fillId="0" borderId="111" xfId="0" applyFont="true" applyBorder="true" applyAlignment="true" applyProtection="false">
      <alignment horizontal="right" vertical="center" textRotation="0" wrapText="false" indent="0" shrinkToFit="false"/>
      <protection locked="true" hidden="false"/>
    </xf>
    <xf numFmtId="168" fontId="79" fillId="0" borderId="112" xfId="0" applyFont="true" applyBorder="true" applyAlignment="true" applyProtection="true">
      <alignment horizontal="right" vertical="center" textRotation="0" wrapText="false" indent="0" shrinkToFit="false"/>
      <protection locked="false" hidden="false"/>
    </xf>
    <xf numFmtId="168" fontId="78" fillId="0" borderId="15" xfId="0" applyFont="true" applyBorder="true" applyAlignment="true" applyProtection="true">
      <alignment horizontal="right" vertical="center" textRotation="0" wrapText="false" indent="0" shrinkToFit="false"/>
      <protection locked="false" hidden="false"/>
    </xf>
    <xf numFmtId="168" fontId="80" fillId="0" borderId="112" xfId="0" applyFont="true" applyBorder="true" applyAlignment="true" applyProtection="true">
      <alignment horizontal="right" vertical="center" textRotation="0" wrapText="false" indent="0" shrinkToFit="false"/>
      <protection locked="false" hidden="false"/>
    </xf>
    <xf numFmtId="168" fontId="79" fillId="0" borderId="15" xfId="0" applyFont="true" applyBorder="true" applyAlignment="true" applyProtection="true">
      <alignment horizontal="right" vertical="center" textRotation="0" wrapText="false" indent="0" shrinkToFit="false"/>
      <protection locked="false" hidden="false"/>
    </xf>
    <xf numFmtId="168" fontId="77" fillId="0" borderId="113" xfId="0" applyFont="true" applyBorder="true" applyAlignment="true" applyProtection="false">
      <alignment horizontal="right" vertical="center" textRotation="0" wrapText="false" indent="0" shrinkToFit="false"/>
      <protection locked="true" hidden="false"/>
    </xf>
    <xf numFmtId="168" fontId="77" fillId="0" borderId="18" xfId="0" applyFont="true" applyBorder="true" applyAlignment="true" applyProtection="false">
      <alignment horizontal="right" vertical="center" textRotation="0" wrapText="false" indent="0" shrinkToFit="false"/>
      <protection locked="true" hidden="false"/>
    </xf>
    <xf numFmtId="169" fontId="80" fillId="0" borderId="112" xfId="0" applyFont="true" applyBorder="true" applyAlignment="true" applyProtection="false">
      <alignment horizontal="right" vertical="center" textRotation="0" wrapText="false" indent="0" shrinkToFit="false"/>
      <protection locked="true" hidden="false"/>
    </xf>
    <xf numFmtId="164" fontId="41" fillId="0" borderId="16" xfId="0" applyFont="true" applyBorder="true" applyAlignment="true" applyProtection="true">
      <alignment horizontal="distributed" vertical="center" textRotation="0" wrapText="true" indent="0" shrinkToFit="false"/>
      <protection locked="false" hidden="false"/>
    </xf>
    <xf numFmtId="168" fontId="78" fillId="0" borderId="112" xfId="0" applyFont="true" applyBorder="true" applyAlignment="true" applyProtection="true">
      <alignment horizontal="right" vertical="center" textRotation="0" wrapText="false" indent="0" shrinkToFit="false"/>
      <protection locked="false" hidden="false"/>
    </xf>
    <xf numFmtId="168" fontId="77" fillId="0" borderId="111" xfId="0" applyFont="true" applyBorder="true" applyAlignment="true" applyProtection="true">
      <alignment horizontal="right" vertical="center" textRotation="0" wrapText="false" indent="0" shrinkToFit="false"/>
      <protection locked="false" hidden="false"/>
    </xf>
    <xf numFmtId="164" fontId="35" fillId="0" borderId="16" xfId="0" applyFont="true" applyBorder="true" applyAlignment="true" applyProtection="true">
      <alignment horizontal="distributed" vertical="center" textRotation="0" wrapText="true" indent="0" shrinkToFit="false"/>
      <protection locked="false" hidden="false"/>
    </xf>
    <xf numFmtId="168" fontId="77" fillId="0" borderId="18" xfId="0" applyFont="true" applyBorder="true" applyAlignment="true" applyProtection="true">
      <alignment horizontal="right" vertical="center" textRotation="0" wrapText="false" indent="0" shrinkToFit="false"/>
      <protection locked="false" hidden="false"/>
    </xf>
    <xf numFmtId="164" fontId="35" fillId="0" borderId="16" xfId="0" applyFont="true" applyBorder="true" applyAlignment="true" applyProtection="true">
      <alignment horizontal="distributed" vertical="center" textRotation="0" wrapText="false" indent="0" shrinkToFit="false"/>
      <protection locked="false" hidden="false"/>
    </xf>
    <xf numFmtId="164" fontId="21" fillId="0" borderId="16" xfId="0" applyFont="true" applyBorder="true" applyAlignment="true" applyProtection="true">
      <alignment horizontal="distributed" vertical="center" textRotation="0" wrapText="false" indent="0" shrinkToFit="false"/>
      <protection locked="false" hidden="false"/>
    </xf>
    <xf numFmtId="166" fontId="21" fillId="0" borderId="16" xfId="0" applyFont="true" applyBorder="true" applyAlignment="true" applyProtection="true">
      <alignment horizontal="distributed" vertical="center" textRotation="0" wrapText="false" indent="0" shrinkToFit="false"/>
      <protection locked="false" hidden="false"/>
    </xf>
    <xf numFmtId="166" fontId="21" fillId="0" borderId="61" xfId="0" applyFont="true" applyBorder="true" applyAlignment="true" applyProtection="true">
      <alignment horizontal="distributed" vertical="center" textRotation="0" wrapText="false" indent="0" shrinkToFit="false"/>
      <protection locked="false" hidden="false"/>
    </xf>
    <xf numFmtId="168" fontId="78" fillId="0" borderId="114" xfId="0" applyFont="true" applyBorder="true" applyAlignment="true" applyProtection="true">
      <alignment horizontal="right" vertical="center" textRotation="0" wrapText="false" indent="0" shrinkToFit="false"/>
      <protection locked="false" hidden="false"/>
    </xf>
    <xf numFmtId="168" fontId="78" fillId="0" borderId="60" xfId="0" applyFont="true" applyBorder="true" applyAlignment="true" applyProtection="true">
      <alignment horizontal="right" vertical="center" textRotation="0" wrapText="false" indent="0" shrinkToFit="false"/>
      <protection locked="false" hidden="false"/>
    </xf>
    <xf numFmtId="168" fontId="78" fillId="0" borderId="115" xfId="0" applyFont="true" applyBorder="true" applyAlignment="true" applyProtection="true">
      <alignment horizontal="right" vertical="center" textRotation="0" wrapText="false" indent="0" shrinkToFit="false"/>
      <protection locked="false" hidden="false"/>
    </xf>
    <xf numFmtId="168" fontId="78" fillId="0" borderId="19" xfId="0" applyFont="true" applyBorder="true" applyAlignment="true" applyProtection="true">
      <alignment horizontal="right" vertical="center" textRotation="0" wrapText="false" indent="0" shrinkToFit="false"/>
      <protection locked="false" hidden="false"/>
    </xf>
    <xf numFmtId="168" fontId="77" fillId="0" borderId="116" xfId="0" applyFont="true" applyBorder="true" applyAlignment="true" applyProtection="true">
      <alignment horizontal="right" vertical="center" textRotation="0" wrapText="false" indent="0" shrinkToFit="false"/>
      <protection locked="false" hidden="false"/>
    </xf>
    <xf numFmtId="169" fontId="79" fillId="0" borderId="115" xfId="0" applyFont="true" applyBorder="true" applyAlignment="true" applyProtection="false">
      <alignment horizontal="right" vertical="center" textRotation="0" wrapText="false" indent="0" shrinkToFit="false"/>
      <protection locked="true" hidden="false"/>
    </xf>
    <xf numFmtId="168" fontId="79" fillId="0" borderId="19" xfId="0" applyFont="true" applyBorder="true" applyAlignment="true" applyProtection="true">
      <alignment horizontal="right" vertical="center" textRotation="0" wrapText="false" indent="0" shrinkToFit="false"/>
      <protection locked="false" hidden="false"/>
    </xf>
    <xf numFmtId="168" fontId="79" fillId="0" borderId="115" xfId="0" applyFont="true" applyBorder="true" applyAlignment="true" applyProtection="true">
      <alignment horizontal="right" vertical="center" textRotation="0" wrapText="false" indent="0" shrinkToFit="false"/>
      <protection locked="false" hidden="false"/>
    </xf>
    <xf numFmtId="168" fontId="77" fillId="0" borderId="22" xfId="0" applyFont="true" applyBorder="true" applyAlignment="true" applyProtection="false">
      <alignment horizontal="right" vertical="center" textRotation="0" wrapText="false" indent="0" shrinkToFit="false"/>
      <protection locked="true" hidden="false"/>
    </xf>
    <xf numFmtId="168" fontId="77" fillId="0" borderId="22" xfId="0" applyFont="true" applyBorder="true" applyAlignment="true" applyProtection="true">
      <alignment horizontal="right" vertical="center" textRotation="0" wrapText="false" indent="0" shrinkToFit="false"/>
      <protection locked="false" hidden="false"/>
    </xf>
    <xf numFmtId="166" fontId="20" fillId="0" borderId="61" xfId="0" applyFont="true" applyBorder="true" applyAlignment="true" applyProtection="true">
      <alignment horizontal="distributed" vertical="center" textRotation="0" wrapText="false" indent="0" shrinkToFit="false"/>
      <protection locked="false" hidden="false"/>
    </xf>
    <xf numFmtId="168" fontId="77" fillId="0" borderId="116" xfId="0" applyFont="true" applyBorder="true" applyAlignment="true" applyProtection="false">
      <alignment horizontal="right" vertical="center" textRotation="0" wrapText="false" indent="0" shrinkToFit="false"/>
      <protection locked="true" hidden="false"/>
    </xf>
    <xf numFmtId="166" fontId="41" fillId="0" borderId="61" xfId="0" applyFont="true" applyBorder="true" applyAlignment="true" applyProtection="true">
      <alignment horizontal="distributed" vertical="center" textRotation="0" wrapText="false" indent="0" shrinkToFit="false"/>
      <protection locked="false" hidden="false"/>
    </xf>
    <xf numFmtId="168" fontId="78" fillId="0" borderId="90" xfId="0" applyFont="true" applyBorder="true" applyAlignment="true" applyProtection="true">
      <alignment horizontal="right" vertical="center" textRotation="0" wrapText="false" indent="0" shrinkToFit="false"/>
      <protection locked="false" hidden="false"/>
    </xf>
    <xf numFmtId="168" fontId="78" fillId="0" borderId="91" xfId="0" applyFont="true" applyBorder="true" applyAlignment="true" applyProtection="true">
      <alignment horizontal="right" vertical="center" textRotation="0" wrapText="false" indent="0" shrinkToFit="false"/>
      <protection locked="false" hidden="false"/>
    </xf>
    <xf numFmtId="168" fontId="78" fillId="0" borderId="93" xfId="0" applyFont="true" applyBorder="true" applyAlignment="true" applyProtection="true">
      <alignment horizontal="right" vertical="center" textRotation="0" wrapText="false" indent="0" shrinkToFit="false"/>
      <protection locked="false" hidden="false"/>
    </xf>
    <xf numFmtId="168" fontId="79" fillId="0" borderId="117" xfId="0" applyFont="true" applyBorder="true" applyAlignment="true" applyProtection="true">
      <alignment horizontal="right" vertical="center" textRotation="0" wrapText="false" indent="0" shrinkToFit="false"/>
      <protection locked="false" hidden="false"/>
    </xf>
    <xf numFmtId="168" fontId="79" fillId="0" borderId="93" xfId="0" applyFont="true" applyBorder="true" applyAlignment="true" applyProtection="true">
      <alignment horizontal="right" vertical="center" textRotation="0" wrapText="false" indent="0" shrinkToFit="false"/>
      <protection locked="false" hidden="false"/>
    </xf>
    <xf numFmtId="168" fontId="79" fillId="0" borderId="60" xfId="0" applyFont="true" applyBorder="true" applyAlignment="true" applyProtection="true">
      <alignment horizontal="right" vertical="center" textRotation="0" wrapText="false" indent="0" shrinkToFit="false"/>
      <protection locked="false" hidden="false"/>
    </xf>
    <xf numFmtId="166" fontId="20" fillId="0" borderId="95" xfId="0" applyFont="true" applyBorder="true" applyAlignment="true" applyProtection="true">
      <alignment horizontal="distributed" vertical="center" textRotation="0" wrapText="true" indent="0" shrinkToFit="false"/>
      <protection locked="false" hidden="false"/>
    </xf>
    <xf numFmtId="168" fontId="77" fillId="0" borderId="97" xfId="0" applyFont="true" applyBorder="true" applyAlignment="true" applyProtection="false">
      <alignment horizontal="right" vertical="center" textRotation="0" wrapText="false" indent="0" shrinkToFit="false"/>
      <protection locked="true" hidden="false"/>
    </xf>
    <xf numFmtId="164" fontId="20" fillId="0" borderId="102" xfId="0" applyFont="true" applyBorder="true" applyAlignment="true" applyProtection="true">
      <alignment horizontal="center" vertical="distributed" textRotation="255" wrapText="true" indent="3" shrinkToFit="false"/>
      <protection locked="false" hidden="false"/>
    </xf>
    <xf numFmtId="166" fontId="20" fillId="0" borderId="16" xfId="0" applyFont="true" applyBorder="true" applyAlignment="true" applyProtection="true">
      <alignment horizontal="distributed" vertical="center" textRotation="0" wrapText="false" indent="0" shrinkToFit="false"/>
      <protection locked="false" hidden="false"/>
    </xf>
    <xf numFmtId="168" fontId="78" fillId="0" borderId="108" xfId="0" applyFont="true" applyBorder="true" applyAlignment="true" applyProtection="true">
      <alignment horizontal="right" vertical="center" textRotation="0" wrapText="false" indent="0" shrinkToFit="false"/>
      <protection locked="false" hidden="false"/>
    </xf>
    <xf numFmtId="168" fontId="77" fillId="0" borderId="109" xfId="0" applyFont="true" applyBorder="true" applyAlignment="true" applyProtection="true">
      <alignment horizontal="right" vertical="center" textRotation="0" wrapText="false" indent="0" shrinkToFit="false"/>
      <protection locked="false" hidden="false"/>
    </xf>
    <xf numFmtId="168" fontId="78" fillId="0" borderId="49" xfId="0" applyFont="true" applyBorder="true" applyAlignment="true" applyProtection="true">
      <alignment horizontal="right" vertical="center" textRotation="0" wrapText="false" indent="0" shrinkToFit="false"/>
      <protection locked="false" hidden="false"/>
    </xf>
    <xf numFmtId="168" fontId="79" fillId="0" borderId="118" xfId="0" applyFont="true" applyBorder="true" applyAlignment="true" applyProtection="true">
      <alignment horizontal="right" vertical="center" textRotation="0" wrapText="false" indent="0" shrinkToFit="false"/>
      <protection locked="false" hidden="false"/>
    </xf>
    <xf numFmtId="168" fontId="79" fillId="0" borderId="119" xfId="0" applyFont="true" applyBorder="true" applyAlignment="true" applyProtection="true">
      <alignment horizontal="right" vertical="center" textRotation="0" wrapText="false" indent="0" shrinkToFit="false"/>
      <protection locked="false" hidden="false"/>
    </xf>
    <xf numFmtId="168" fontId="77" fillId="0" borderId="47" xfId="0" applyFont="true" applyBorder="true" applyAlignment="true" applyProtection="false">
      <alignment horizontal="right" vertical="center" textRotation="0" wrapText="false" indent="0" shrinkToFit="false"/>
      <protection locked="true" hidden="false"/>
    </xf>
    <xf numFmtId="168" fontId="78" fillId="0" borderId="120" xfId="0" applyFont="true" applyBorder="true" applyAlignment="true" applyProtection="true">
      <alignment horizontal="right" vertical="center" textRotation="0" wrapText="false" indent="0" shrinkToFit="false"/>
      <protection locked="false" hidden="false"/>
    </xf>
    <xf numFmtId="168" fontId="79" fillId="0" borderId="121" xfId="0" applyFont="true" applyBorder="true" applyAlignment="true" applyProtection="true">
      <alignment horizontal="right" vertical="center" textRotation="0" wrapText="false" indent="0" shrinkToFit="false"/>
      <protection locked="false" hidden="false"/>
    </xf>
    <xf numFmtId="168" fontId="79" fillId="0" borderId="46" xfId="0" applyFont="true" applyBorder="true" applyAlignment="true" applyProtection="true">
      <alignment horizontal="right" vertical="center" textRotation="0" wrapText="false" indent="0" shrinkToFit="false"/>
      <protection locked="false" hidden="false"/>
    </xf>
    <xf numFmtId="168" fontId="78" fillId="0" borderId="121" xfId="0" applyFont="true" applyBorder="true" applyAlignment="true" applyProtection="true">
      <alignment horizontal="right" vertical="center" textRotation="0" wrapText="false" indent="0" shrinkToFit="false"/>
      <protection locked="false" hidden="false"/>
    </xf>
    <xf numFmtId="168" fontId="78" fillId="0" borderId="46" xfId="0" applyFont="true" applyBorder="true" applyAlignment="true" applyProtection="true">
      <alignment horizontal="right" vertical="center" textRotation="0" wrapText="false" indent="0" shrinkToFit="false"/>
      <protection locked="false" hidden="false"/>
    </xf>
    <xf numFmtId="168" fontId="77" fillId="0" borderId="113" xfId="0" applyFont="true" applyBorder="true" applyAlignment="true" applyProtection="true">
      <alignment horizontal="right" vertical="center" textRotation="0" wrapText="false" indent="0" shrinkToFit="false"/>
      <protection locked="false" hidden="false"/>
    </xf>
    <xf numFmtId="166" fontId="35" fillId="0" borderId="16" xfId="0" applyFont="true" applyBorder="true" applyAlignment="true" applyProtection="true">
      <alignment horizontal="distributed" vertical="center" textRotation="0" wrapText="false" indent="0" shrinkToFit="false"/>
      <protection locked="false" hidden="false"/>
    </xf>
    <xf numFmtId="168" fontId="78" fillId="0" borderId="110" xfId="0" applyFont="true" applyBorder="true" applyAlignment="true" applyProtection="true">
      <alignment horizontal="right" vertical="center" textRotation="0" wrapText="false" indent="0" shrinkToFit="true"/>
      <protection locked="false" hidden="false"/>
    </xf>
    <xf numFmtId="168" fontId="78" fillId="0" borderId="17" xfId="0" applyFont="true" applyBorder="true" applyAlignment="true" applyProtection="true">
      <alignment horizontal="right" vertical="center" textRotation="0" wrapText="false" indent="0" shrinkToFit="true"/>
      <protection locked="false" hidden="false"/>
    </xf>
    <xf numFmtId="168" fontId="79" fillId="0" borderId="112" xfId="0" applyFont="true" applyBorder="true" applyAlignment="true" applyProtection="true">
      <alignment horizontal="right" vertical="center" textRotation="0" wrapText="false" indent="0" shrinkToFit="true"/>
      <protection locked="false" hidden="false"/>
    </xf>
    <xf numFmtId="168" fontId="78" fillId="0" borderId="15" xfId="0" applyFont="true" applyBorder="true" applyAlignment="true" applyProtection="true">
      <alignment horizontal="right" vertical="center" textRotation="0" wrapText="false" indent="0" shrinkToFit="true"/>
      <protection locked="false" hidden="false"/>
    </xf>
    <xf numFmtId="168" fontId="79" fillId="0" borderId="15" xfId="0" applyFont="true" applyBorder="true" applyAlignment="true" applyProtection="true">
      <alignment horizontal="right" vertical="center" textRotation="0" wrapText="false" indent="0" shrinkToFit="true"/>
      <protection locked="false" hidden="false"/>
    </xf>
    <xf numFmtId="164" fontId="41" fillId="0" borderId="16" xfId="0" applyFont="true" applyBorder="true" applyAlignment="true" applyProtection="true">
      <alignment horizontal="distributed" vertical="center" textRotation="0" wrapText="false" indent="0" shrinkToFit="false"/>
      <protection locked="false" hidden="false"/>
    </xf>
    <xf numFmtId="169" fontId="78" fillId="0" borderId="112" xfId="0" applyFont="true" applyBorder="true" applyAlignment="true" applyProtection="false">
      <alignment horizontal="right" vertical="center" textRotation="0" wrapText="false" indent="0" shrinkToFit="false"/>
      <protection locked="true" hidden="false"/>
    </xf>
    <xf numFmtId="168" fontId="79" fillId="0" borderId="122" xfId="0" applyFont="true" applyBorder="true" applyAlignment="true" applyProtection="true">
      <alignment horizontal="right" vertical="center" textRotation="0" wrapText="false" indent="0" shrinkToFit="false"/>
      <protection locked="false" hidden="false"/>
    </xf>
    <xf numFmtId="168" fontId="79" fillId="0" borderId="123" xfId="0" applyFont="true" applyBorder="true" applyAlignment="true" applyProtection="true">
      <alignment horizontal="right" vertical="center" textRotation="0" wrapText="false" indent="0" shrinkToFit="false"/>
      <protection locked="false" hidden="false"/>
    </xf>
    <xf numFmtId="166" fontId="20" fillId="0" borderId="124" xfId="0" applyFont="true" applyBorder="true" applyAlignment="true" applyProtection="true">
      <alignment horizontal="distributed" vertical="center" textRotation="0" wrapText="true" indent="0" shrinkToFit="false"/>
      <protection locked="false" hidden="false"/>
    </xf>
    <xf numFmtId="168" fontId="77" fillId="0" borderId="125" xfId="0" applyFont="true" applyBorder="true" applyAlignment="true" applyProtection="false">
      <alignment horizontal="right" vertical="center" textRotation="0" wrapText="false" indent="0" shrinkToFit="false"/>
      <protection locked="true" hidden="false"/>
    </xf>
    <xf numFmtId="166" fontId="21" fillId="0" borderId="10" xfId="0" applyFont="true" applyBorder="true" applyAlignment="true" applyProtection="true">
      <alignment horizontal="distributed" vertical="center" textRotation="0" wrapText="true" indent="0" shrinkToFit="false"/>
      <protection locked="false" hidden="false"/>
    </xf>
    <xf numFmtId="168" fontId="77" fillId="0" borderId="106" xfId="0" applyFont="true" applyBorder="true" applyAlignment="true" applyProtection="false">
      <alignment horizontal="right" vertical="center" textRotation="0" wrapText="false" indent="0" shrinkToFit="false"/>
      <protection locked="true" hidden="false"/>
    </xf>
    <xf numFmtId="168" fontId="77" fillId="0" borderId="24" xfId="0" applyFont="true" applyBorder="true" applyAlignment="true" applyProtection="false">
      <alignment horizontal="right" vertical="center" textRotation="0" wrapText="false" indent="0" shrinkToFit="false"/>
      <protection locked="true" hidden="false"/>
    </xf>
    <xf numFmtId="168" fontId="77" fillId="0" borderId="120" xfId="0" applyFont="true" applyBorder="true" applyAlignment="true" applyProtection="false">
      <alignment horizontal="right" vertical="center" textRotation="0" wrapText="false" indent="0" shrinkToFit="false"/>
      <protection locked="true" hidden="false"/>
    </xf>
    <xf numFmtId="168" fontId="77" fillId="0" borderId="36" xfId="0" applyFont="true" applyBorder="true" applyAlignment="true" applyProtection="false">
      <alignment horizontal="right" vertical="center" textRotation="0" wrapText="false" indent="0" shrinkToFit="false"/>
      <protection locked="true" hidden="false"/>
    </xf>
    <xf numFmtId="168" fontId="77" fillId="0" borderId="27" xfId="0" applyFont="true" applyBorder="true" applyAlignment="true" applyProtection="false">
      <alignment horizontal="right" vertical="center" textRotation="0" wrapText="false" indent="0" shrinkToFit="false"/>
      <protection locked="true" hidden="false"/>
    </xf>
    <xf numFmtId="166" fontId="35" fillId="0" borderId="126" xfId="0" applyFont="true" applyBorder="true" applyAlignment="true" applyProtection="true">
      <alignment horizontal="distributed" vertical="center" textRotation="0" wrapText="true" indent="0" shrinkToFit="false"/>
      <protection locked="false" hidden="false"/>
    </xf>
    <xf numFmtId="168" fontId="77" fillId="0" borderId="127" xfId="0" applyFont="true" applyBorder="true" applyAlignment="true" applyProtection="false">
      <alignment horizontal="right" vertical="center" textRotation="0" wrapText="false" indent="0" shrinkToFit="false"/>
      <protection locked="true" hidden="false"/>
    </xf>
    <xf numFmtId="168" fontId="77" fillId="0" borderId="74" xfId="0" applyFont="true" applyBorder="true" applyAlignment="true" applyProtection="false">
      <alignment horizontal="right" vertical="center" textRotation="0" wrapText="false" indent="0" shrinkToFit="false"/>
      <protection locked="true" hidden="false"/>
    </xf>
    <xf numFmtId="168" fontId="77" fillId="0" borderId="128" xfId="0" applyFont="true" applyBorder="true" applyAlignment="true" applyProtection="false">
      <alignment horizontal="right" vertical="center" textRotation="0" wrapText="false" indent="0" shrinkToFit="false"/>
      <protection locked="true" hidden="false"/>
    </xf>
    <xf numFmtId="168" fontId="77" fillId="0" borderId="129" xfId="0" applyFont="true" applyBorder="true" applyAlignment="true" applyProtection="false">
      <alignment horizontal="right" vertical="center" textRotation="0" wrapText="false" indent="0" shrinkToFit="false"/>
      <protection locked="true" hidden="false"/>
    </xf>
    <xf numFmtId="168" fontId="77" fillId="0" borderId="130" xfId="0" applyFont="true" applyBorder="true" applyAlignment="true" applyProtection="false">
      <alignment horizontal="right" vertical="center" textRotation="0" wrapText="false" indent="0" shrinkToFit="false"/>
      <protection locked="true" hidden="false"/>
    </xf>
    <xf numFmtId="168" fontId="77" fillId="0" borderId="66" xfId="0" applyFont="true" applyBorder="true" applyAlignment="true" applyProtection="false">
      <alignment horizontal="right" vertical="center" textRotation="0" wrapText="false" indent="0" shrinkToFit="false"/>
      <protection locked="true" hidden="false"/>
    </xf>
    <xf numFmtId="168" fontId="77" fillId="0" borderId="70" xfId="0" applyFont="true" applyBorder="true" applyAlignment="true" applyProtection="false">
      <alignment horizontal="right" vertical="center" textRotation="0" wrapText="false" indent="0" shrinkToFit="false"/>
      <protection locked="true" hidden="false"/>
    </xf>
    <xf numFmtId="166" fontId="75" fillId="0" borderId="0" xfId="0" applyFont="true" applyBorder="false" applyAlignment="true" applyProtection="true">
      <alignment horizontal="general" vertical="bottom" textRotation="0" wrapText="false" indent="0" shrinkToFit="false"/>
      <protection locked="false" hidden="false"/>
    </xf>
    <xf numFmtId="171" fontId="75" fillId="0" borderId="0" xfId="0" applyFont="true" applyBorder="false" applyAlignment="true" applyProtection="true">
      <alignment horizontal="general" vertical="bottom" textRotation="0" wrapText="false" indent="0" shrinkToFit="false"/>
      <protection locked="false" hidden="false"/>
    </xf>
    <xf numFmtId="164" fontId="75" fillId="0" borderId="0" xfId="0" applyFont="true" applyBorder="false" applyAlignment="true" applyProtection="true">
      <alignment horizontal="general" vertical="bottom" textRotation="0" wrapText="false" indent="0" shrinkToFit="false"/>
      <protection locked="false" hidden="false"/>
    </xf>
    <xf numFmtId="166" fontId="20" fillId="0" borderId="0" xfId="0" applyFont="true" applyBorder="false" applyAlignment="true" applyProtection="true">
      <alignment horizontal="right" vertical="bottom" textRotation="0" wrapText="false" indent="0" shrinkToFit="false"/>
      <protection locked="false" hidden="false"/>
    </xf>
    <xf numFmtId="168" fontId="75"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true" applyAlignment="true" applyProtection="true">
      <alignment horizontal="left" vertical="center" textRotation="0" wrapText="true" indent="0" shrinkToFit="false"/>
      <protection locked="false" hidden="false"/>
    </xf>
    <xf numFmtId="166" fontId="81" fillId="0" borderId="0" xfId="0" applyFont="true" applyBorder="false" applyAlignment="true" applyProtection="true">
      <alignment horizontal="general" vertical="bottom" textRotation="0" wrapText="false" indent="0" shrinkToFit="false"/>
      <protection locked="false" hidden="false"/>
    </xf>
    <xf numFmtId="164" fontId="75" fillId="0" borderId="0" xfId="0" applyFont="true" applyBorder="false" applyAlignment="true" applyProtection="true">
      <alignment horizontal="right" vertical="bottom" textRotation="0" wrapText="false" indent="0" shrinkToFit="false"/>
      <protection locked="false" hidden="false"/>
    </xf>
    <xf numFmtId="164" fontId="82" fillId="0" borderId="0" xfId="0" applyFont="true" applyBorder="true" applyAlignment="true" applyProtection="false">
      <alignment horizontal="center" vertical="bottom" textRotation="0" wrapText="false" indent="0" shrinkToFit="false"/>
      <protection locked="true" hidden="false"/>
    </xf>
    <xf numFmtId="164" fontId="20" fillId="0" borderId="86" xfId="0" applyFont="true" applyBorder="true" applyAlignment="true" applyProtection="true">
      <alignment horizontal="center" vertical="center" textRotation="0" wrapText="false" indent="0" shrinkToFit="false"/>
      <protection locked="false" hidden="false"/>
    </xf>
    <xf numFmtId="164" fontId="20" fillId="0" borderId="87" xfId="0" applyFont="true" applyBorder="true" applyAlignment="true" applyProtection="true">
      <alignment horizontal="center" vertical="center" textRotation="0" wrapText="false" indent="0" shrinkToFit="false"/>
      <protection locked="false" hidden="false"/>
    </xf>
    <xf numFmtId="164" fontId="20" fillId="0" borderId="88" xfId="0" applyFont="true" applyBorder="true" applyAlignment="true" applyProtection="true">
      <alignment horizontal="center" vertical="center" textRotation="0" wrapText="false" indent="0" shrinkToFit="false"/>
      <protection locked="false" hidden="false"/>
    </xf>
    <xf numFmtId="164" fontId="20" fillId="0" borderId="89" xfId="0" applyFont="true" applyBorder="true" applyAlignment="true" applyProtection="true">
      <alignment horizontal="center" vertical="center" textRotation="0" wrapText="false" indent="0" shrinkToFit="false"/>
      <protection locked="false" hidden="false"/>
    </xf>
    <xf numFmtId="164" fontId="11" fillId="0" borderId="90" xfId="0" applyFont="true" applyBorder="true" applyAlignment="true" applyProtection="false">
      <alignment horizontal="center" vertical="bottom" textRotation="0" wrapText="false" indent="0" shrinkToFit="false"/>
      <protection locked="true" hidden="false"/>
    </xf>
    <xf numFmtId="164" fontId="11" fillId="0" borderId="91" xfId="0" applyFont="true" applyBorder="true" applyAlignment="true" applyProtection="false">
      <alignment horizontal="center" vertical="bottom" textRotation="0" wrapText="false" indent="0" shrinkToFit="false"/>
      <protection locked="true" hidden="false"/>
    </xf>
    <xf numFmtId="164" fontId="20" fillId="0" borderId="92" xfId="0" applyFont="true" applyBorder="true" applyAlignment="true" applyProtection="true">
      <alignment horizontal="center" vertical="bottom" textRotation="0" wrapText="false" indent="0" shrinkToFit="false"/>
      <protection locked="false" hidden="false"/>
    </xf>
    <xf numFmtId="164" fontId="11" fillId="0" borderId="93" xfId="0" applyFont="true" applyBorder="true" applyAlignment="true" applyProtection="false">
      <alignment horizontal="center" vertical="bottom" textRotation="0" wrapText="false" indent="0" shrinkToFit="false"/>
      <protection locked="true" hidden="false"/>
    </xf>
    <xf numFmtId="164" fontId="20" fillId="0" borderId="94" xfId="0" applyFont="true" applyBorder="true" applyAlignment="true" applyProtection="true">
      <alignment horizontal="center" vertical="bottom" textRotation="0" wrapText="false" indent="0" shrinkToFit="false"/>
      <protection locked="false" hidden="false"/>
    </xf>
    <xf numFmtId="168" fontId="83" fillId="0" borderId="96" xfId="0" applyFont="true" applyBorder="true" applyAlignment="true" applyProtection="false">
      <alignment horizontal="right" vertical="bottom" textRotation="0" wrapText="false" indent="0" shrinkToFit="false"/>
      <protection locked="true" hidden="false"/>
    </xf>
    <xf numFmtId="168" fontId="83" fillId="0" borderId="97" xfId="0" applyFont="true" applyBorder="true" applyAlignment="true" applyProtection="false">
      <alignment horizontal="right" vertical="bottom" textRotation="0" wrapText="false" indent="0" shrinkToFit="false"/>
      <protection locked="true" hidden="false"/>
    </xf>
    <xf numFmtId="168" fontId="83" fillId="0" borderId="98" xfId="0" applyFont="true" applyBorder="true" applyAlignment="true" applyProtection="false">
      <alignment horizontal="right" vertical="bottom" textRotation="0" wrapText="false" indent="0" shrinkToFit="false"/>
      <protection locked="true" hidden="false"/>
    </xf>
    <xf numFmtId="168" fontId="75" fillId="0" borderId="97" xfId="0" applyFont="true" applyBorder="true" applyAlignment="true" applyProtection="true">
      <alignment horizontal="right" vertical="bottom" textRotation="0" wrapText="false" indent="0" shrinkToFit="false"/>
      <protection locked="false" hidden="false"/>
    </xf>
    <xf numFmtId="168" fontId="83" fillId="0" borderId="99" xfId="0" applyFont="true" applyBorder="true" applyAlignment="true" applyProtection="false">
      <alignment horizontal="right" vertical="bottom" textRotation="0" wrapText="false" indent="0" shrinkToFit="false"/>
      <protection locked="true" hidden="false"/>
    </xf>
    <xf numFmtId="168" fontId="83" fillId="0" borderId="100" xfId="0" applyFont="true" applyBorder="true" applyAlignment="true" applyProtection="false">
      <alignment horizontal="right" vertical="bottom" textRotation="0" wrapText="false" indent="0" shrinkToFit="false"/>
      <protection locked="true" hidden="false"/>
    </xf>
    <xf numFmtId="168" fontId="83" fillId="0" borderId="101" xfId="0" applyFont="true" applyBorder="true" applyAlignment="true" applyProtection="false">
      <alignment horizontal="right" vertical="bottom" textRotation="0" wrapText="false" indent="0" shrinkToFit="false"/>
      <protection locked="true" hidden="false"/>
    </xf>
    <xf numFmtId="168" fontId="83" fillId="0" borderId="106" xfId="0" applyFont="true" applyBorder="true" applyAlignment="true" applyProtection="false">
      <alignment horizontal="right" vertical="bottom" textRotation="0" wrapText="false" indent="0" shrinkToFit="false"/>
      <protection locked="true" hidden="false"/>
    </xf>
    <xf numFmtId="168" fontId="83" fillId="0" borderId="107" xfId="0" applyFont="true" applyBorder="true" applyAlignment="true" applyProtection="false">
      <alignment horizontal="right" vertical="bottom" textRotation="0" wrapText="false" indent="0" shrinkToFit="false"/>
      <protection locked="true" hidden="false"/>
    </xf>
    <xf numFmtId="168" fontId="83" fillId="0" borderId="105" xfId="0" applyFont="true" applyBorder="true" applyAlignment="true" applyProtection="false">
      <alignment horizontal="right" vertical="bottom" textRotation="0" wrapText="false" indent="0" shrinkToFit="false"/>
      <protection locked="true" hidden="false"/>
    </xf>
    <xf numFmtId="168" fontId="75" fillId="0" borderId="106" xfId="0" applyFont="true" applyBorder="true" applyAlignment="true" applyProtection="true">
      <alignment horizontal="right" vertical="bottom" textRotation="0" wrapText="false" indent="0" shrinkToFit="false"/>
      <protection locked="false" hidden="false"/>
    </xf>
    <xf numFmtId="168" fontId="84" fillId="0" borderId="107" xfId="0" applyFont="true" applyBorder="true" applyAlignment="true" applyProtection="true">
      <alignment horizontal="right" vertical="bottom" textRotation="0" wrapText="false" indent="0" shrinkToFit="false"/>
      <protection locked="false" hidden="false"/>
    </xf>
    <xf numFmtId="168" fontId="83" fillId="0" borderId="27" xfId="0" applyFont="true" applyBorder="true" applyAlignment="true" applyProtection="false">
      <alignment horizontal="right" vertical="bottom" textRotation="0" wrapText="false" indent="0" shrinkToFit="false"/>
      <protection locked="true" hidden="false"/>
    </xf>
    <xf numFmtId="168" fontId="83" fillId="0" borderId="109" xfId="0" applyFont="true" applyBorder="true" applyAlignment="true" applyProtection="false">
      <alignment horizontal="right" vertical="bottom" textRotation="0" wrapText="false" indent="0" shrinkToFit="false"/>
      <protection locked="true" hidden="false"/>
    </xf>
    <xf numFmtId="168" fontId="83" fillId="0" borderId="108" xfId="0" applyFont="true" applyBorder="true" applyAlignment="true" applyProtection="false">
      <alignment horizontal="right" vertical="bottom" textRotation="0" wrapText="false" indent="0" shrinkToFit="false"/>
      <protection locked="true" hidden="false"/>
    </xf>
    <xf numFmtId="168" fontId="83" fillId="0" borderId="28" xfId="0" applyFont="true" applyBorder="true" applyAlignment="true" applyProtection="false">
      <alignment horizontal="right" vertical="bottom" textRotation="0" wrapText="false" indent="0" shrinkToFit="false"/>
      <protection locked="true" hidden="false"/>
    </xf>
    <xf numFmtId="168" fontId="83" fillId="0" borderId="112" xfId="0" applyFont="true" applyBorder="true" applyAlignment="true" applyProtection="false">
      <alignment horizontal="right" vertical="bottom" textRotation="0" wrapText="false" indent="0" shrinkToFit="false"/>
      <protection locked="true" hidden="false"/>
    </xf>
    <xf numFmtId="168" fontId="83" fillId="0" borderId="15" xfId="0" applyFont="true" applyBorder="true" applyAlignment="true" applyProtection="false">
      <alignment horizontal="right" vertical="bottom" textRotation="0" wrapText="false" indent="0" shrinkToFit="false"/>
      <protection locked="true" hidden="false"/>
    </xf>
    <xf numFmtId="168" fontId="83" fillId="0" borderId="111" xfId="0" applyFont="true" applyBorder="true" applyAlignment="true" applyProtection="false">
      <alignment horizontal="right" vertical="bottom" textRotation="0" wrapText="false" indent="0" shrinkToFit="false"/>
      <protection locked="true" hidden="false"/>
    </xf>
    <xf numFmtId="168" fontId="75" fillId="0" borderId="112" xfId="0" applyFont="true" applyBorder="true" applyAlignment="true" applyProtection="true">
      <alignment horizontal="right" vertical="bottom" textRotation="0" wrapText="false" indent="0" shrinkToFit="false"/>
      <protection locked="false" hidden="false"/>
    </xf>
    <xf numFmtId="168" fontId="84" fillId="0" borderId="15" xfId="0" applyFont="true" applyBorder="true" applyAlignment="true" applyProtection="true">
      <alignment horizontal="right" vertical="bottom" textRotation="0" wrapText="false" indent="0" shrinkToFit="false"/>
      <protection locked="false" hidden="false"/>
    </xf>
    <xf numFmtId="168" fontId="83" fillId="0" borderId="17" xfId="0" applyFont="true" applyBorder="true" applyAlignment="true" applyProtection="false">
      <alignment horizontal="right" vertical="bottom" textRotation="0" wrapText="false" indent="0" shrinkToFit="false"/>
      <protection locked="true" hidden="false"/>
    </xf>
    <xf numFmtId="168" fontId="83" fillId="0" borderId="113" xfId="0" applyFont="true" applyBorder="true" applyAlignment="true" applyProtection="false">
      <alignment horizontal="right" vertical="bottom" textRotation="0" wrapText="false" indent="0" shrinkToFit="false"/>
      <protection locked="true" hidden="false"/>
    </xf>
    <xf numFmtId="168" fontId="83" fillId="0" borderId="18" xfId="0" applyFont="true" applyBorder="true" applyAlignment="true" applyProtection="false">
      <alignment horizontal="right" vertical="bottom" textRotation="0" wrapText="false" indent="0" shrinkToFit="false"/>
      <protection locked="true" hidden="false"/>
    </xf>
    <xf numFmtId="168" fontId="84" fillId="0" borderId="112" xfId="0" applyFont="true" applyBorder="true" applyAlignment="true" applyProtection="true">
      <alignment horizontal="right" vertical="bottom" textRotation="0" wrapText="false" indent="0" shrinkToFit="false"/>
      <protection locked="false" hidden="false"/>
    </xf>
    <xf numFmtId="168" fontId="83" fillId="0" borderId="111" xfId="0" applyFont="true" applyBorder="true" applyAlignment="true" applyProtection="true">
      <alignment horizontal="right" vertical="bottom" textRotation="0" wrapText="false" indent="0" shrinkToFit="false"/>
      <protection locked="false" hidden="false"/>
    </xf>
    <xf numFmtId="168" fontId="83" fillId="0" borderId="112" xfId="0" applyFont="true" applyBorder="true" applyAlignment="true" applyProtection="true">
      <alignment horizontal="right" vertical="bottom" textRotation="0" wrapText="false" indent="0" shrinkToFit="false"/>
      <protection locked="false" hidden="false"/>
    </xf>
    <xf numFmtId="168" fontId="83" fillId="0" borderId="18" xfId="0" applyFont="true" applyBorder="true" applyAlignment="true" applyProtection="true">
      <alignment horizontal="right" vertical="bottom" textRotation="0" wrapText="false" indent="0" shrinkToFit="false"/>
      <protection locked="false" hidden="false"/>
    </xf>
    <xf numFmtId="168" fontId="83" fillId="0" borderId="110" xfId="0" applyFont="true" applyBorder="true" applyAlignment="true" applyProtection="false">
      <alignment horizontal="right" vertical="bottom" textRotation="0" wrapText="false" indent="0" shrinkToFit="false"/>
      <protection locked="true" hidden="false"/>
    </xf>
    <xf numFmtId="168" fontId="75" fillId="0" borderId="15" xfId="0" applyFont="true" applyBorder="true" applyAlignment="true" applyProtection="true">
      <alignment horizontal="right" vertical="bottom" textRotation="0" wrapText="false" indent="0" shrinkToFit="false"/>
      <protection locked="false" hidden="false"/>
    </xf>
    <xf numFmtId="168" fontId="84" fillId="0" borderId="115" xfId="0" applyFont="true" applyBorder="true" applyAlignment="true" applyProtection="true">
      <alignment horizontal="right" vertical="bottom" textRotation="0" wrapText="false" indent="0" shrinkToFit="false"/>
      <protection locked="false" hidden="false"/>
    </xf>
    <xf numFmtId="168" fontId="84" fillId="0" borderId="19" xfId="0" applyFont="true" applyBorder="true" applyAlignment="true" applyProtection="true">
      <alignment horizontal="right" vertical="bottom" textRotation="0" wrapText="false" indent="0" shrinkToFit="false"/>
      <protection locked="false" hidden="false"/>
    </xf>
    <xf numFmtId="168" fontId="83" fillId="0" borderId="116" xfId="0" applyFont="true" applyBorder="true" applyAlignment="true" applyProtection="true">
      <alignment horizontal="right" vertical="bottom" textRotation="0" wrapText="false" indent="0" shrinkToFit="false"/>
      <protection locked="false" hidden="false"/>
    </xf>
    <xf numFmtId="168" fontId="83" fillId="0" borderId="22" xfId="0" applyFont="true" applyBorder="true" applyAlignment="true" applyProtection="false">
      <alignment horizontal="right" vertical="bottom" textRotation="0" wrapText="false" indent="0" shrinkToFit="false"/>
      <protection locked="true" hidden="false"/>
    </xf>
    <xf numFmtId="168" fontId="83" fillId="0" borderId="116" xfId="0" applyFont="true" applyBorder="true" applyAlignment="true" applyProtection="false">
      <alignment horizontal="right" vertical="bottom" textRotation="0" wrapText="false" indent="0" shrinkToFit="false"/>
      <protection locked="true" hidden="false"/>
    </xf>
    <xf numFmtId="168" fontId="83" fillId="0" borderId="115" xfId="0" applyFont="true" applyBorder="true" applyAlignment="true" applyProtection="false">
      <alignment horizontal="right" vertical="bottom" textRotation="0" wrapText="false" indent="0" shrinkToFit="false"/>
      <protection locked="true" hidden="false"/>
    </xf>
    <xf numFmtId="168" fontId="83" fillId="0" borderId="93" xfId="0" applyFont="true" applyBorder="true" applyAlignment="true" applyProtection="false">
      <alignment horizontal="right" vertical="bottom" textRotation="0" wrapText="false" indent="0" shrinkToFit="false"/>
      <protection locked="true" hidden="false"/>
    </xf>
    <xf numFmtId="168" fontId="75" fillId="0" borderId="115" xfId="0" applyFont="true" applyBorder="true" applyAlignment="true" applyProtection="true">
      <alignment horizontal="right" vertical="bottom" textRotation="0" wrapText="false" indent="0" shrinkToFit="false"/>
      <protection locked="false" hidden="false"/>
    </xf>
    <xf numFmtId="168" fontId="84" fillId="0" borderId="93" xfId="0" applyFont="true" applyBorder="true" applyAlignment="true" applyProtection="true">
      <alignment horizontal="right" vertical="bottom" textRotation="0" wrapText="false" indent="0" shrinkToFit="false"/>
      <protection locked="false" hidden="false"/>
    </xf>
    <xf numFmtId="168" fontId="83" fillId="0" borderId="60" xfId="0" applyFont="true" applyBorder="true" applyAlignment="true" applyProtection="false">
      <alignment horizontal="right" vertical="bottom" textRotation="0" wrapText="false" indent="0" shrinkToFit="false"/>
      <protection locked="true" hidden="false"/>
    </xf>
    <xf numFmtId="168" fontId="83" fillId="0" borderId="103" xfId="0" applyFont="true" applyBorder="true" applyAlignment="true" applyProtection="false">
      <alignment horizontal="right" vertical="bottom" textRotation="0" wrapText="false" indent="0" shrinkToFit="false"/>
      <protection locked="true" hidden="false"/>
    </xf>
    <xf numFmtId="168" fontId="83" fillId="0" borderId="131" xfId="0" applyFont="true" applyBorder="true" applyAlignment="true" applyProtection="false">
      <alignment horizontal="right" vertical="bottom" textRotation="0" wrapText="false" indent="0" shrinkToFit="false"/>
      <protection locked="true" hidden="false"/>
    </xf>
    <xf numFmtId="168" fontId="84" fillId="0" borderId="108" xfId="0" applyFont="true" applyBorder="true" applyAlignment="true" applyProtection="true">
      <alignment horizontal="right" vertical="bottom" textRotation="0" wrapText="false" indent="0" shrinkToFit="false"/>
      <protection locked="false" hidden="false"/>
    </xf>
    <xf numFmtId="168" fontId="83" fillId="0" borderId="109" xfId="0" applyFont="true" applyBorder="true" applyAlignment="true" applyProtection="true">
      <alignment horizontal="right" vertical="bottom" textRotation="0" wrapText="false" indent="0" shrinkToFit="false"/>
      <protection locked="false" hidden="false"/>
    </xf>
    <xf numFmtId="168" fontId="83" fillId="0" borderId="49" xfId="0" applyFont="true" applyBorder="true" applyAlignment="true" applyProtection="false">
      <alignment horizontal="right" vertical="bottom" textRotation="0" wrapText="false" indent="0" shrinkToFit="false"/>
      <protection locked="true" hidden="false"/>
    </xf>
    <xf numFmtId="168" fontId="83" fillId="0" borderId="121" xfId="0" applyFont="true" applyBorder="true" applyAlignment="true" applyProtection="false">
      <alignment horizontal="right" vertical="bottom" textRotation="0" wrapText="false" indent="0" shrinkToFit="false"/>
      <protection locked="true" hidden="false"/>
    </xf>
    <xf numFmtId="168" fontId="83" fillId="0" borderId="119" xfId="0" applyFont="true" applyBorder="true" applyAlignment="true" applyProtection="false">
      <alignment horizontal="right" vertical="bottom" textRotation="0" wrapText="false" indent="0" shrinkToFit="false"/>
      <protection locked="true" hidden="false"/>
    </xf>
    <xf numFmtId="168" fontId="83" fillId="0" borderId="47" xfId="0" applyFont="true" applyBorder="true" applyAlignment="true" applyProtection="false">
      <alignment horizontal="right" vertical="bottom" textRotation="0" wrapText="false" indent="0" shrinkToFit="false"/>
      <protection locked="true" hidden="false"/>
    </xf>
    <xf numFmtId="168" fontId="83" fillId="0" borderId="24" xfId="0" applyFont="true" applyBorder="true" applyAlignment="true" applyProtection="false">
      <alignment horizontal="right" vertical="bottom" textRotation="0" wrapText="false" indent="0" shrinkToFit="false"/>
      <protection locked="true" hidden="false"/>
    </xf>
    <xf numFmtId="168" fontId="83" fillId="0" borderId="16" xfId="0" applyFont="true" applyBorder="true" applyAlignment="true" applyProtection="true">
      <alignment horizontal="right" vertical="bottom" textRotation="0" wrapText="false" indent="0" shrinkToFit="false"/>
      <protection locked="false" hidden="false"/>
    </xf>
    <xf numFmtId="168" fontId="84" fillId="0" borderId="121" xfId="0" applyFont="true" applyBorder="true" applyAlignment="true" applyProtection="true">
      <alignment horizontal="right" vertical="bottom" textRotation="0" wrapText="false" indent="0" shrinkToFit="false"/>
      <protection locked="false" hidden="false"/>
    </xf>
    <xf numFmtId="168" fontId="84" fillId="0" borderId="46" xfId="0" applyFont="true" applyBorder="true" applyAlignment="true" applyProtection="true">
      <alignment horizontal="right" vertical="bottom" textRotation="0" wrapText="false" indent="0" shrinkToFit="false"/>
      <protection locked="false" hidden="false"/>
    </xf>
    <xf numFmtId="168" fontId="83" fillId="0" borderId="51" xfId="0" applyFont="true" applyBorder="true" applyAlignment="true" applyProtection="true">
      <alignment horizontal="right" vertical="bottom" textRotation="0" wrapText="false" indent="0" shrinkToFit="false"/>
      <protection locked="false" hidden="false"/>
    </xf>
    <xf numFmtId="168" fontId="83" fillId="0" borderId="16" xfId="0" applyFont="true" applyBorder="true" applyAlignment="true" applyProtection="false">
      <alignment horizontal="right" vertical="bottom" textRotation="0" wrapText="false" indent="0" shrinkToFit="false"/>
      <protection locked="true" hidden="false"/>
    </xf>
    <xf numFmtId="168" fontId="75" fillId="0" borderId="112" xfId="0" applyFont="true" applyBorder="true" applyAlignment="true" applyProtection="true">
      <alignment horizontal="right" vertical="bottom" textRotation="0" wrapText="false" indent="0" shrinkToFit="true"/>
      <protection locked="false" hidden="false"/>
    </xf>
    <xf numFmtId="168" fontId="84" fillId="0" borderId="15" xfId="0" applyFont="true" applyBorder="true" applyAlignment="true" applyProtection="true">
      <alignment horizontal="right" vertical="bottom" textRotation="0" wrapText="false" indent="0" shrinkToFit="true"/>
      <protection locked="false" hidden="false"/>
    </xf>
    <xf numFmtId="168" fontId="83" fillId="0" borderId="61" xfId="0" applyFont="true" applyBorder="true" applyAlignment="true" applyProtection="true">
      <alignment horizontal="right" vertical="bottom" textRotation="0" wrapText="false" indent="0" shrinkToFit="false"/>
      <protection locked="false" hidden="false"/>
    </xf>
    <xf numFmtId="168" fontId="83" fillId="0" borderId="117" xfId="0" applyFont="true" applyBorder="true" applyAlignment="true" applyProtection="false">
      <alignment horizontal="right" vertical="bottom" textRotation="0" wrapText="false" indent="0" shrinkToFit="false"/>
      <protection locked="true" hidden="false"/>
    </xf>
    <xf numFmtId="168" fontId="83" fillId="0" borderId="123" xfId="0" applyFont="true" applyBorder="true" applyAlignment="true" applyProtection="false">
      <alignment horizontal="right" vertical="bottom" textRotation="0" wrapText="false" indent="0" shrinkToFit="false"/>
      <protection locked="true" hidden="false"/>
    </xf>
    <xf numFmtId="168" fontId="83" fillId="0" borderId="125" xfId="0" applyFont="true" applyBorder="true" applyAlignment="true" applyProtection="false">
      <alignment horizontal="right" vertical="bottom" textRotation="0" wrapText="false" indent="0" shrinkToFit="false"/>
      <protection locked="true" hidden="false"/>
    </xf>
    <xf numFmtId="168" fontId="83" fillId="0" borderId="120" xfId="0" applyFont="true" applyBorder="true" applyAlignment="true" applyProtection="false">
      <alignment horizontal="right" vertical="bottom" textRotation="0" wrapText="false" indent="0" shrinkToFit="false"/>
      <protection locked="true" hidden="false"/>
    </xf>
    <xf numFmtId="168" fontId="83" fillId="0" borderId="36" xfId="0" applyFont="true" applyBorder="true" applyAlignment="true" applyProtection="false">
      <alignment horizontal="right" vertical="bottom" textRotation="0" wrapText="false" indent="0" shrinkToFit="false"/>
      <protection locked="true" hidden="false"/>
    </xf>
    <xf numFmtId="168" fontId="83" fillId="0" borderId="127" xfId="0" applyFont="true" applyBorder="true" applyAlignment="true" applyProtection="false">
      <alignment horizontal="right" vertical="bottom" textRotation="0" wrapText="false" indent="0" shrinkToFit="false"/>
      <protection locked="true" hidden="false"/>
    </xf>
    <xf numFmtId="168" fontId="83" fillId="0" borderId="74" xfId="0" applyFont="true" applyBorder="true" applyAlignment="true" applyProtection="false">
      <alignment horizontal="right" vertical="bottom" textRotation="0" wrapText="false" indent="0" shrinkToFit="false"/>
      <protection locked="true" hidden="false"/>
    </xf>
    <xf numFmtId="168" fontId="83" fillId="0" borderId="128" xfId="0" applyFont="true" applyBorder="true" applyAlignment="true" applyProtection="false">
      <alignment horizontal="right" vertical="bottom" textRotation="0" wrapText="false" indent="0" shrinkToFit="false"/>
      <protection locked="true" hidden="false"/>
    </xf>
    <xf numFmtId="168" fontId="83" fillId="0" borderId="129" xfId="0" applyFont="true" applyBorder="true" applyAlignment="true" applyProtection="false">
      <alignment horizontal="right" vertical="bottom" textRotation="0" wrapText="false" indent="0" shrinkToFit="false"/>
      <protection locked="true" hidden="false"/>
    </xf>
    <xf numFmtId="168" fontId="83" fillId="0" borderId="130" xfId="0" applyFont="true" applyBorder="true" applyAlignment="true" applyProtection="false">
      <alignment horizontal="right" vertical="bottom" textRotation="0" wrapText="false" indent="0" shrinkToFit="false"/>
      <protection locked="true" hidden="false"/>
    </xf>
    <xf numFmtId="168" fontId="83" fillId="0" borderId="66" xfId="0" applyFont="true" applyBorder="true" applyAlignment="true" applyProtection="false">
      <alignment horizontal="right" vertical="bottom" textRotation="0" wrapText="false" indent="0" shrinkToFit="false"/>
      <protection locked="true" hidden="false"/>
    </xf>
    <xf numFmtId="168" fontId="83" fillId="0" borderId="70" xfId="0" applyFont="true" applyBorder="true" applyAlignment="true" applyProtection="false">
      <alignment horizontal="right" vertical="bottom" textRotation="0" wrapText="false" indent="0" shrinkToFit="false"/>
      <protection locked="true" hidden="false"/>
    </xf>
    <xf numFmtId="164" fontId="72" fillId="0" borderId="0" xfId="0" applyFont="true" applyBorder="true" applyAlignment="true" applyProtection="true">
      <alignment horizontal="center" vertical="bottom" textRotation="0" wrapText="false" indent="0" shrinkToFit="false"/>
      <protection locked="false" hidden="false"/>
    </xf>
    <xf numFmtId="164" fontId="18" fillId="0" borderId="90" xfId="0" applyFont="true" applyBorder="true" applyAlignment="true" applyProtection="true">
      <alignment horizontal="center" vertical="center" textRotation="0" wrapText="false" indent="0" shrinkToFit="false"/>
      <protection locked="false" hidden="false"/>
    </xf>
    <xf numFmtId="164" fontId="18" fillId="0" borderId="91" xfId="0" applyFont="true" applyBorder="true" applyAlignment="true" applyProtection="true">
      <alignment horizontal="center" vertical="center" textRotation="0" wrapText="false" indent="0" shrinkToFit="false"/>
      <protection locked="false" hidden="false"/>
    </xf>
    <xf numFmtId="168" fontId="80" fillId="0" borderId="108" xfId="0" applyFont="true" applyBorder="true" applyAlignment="true" applyProtection="true">
      <alignment horizontal="right" vertical="center" textRotation="0" wrapText="false" indent="0" shrinkToFit="false"/>
      <protection locked="fals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b val="1"/>
        <color rgb="FF9C0006"/>
      </font>
      <fill>
        <patternFill>
          <bgColor rgb="FFFFC7CE"/>
        </patternFill>
      </fill>
    </dxf>
    <dxf>
      <font>
        <b val="1"/>
        <color rgb="FFFFFFFF"/>
      </font>
      <fill>
        <patternFill>
          <bgColor rgb="FFC00000"/>
        </patternFill>
      </fill>
    </dxf>
    <dxf>
      <font>
        <color rgb="FF006100"/>
      </font>
      <fill>
        <patternFill>
          <bgColor rgb="FFC6EFCE"/>
        </patternFill>
      </fill>
    </dxf>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FFEB9C"/>
          <bgColor rgb="FF000000"/>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C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99999"/>
      <rgbColor rgb="FF003366"/>
      <rgbColor rgb="FF339966"/>
      <rgbColor rgb="FF0061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1.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2.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3.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4.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5.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6.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C3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96"/>
  </cols>
  <sheetData>
    <row r="1" customFormat="false" ht="17.35" hidden="false" customHeight="false" outlineLevel="0" collapsed="false">
      <c r="B1" s="1" t="s">
        <v>0</v>
      </c>
    </row>
    <row r="2" customFormat="false" ht="15" hidden="false" customHeight="false" outlineLevel="0" collapsed="false">
      <c r="B2" s="2" t="s">
        <v>1</v>
      </c>
    </row>
    <row r="3" customFormat="false" ht="17.15" hidden="false" customHeight="false" outlineLevel="0" collapsed="false">
      <c r="B3" s="3" t="str">
        <f aca="false">検算!B3</f>
        <v>✔ すべてOK（23項目）</v>
      </c>
    </row>
    <row r="5" customFormat="false" ht="15" hidden="false" customHeight="false" outlineLevel="0" collapsed="false">
      <c r="B5" s="4" t="s">
        <v>2</v>
      </c>
      <c r="C5" s="5"/>
    </row>
    <row r="6" customFormat="false" ht="30" hidden="false" customHeight="true" outlineLevel="0" collapsed="false">
      <c r="B6" s="6" t="s">
        <v>3</v>
      </c>
      <c r="C6" s="7" t="s">
        <v>4</v>
      </c>
    </row>
    <row r="7" customFormat="false" ht="30" hidden="false" customHeight="true" outlineLevel="0" collapsed="false">
      <c r="B7" s="6" t="s">
        <v>5</v>
      </c>
      <c r="C7" s="7" t="s">
        <v>6</v>
      </c>
    </row>
    <row r="8" customFormat="false" ht="30" hidden="false" customHeight="true" outlineLevel="0" collapsed="false">
      <c r="B8" s="6" t="s">
        <v>7</v>
      </c>
      <c r="C8" s="7" t="s">
        <v>8</v>
      </c>
    </row>
    <row r="9" customFormat="false" ht="30" hidden="false" customHeight="true" outlineLevel="0" collapsed="false">
      <c r="B9" s="6" t="s">
        <v>9</v>
      </c>
      <c r="C9" s="7" t="s">
        <v>10</v>
      </c>
    </row>
    <row r="10" customFormat="false" ht="30" hidden="false" customHeight="true" outlineLevel="0" collapsed="false">
      <c r="B10" s="6" t="s">
        <v>11</v>
      </c>
      <c r="C10" s="7" t="s">
        <v>12</v>
      </c>
    </row>
    <row r="11" customFormat="false" ht="15" hidden="false" customHeight="false" outlineLevel="0" collapsed="false">
      <c r="B11" s="4" t="s">
        <v>13</v>
      </c>
      <c r="C11" s="5"/>
    </row>
    <row r="12" customFormat="false" ht="30" hidden="false" customHeight="true" outlineLevel="0" collapsed="false">
      <c r="B12" s="6" t="s">
        <v>14</v>
      </c>
      <c r="C12" s="8" t="s">
        <v>15</v>
      </c>
    </row>
    <row r="13" customFormat="false" ht="30" hidden="false" customHeight="true" outlineLevel="0" collapsed="false">
      <c r="B13" s="6" t="s">
        <v>16</v>
      </c>
      <c r="C13" s="7" t="s">
        <v>17</v>
      </c>
    </row>
    <row r="14" customFormat="false" ht="30" hidden="false" customHeight="true" outlineLevel="0" collapsed="false">
      <c r="B14" s="6" t="s">
        <v>18</v>
      </c>
      <c r="C14" s="7" t="s">
        <v>19</v>
      </c>
    </row>
    <row r="15" customFormat="false" ht="15" hidden="false" customHeight="true" outlineLevel="0" collapsed="false">
      <c r="B15" s="6" t="s">
        <v>20</v>
      </c>
      <c r="C15" s="7" t="s">
        <v>21</v>
      </c>
    </row>
    <row r="16" customFormat="false" ht="30" hidden="false" customHeight="true" outlineLevel="0" collapsed="false">
      <c r="B16" s="6" t="s">
        <v>22</v>
      </c>
      <c r="C16" s="7" t="s">
        <v>23</v>
      </c>
    </row>
    <row r="17" customFormat="false" ht="15" hidden="false" customHeight="true" outlineLevel="0" collapsed="false">
      <c r="B17" s="6" t="s">
        <v>24</v>
      </c>
      <c r="C17" s="7" t="s">
        <v>25</v>
      </c>
    </row>
    <row r="18" customFormat="false" ht="15" hidden="false" customHeight="false" outlineLevel="0" collapsed="false">
      <c r="B18" s="4" t="s">
        <v>26</v>
      </c>
      <c r="C18" s="5"/>
    </row>
    <row r="19" customFormat="false" ht="30" hidden="false" customHeight="true" outlineLevel="0" collapsed="false">
      <c r="B19" s="6" t="s">
        <v>27</v>
      </c>
      <c r="C19" s="7" t="s">
        <v>28</v>
      </c>
    </row>
    <row r="20" customFormat="false" ht="45" hidden="false" customHeight="true" outlineLevel="0" collapsed="false">
      <c r="B20" s="6" t="s">
        <v>29</v>
      </c>
      <c r="C20" s="7" t="s">
        <v>30</v>
      </c>
    </row>
    <row r="21" customFormat="false" ht="15" hidden="false" customHeight="false" outlineLevel="0" collapsed="false">
      <c r="B21" s="4" t="s">
        <v>31</v>
      </c>
      <c r="C21" s="5"/>
    </row>
    <row r="22" customFormat="false" ht="45" hidden="false" customHeight="true" outlineLevel="0" collapsed="false">
      <c r="B22" s="6" t="s">
        <v>32</v>
      </c>
      <c r="C22" s="7" t="s">
        <v>33</v>
      </c>
    </row>
    <row r="23" customFormat="false" ht="45" hidden="false" customHeight="true" outlineLevel="0" collapsed="false">
      <c r="B23" s="6" t="s">
        <v>34</v>
      </c>
      <c r="C23" s="8" t="s">
        <v>35</v>
      </c>
    </row>
    <row r="24" customFormat="false" ht="15" hidden="false" customHeight="false" outlineLevel="0" collapsed="false">
      <c r="B24" s="4" t="s">
        <v>36</v>
      </c>
      <c r="C24" s="5"/>
    </row>
    <row r="25" customFormat="false" ht="45" hidden="false" customHeight="true" outlineLevel="0" collapsed="false">
      <c r="B25" s="6" t="s">
        <v>37</v>
      </c>
      <c r="C25" s="7" t="s">
        <v>38</v>
      </c>
    </row>
    <row r="26" customFormat="false" ht="45" hidden="false" customHeight="true" outlineLevel="0" collapsed="false">
      <c r="B26" s="6" t="s">
        <v>39</v>
      </c>
      <c r="C26" s="7" t="s">
        <v>40</v>
      </c>
    </row>
    <row r="27" customFormat="false" ht="30" hidden="false" customHeight="true" outlineLevel="0" collapsed="false">
      <c r="B27" s="6" t="s">
        <v>41</v>
      </c>
      <c r="C27" s="7" t="s">
        <v>42</v>
      </c>
    </row>
    <row r="28" customFormat="false" ht="30" hidden="false" customHeight="true" outlineLevel="0" collapsed="false">
      <c r="B28" s="6" t="s">
        <v>43</v>
      </c>
      <c r="C28" s="7" t="s">
        <v>44</v>
      </c>
    </row>
    <row r="29" customFormat="false" ht="30" hidden="false" customHeight="true" outlineLevel="0" collapsed="false">
      <c r="B29" s="6" t="s">
        <v>45</v>
      </c>
      <c r="C29" s="7" t="s">
        <v>46</v>
      </c>
    </row>
    <row r="30" customFormat="false" ht="30" hidden="false" customHeight="true" outlineLevel="0" collapsed="false">
      <c r="B30" s="6" t="s">
        <v>47</v>
      </c>
      <c r="C30" s="7" t="s">
        <v>48</v>
      </c>
    </row>
    <row r="31" customFormat="false" ht="30" hidden="false" customHeight="true" outlineLevel="0" collapsed="false">
      <c r="B31" s="6" t="s">
        <v>49</v>
      </c>
      <c r="C31" s="7" t="s">
        <v>50</v>
      </c>
    </row>
  </sheetData>
  <sheetProtection sheet="true" formatCells="false" formatColumns="false" formatRows="false" sort="false" autoFilter="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46"/>
    <col collapsed="false" customWidth="true" hidden="false" outlineLevel="0" max="3" min="2" style="0" width="20"/>
    <col collapsed="false" customWidth="true" hidden="false" outlineLevel="0" max="4" min="4" style="0" width="24"/>
  </cols>
  <sheetData>
    <row r="1" customFormat="false" ht="17.35" hidden="false" customHeight="false" outlineLevel="0" collapsed="false">
      <c r="A1" s="9" t="s">
        <v>51</v>
      </c>
      <c r="B1" s="10"/>
      <c r="C1" s="10"/>
      <c r="D1" s="10"/>
    </row>
    <row r="2" customFormat="false" ht="15" hidden="false" customHeight="false" outlineLevel="0" collapsed="false">
      <c r="A2" s="11" t="s">
        <v>52</v>
      </c>
      <c r="B2" s="10"/>
      <c r="C2" s="10"/>
      <c r="D2" s="10"/>
    </row>
    <row r="3" customFormat="false" ht="15" hidden="false" customHeight="false" outlineLevel="0" collapsed="false">
      <c r="A3" s="10"/>
      <c r="B3" s="10"/>
      <c r="C3" s="10"/>
      <c r="D3" s="10"/>
    </row>
    <row r="4" customFormat="false" ht="15" hidden="false" customHeight="false" outlineLevel="0" collapsed="false">
      <c r="A4" s="12" t="s">
        <v>53</v>
      </c>
      <c r="B4" s="13"/>
      <c r="C4" s="13"/>
      <c r="D4" s="13"/>
    </row>
    <row r="5" customFormat="false" ht="15" hidden="false" customHeight="false" outlineLevel="0" collapsed="false">
      <c r="A5" s="11" t="s">
        <v>54</v>
      </c>
      <c r="B5" s="14" t="n">
        <v>7</v>
      </c>
      <c r="C5" s="11" t="s">
        <v>55</v>
      </c>
      <c r="D5" s="10"/>
    </row>
    <row r="6" customFormat="false" ht="15" hidden="false" customHeight="false" outlineLevel="0" collapsed="false">
      <c r="A6" s="11" t="s">
        <v>56</v>
      </c>
      <c r="B6" s="15" t="s">
        <v>57</v>
      </c>
      <c r="C6" s="10"/>
      <c r="D6" s="10"/>
    </row>
    <row r="7" customFormat="false" ht="15" hidden="false" customHeight="false" outlineLevel="0" collapsed="false">
      <c r="A7" s="11" t="s">
        <v>58</v>
      </c>
      <c r="B7" s="15" t="s">
        <v>59</v>
      </c>
      <c r="C7" s="10"/>
      <c r="D7" s="10"/>
    </row>
    <row r="8" customFormat="false" ht="15" hidden="false" customHeight="false" outlineLevel="0" collapsed="false">
      <c r="A8" s="11" t="s">
        <v>60</v>
      </c>
      <c r="B8" s="15" t="s">
        <v>61</v>
      </c>
      <c r="C8" s="10"/>
      <c r="D8" s="10"/>
    </row>
    <row r="9" customFormat="false" ht="15" hidden="false" customHeight="false" outlineLevel="0" collapsed="false">
      <c r="A9" s="10"/>
      <c r="B9" s="10"/>
      <c r="C9" s="10"/>
      <c r="D9" s="10"/>
    </row>
    <row r="10" customFormat="false" ht="15" hidden="false" customHeight="false" outlineLevel="0" collapsed="false">
      <c r="A10" s="12" t="s">
        <v>62</v>
      </c>
      <c r="B10" s="13"/>
      <c r="C10" s="13"/>
      <c r="D10" s="13"/>
    </row>
    <row r="11" customFormat="false" ht="15" hidden="false" customHeight="false" outlineLevel="0" collapsed="false">
      <c r="A11" s="11" t="s">
        <v>63</v>
      </c>
      <c r="B11" s="16" t="n">
        <v>19060</v>
      </c>
      <c r="C11" s="11" t="s">
        <v>64</v>
      </c>
      <c r="D11" s="10"/>
    </row>
    <row r="12" customFormat="false" ht="15" hidden="false" customHeight="false" outlineLevel="0" collapsed="false">
      <c r="A12" s="11" t="s">
        <v>65</v>
      </c>
      <c r="B12" s="16" t="n">
        <v>12972</v>
      </c>
      <c r="C12" s="10"/>
      <c r="D12" s="10"/>
    </row>
    <row r="13" customFormat="false" ht="15" hidden="false" customHeight="false" outlineLevel="0" collapsed="false">
      <c r="A13" s="11" t="s">
        <v>66</v>
      </c>
      <c r="B13" s="16" t="n">
        <v>35502843</v>
      </c>
      <c r="C13" s="10"/>
      <c r="D13" s="10"/>
    </row>
    <row r="14" customFormat="false" ht="15" hidden="false" customHeight="false" outlineLevel="0" collapsed="false">
      <c r="A14" s="11" t="s">
        <v>67</v>
      </c>
      <c r="B14" s="16" t="n">
        <v>2202654</v>
      </c>
      <c r="C14" s="10"/>
      <c r="D14" s="10"/>
    </row>
    <row r="15" customFormat="false" ht="15" hidden="false" customHeight="false" outlineLevel="0" collapsed="false">
      <c r="A15" s="10"/>
      <c r="B15" s="10"/>
      <c r="C15" s="10"/>
      <c r="D15" s="10"/>
    </row>
    <row r="16" customFormat="false" ht="15" hidden="false" customHeight="false" outlineLevel="0" collapsed="false">
      <c r="A16" s="12" t="s">
        <v>68</v>
      </c>
      <c r="B16" s="13"/>
      <c r="C16" s="13"/>
      <c r="D16" s="13"/>
    </row>
    <row r="17" customFormat="false" ht="15" hidden="false" customHeight="false" outlineLevel="0" collapsed="false">
      <c r="A17" s="17" t="s">
        <v>69</v>
      </c>
      <c r="B17" s="18" t="n">
        <f aca="false">SUM(B20:B219)</f>
        <v>189744039</v>
      </c>
      <c r="C17" s="18" t="n">
        <f aca="false">SUM(C20:C219)</f>
        <v>189744039</v>
      </c>
      <c r="D17" s="19" t="str">
        <f aca="false">IF(COUNTIF(D20:D219,"×*")=0,"○ すべて取り込めました","× 精算表に無い科目が "&amp;COUNTIF(D20:D219,"×*")&amp;" 件（赤の行）")</f>
        <v>○ すべて取り込めました</v>
      </c>
    </row>
    <row r="18" customFormat="false" ht="15" hidden="false" customHeight="false" outlineLevel="0" collapsed="false">
      <c r="A18" s="11" t="s">
        <v>70</v>
      </c>
      <c r="B18" s="10"/>
      <c r="C18" s="10"/>
      <c r="D18" s="19" t="str">
        <f aca="false">IF(ABS(B17-C17)&lt;0.5,"貸借一致","★貸借不一致 差 "&amp;TEXT(B17-C17,"#,##0"))</f>
        <v>貸借一致</v>
      </c>
    </row>
    <row r="19" customFormat="false" ht="15" hidden="false" customHeight="false" outlineLevel="0" collapsed="false">
      <c r="A19" s="20" t="s">
        <v>71</v>
      </c>
      <c r="B19" s="20" t="s">
        <v>72</v>
      </c>
      <c r="C19" s="20" t="s">
        <v>73</v>
      </c>
      <c r="D19" s="20" t="s">
        <v>74</v>
      </c>
    </row>
    <row r="20" customFormat="false" ht="15" hidden="false" customHeight="false" outlineLevel="0" collapsed="false">
      <c r="A20" s="15" t="s">
        <v>75</v>
      </c>
      <c r="B20" s="16" t="n">
        <v>72939159</v>
      </c>
      <c r="C20" s="16"/>
      <c r="D20" s="21" t="str">
        <f aca="false">IF(A20="","",IF(SUMPRODUCT(--(SUBSTITUTE(SUBSTITUTE(決算精算表!$D$9:$D$46," ",""),"　","")=SUBSTITUTE(SUBSTITUTE(A20," ",""),"　","")))=0,"× 精算表に科目なし","○"))</f>
        <v>○</v>
      </c>
    </row>
    <row r="21" customFormat="false" ht="15" hidden="false" customHeight="false" outlineLevel="0" collapsed="false">
      <c r="A21" s="15" t="s">
        <v>76</v>
      </c>
      <c r="B21" s="16" t="n">
        <v>192064</v>
      </c>
      <c r="C21" s="16"/>
      <c r="D21" s="21" t="str">
        <f aca="false">IF(A21="","",IF(SUMPRODUCT(--(SUBSTITUTE(SUBSTITUTE(決算精算表!$D$9:$D$46," ",""),"　","")=SUBSTITUTE(SUBSTITUTE(A21," ",""),"　","")))=0,"× 精算表に科目なし","○"))</f>
        <v>○</v>
      </c>
    </row>
    <row r="22" customFormat="false" ht="15" hidden="false" customHeight="false" outlineLevel="0" collapsed="false">
      <c r="A22" s="15" t="s">
        <v>77</v>
      </c>
      <c r="B22" s="16" t="n">
        <v>383946</v>
      </c>
      <c r="C22" s="16"/>
      <c r="D22" s="21" t="str">
        <f aca="false">IF(A22="","",IF(SUMPRODUCT(--(SUBSTITUTE(SUBSTITUTE(決算精算表!$D$9:$D$46," ",""),"　","")=SUBSTITUTE(SUBSTITUTE(A22," ",""),"　","")))=0,"× 精算表に科目なし","○"))</f>
        <v>○</v>
      </c>
    </row>
    <row r="23" customFormat="false" ht="15" hidden="false" customHeight="false" outlineLevel="0" collapsed="false">
      <c r="A23" s="15" t="s">
        <v>78</v>
      </c>
      <c r="B23" s="16" t="n">
        <v>33000</v>
      </c>
      <c r="C23" s="16"/>
      <c r="D23" s="21" t="str">
        <f aca="false">IF(A23="","",IF(SUMPRODUCT(--(SUBSTITUTE(SUBSTITUTE(決算精算表!$D$9:$D$46," ",""),"　","")=SUBSTITUTE(SUBSTITUTE(A23," ",""),"　","")))=0,"× 精算表に科目なし","○"))</f>
        <v>○</v>
      </c>
    </row>
    <row r="24" customFormat="false" ht="15" hidden="false" customHeight="false" outlineLevel="0" collapsed="false">
      <c r="A24" s="15" t="s">
        <v>79</v>
      </c>
      <c r="B24" s="16" t="n">
        <v>10082322</v>
      </c>
      <c r="C24" s="16"/>
      <c r="D24" s="21" t="str">
        <f aca="false">IF(A24="","",IF(SUMPRODUCT(--(SUBSTITUTE(SUBSTITUTE(決算精算表!$D$9:$D$46," ",""),"　","")=SUBSTITUTE(SUBSTITUTE(A24," ",""),"　","")))=0,"× 精算表に科目なし","○"))</f>
        <v>○</v>
      </c>
    </row>
    <row r="25" customFormat="false" ht="15" hidden="false" customHeight="false" outlineLevel="0" collapsed="false">
      <c r="A25" s="15" t="s">
        <v>80</v>
      </c>
      <c r="B25" s="16" t="n">
        <v>9702</v>
      </c>
      <c r="C25" s="16"/>
      <c r="D25" s="21" t="str">
        <f aca="false">IF(A25="","",IF(SUMPRODUCT(--(SUBSTITUTE(SUBSTITUTE(決算精算表!$D$9:$D$46," ",""),"　","")=SUBSTITUTE(SUBSTITUTE(A25," ",""),"　","")))=0,"× 精算表に科目なし","○"))</f>
        <v>○</v>
      </c>
    </row>
    <row r="26" customFormat="false" ht="15" hidden="false" customHeight="false" outlineLevel="0" collapsed="false">
      <c r="A26" s="15" t="s">
        <v>81</v>
      </c>
      <c r="B26" s="16" t="n">
        <v>343112</v>
      </c>
      <c r="C26" s="16"/>
      <c r="D26" s="21" t="str">
        <f aca="false">IF(A26="","",IF(SUMPRODUCT(--(SUBSTITUTE(SUBSTITUTE(決算精算表!$D$9:$D$46," ",""),"　","")=SUBSTITUTE(SUBSTITUTE(A26," ",""),"　","")))=0,"× 精算表に科目なし","○"))</f>
        <v>○</v>
      </c>
    </row>
    <row r="27" customFormat="false" ht="15" hidden="false" customHeight="false" outlineLevel="0" collapsed="false">
      <c r="A27" s="15" t="s">
        <v>82</v>
      </c>
      <c r="B27" s="16" t="n">
        <v>13146428</v>
      </c>
      <c r="C27" s="16"/>
      <c r="D27" s="21" t="str">
        <f aca="false">IF(A27="","",IF(SUMPRODUCT(--(SUBSTITUTE(SUBSTITUTE(決算精算表!$D$9:$D$46," ",""),"　","")=SUBSTITUTE(SUBSTITUTE(A27," ",""),"　","")))=0,"× 精算表に科目なし","○"))</f>
        <v>○</v>
      </c>
    </row>
    <row r="28" customFormat="false" ht="15" hidden="false" customHeight="false" outlineLevel="0" collapsed="false">
      <c r="A28" s="15" t="s">
        <v>83</v>
      </c>
      <c r="B28" s="16" t="n">
        <v>4221720</v>
      </c>
      <c r="C28" s="16"/>
      <c r="D28" s="21" t="str">
        <f aca="false">IF(A28="","",IF(SUMPRODUCT(--(SUBSTITUTE(SUBSTITUTE(決算精算表!$D$9:$D$46," ",""),"　","")=SUBSTITUTE(SUBSTITUTE(A28," ",""),"　","")))=0,"× 精算表に科目なし","○"))</f>
        <v>○</v>
      </c>
    </row>
    <row r="29" customFormat="false" ht="15" hidden="false" customHeight="false" outlineLevel="0" collapsed="false">
      <c r="A29" s="15" t="s">
        <v>84</v>
      </c>
      <c r="B29" s="16" t="n">
        <v>8507933</v>
      </c>
      <c r="C29" s="16"/>
      <c r="D29" s="21" t="str">
        <f aca="false">IF(A29="","",IF(SUMPRODUCT(--(SUBSTITUTE(SUBSTITUTE(決算精算表!$D$9:$D$46," ",""),"　","")=SUBSTITUTE(SUBSTITUTE(A29," ",""),"　","")))=0,"× 精算表に科目なし","○"))</f>
        <v>○</v>
      </c>
    </row>
    <row r="30" customFormat="false" ht="15" hidden="false" customHeight="false" outlineLevel="0" collapsed="false">
      <c r="A30" s="15" t="s">
        <v>85</v>
      </c>
      <c r="B30" s="16" t="n">
        <v>57384</v>
      </c>
      <c r="C30" s="16"/>
      <c r="D30" s="21" t="str">
        <f aca="false">IF(A30="","",IF(SUMPRODUCT(--(SUBSTITUTE(SUBSTITUTE(決算精算表!$D$9:$D$46," ",""),"　","")=SUBSTITUTE(SUBSTITUTE(A30," ",""),"　","")))=0,"× 精算表に科目なし","○"))</f>
        <v>○</v>
      </c>
    </row>
    <row r="31" customFormat="false" ht="15" hidden="false" customHeight="false" outlineLevel="0" collapsed="false">
      <c r="A31" s="15" t="s">
        <v>86</v>
      </c>
      <c r="B31" s="16" t="n">
        <v>0</v>
      </c>
      <c r="C31" s="16"/>
      <c r="D31" s="21" t="str">
        <f aca="false">IF(A31="","",IF(SUMPRODUCT(--(SUBSTITUTE(SUBSTITUTE(決算精算表!$D$9:$D$46," ",""),"　","")=SUBSTITUTE(SUBSTITUTE(A31," ",""),"　","")))=0,"× 精算表に科目なし","○"))</f>
        <v>○</v>
      </c>
    </row>
    <row r="32" customFormat="false" ht="15" hidden="false" customHeight="false" outlineLevel="0" collapsed="false">
      <c r="A32" s="15" t="s">
        <v>87</v>
      </c>
      <c r="B32" s="16" t="n">
        <v>8410677</v>
      </c>
      <c r="C32" s="16"/>
      <c r="D32" s="21" t="str">
        <f aca="false">IF(A32="","",IF(SUMPRODUCT(--(SUBSTITUTE(SUBSTITUTE(決算精算表!$D$9:$D$46," ",""),"　","")=SUBSTITUTE(SUBSTITUTE(A32," ",""),"　","")))=0,"× 精算表に科目なし","○"))</f>
        <v>○</v>
      </c>
    </row>
    <row r="33" customFormat="false" ht="15" hidden="false" customHeight="false" outlineLevel="0" collapsed="false">
      <c r="A33" s="15" t="s">
        <v>88</v>
      </c>
      <c r="B33" s="16" t="n">
        <v>1194924</v>
      </c>
      <c r="C33" s="16"/>
      <c r="D33" s="21" t="str">
        <f aca="false">IF(A33="","",IF(SUMPRODUCT(--(SUBSTITUTE(SUBSTITUTE(決算精算表!$D$9:$D$46," ",""),"　","")=SUBSTITUTE(SUBSTITUTE(A33," ",""),"　","")))=0,"× 精算表に科目なし","○"))</f>
        <v>○</v>
      </c>
    </row>
    <row r="34" customFormat="false" ht="15" hidden="false" customHeight="false" outlineLevel="0" collapsed="false">
      <c r="A34" s="15" t="s">
        <v>89</v>
      </c>
      <c r="B34" s="16" t="n">
        <v>2350316</v>
      </c>
      <c r="C34" s="16"/>
      <c r="D34" s="21" t="str">
        <f aca="false">IF(A34="","",IF(SUMPRODUCT(--(SUBSTITUTE(SUBSTITUTE(決算精算表!$D$9:$D$46," ",""),"　","")=SUBSTITUTE(SUBSTITUTE(A34," ",""),"　","")))=0,"× 精算表に科目なし","○"))</f>
        <v>○</v>
      </c>
    </row>
    <row r="35" customFormat="false" ht="15" hidden="false" customHeight="false" outlineLevel="0" collapsed="false">
      <c r="A35" s="15" t="s">
        <v>90</v>
      </c>
      <c r="B35" s="16" t="n">
        <v>13718352</v>
      </c>
      <c r="C35" s="16"/>
      <c r="D35" s="21" t="str">
        <f aca="false">IF(A35="","",IF(SUMPRODUCT(--(SUBSTITUTE(SUBSTITUTE(決算精算表!$D$9:$D$46," ",""),"　","")=SUBSTITUTE(SUBSTITUTE(A35," ",""),"　","")))=0,"× 精算表に科目なし","○"))</f>
        <v>○</v>
      </c>
    </row>
    <row r="36" customFormat="false" ht="15" hidden="false" customHeight="false" outlineLevel="0" collapsed="false">
      <c r="A36" s="15" t="s">
        <v>91</v>
      </c>
      <c r="B36" s="16" t="n">
        <v>54153000</v>
      </c>
      <c r="C36" s="16"/>
      <c r="D36" s="21" t="str">
        <f aca="false">IF(A36="","",IF(SUMPRODUCT(--(SUBSTITUTE(SUBSTITUTE(決算精算表!$D$9:$D$46," ",""),"　","")=SUBSTITUTE(SUBSTITUTE(A36," ",""),"　","")))=0,"× 精算表に科目なし","○"))</f>
        <v>○</v>
      </c>
    </row>
    <row r="37" customFormat="false" ht="15" hidden="false" customHeight="false" outlineLevel="0" collapsed="false">
      <c r="A37" s="15" t="s">
        <v>92</v>
      </c>
      <c r="B37" s="16"/>
      <c r="C37" s="16" t="n">
        <v>227940</v>
      </c>
      <c r="D37" s="21" t="str">
        <f aca="false">IF(A37="","",IF(SUMPRODUCT(--(SUBSTITUTE(SUBSTITUTE(決算精算表!$D$9:$D$46," ",""),"　","")=SUBSTITUTE(SUBSTITUTE(A37," ",""),"　","")))=0,"× 精算表に科目なし","○"))</f>
        <v>○</v>
      </c>
    </row>
    <row r="38" customFormat="false" ht="15" hidden="false" customHeight="false" outlineLevel="0" collapsed="false">
      <c r="A38" s="15" t="s">
        <v>93</v>
      </c>
      <c r="B38" s="16"/>
      <c r="C38" s="16" t="n">
        <v>216843</v>
      </c>
      <c r="D38" s="21" t="str">
        <f aca="false">IF(A38="","",IF(SUMPRODUCT(--(SUBSTITUTE(SUBSTITUTE(決算精算表!$D$9:$D$46," ",""),"　","")=SUBSTITUTE(SUBSTITUTE(A38," ",""),"　","")))=0,"× 精算表に科目なし","○"))</f>
        <v>○</v>
      </c>
    </row>
    <row r="39" customFormat="false" ht="15" hidden="false" customHeight="false" outlineLevel="0" collapsed="false">
      <c r="A39" s="15" t="s">
        <v>94</v>
      </c>
      <c r="B39" s="16"/>
      <c r="C39" s="16" t="n">
        <v>71093911</v>
      </c>
      <c r="D39" s="21" t="str">
        <f aca="false">IF(A39="","",IF(SUMPRODUCT(--(SUBSTITUTE(SUBSTITUTE(決算精算表!$D$9:$D$46," ",""),"　","")=SUBSTITUTE(SUBSTITUTE(A39," ",""),"　","")))=0,"× 精算表に科目なし","○"))</f>
        <v>○</v>
      </c>
    </row>
    <row r="40" customFormat="false" ht="15" hidden="false" customHeight="false" outlineLevel="0" collapsed="false">
      <c r="A40" s="15" t="s">
        <v>89</v>
      </c>
      <c r="B40" s="16"/>
      <c r="C40" s="16" t="n">
        <v>94968000</v>
      </c>
      <c r="D40" s="21" t="str">
        <f aca="false">IF(A40="","",IF(SUMPRODUCT(--(SUBSTITUTE(SUBSTITUTE(決算精算表!$D$9:$D$46," ",""),"　","")=SUBSTITUTE(SUBSTITUTE(A40," ",""),"　","")))=0,"× 精算表に科目なし","○"))</f>
        <v>○</v>
      </c>
    </row>
    <row r="41" customFormat="false" ht="15" hidden="false" customHeight="false" outlineLevel="0" collapsed="false">
      <c r="A41" s="15" t="s">
        <v>95</v>
      </c>
      <c r="B41" s="16"/>
      <c r="C41" s="16" t="n">
        <v>77607</v>
      </c>
      <c r="D41" s="21" t="str">
        <f aca="false">IF(A41="","",IF(SUMPRODUCT(--(SUBSTITUTE(SUBSTITUTE(決算精算表!$D$9:$D$46," ",""),"　","")=SUBSTITUTE(SUBSTITUTE(A41," ",""),"　","")))=0,"× 精算表に科目なし","○"))</f>
        <v>○</v>
      </c>
    </row>
    <row r="42" customFormat="false" ht="15" hidden="false" customHeight="false" outlineLevel="0" collapsed="false">
      <c r="A42" s="15" t="s">
        <v>96</v>
      </c>
      <c r="B42" s="16"/>
      <c r="C42" s="16" t="n">
        <v>23159738</v>
      </c>
      <c r="D42" s="21" t="str">
        <f aca="false">IF(A42="","",IF(SUMPRODUCT(--(SUBSTITUTE(SUBSTITUTE(決算精算表!$D$9:$D$46," ",""),"　","")=SUBSTITUTE(SUBSTITUTE(A42," ",""),"　","")))=0,"× 精算表に科目なし","○"))</f>
        <v>○</v>
      </c>
    </row>
    <row r="43" customFormat="false" ht="15" hidden="false" customHeight="false" outlineLevel="0" collapsed="false">
      <c r="A43" s="15"/>
      <c r="B43" s="16"/>
      <c r="C43" s="16"/>
      <c r="D43" s="21" t="str">
        <f aca="false">IF(A43="","",IF(SUMPRODUCT(--(SUBSTITUTE(SUBSTITUTE(決算精算表!$D$9:$D$46," ",""),"　","")=SUBSTITUTE(SUBSTITUTE(A43," ",""),"　","")))=0,"× 精算表に科目なし","○"))</f>
        <v/>
      </c>
    </row>
    <row r="44" customFormat="false" ht="15" hidden="false" customHeight="false" outlineLevel="0" collapsed="false">
      <c r="A44" s="15"/>
      <c r="B44" s="16"/>
      <c r="C44" s="16"/>
      <c r="D44" s="21" t="str">
        <f aca="false">IF(A44="","",IF(SUMPRODUCT(--(SUBSTITUTE(SUBSTITUTE(決算精算表!$D$9:$D$46," ",""),"　","")=SUBSTITUTE(SUBSTITUTE(A44," ",""),"　","")))=0,"× 精算表に科目なし","○"))</f>
        <v/>
      </c>
    </row>
    <row r="45" customFormat="false" ht="15" hidden="false" customHeight="false" outlineLevel="0" collapsed="false">
      <c r="A45" s="15"/>
      <c r="B45" s="16"/>
      <c r="C45" s="16"/>
      <c r="D45" s="21" t="str">
        <f aca="false">IF(A45="","",IF(SUMPRODUCT(--(SUBSTITUTE(SUBSTITUTE(決算精算表!$D$9:$D$46," ",""),"　","")=SUBSTITUTE(SUBSTITUTE(A45," ",""),"　","")))=0,"× 精算表に科目なし","○"))</f>
        <v/>
      </c>
    </row>
    <row r="46" customFormat="false" ht="15" hidden="false" customHeight="false" outlineLevel="0" collapsed="false">
      <c r="A46" s="15"/>
      <c r="B46" s="16"/>
      <c r="C46" s="16"/>
      <c r="D46" s="21" t="str">
        <f aca="false">IF(A46="","",IF(SUMPRODUCT(--(SUBSTITUTE(SUBSTITUTE(決算精算表!$D$9:$D$46," ",""),"　","")=SUBSTITUTE(SUBSTITUTE(A46," ",""),"　","")))=0,"× 精算表に科目なし","○"))</f>
        <v/>
      </c>
    </row>
    <row r="47" customFormat="false" ht="15" hidden="false" customHeight="false" outlineLevel="0" collapsed="false">
      <c r="A47" s="15"/>
      <c r="B47" s="16"/>
      <c r="C47" s="16"/>
      <c r="D47" s="21" t="str">
        <f aca="false">IF(A47="","",IF(SUMPRODUCT(--(SUBSTITUTE(SUBSTITUTE(決算精算表!$D$9:$D$46," ",""),"　","")=SUBSTITUTE(SUBSTITUTE(A47," ",""),"　","")))=0,"× 精算表に科目なし","○"))</f>
        <v/>
      </c>
    </row>
    <row r="48" customFormat="false" ht="15" hidden="false" customHeight="false" outlineLevel="0" collapsed="false">
      <c r="A48" s="15"/>
      <c r="B48" s="16"/>
      <c r="C48" s="16"/>
      <c r="D48" s="21" t="str">
        <f aca="false">IF(A48="","",IF(SUMPRODUCT(--(SUBSTITUTE(SUBSTITUTE(決算精算表!$D$9:$D$46," ",""),"　","")=SUBSTITUTE(SUBSTITUTE(A48," ",""),"　","")))=0,"× 精算表に科目なし","○"))</f>
        <v/>
      </c>
    </row>
    <row r="49" customFormat="false" ht="15" hidden="false" customHeight="false" outlineLevel="0" collapsed="false">
      <c r="A49" s="15"/>
      <c r="B49" s="16"/>
      <c r="C49" s="16"/>
      <c r="D49" s="21" t="str">
        <f aca="false">IF(A49="","",IF(SUMPRODUCT(--(SUBSTITUTE(SUBSTITUTE(決算精算表!$D$9:$D$46," ",""),"　","")=SUBSTITUTE(SUBSTITUTE(A49," ",""),"　","")))=0,"× 精算表に科目なし","○"))</f>
        <v/>
      </c>
    </row>
    <row r="50" customFormat="false" ht="15" hidden="false" customHeight="false" outlineLevel="0" collapsed="false">
      <c r="A50" s="15"/>
      <c r="B50" s="16"/>
      <c r="C50" s="16"/>
      <c r="D50" s="21" t="str">
        <f aca="false">IF(A50="","",IF(SUMPRODUCT(--(SUBSTITUTE(SUBSTITUTE(決算精算表!$D$9:$D$46," ",""),"　","")=SUBSTITUTE(SUBSTITUTE(A50," ",""),"　","")))=0,"× 精算表に科目なし","○"))</f>
        <v/>
      </c>
    </row>
    <row r="51" customFormat="false" ht="15" hidden="false" customHeight="false" outlineLevel="0" collapsed="false">
      <c r="A51" s="15"/>
      <c r="B51" s="16"/>
      <c r="C51" s="16"/>
      <c r="D51" s="21" t="str">
        <f aca="false">IF(A51="","",IF(SUMPRODUCT(--(SUBSTITUTE(SUBSTITUTE(決算精算表!$D$9:$D$46," ",""),"　","")=SUBSTITUTE(SUBSTITUTE(A51," ",""),"　","")))=0,"× 精算表に科目なし","○"))</f>
        <v/>
      </c>
    </row>
    <row r="52" customFormat="false" ht="15" hidden="false" customHeight="false" outlineLevel="0" collapsed="false">
      <c r="A52" s="15"/>
      <c r="B52" s="16"/>
      <c r="C52" s="16"/>
      <c r="D52" s="21" t="str">
        <f aca="false">IF(A52="","",IF(SUMPRODUCT(--(SUBSTITUTE(SUBSTITUTE(決算精算表!$D$9:$D$46," ",""),"　","")=SUBSTITUTE(SUBSTITUTE(A52," ",""),"　","")))=0,"× 精算表に科目なし","○"))</f>
        <v/>
      </c>
    </row>
    <row r="53" customFormat="false" ht="15" hidden="false" customHeight="false" outlineLevel="0" collapsed="false">
      <c r="A53" s="15"/>
      <c r="B53" s="16"/>
      <c r="C53" s="16"/>
      <c r="D53" s="21" t="str">
        <f aca="false">IF(A53="","",IF(SUMPRODUCT(--(SUBSTITUTE(SUBSTITUTE(決算精算表!$D$9:$D$46," ",""),"　","")=SUBSTITUTE(SUBSTITUTE(A53," ",""),"　","")))=0,"× 精算表に科目なし","○"))</f>
        <v/>
      </c>
    </row>
    <row r="54" customFormat="false" ht="15" hidden="false" customHeight="false" outlineLevel="0" collapsed="false">
      <c r="A54" s="15"/>
      <c r="B54" s="16"/>
      <c r="C54" s="16"/>
      <c r="D54" s="21" t="str">
        <f aca="false">IF(A54="","",IF(SUMPRODUCT(--(SUBSTITUTE(SUBSTITUTE(決算精算表!$D$9:$D$46," ",""),"　","")=SUBSTITUTE(SUBSTITUTE(A54," ",""),"　","")))=0,"× 精算表に科目なし","○"))</f>
        <v/>
      </c>
    </row>
    <row r="55" customFormat="false" ht="15" hidden="false" customHeight="false" outlineLevel="0" collapsed="false">
      <c r="A55" s="15"/>
      <c r="B55" s="16"/>
      <c r="C55" s="16"/>
      <c r="D55" s="21" t="str">
        <f aca="false">IF(A55="","",IF(SUMPRODUCT(--(SUBSTITUTE(SUBSTITUTE(決算精算表!$D$9:$D$46," ",""),"　","")=SUBSTITUTE(SUBSTITUTE(A55," ",""),"　","")))=0,"× 精算表に科目なし","○"))</f>
        <v/>
      </c>
    </row>
    <row r="56" customFormat="false" ht="15" hidden="false" customHeight="false" outlineLevel="0" collapsed="false">
      <c r="A56" s="15"/>
      <c r="B56" s="16"/>
      <c r="C56" s="16"/>
      <c r="D56" s="21" t="str">
        <f aca="false">IF(A56="","",IF(SUMPRODUCT(--(SUBSTITUTE(SUBSTITUTE(決算精算表!$D$9:$D$46," ",""),"　","")=SUBSTITUTE(SUBSTITUTE(A56," ",""),"　","")))=0,"× 精算表に科目なし","○"))</f>
        <v/>
      </c>
    </row>
    <row r="57" customFormat="false" ht="15" hidden="false" customHeight="false" outlineLevel="0" collapsed="false">
      <c r="A57" s="15"/>
      <c r="B57" s="16"/>
      <c r="C57" s="16"/>
      <c r="D57" s="21" t="str">
        <f aca="false">IF(A57="","",IF(SUMPRODUCT(--(SUBSTITUTE(SUBSTITUTE(決算精算表!$D$9:$D$46," ",""),"　","")=SUBSTITUTE(SUBSTITUTE(A57," ",""),"　","")))=0,"× 精算表に科目なし","○"))</f>
        <v/>
      </c>
    </row>
    <row r="58" customFormat="false" ht="15" hidden="false" customHeight="false" outlineLevel="0" collapsed="false">
      <c r="A58" s="15"/>
      <c r="B58" s="16"/>
      <c r="C58" s="16"/>
      <c r="D58" s="21" t="str">
        <f aca="false">IF(A58="","",IF(SUMPRODUCT(--(SUBSTITUTE(SUBSTITUTE(決算精算表!$D$9:$D$46," ",""),"　","")=SUBSTITUTE(SUBSTITUTE(A58," ",""),"　","")))=0,"× 精算表に科目なし","○"))</f>
        <v/>
      </c>
    </row>
    <row r="59" customFormat="false" ht="15" hidden="false" customHeight="false" outlineLevel="0" collapsed="false">
      <c r="A59" s="15"/>
      <c r="B59" s="16"/>
      <c r="C59" s="16"/>
      <c r="D59" s="21" t="str">
        <f aca="false">IF(A59="","",IF(SUMPRODUCT(--(SUBSTITUTE(SUBSTITUTE(決算精算表!$D$9:$D$46," ",""),"　","")=SUBSTITUTE(SUBSTITUTE(A59," ",""),"　","")))=0,"× 精算表に科目なし","○"))</f>
        <v/>
      </c>
    </row>
    <row r="60" customFormat="false" ht="15" hidden="false" customHeight="false" outlineLevel="0" collapsed="false">
      <c r="A60" s="15"/>
      <c r="B60" s="16"/>
      <c r="C60" s="16"/>
      <c r="D60" s="21" t="str">
        <f aca="false">IF(A60="","",IF(SUMPRODUCT(--(SUBSTITUTE(SUBSTITUTE(決算精算表!$D$9:$D$46," ",""),"　","")=SUBSTITUTE(SUBSTITUTE(A60," ",""),"　","")))=0,"× 精算表に科目なし","○"))</f>
        <v/>
      </c>
    </row>
    <row r="61" customFormat="false" ht="15" hidden="false" customHeight="false" outlineLevel="0" collapsed="false">
      <c r="A61" s="15"/>
      <c r="B61" s="16"/>
      <c r="C61" s="16"/>
      <c r="D61" s="21" t="str">
        <f aca="false">IF(A61="","",IF(SUMPRODUCT(--(SUBSTITUTE(SUBSTITUTE(決算精算表!$D$9:$D$46," ",""),"　","")=SUBSTITUTE(SUBSTITUTE(A61," ",""),"　","")))=0,"× 精算表に科目なし","○"))</f>
        <v/>
      </c>
    </row>
    <row r="62" customFormat="false" ht="15" hidden="false" customHeight="false" outlineLevel="0" collapsed="false">
      <c r="A62" s="15"/>
      <c r="B62" s="16"/>
      <c r="C62" s="16"/>
      <c r="D62" s="21" t="str">
        <f aca="false">IF(A62="","",IF(SUMPRODUCT(--(SUBSTITUTE(SUBSTITUTE(決算精算表!$D$9:$D$46," ",""),"　","")=SUBSTITUTE(SUBSTITUTE(A62," ",""),"　","")))=0,"× 精算表に科目なし","○"))</f>
        <v/>
      </c>
    </row>
    <row r="63" customFormat="false" ht="15" hidden="false" customHeight="false" outlineLevel="0" collapsed="false">
      <c r="A63" s="15"/>
      <c r="B63" s="16"/>
      <c r="C63" s="16"/>
      <c r="D63" s="21" t="str">
        <f aca="false">IF(A63="","",IF(SUMPRODUCT(--(SUBSTITUTE(SUBSTITUTE(決算精算表!$D$9:$D$46," ",""),"　","")=SUBSTITUTE(SUBSTITUTE(A63," ",""),"　","")))=0,"× 精算表に科目なし","○"))</f>
        <v/>
      </c>
    </row>
    <row r="64" customFormat="false" ht="15" hidden="false" customHeight="false" outlineLevel="0" collapsed="false">
      <c r="A64" s="15"/>
      <c r="B64" s="16"/>
      <c r="C64" s="16"/>
      <c r="D64" s="21" t="str">
        <f aca="false">IF(A64="","",IF(SUMPRODUCT(--(SUBSTITUTE(SUBSTITUTE(決算精算表!$D$9:$D$46," ",""),"　","")=SUBSTITUTE(SUBSTITUTE(A64," ",""),"　","")))=0,"× 精算表に科目なし","○"))</f>
        <v/>
      </c>
    </row>
    <row r="65" customFormat="false" ht="15" hidden="false" customHeight="false" outlineLevel="0" collapsed="false">
      <c r="A65" s="15"/>
      <c r="B65" s="16"/>
      <c r="C65" s="16"/>
      <c r="D65" s="21" t="str">
        <f aca="false">IF(A65="","",IF(SUMPRODUCT(--(SUBSTITUTE(SUBSTITUTE(決算精算表!$D$9:$D$46," ",""),"　","")=SUBSTITUTE(SUBSTITUTE(A65," ",""),"　","")))=0,"× 精算表に科目なし","○"))</f>
        <v/>
      </c>
    </row>
    <row r="66" customFormat="false" ht="15" hidden="false" customHeight="false" outlineLevel="0" collapsed="false">
      <c r="A66" s="15"/>
      <c r="B66" s="16"/>
      <c r="C66" s="16"/>
      <c r="D66" s="21" t="str">
        <f aca="false">IF(A66="","",IF(SUMPRODUCT(--(SUBSTITUTE(SUBSTITUTE(決算精算表!$D$9:$D$46," ",""),"　","")=SUBSTITUTE(SUBSTITUTE(A66," ",""),"　","")))=0,"× 精算表に科目なし","○"))</f>
        <v/>
      </c>
    </row>
    <row r="67" customFormat="false" ht="15" hidden="false" customHeight="false" outlineLevel="0" collapsed="false">
      <c r="A67" s="15"/>
      <c r="B67" s="16"/>
      <c r="C67" s="16"/>
      <c r="D67" s="21" t="str">
        <f aca="false">IF(A67="","",IF(SUMPRODUCT(--(SUBSTITUTE(SUBSTITUTE(決算精算表!$D$9:$D$46," ",""),"　","")=SUBSTITUTE(SUBSTITUTE(A67," ",""),"　","")))=0,"× 精算表に科目なし","○"))</f>
        <v/>
      </c>
    </row>
    <row r="68" customFormat="false" ht="15" hidden="false" customHeight="false" outlineLevel="0" collapsed="false">
      <c r="A68" s="15"/>
      <c r="B68" s="16"/>
      <c r="C68" s="16"/>
      <c r="D68" s="21" t="str">
        <f aca="false">IF(A68="","",IF(SUMPRODUCT(--(SUBSTITUTE(SUBSTITUTE(決算精算表!$D$9:$D$46," ",""),"　","")=SUBSTITUTE(SUBSTITUTE(A68," ",""),"　","")))=0,"× 精算表に科目なし","○"))</f>
        <v/>
      </c>
    </row>
    <row r="69" customFormat="false" ht="15" hidden="false" customHeight="false" outlineLevel="0" collapsed="false">
      <c r="A69" s="15"/>
      <c r="B69" s="16"/>
      <c r="C69" s="16"/>
      <c r="D69" s="21" t="str">
        <f aca="false">IF(A69="","",IF(SUMPRODUCT(--(SUBSTITUTE(SUBSTITUTE(決算精算表!$D$9:$D$46," ",""),"　","")=SUBSTITUTE(SUBSTITUTE(A69," ",""),"　","")))=0,"× 精算表に科目なし","○"))</f>
        <v/>
      </c>
    </row>
    <row r="70" customFormat="false" ht="15" hidden="false" customHeight="false" outlineLevel="0" collapsed="false">
      <c r="A70" s="15"/>
      <c r="B70" s="16"/>
      <c r="C70" s="16"/>
      <c r="D70" s="21" t="str">
        <f aca="false">IF(A70="","",IF(SUMPRODUCT(--(SUBSTITUTE(SUBSTITUTE(決算精算表!$D$9:$D$46," ",""),"　","")=SUBSTITUTE(SUBSTITUTE(A70," ",""),"　","")))=0,"× 精算表に科目なし","○"))</f>
        <v/>
      </c>
    </row>
    <row r="71" customFormat="false" ht="15" hidden="false" customHeight="false" outlineLevel="0" collapsed="false">
      <c r="A71" s="15"/>
      <c r="B71" s="16"/>
      <c r="C71" s="16"/>
      <c r="D71" s="21" t="str">
        <f aca="false">IF(A71="","",IF(SUMPRODUCT(--(SUBSTITUTE(SUBSTITUTE(決算精算表!$D$9:$D$46," ",""),"　","")=SUBSTITUTE(SUBSTITUTE(A71," ",""),"　","")))=0,"× 精算表に科目なし","○"))</f>
        <v/>
      </c>
    </row>
    <row r="72" customFormat="false" ht="15" hidden="false" customHeight="false" outlineLevel="0" collapsed="false">
      <c r="A72" s="15"/>
      <c r="B72" s="16"/>
      <c r="C72" s="16"/>
      <c r="D72" s="21" t="str">
        <f aca="false">IF(A72="","",IF(SUMPRODUCT(--(SUBSTITUTE(SUBSTITUTE(決算精算表!$D$9:$D$46," ",""),"　","")=SUBSTITUTE(SUBSTITUTE(A72," ",""),"　","")))=0,"× 精算表に科目なし","○"))</f>
        <v/>
      </c>
    </row>
    <row r="73" customFormat="false" ht="15" hidden="false" customHeight="false" outlineLevel="0" collapsed="false">
      <c r="A73" s="15"/>
      <c r="B73" s="16"/>
      <c r="C73" s="16"/>
      <c r="D73" s="21" t="str">
        <f aca="false">IF(A73="","",IF(SUMPRODUCT(--(SUBSTITUTE(SUBSTITUTE(決算精算表!$D$9:$D$46," ",""),"　","")=SUBSTITUTE(SUBSTITUTE(A73," ",""),"　","")))=0,"× 精算表に科目なし","○"))</f>
        <v/>
      </c>
    </row>
    <row r="74" customFormat="false" ht="15" hidden="false" customHeight="false" outlineLevel="0" collapsed="false">
      <c r="A74" s="15"/>
      <c r="B74" s="16"/>
      <c r="C74" s="16"/>
      <c r="D74" s="21" t="str">
        <f aca="false">IF(A74="","",IF(SUMPRODUCT(--(SUBSTITUTE(SUBSTITUTE(決算精算表!$D$9:$D$46," ",""),"　","")=SUBSTITUTE(SUBSTITUTE(A74," ",""),"　","")))=0,"× 精算表に科目なし","○"))</f>
        <v/>
      </c>
    </row>
    <row r="75" customFormat="false" ht="15" hidden="false" customHeight="false" outlineLevel="0" collapsed="false">
      <c r="A75" s="15"/>
      <c r="B75" s="16"/>
      <c r="C75" s="16"/>
      <c r="D75" s="21" t="str">
        <f aca="false">IF(A75="","",IF(SUMPRODUCT(--(SUBSTITUTE(SUBSTITUTE(決算精算表!$D$9:$D$46," ",""),"　","")=SUBSTITUTE(SUBSTITUTE(A75," ",""),"　","")))=0,"× 精算表に科目なし","○"))</f>
        <v/>
      </c>
    </row>
    <row r="76" customFormat="false" ht="15" hidden="false" customHeight="false" outlineLevel="0" collapsed="false">
      <c r="A76" s="15"/>
      <c r="B76" s="16"/>
      <c r="C76" s="16"/>
      <c r="D76" s="21" t="str">
        <f aca="false">IF(A76="","",IF(SUMPRODUCT(--(SUBSTITUTE(SUBSTITUTE(決算精算表!$D$9:$D$46," ",""),"　","")=SUBSTITUTE(SUBSTITUTE(A76," ",""),"　","")))=0,"× 精算表に科目なし","○"))</f>
        <v/>
      </c>
    </row>
    <row r="77" customFormat="false" ht="15" hidden="false" customHeight="false" outlineLevel="0" collapsed="false">
      <c r="A77" s="15"/>
      <c r="B77" s="16"/>
      <c r="C77" s="16"/>
      <c r="D77" s="21" t="str">
        <f aca="false">IF(A77="","",IF(SUMPRODUCT(--(SUBSTITUTE(SUBSTITUTE(決算精算表!$D$9:$D$46," ",""),"　","")=SUBSTITUTE(SUBSTITUTE(A77," ",""),"　","")))=0,"× 精算表に科目なし","○"))</f>
        <v/>
      </c>
    </row>
    <row r="78" customFormat="false" ht="15" hidden="false" customHeight="false" outlineLevel="0" collapsed="false">
      <c r="A78" s="15"/>
      <c r="B78" s="16"/>
      <c r="C78" s="16"/>
      <c r="D78" s="21" t="str">
        <f aca="false">IF(A78="","",IF(SUMPRODUCT(--(SUBSTITUTE(SUBSTITUTE(決算精算表!$D$9:$D$46," ",""),"　","")=SUBSTITUTE(SUBSTITUTE(A78," ",""),"　","")))=0,"× 精算表に科目なし","○"))</f>
        <v/>
      </c>
    </row>
    <row r="79" customFormat="false" ht="15" hidden="false" customHeight="false" outlineLevel="0" collapsed="false">
      <c r="A79" s="15"/>
      <c r="B79" s="16"/>
      <c r="C79" s="16"/>
      <c r="D79" s="21" t="str">
        <f aca="false">IF(A79="","",IF(SUMPRODUCT(--(SUBSTITUTE(SUBSTITUTE(決算精算表!$D$9:$D$46," ",""),"　","")=SUBSTITUTE(SUBSTITUTE(A79," ",""),"　","")))=0,"× 精算表に科目なし","○"))</f>
        <v/>
      </c>
    </row>
    <row r="80" customFormat="false" ht="15" hidden="false" customHeight="false" outlineLevel="0" collapsed="false">
      <c r="A80" s="15"/>
      <c r="B80" s="16"/>
      <c r="C80" s="16"/>
      <c r="D80" s="21" t="str">
        <f aca="false">IF(A80="","",IF(SUMPRODUCT(--(SUBSTITUTE(SUBSTITUTE(決算精算表!$D$9:$D$46," ",""),"　","")=SUBSTITUTE(SUBSTITUTE(A80," ",""),"　","")))=0,"× 精算表に科目なし","○"))</f>
        <v/>
      </c>
    </row>
    <row r="81" customFormat="false" ht="15" hidden="false" customHeight="false" outlineLevel="0" collapsed="false">
      <c r="A81" s="15"/>
      <c r="B81" s="16"/>
      <c r="C81" s="16"/>
      <c r="D81" s="21" t="str">
        <f aca="false">IF(A81="","",IF(SUMPRODUCT(--(SUBSTITUTE(SUBSTITUTE(決算精算表!$D$9:$D$46," ",""),"　","")=SUBSTITUTE(SUBSTITUTE(A81," ",""),"　","")))=0,"× 精算表に科目なし","○"))</f>
        <v/>
      </c>
    </row>
    <row r="82" customFormat="false" ht="15" hidden="false" customHeight="false" outlineLevel="0" collapsed="false">
      <c r="A82" s="15"/>
      <c r="B82" s="16"/>
      <c r="C82" s="16"/>
      <c r="D82" s="21" t="str">
        <f aca="false">IF(A82="","",IF(SUMPRODUCT(--(SUBSTITUTE(SUBSTITUTE(決算精算表!$D$9:$D$46," ",""),"　","")=SUBSTITUTE(SUBSTITUTE(A82," ",""),"　","")))=0,"× 精算表に科目なし","○"))</f>
        <v/>
      </c>
    </row>
    <row r="83" customFormat="false" ht="15" hidden="false" customHeight="false" outlineLevel="0" collapsed="false">
      <c r="A83" s="15"/>
      <c r="B83" s="16"/>
      <c r="C83" s="16"/>
      <c r="D83" s="21" t="str">
        <f aca="false">IF(A83="","",IF(SUMPRODUCT(--(SUBSTITUTE(SUBSTITUTE(決算精算表!$D$9:$D$46," ",""),"　","")=SUBSTITUTE(SUBSTITUTE(A83," ",""),"　","")))=0,"× 精算表に科目なし","○"))</f>
        <v/>
      </c>
    </row>
    <row r="84" customFormat="false" ht="15" hidden="false" customHeight="false" outlineLevel="0" collapsed="false">
      <c r="A84" s="15"/>
      <c r="B84" s="16"/>
      <c r="C84" s="16"/>
      <c r="D84" s="21" t="str">
        <f aca="false">IF(A84="","",IF(SUMPRODUCT(--(SUBSTITUTE(SUBSTITUTE(決算精算表!$D$9:$D$46," ",""),"　","")=SUBSTITUTE(SUBSTITUTE(A84," ",""),"　","")))=0,"× 精算表に科目なし","○"))</f>
        <v/>
      </c>
    </row>
    <row r="85" customFormat="false" ht="15" hidden="false" customHeight="false" outlineLevel="0" collapsed="false">
      <c r="A85" s="15"/>
      <c r="B85" s="16"/>
      <c r="C85" s="16"/>
      <c r="D85" s="21" t="str">
        <f aca="false">IF(A85="","",IF(SUMPRODUCT(--(SUBSTITUTE(SUBSTITUTE(決算精算表!$D$9:$D$46," ",""),"　","")=SUBSTITUTE(SUBSTITUTE(A85," ",""),"　","")))=0,"× 精算表に科目なし","○"))</f>
        <v/>
      </c>
    </row>
    <row r="86" customFormat="false" ht="15" hidden="false" customHeight="false" outlineLevel="0" collapsed="false">
      <c r="A86" s="15"/>
      <c r="B86" s="16"/>
      <c r="C86" s="16"/>
      <c r="D86" s="21" t="str">
        <f aca="false">IF(A86="","",IF(SUMPRODUCT(--(SUBSTITUTE(SUBSTITUTE(決算精算表!$D$9:$D$46," ",""),"　","")=SUBSTITUTE(SUBSTITUTE(A86," ",""),"　","")))=0,"× 精算表に科目なし","○"))</f>
        <v/>
      </c>
    </row>
    <row r="87" customFormat="false" ht="15" hidden="false" customHeight="false" outlineLevel="0" collapsed="false">
      <c r="A87" s="15"/>
      <c r="B87" s="16"/>
      <c r="C87" s="16"/>
      <c r="D87" s="21" t="str">
        <f aca="false">IF(A87="","",IF(SUMPRODUCT(--(SUBSTITUTE(SUBSTITUTE(決算精算表!$D$9:$D$46," ",""),"　","")=SUBSTITUTE(SUBSTITUTE(A87," ",""),"　","")))=0,"× 精算表に科目なし","○"))</f>
        <v/>
      </c>
    </row>
    <row r="88" customFormat="false" ht="15" hidden="false" customHeight="false" outlineLevel="0" collapsed="false">
      <c r="A88" s="15"/>
      <c r="B88" s="16"/>
      <c r="C88" s="16"/>
      <c r="D88" s="21" t="str">
        <f aca="false">IF(A88="","",IF(SUMPRODUCT(--(SUBSTITUTE(SUBSTITUTE(決算精算表!$D$9:$D$46," ",""),"　","")=SUBSTITUTE(SUBSTITUTE(A88," ",""),"　","")))=0,"× 精算表に科目なし","○"))</f>
        <v/>
      </c>
    </row>
    <row r="89" customFormat="false" ht="15" hidden="false" customHeight="false" outlineLevel="0" collapsed="false">
      <c r="A89" s="15"/>
      <c r="B89" s="16"/>
      <c r="C89" s="16"/>
      <c r="D89" s="21" t="str">
        <f aca="false">IF(A89="","",IF(SUMPRODUCT(--(SUBSTITUTE(SUBSTITUTE(決算精算表!$D$9:$D$46," ",""),"　","")=SUBSTITUTE(SUBSTITUTE(A89," ",""),"　","")))=0,"× 精算表に科目なし","○"))</f>
        <v/>
      </c>
    </row>
    <row r="90" customFormat="false" ht="15" hidden="false" customHeight="false" outlineLevel="0" collapsed="false">
      <c r="A90" s="15"/>
      <c r="B90" s="16"/>
      <c r="C90" s="16"/>
      <c r="D90" s="21" t="str">
        <f aca="false">IF(A90="","",IF(SUMPRODUCT(--(SUBSTITUTE(SUBSTITUTE(決算精算表!$D$9:$D$46," ",""),"　","")=SUBSTITUTE(SUBSTITUTE(A90," ",""),"　","")))=0,"× 精算表に科目なし","○"))</f>
        <v/>
      </c>
    </row>
    <row r="91" customFormat="false" ht="15" hidden="false" customHeight="false" outlineLevel="0" collapsed="false">
      <c r="A91" s="15"/>
      <c r="B91" s="16"/>
      <c r="C91" s="16"/>
      <c r="D91" s="21" t="str">
        <f aca="false">IF(A91="","",IF(SUMPRODUCT(--(SUBSTITUTE(SUBSTITUTE(決算精算表!$D$9:$D$46," ",""),"　","")=SUBSTITUTE(SUBSTITUTE(A91," ",""),"　","")))=0,"× 精算表に科目なし","○"))</f>
        <v/>
      </c>
    </row>
    <row r="92" customFormat="false" ht="15" hidden="false" customHeight="false" outlineLevel="0" collapsed="false">
      <c r="A92" s="15"/>
      <c r="B92" s="16"/>
      <c r="C92" s="16"/>
      <c r="D92" s="21" t="str">
        <f aca="false">IF(A92="","",IF(SUMPRODUCT(--(SUBSTITUTE(SUBSTITUTE(決算精算表!$D$9:$D$46," ",""),"　","")=SUBSTITUTE(SUBSTITUTE(A92," ",""),"　","")))=0,"× 精算表に科目なし","○"))</f>
        <v/>
      </c>
    </row>
    <row r="93" customFormat="false" ht="15" hidden="false" customHeight="false" outlineLevel="0" collapsed="false">
      <c r="A93" s="15"/>
      <c r="B93" s="16"/>
      <c r="C93" s="16"/>
      <c r="D93" s="21" t="str">
        <f aca="false">IF(A93="","",IF(SUMPRODUCT(--(SUBSTITUTE(SUBSTITUTE(決算精算表!$D$9:$D$46," ",""),"　","")=SUBSTITUTE(SUBSTITUTE(A93," ",""),"　","")))=0,"× 精算表に科目なし","○"))</f>
        <v/>
      </c>
    </row>
    <row r="94" customFormat="false" ht="15" hidden="false" customHeight="false" outlineLevel="0" collapsed="false">
      <c r="A94" s="15"/>
      <c r="B94" s="16"/>
      <c r="C94" s="16"/>
      <c r="D94" s="21" t="str">
        <f aca="false">IF(A94="","",IF(SUMPRODUCT(--(SUBSTITUTE(SUBSTITUTE(決算精算表!$D$9:$D$46," ",""),"　","")=SUBSTITUTE(SUBSTITUTE(A94," ",""),"　","")))=0,"× 精算表に科目なし","○"))</f>
        <v/>
      </c>
    </row>
    <row r="95" customFormat="false" ht="15" hidden="false" customHeight="false" outlineLevel="0" collapsed="false">
      <c r="A95" s="15"/>
      <c r="B95" s="16"/>
      <c r="C95" s="16"/>
      <c r="D95" s="21" t="str">
        <f aca="false">IF(A95="","",IF(SUMPRODUCT(--(SUBSTITUTE(SUBSTITUTE(決算精算表!$D$9:$D$46," ",""),"　","")=SUBSTITUTE(SUBSTITUTE(A95," ",""),"　","")))=0,"× 精算表に科目なし","○"))</f>
        <v/>
      </c>
    </row>
    <row r="96" customFormat="false" ht="15" hidden="false" customHeight="false" outlineLevel="0" collapsed="false">
      <c r="A96" s="15"/>
      <c r="B96" s="16"/>
      <c r="C96" s="16"/>
      <c r="D96" s="21" t="str">
        <f aca="false">IF(A96="","",IF(SUMPRODUCT(--(SUBSTITUTE(SUBSTITUTE(決算精算表!$D$9:$D$46," ",""),"　","")=SUBSTITUTE(SUBSTITUTE(A96," ",""),"　","")))=0,"× 精算表に科目なし","○"))</f>
        <v/>
      </c>
    </row>
    <row r="97" customFormat="false" ht="15" hidden="false" customHeight="false" outlineLevel="0" collapsed="false">
      <c r="A97" s="15"/>
      <c r="B97" s="16"/>
      <c r="C97" s="16"/>
      <c r="D97" s="21" t="str">
        <f aca="false">IF(A97="","",IF(SUMPRODUCT(--(SUBSTITUTE(SUBSTITUTE(決算精算表!$D$9:$D$46," ",""),"　","")=SUBSTITUTE(SUBSTITUTE(A97," ",""),"　","")))=0,"× 精算表に科目なし","○"))</f>
        <v/>
      </c>
    </row>
    <row r="98" customFormat="false" ht="15" hidden="false" customHeight="false" outlineLevel="0" collapsed="false">
      <c r="A98" s="15"/>
      <c r="B98" s="16"/>
      <c r="C98" s="16"/>
      <c r="D98" s="21" t="str">
        <f aca="false">IF(A98="","",IF(SUMPRODUCT(--(SUBSTITUTE(SUBSTITUTE(決算精算表!$D$9:$D$46," ",""),"　","")=SUBSTITUTE(SUBSTITUTE(A98," ",""),"　","")))=0,"× 精算表に科目なし","○"))</f>
        <v/>
      </c>
    </row>
    <row r="99" customFormat="false" ht="15" hidden="false" customHeight="false" outlineLevel="0" collapsed="false">
      <c r="A99" s="15"/>
      <c r="B99" s="16"/>
      <c r="C99" s="16"/>
      <c r="D99" s="21" t="str">
        <f aca="false">IF(A99="","",IF(SUMPRODUCT(--(SUBSTITUTE(SUBSTITUTE(決算精算表!$D$9:$D$46," ",""),"　","")=SUBSTITUTE(SUBSTITUTE(A99," ",""),"　","")))=0,"× 精算表に科目なし","○"))</f>
        <v/>
      </c>
    </row>
    <row r="100" customFormat="false" ht="15" hidden="false" customHeight="false" outlineLevel="0" collapsed="false">
      <c r="A100" s="15"/>
      <c r="B100" s="16"/>
      <c r="C100" s="16"/>
      <c r="D100" s="21" t="str">
        <f aca="false">IF(A100="","",IF(SUMPRODUCT(--(SUBSTITUTE(SUBSTITUTE(決算精算表!$D$9:$D$46," ",""),"　","")=SUBSTITUTE(SUBSTITUTE(A100," ",""),"　","")))=0,"× 精算表に科目なし","○"))</f>
        <v/>
      </c>
    </row>
    <row r="101" customFormat="false" ht="15" hidden="false" customHeight="false" outlineLevel="0" collapsed="false">
      <c r="A101" s="15"/>
      <c r="B101" s="16"/>
      <c r="C101" s="16"/>
      <c r="D101" s="21" t="str">
        <f aca="false">IF(A101="","",IF(SUMPRODUCT(--(SUBSTITUTE(SUBSTITUTE(決算精算表!$D$9:$D$46," ",""),"　","")=SUBSTITUTE(SUBSTITUTE(A101," ",""),"　","")))=0,"× 精算表に科目なし","○"))</f>
        <v/>
      </c>
    </row>
    <row r="102" customFormat="false" ht="15" hidden="false" customHeight="false" outlineLevel="0" collapsed="false">
      <c r="A102" s="15"/>
      <c r="B102" s="16"/>
      <c r="C102" s="16"/>
      <c r="D102" s="21" t="str">
        <f aca="false">IF(A102="","",IF(SUMPRODUCT(--(SUBSTITUTE(SUBSTITUTE(決算精算表!$D$9:$D$46," ",""),"　","")=SUBSTITUTE(SUBSTITUTE(A102," ",""),"　","")))=0,"× 精算表に科目なし","○"))</f>
        <v/>
      </c>
    </row>
    <row r="103" customFormat="false" ht="15" hidden="false" customHeight="false" outlineLevel="0" collapsed="false">
      <c r="A103" s="15"/>
      <c r="B103" s="16"/>
      <c r="C103" s="16"/>
      <c r="D103" s="21" t="str">
        <f aca="false">IF(A103="","",IF(SUMPRODUCT(--(SUBSTITUTE(SUBSTITUTE(決算精算表!$D$9:$D$46," ",""),"　","")=SUBSTITUTE(SUBSTITUTE(A103," ",""),"　","")))=0,"× 精算表に科目なし","○"))</f>
        <v/>
      </c>
    </row>
    <row r="104" customFormat="false" ht="15" hidden="false" customHeight="false" outlineLevel="0" collapsed="false">
      <c r="A104" s="15"/>
      <c r="B104" s="16"/>
      <c r="C104" s="16"/>
      <c r="D104" s="21" t="str">
        <f aca="false">IF(A104="","",IF(SUMPRODUCT(--(SUBSTITUTE(SUBSTITUTE(決算精算表!$D$9:$D$46," ",""),"　","")=SUBSTITUTE(SUBSTITUTE(A104," ",""),"　","")))=0,"× 精算表に科目なし","○"))</f>
        <v/>
      </c>
    </row>
    <row r="105" customFormat="false" ht="15" hidden="false" customHeight="false" outlineLevel="0" collapsed="false">
      <c r="A105" s="15"/>
      <c r="B105" s="16"/>
      <c r="C105" s="16"/>
      <c r="D105" s="21" t="str">
        <f aca="false">IF(A105="","",IF(SUMPRODUCT(--(SUBSTITUTE(SUBSTITUTE(決算精算表!$D$9:$D$46," ",""),"　","")=SUBSTITUTE(SUBSTITUTE(A105," ",""),"　","")))=0,"× 精算表に科目なし","○"))</f>
        <v/>
      </c>
    </row>
    <row r="106" customFormat="false" ht="15" hidden="false" customHeight="false" outlineLevel="0" collapsed="false">
      <c r="A106" s="15"/>
      <c r="B106" s="16"/>
      <c r="C106" s="16"/>
      <c r="D106" s="21" t="str">
        <f aca="false">IF(A106="","",IF(SUMPRODUCT(--(SUBSTITUTE(SUBSTITUTE(決算精算表!$D$9:$D$46," ",""),"　","")=SUBSTITUTE(SUBSTITUTE(A106," ",""),"　","")))=0,"× 精算表に科目なし","○"))</f>
        <v/>
      </c>
    </row>
    <row r="107" customFormat="false" ht="15" hidden="false" customHeight="false" outlineLevel="0" collapsed="false">
      <c r="A107" s="15"/>
      <c r="B107" s="16"/>
      <c r="C107" s="16"/>
      <c r="D107" s="21" t="str">
        <f aca="false">IF(A107="","",IF(SUMPRODUCT(--(SUBSTITUTE(SUBSTITUTE(決算精算表!$D$9:$D$46," ",""),"　","")=SUBSTITUTE(SUBSTITUTE(A107," ",""),"　","")))=0,"× 精算表に科目なし","○"))</f>
        <v/>
      </c>
    </row>
    <row r="108" customFormat="false" ht="15" hidden="false" customHeight="false" outlineLevel="0" collapsed="false">
      <c r="A108" s="15"/>
      <c r="B108" s="16"/>
      <c r="C108" s="16"/>
      <c r="D108" s="21" t="str">
        <f aca="false">IF(A108="","",IF(SUMPRODUCT(--(SUBSTITUTE(SUBSTITUTE(決算精算表!$D$9:$D$46," ",""),"　","")=SUBSTITUTE(SUBSTITUTE(A108," ",""),"　","")))=0,"× 精算表に科目なし","○"))</f>
        <v/>
      </c>
    </row>
    <row r="109" customFormat="false" ht="15" hidden="false" customHeight="false" outlineLevel="0" collapsed="false">
      <c r="A109" s="15"/>
      <c r="B109" s="16"/>
      <c r="C109" s="16"/>
      <c r="D109" s="21" t="str">
        <f aca="false">IF(A109="","",IF(SUMPRODUCT(--(SUBSTITUTE(SUBSTITUTE(決算精算表!$D$9:$D$46," ",""),"　","")=SUBSTITUTE(SUBSTITUTE(A109," ",""),"　","")))=0,"× 精算表に科目なし","○"))</f>
        <v/>
      </c>
    </row>
    <row r="110" customFormat="false" ht="15" hidden="false" customHeight="false" outlineLevel="0" collapsed="false">
      <c r="A110" s="15"/>
      <c r="B110" s="16"/>
      <c r="C110" s="16"/>
      <c r="D110" s="21" t="str">
        <f aca="false">IF(A110="","",IF(SUMPRODUCT(--(SUBSTITUTE(SUBSTITUTE(決算精算表!$D$9:$D$46," ",""),"　","")=SUBSTITUTE(SUBSTITUTE(A110," ",""),"　","")))=0,"× 精算表に科目なし","○"))</f>
        <v/>
      </c>
    </row>
    <row r="111" customFormat="false" ht="15" hidden="false" customHeight="false" outlineLevel="0" collapsed="false">
      <c r="A111" s="15"/>
      <c r="B111" s="16"/>
      <c r="C111" s="16"/>
      <c r="D111" s="21" t="str">
        <f aca="false">IF(A111="","",IF(SUMPRODUCT(--(SUBSTITUTE(SUBSTITUTE(決算精算表!$D$9:$D$46," ",""),"　","")=SUBSTITUTE(SUBSTITUTE(A111," ",""),"　","")))=0,"× 精算表に科目なし","○"))</f>
        <v/>
      </c>
    </row>
    <row r="112" customFormat="false" ht="15" hidden="false" customHeight="false" outlineLevel="0" collapsed="false">
      <c r="A112" s="15"/>
      <c r="B112" s="16"/>
      <c r="C112" s="16"/>
      <c r="D112" s="21" t="str">
        <f aca="false">IF(A112="","",IF(SUMPRODUCT(--(SUBSTITUTE(SUBSTITUTE(決算精算表!$D$9:$D$46," ",""),"　","")=SUBSTITUTE(SUBSTITUTE(A112," ",""),"　","")))=0,"× 精算表に科目なし","○"))</f>
        <v/>
      </c>
    </row>
    <row r="113" customFormat="false" ht="15" hidden="false" customHeight="false" outlineLevel="0" collapsed="false">
      <c r="A113" s="15"/>
      <c r="B113" s="16"/>
      <c r="C113" s="16"/>
      <c r="D113" s="21" t="str">
        <f aca="false">IF(A113="","",IF(SUMPRODUCT(--(SUBSTITUTE(SUBSTITUTE(決算精算表!$D$9:$D$46," ",""),"　","")=SUBSTITUTE(SUBSTITUTE(A113," ",""),"　","")))=0,"× 精算表に科目なし","○"))</f>
        <v/>
      </c>
    </row>
    <row r="114" customFormat="false" ht="15" hidden="false" customHeight="false" outlineLevel="0" collapsed="false">
      <c r="A114" s="15"/>
      <c r="B114" s="16"/>
      <c r="C114" s="16"/>
      <c r="D114" s="21" t="str">
        <f aca="false">IF(A114="","",IF(SUMPRODUCT(--(SUBSTITUTE(SUBSTITUTE(決算精算表!$D$9:$D$46," ",""),"　","")=SUBSTITUTE(SUBSTITUTE(A114," ",""),"　","")))=0,"× 精算表に科目なし","○"))</f>
        <v/>
      </c>
    </row>
    <row r="115" customFormat="false" ht="15" hidden="false" customHeight="false" outlineLevel="0" collapsed="false">
      <c r="A115" s="15"/>
      <c r="B115" s="16"/>
      <c r="C115" s="16"/>
      <c r="D115" s="21" t="str">
        <f aca="false">IF(A115="","",IF(SUMPRODUCT(--(SUBSTITUTE(SUBSTITUTE(決算精算表!$D$9:$D$46," ",""),"　","")=SUBSTITUTE(SUBSTITUTE(A115," ",""),"　","")))=0,"× 精算表に科目なし","○"))</f>
        <v/>
      </c>
    </row>
    <row r="116" customFormat="false" ht="15" hidden="false" customHeight="false" outlineLevel="0" collapsed="false">
      <c r="A116" s="15"/>
      <c r="B116" s="16"/>
      <c r="C116" s="16"/>
      <c r="D116" s="21" t="str">
        <f aca="false">IF(A116="","",IF(SUMPRODUCT(--(SUBSTITUTE(SUBSTITUTE(決算精算表!$D$9:$D$46," ",""),"　","")=SUBSTITUTE(SUBSTITUTE(A116," ",""),"　","")))=0,"× 精算表に科目なし","○"))</f>
        <v/>
      </c>
    </row>
    <row r="117" customFormat="false" ht="15" hidden="false" customHeight="false" outlineLevel="0" collapsed="false">
      <c r="A117" s="15"/>
      <c r="B117" s="16"/>
      <c r="C117" s="16"/>
      <c r="D117" s="21" t="str">
        <f aca="false">IF(A117="","",IF(SUMPRODUCT(--(SUBSTITUTE(SUBSTITUTE(決算精算表!$D$9:$D$46," ",""),"　","")=SUBSTITUTE(SUBSTITUTE(A117," ",""),"　","")))=0,"× 精算表に科目なし","○"))</f>
        <v/>
      </c>
    </row>
    <row r="118" customFormat="false" ht="15" hidden="false" customHeight="false" outlineLevel="0" collapsed="false">
      <c r="A118" s="15"/>
      <c r="B118" s="16"/>
      <c r="C118" s="16"/>
      <c r="D118" s="21" t="str">
        <f aca="false">IF(A118="","",IF(SUMPRODUCT(--(SUBSTITUTE(SUBSTITUTE(決算精算表!$D$9:$D$46," ",""),"　","")=SUBSTITUTE(SUBSTITUTE(A118," ",""),"　","")))=0,"× 精算表に科目なし","○"))</f>
        <v/>
      </c>
    </row>
    <row r="119" customFormat="false" ht="15" hidden="false" customHeight="false" outlineLevel="0" collapsed="false">
      <c r="A119" s="15"/>
      <c r="B119" s="16"/>
      <c r="C119" s="16"/>
      <c r="D119" s="21" t="str">
        <f aca="false">IF(A119="","",IF(SUMPRODUCT(--(SUBSTITUTE(SUBSTITUTE(決算精算表!$D$9:$D$46," ",""),"　","")=SUBSTITUTE(SUBSTITUTE(A119," ",""),"　","")))=0,"× 精算表に科目なし","○"))</f>
        <v/>
      </c>
    </row>
    <row r="120" customFormat="false" ht="15" hidden="false" customHeight="false" outlineLevel="0" collapsed="false">
      <c r="A120" s="15"/>
      <c r="B120" s="16"/>
      <c r="C120" s="16"/>
      <c r="D120" s="21" t="str">
        <f aca="false">IF(A120="","",IF(SUMPRODUCT(--(SUBSTITUTE(SUBSTITUTE(決算精算表!$D$9:$D$46," ",""),"　","")=SUBSTITUTE(SUBSTITUTE(A120," ",""),"　","")))=0,"× 精算表に科目なし","○"))</f>
        <v/>
      </c>
    </row>
    <row r="121" customFormat="false" ht="15" hidden="false" customHeight="false" outlineLevel="0" collapsed="false">
      <c r="A121" s="15"/>
      <c r="B121" s="16"/>
      <c r="C121" s="16"/>
      <c r="D121" s="21" t="str">
        <f aca="false">IF(A121="","",IF(SUMPRODUCT(--(SUBSTITUTE(SUBSTITUTE(決算精算表!$D$9:$D$46," ",""),"　","")=SUBSTITUTE(SUBSTITUTE(A121," ",""),"　","")))=0,"× 精算表に科目なし","○"))</f>
        <v/>
      </c>
    </row>
    <row r="122" customFormat="false" ht="15" hidden="false" customHeight="false" outlineLevel="0" collapsed="false">
      <c r="A122" s="15"/>
      <c r="B122" s="16"/>
      <c r="C122" s="16"/>
      <c r="D122" s="21" t="str">
        <f aca="false">IF(A122="","",IF(SUMPRODUCT(--(SUBSTITUTE(SUBSTITUTE(決算精算表!$D$9:$D$46," ",""),"　","")=SUBSTITUTE(SUBSTITUTE(A122," ",""),"　","")))=0,"× 精算表に科目なし","○"))</f>
        <v/>
      </c>
    </row>
    <row r="123" customFormat="false" ht="15" hidden="false" customHeight="false" outlineLevel="0" collapsed="false">
      <c r="A123" s="15"/>
      <c r="B123" s="16"/>
      <c r="C123" s="16"/>
      <c r="D123" s="21" t="str">
        <f aca="false">IF(A123="","",IF(SUMPRODUCT(--(SUBSTITUTE(SUBSTITUTE(決算精算表!$D$9:$D$46," ",""),"　","")=SUBSTITUTE(SUBSTITUTE(A123," ",""),"　","")))=0,"× 精算表に科目なし","○"))</f>
        <v/>
      </c>
    </row>
    <row r="124" customFormat="false" ht="15" hidden="false" customHeight="false" outlineLevel="0" collapsed="false">
      <c r="A124" s="15"/>
      <c r="B124" s="16"/>
      <c r="C124" s="16"/>
      <c r="D124" s="21" t="str">
        <f aca="false">IF(A124="","",IF(SUMPRODUCT(--(SUBSTITUTE(SUBSTITUTE(決算精算表!$D$9:$D$46," ",""),"　","")=SUBSTITUTE(SUBSTITUTE(A124," ",""),"　","")))=0,"× 精算表に科目なし","○"))</f>
        <v/>
      </c>
    </row>
    <row r="125" customFormat="false" ht="15" hidden="false" customHeight="false" outlineLevel="0" collapsed="false">
      <c r="A125" s="15"/>
      <c r="B125" s="16"/>
      <c r="C125" s="16"/>
      <c r="D125" s="21" t="str">
        <f aca="false">IF(A125="","",IF(SUMPRODUCT(--(SUBSTITUTE(SUBSTITUTE(決算精算表!$D$9:$D$46," ",""),"　","")=SUBSTITUTE(SUBSTITUTE(A125," ",""),"　","")))=0,"× 精算表に科目なし","○"))</f>
        <v/>
      </c>
    </row>
    <row r="126" customFormat="false" ht="15" hidden="false" customHeight="false" outlineLevel="0" collapsed="false">
      <c r="A126" s="15"/>
      <c r="B126" s="16"/>
      <c r="C126" s="16"/>
      <c r="D126" s="21" t="str">
        <f aca="false">IF(A126="","",IF(SUMPRODUCT(--(SUBSTITUTE(SUBSTITUTE(決算精算表!$D$9:$D$46," ",""),"　","")=SUBSTITUTE(SUBSTITUTE(A126," ",""),"　","")))=0,"× 精算表に科目なし","○"))</f>
        <v/>
      </c>
    </row>
    <row r="127" customFormat="false" ht="15" hidden="false" customHeight="false" outlineLevel="0" collapsed="false">
      <c r="A127" s="15"/>
      <c r="B127" s="16"/>
      <c r="C127" s="16"/>
      <c r="D127" s="21" t="str">
        <f aca="false">IF(A127="","",IF(SUMPRODUCT(--(SUBSTITUTE(SUBSTITUTE(決算精算表!$D$9:$D$46," ",""),"　","")=SUBSTITUTE(SUBSTITUTE(A127," ",""),"　","")))=0,"× 精算表に科目なし","○"))</f>
        <v/>
      </c>
    </row>
    <row r="128" customFormat="false" ht="15" hidden="false" customHeight="false" outlineLevel="0" collapsed="false">
      <c r="A128" s="15"/>
      <c r="B128" s="16"/>
      <c r="C128" s="16"/>
      <c r="D128" s="21" t="str">
        <f aca="false">IF(A128="","",IF(SUMPRODUCT(--(SUBSTITUTE(SUBSTITUTE(決算精算表!$D$9:$D$46," ",""),"　","")=SUBSTITUTE(SUBSTITUTE(A128," ",""),"　","")))=0,"× 精算表に科目なし","○"))</f>
        <v/>
      </c>
    </row>
    <row r="129" customFormat="false" ht="15" hidden="false" customHeight="false" outlineLevel="0" collapsed="false">
      <c r="A129" s="15"/>
      <c r="B129" s="16"/>
      <c r="C129" s="16"/>
      <c r="D129" s="21" t="str">
        <f aca="false">IF(A129="","",IF(SUMPRODUCT(--(SUBSTITUTE(SUBSTITUTE(決算精算表!$D$9:$D$46," ",""),"　","")=SUBSTITUTE(SUBSTITUTE(A129," ",""),"　","")))=0,"× 精算表に科目なし","○"))</f>
        <v/>
      </c>
    </row>
    <row r="130" customFormat="false" ht="15" hidden="false" customHeight="false" outlineLevel="0" collapsed="false">
      <c r="A130" s="15"/>
      <c r="B130" s="16"/>
      <c r="C130" s="16"/>
      <c r="D130" s="21" t="str">
        <f aca="false">IF(A130="","",IF(SUMPRODUCT(--(SUBSTITUTE(SUBSTITUTE(決算精算表!$D$9:$D$46," ",""),"　","")=SUBSTITUTE(SUBSTITUTE(A130," ",""),"　","")))=0,"× 精算表に科目なし","○"))</f>
        <v/>
      </c>
    </row>
    <row r="131" customFormat="false" ht="15" hidden="false" customHeight="false" outlineLevel="0" collapsed="false">
      <c r="A131" s="15"/>
      <c r="B131" s="16"/>
      <c r="C131" s="16"/>
      <c r="D131" s="21" t="str">
        <f aca="false">IF(A131="","",IF(SUMPRODUCT(--(SUBSTITUTE(SUBSTITUTE(決算精算表!$D$9:$D$46," ",""),"　","")=SUBSTITUTE(SUBSTITUTE(A131," ",""),"　","")))=0,"× 精算表に科目なし","○"))</f>
        <v/>
      </c>
    </row>
    <row r="132" customFormat="false" ht="15" hidden="false" customHeight="false" outlineLevel="0" collapsed="false">
      <c r="A132" s="15"/>
      <c r="B132" s="16"/>
      <c r="C132" s="16"/>
      <c r="D132" s="21" t="str">
        <f aca="false">IF(A132="","",IF(SUMPRODUCT(--(SUBSTITUTE(SUBSTITUTE(決算精算表!$D$9:$D$46," ",""),"　","")=SUBSTITUTE(SUBSTITUTE(A132," ",""),"　","")))=0,"× 精算表に科目なし","○"))</f>
        <v/>
      </c>
    </row>
    <row r="133" customFormat="false" ht="15" hidden="false" customHeight="false" outlineLevel="0" collapsed="false">
      <c r="A133" s="15"/>
      <c r="B133" s="16"/>
      <c r="C133" s="16"/>
      <c r="D133" s="21" t="str">
        <f aca="false">IF(A133="","",IF(SUMPRODUCT(--(SUBSTITUTE(SUBSTITUTE(決算精算表!$D$9:$D$46," ",""),"　","")=SUBSTITUTE(SUBSTITUTE(A133," ",""),"　","")))=0,"× 精算表に科目なし","○"))</f>
        <v/>
      </c>
    </row>
    <row r="134" customFormat="false" ht="15" hidden="false" customHeight="false" outlineLevel="0" collapsed="false">
      <c r="A134" s="15"/>
      <c r="B134" s="16"/>
      <c r="C134" s="16"/>
      <c r="D134" s="21" t="str">
        <f aca="false">IF(A134="","",IF(SUMPRODUCT(--(SUBSTITUTE(SUBSTITUTE(決算精算表!$D$9:$D$46," ",""),"　","")=SUBSTITUTE(SUBSTITUTE(A134," ",""),"　","")))=0,"× 精算表に科目なし","○"))</f>
        <v/>
      </c>
    </row>
    <row r="135" customFormat="false" ht="15" hidden="false" customHeight="false" outlineLevel="0" collapsed="false">
      <c r="A135" s="15"/>
      <c r="B135" s="16"/>
      <c r="C135" s="16"/>
      <c r="D135" s="21" t="str">
        <f aca="false">IF(A135="","",IF(SUMPRODUCT(--(SUBSTITUTE(SUBSTITUTE(決算精算表!$D$9:$D$46," ",""),"　","")=SUBSTITUTE(SUBSTITUTE(A135," ",""),"　","")))=0,"× 精算表に科目なし","○"))</f>
        <v/>
      </c>
    </row>
    <row r="136" customFormat="false" ht="15" hidden="false" customHeight="false" outlineLevel="0" collapsed="false">
      <c r="A136" s="15"/>
      <c r="B136" s="16"/>
      <c r="C136" s="16"/>
      <c r="D136" s="21" t="str">
        <f aca="false">IF(A136="","",IF(SUMPRODUCT(--(SUBSTITUTE(SUBSTITUTE(決算精算表!$D$9:$D$46," ",""),"　","")=SUBSTITUTE(SUBSTITUTE(A136," ",""),"　","")))=0,"× 精算表に科目なし","○"))</f>
        <v/>
      </c>
    </row>
    <row r="137" customFormat="false" ht="15" hidden="false" customHeight="false" outlineLevel="0" collapsed="false">
      <c r="A137" s="15"/>
      <c r="B137" s="16"/>
      <c r="C137" s="16"/>
      <c r="D137" s="21" t="str">
        <f aca="false">IF(A137="","",IF(SUMPRODUCT(--(SUBSTITUTE(SUBSTITUTE(決算精算表!$D$9:$D$46," ",""),"　","")=SUBSTITUTE(SUBSTITUTE(A137," ",""),"　","")))=0,"× 精算表に科目なし","○"))</f>
        <v/>
      </c>
    </row>
    <row r="138" customFormat="false" ht="15" hidden="false" customHeight="false" outlineLevel="0" collapsed="false">
      <c r="A138" s="15"/>
      <c r="B138" s="16"/>
      <c r="C138" s="16"/>
      <c r="D138" s="21" t="str">
        <f aca="false">IF(A138="","",IF(SUMPRODUCT(--(SUBSTITUTE(SUBSTITUTE(決算精算表!$D$9:$D$46," ",""),"　","")=SUBSTITUTE(SUBSTITUTE(A138," ",""),"　","")))=0,"× 精算表に科目なし","○"))</f>
        <v/>
      </c>
    </row>
    <row r="139" customFormat="false" ht="15" hidden="false" customHeight="false" outlineLevel="0" collapsed="false">
      <c r="A139" s="15"/>
      <c r="B139" s="16"/>
      <c r="C139" s="16"/>
      <c r="D139" s="21" t="str">
        <f aca="false">IF(A139="","",IF(SUMPRODUCT(--(SUBSTITUTE(SUBSTITUTE(決算精算表!$D$9:$D$46," ",""),"　","")=SUBSTITUTE(SUBSTITUTE(A139," ",""),"　","")))=0,"× 精算表に科目なし","○"))</f>
        <v/>
      </c>
    </row>
    <row r="140" customFormat="false" ht="15" hidden="false" customHeight="false" outlineLevel="0" collapsed="false">
      <c r="A140" s="15"/>
      <c r="B140" s="16"/>
      <c r="C140" s="16"/>
      <c r="D140" s="21" t="str">
        <f aca="false">IF(A140="","",IF(SUMPRODUCT(--(SUBSTITUTE(SUBSTITUTE(決算精算表!$D$9:$D$46," ",""),"　","")=SUBSTITUTE(SUBSTITUTE(A140," ",""),"　","")))=0,"× 精算表に科目なし","○"))</f>
        <v/>
      </c>
    </row>
    <row r="141" customFormat="false" ht="15" hidden="false" customHeight="false" outlineLevel="0" collapsed="false">
      <c r="A141" s="15"/>
      <c r="B141" s="16"/>
      <c r="C141" s="16"/>
      <c r="D141" s="21" t="str">
        <f aca="false">IF(A141="","",IF(SUMPRODUCT(--(SUBSTITUTE(SUBSTITUTE(決算精算表!$D$9:$D$46," ",""),"　","")=SUBSTITUTE(SUBSTITUTE(A141," ",""),"　","")))=0,"× 精算表に科目なし","○"))</f>
        <v/>
      </c>
    </row>
    <row r="142" customFormat="false" ht="15" hidden="false" customHeight="false" outlineLevel="0" collapsed="false">
      <c r="A142" s="15"/>
      <c r="B142" s="16"/>
      <c r="C142" s="16"/>
      <c r="D142" s="21" t="str">
        <f aca="false">IF(A142="","",IF(SUMPRODUCT(--(SUBSTITUTE(SUBSTITUTE(決算精算表!$D$9:$D$46," ",""),"　","")=SUBSTITUTE(SUBSTITUTE(A142," ",""),"　","")))=0,"× 精算表に科目なし","○"))</f>
        <v/>
      </c>
    </row>
    <row r="143" customFormat="false" ht="15" hidden="false" customHeight="false" outlineLevel="0" collapsed="false">
      <c r="A143" s="15"/>
      <c r="B143" s="16"/>
      <c r="C143" s="16"/>
      <c r="D143" s="21" t="str">
        <f aca="false">IF(A143="","",IF(SUMPRODUCT(--(SUBSTITUTE(SUBSTITUTE(決算精算表!$D$9:$D$46," ",""),"　","")=SUBSTITUTE(SUBSTITUTE(A143," ",""),"　","")))=0,"× 精算表に科目なし","○"))</f>
        <v/>
      </c>
    </row>
    <row r="144" customFormat="false" ht="15" hidden="false" customHeight="false" outlineLevel="0" collapsed="false">
      <c r="A144" s="15"/>
      <c r="B144" s="16"/>
      <c r="C144" s="16"/>
      <c r="D144" s="21" t="str">
        <f aca="false">IF(A144="","",IF(SUMPRODUCT(--(SUBSTITUTE(SUBSTITUTE(決算精算表!$D$9:$D$46," ",""),"　","")=SUBSTITUTE(SUBSTITUTE(A144," ",""),"　","")))=0,"× 精算表に科目なし","○"))</f>
        <v/>
      </c>
    </row>
    <row r="145" customFormat="false" ht="15" hidden="false" customHeight="false" outlineLevel="0" collapsed="false">
      <c r="A145" s="15"/>
      <c r="B145" s="16"/>
      <c r="C145" s="16"/>
      <c r="D145" s="21" t="str">
        <f aca="false">IF(A145="","",IF(SUMPRODUCT(--(SUBSTITUTE(SUBSTITUTE(決算精算表!$D$9:$D$46," ",""),"　","")=SUBSTITUTE(SUBSTITUTE(A145," ",""),"　","")))=0,"× 精算表に科目なし","○"))</f>
        <v/>
      </c>
    </row>
    <row r="146" customFormat="false" ht="15" hidden="false" customHeight="false" outlineLevel="0" collapsed="false">
      <c r="A146" s="15"/>
      <c r="B146" s="16"/>
      <c r="C146" s="16"/>
      <c r="D146" s="21" t="str">
        <f aca="false">IF(A146="","",IF(SUMPRODUCT(--(SUBSTITUTE(SUBSTITUTE(決算精算表!$D$9:$D$46," ",""),"　","")=SUBSTITUTE(SUBSTITUTE(A146," ",""),"　","")))=0,"× 精算表に科目なし","○"))</f>
        <v/>
      </c>
    </row>
    <row r="147" customFormat="false" ht="15" hidden="false" customHeight="false" outlineLevel="0" collapsed="false">
      <c r="A147" s="15"/>
      <c r="B147" s="16"/>
      <c r="C147" s="16"/>
      <c r="D147" s="21" t="str">
        <f aca="false">IF(A147="","",IF(SUMPRODUCT(--(SUBSTITUTE(SUBSTITUTE(決算精算表!$D$9:$D$46," ",""),"　","")=SUBSTITUTE(SUBSTITUTE(A147," ",""),"　","")))=0,"× 精算表に科目なし","○"))</f>
        <v/>
      </c>
    </row>
    <row r="148" customFormat="false" ht="15" hidden="false" customHeight="false" outlineLevel="0" collapsed="false">
      <c r="A148" s="15"/>
      <c r="B148" s="16"/>
      <c r="C148" s="16"/>
      <c r="D148" s="21" t="str">
        <f aca="false">IF(A148="","",IF(SUMPRODUCT(--(SUBSTITUTE(SUBSTITUTE(決算精算表!$D$9:$D$46," ",""),"　","")=SUBSTITUTE(SUBSTITUTE(A148," ",""),"　","")))=0,"× 精算表に科目なし","○"))</f>
        <v/>
      </c>
    </row>
    <row r="149" customFormat="false" ht="15" hidden="false" customHeight="false" outlineLevel="0" collapsed="false">
      <c r="A149" s="15"/>
      <c r="B149" s="16"/>
      <c r="C149" s="16"/>
      <c r="D149" s="21" t="str">
        <f aca="false">IF(A149="","",IF(SUMPRODUCT(--(SUBSTITUTE(SUBSTITUTE(決算精算表!$D$9:$D$46," ",""),"　","")=SUBSTITUTE(SUBSTITUTE(A149," ",""),"　","")))=0,"× 精算表に科目なし","○"))</f>
        <v/>
      </c>
    </row>
    <row r="150" customFormat="false" ht="15" hidden="false" customHeight="false" outlineLevel="0" collapsed="false">
      <c r="A150" s="15"/>
      <c r="B150" s="16"/>
      <c r="C150" s="16"/>
      <c r="D150" s="21" t="str">
        <f aca="false">IF(A150="","",IF(SUMPRODUCT(--(SUBSTITUTE(SUBSTITUTE(決算精算表!$D$9:$D$46," ",""),"　","")=SUBSTITUTE(SUBSTITUTE(A150," ",""),"　","")))=0,"× 精算表に科目なし","○"))</f>
        <v/>
      </c>
    </row>
    <row r="151" customFormat="false" ht="15" hidden="false" customHeight="false" outlineLevel="0" collapsed="false">
      <c r="A151" s="15"/>
      <c r="B151" s="16"/>
      <c r="C151" s="16"/>
      <c r="D151" s="21" t="str">
        <f aca="false">IF(A151="","",IF(SUMPRODUCT(--(SUBSTITUTE(SUBSTITUTE(決算精算表!$D$9:$D$46," ",""),"　","")=SUBSTITUTE(SUBSTITUTE(A151," ",""),"　","")))=0,"× 精算表に科目なし","○"))</f>
        <v/>
      </c>
    </row>
    <row r="152" customFormat="false" ht="15" hidden="false" customHeight="false" outlineLevel="0" collapsed="false">
      <c r="A152" s="15"/>
      <c r="B152" s="16"/>
      <c r="C152" s="16"/>
      <c r="D152" s="21" t="str">
        <f aca="false">IF(A152="","",IF(SUMPRODUCT(--(SUBSTITUTE(SUBSTITUTE(決算精算表!$D$9:$D$46," ",""),"　","")=SUBSTITUTE(SUBSTITUTE(A152," ",""),"　","")))=0,"× 精算表に科目なし","○"))</f>
        <v/>
      </c>
    </row>
    <row r="153" customFormat="false" ht="15" hidden="false" customHeight="false" outlineLevel="0" collapsed="false">
      <c r="A153" s="15"/>
      <c r="B153" s="16"/>
      <c r="C153" s="16"/>
      <c r="D153" s="21" t="str">
        <f aca="false">IF(A153="","",IF(SUMPRODUCT(--(SUBSTITUTE(SUBSTITUTE(決算精算表!$D$9:$D$46," ",""),"　","")=SUBSTITUTE(SUBSTITUTE(A153," ",""),"　","")))=0,"× 精算表に科目なし","○"))</f>
        <v/>
      </c>
    </row>
    <row r="154" customFormat="false" ht="15" hidden="false" customHeight="false" outlineLevel="0" collapsed="false">
      <c r="A154" s="15"/>
      <c r="B154" s="16"/>
      <c r="C154" s="16"/>
      <c r="D154" s="21" t="str">
        <f aca="false">IF(A154="","",IF(SUMPRODUCT(--(SUBSTITUTE(SUBSTITUTE(決算精算表!$D$9:$D$46," ",""),"　","")=SUBSTITUTE(SUBSTITUTE(A154," ",""),"　","")))=0,"× 精算表に科目なし","○"))</f>
        <v/>
      </c>
    </row>
    <row r="155" customFormat="false" ht="15" hidden="false" customHeight="false" outlineLevel="0" collapsed="false">
      <c r="A155" s="15"/>
      <c r="B155" s="16"/>
      <c r="C155" s="16"/>
      <c r="D155" s="21" t="str">
        <f aca="false">IF(A155="","",IF(SUMPRODUCT(--(SUBSTITUTE(SUBSTITUTE(決算精算表!$D$9:$D$46," ",""),"　","")=SUBSTITUTE(SUBSTITUTE(A155," ",""),"　","")))=0,"× 精算表に科目なし","○"))</f>
        <v/>
      </c>
    </row>
    <row r="156" customFormat="false" ht="15" hidden="false" customHeight="false" outlineLevel="0" collapsed="false">
      <c r="A156" s="15"/>
      <c r="B156" s="16"/>
      <c r="C156" s="16"/>
      <c r="D156" s="21" t="str">
        <f aca="false">IF(A156="","",IF(SUMPRODUCT(--(SUBSTITUTE(SUBSTITUTE(決算精算表!$D$9:$D$46," ",""),"　","")=SUBSTITUTE(SUBSTITUTE(A156," ",""),"　","")))=0,"× 精算表に科目なし","○"))</f>
        <v/>
      </c>
    </row>
    <row r="157" customFormat="false" ht="15" hidden="false" customHeight="false" outlineLevel="0" collapsed="false">
      <c r="A157" s="15"/>
      <c r="B157" s="16"/>
      <c r="C157" s="16"/>
      <c r="D157" s="21" t="str">
        <f aca="false">IF(A157="","",IF(SUMPRODUCT(--(SUBSTITUTE(SUBSTITUTE(決算精算表!$D$9:$D$46," ",""),"　","")=SUBSTITUTE(SUBSTITUTE(A157," ",""),"　","")))=0,"× 精算表に科目なし","○"))</f>
        <v/>
      </c>
    </row>
    <row r="158" customFormat="false" ht="15" hidden="false" customHeight="false" outlineLevel="0" collapsed="false">
      <c r="A158" s="15"/>
      <c r="B158" s="16"/>
      <c r="C158" s="16"/>
      <c r="D158" s="21" t="str">
        <f aca="false">IF(A158="","",IF(SUMPRODUCT(--(SUBSTITUTE(SUBSTITUTE(決算精算表!$D$9:$D$46," ",""),"　","")=SUBSTITUTE(SUBSTITUTE(A158," ",""),"　","")))=0,"× 精算表に科目なし","○"))</f>
        <v/>
      </c>
    </row>
    <row r="159" customFormat="false" ht="15" hidden="false" customHeight="false" outlineLevel="0" collapsed="false">
      <c r="A159" s="15"/>
      <c r="B159" s="16"/>
      <c r="C159" s="16"/>
      <c r="D159" s="21" t="str">
        <f aca="false">IF(A159="","",IF(SUMPRODUCT(--(SUBSTITUTE(SUBSTITUTE(決算精算表!$D$9:$D$46," ",""),"　","")=SUBSTITUTE(SUBSTITUTE(A159," ",""),"　","")))=0,"× 精算表に科目なし","○"))</f>
        <v/>
      </c>
    </row>
    <row r="160" customFormat="false" ht="15" hidden="false" customHeight="false" outlineLevel="0" collapsed="false">
      <c r="A160" s="15"/>
      <c r="B160" s="16"/>
      <c r="C160" s="16"/>
      <c r="D160" s="21" t="str">
        <f aca="false">IF(A160="","",IF(SUMPRODUCT(--(SUBSTITUTE(SUBSTITUTE(決算精算表!$D$9:$D$46," ",""),"　","")=SUBSTITUTE(SUBSTITUTE(A160," ",""),"　","")))=0,"× 精算表に科目なし","○"))</f>
        <v/>
      </c>
    </row>
    <row r="161" customFormat="false" ht="15" hidden="false" customHeight="false" outlineLevel="0" collapsed="false">
      <c r="A161" s="15"/>
      <c r="B161" s="16"/>
      <c r="C161" s="16"/>
      <c r="D161" s="21" t="str">
        <f aca="false">IF(A161="","",IF(SUMPRODUCT(--(SUBSTITUTE(SUBSTITUTE(決算精算表!$D$9:$D$46," ",""),"　","")=SUBSTITUTE(SUBSTITUTE(A161," ",""),"　","")))=0,"× 精算表に科目なし","○"))</f>
        <v/>
      </c>
    </row>
    <row r="162" customFormat="false" ht="15" hidden="false" customHeight="false" outlineLevel="0" collapsed="false">
      <c r="A162" s="15"/>
      <c r="B162" s="16"/>
      <c r="C162" s="16"/>
      <c r="D162" s="21" t="str">
        <f aca="false">IF(A162="","",IF(SUMPRODUCT(--(SUBSTITUTE(SUBSTITUTE(決算精算表!$D$9:$D$46," ",""),"　","")=SUBSTITUTE(SUBSTITUTE(A162," ",""),"　","")))=0,"× 精算表に科目なし","○"))</f>
        <v/>
      </c>
    </row>
    <row r="163" customFormat="false" ht="15" hidden="false" customHeight="false" outlineLevel="0" collapsed="false">
      <c r="A163" s="15"/>
      <c r="B163" s="16"/>
      <c r="C163" s="16"/>
      <c r="D163" s="21" t="str">
        <f aca="false">IF(A163="","",IF(SUMPRODUCT(--(SUBSTITUTE(SUBSTITUTE(決算精算表!$D$9:$D$46," ",""),"　","")=SUBSTITUTE(SUBSTITUTE(A163," ",""),"　","")))=0,"× 精算表に科目なし","○"))</f>
        <v/>
      </c>
    </row>
    <row r="164" customFormat="false" ht="15" hidden="false" customHeight="false" outlineLevel="0" collapsed="false">
      <c r="A164" s="15"/>
      <c r="B164" s="16"/>
      <c r="C164" s="16"/>
      <c r="D164" s="21" t="str">
        <f aca="false">IF(A164="","",IF(SUMPRODUCT(--(SUBSTITUTE(SUBSTITUTE(決算精算表!$D$9:$D$46," ",""),"　","")=SUBSTITUTE(SUBSTITUTE(A164," ",""),"　","")))=0,"× 精算表に科目なし","○"))</f>
        <v/>
      </c>
    </row>
    <row r="165" customFormat="false" ht="15" hidden="false" customHeight="false" outlineLevel="0" collapsed="false">
      <c r="A165" s="15"/>
      <c r="B165" s="16"/>
      <c r="C165" s="16"/>
      <c r="D165" s="21" t="str">
        <f aca="false">IF(A165="","",IF(SUMPRODUCT(--(SUBSTITUTE(SUBSTITUTE(決算精算表!$D$9:$D$46," ",""),"　","")=SUBSTITUTE(SUBSTITUTE(A165," ",""),"　","")))=0,"× 精算表に科目なし","○"))</f>
        <v/>
      </c>
    </row>
    <row r="166" customFormat="false" ht="15" hidden="false" customHeight="false" outlineLevel="0" collapsed="false">
      <c r="A166" s="15"/>
      <c r="B166" s="16"/>
      <c r="C166" s="16"/>
      <c r="D166" s="21" t="str">
        <f aca="false">IF(A166="","",IF(SUMPRODUCT(--(SUBSTITUTE(SUBSTITUTE(決算精算表!$D$9:$D$46," ",""),"　","")=SUBSTITUTE(SUBSTITUTE(A166," ",""),"　","")))=0,"× 精算表に科目なし","○"))</f>
        <v/>
      </c>
    </row>
    <row r="167" customFormat="false" ht="15" hidden="false" customHeight="false" outlineLevel="0" collapsed="false">
      <c r="A167" s="15"/>
      <c r="B167" s="16"/>
      <c r="C167" s="16"/>
      <c r="D167" s="21" t="str">
        <f aca="false">IF(A167="","",IF(SUMPRODUCT(--(SUBSTITUTE(SUBSTITUTE(決算精算表!$D$9:$D$46," ",""),"　","")=SUBSTITUTE(SUBSTITUTE(A167," ",""),"　","")))=0,"× 精算表に科目なし","○"))</f>
        <v/>
      </c>
    </row>
    <row r="168" customFormat="false" ht="15" hidden="false" customHeight="false" outlineLevel="0" collapsed="false">
      <c r="A168" s="15"/>
      <c r="B168" s="16"/>
      <c r="C168" s="16"/>
      <c r="D168" s="21" t="str">
        <f aca="false">IF(A168="","",IF(SUMPRODUCT(--(SUBSTITUTE(SUBSTITUTE(決算精算表!$D$9:$D$46," ",""),"　","")=SUBSTITUTE(SUBSTITUTE(A168," ",""),"　","")))=0,"× 精算表に科目なし","○"))</f>
        <v/>
      </c>
    </row>
    <row r="169" customFormat="false" ht="15" hidden="false" customHeight="false" outlineLevel="0" collapsed="false">
      <c r="A169" s="15"/>
      <c r="B169" s="16"/>
      <c r="C169" s="16"/>
      <c r="D169" s="21" t="str">
        <f aca="false">IF(A169="","",IF(SUMPRODUCT(--(SUBSTITUTE(SUBSTITUTE(決算精算表!$D$9:$D$46," ",""),"　","")=SUBSTITUTE(SUBSTITUTE(A169," ",""),"　","")))=0,"× 精算表に科目なし","○"))</f>
        <v/>
      </c>
    </row>
    <row r="170" customFormat="false" ht="15" hidden="false" customHeight="false" outlineLevel="0" collapsed="false">
      <c r="A170" s="15"/>
      <c r="B170" s="16"/>
      <c r="C170" s="16"/>
      <c r="D170" s="21" t="str">
        <f aca="false">IF(A170="","",IF(SUMPRODUCT(--(SUBSTITUTE(SUBSTITUTE(決算精算表!$D$9:$D$46," ",""),"　","")=SUBSTITUTE(SUBSTITUTE(A170," ",""),"　","")))=0,"× 精算表に科目なし","○"))</f>
        <v/>
      </c>
    </row>
    <row r="171" customFormat="false" ht="15" hidden="false" customHeight="false" outlineLevel="0" collapsed="false">
      <c r="A171" s="15"/>
      <c r="B171" s="16"/>
      <c r="C171" s="16"/>
      <c r="D171" s="21" t="str">
        <f aca="false">IF(A171="","",IF(SUMPRODUCT(--(SUBSTITUTE(SUBSTITUTE(決算精算表!$D$9:$D$46," ",""),"　","")=SUBSTITUTE(SUBSTITUTE(A171," ",""),"　","")))=0,"× 精算表に科目なし","○"))</f>
        <v/>
      </c>
    </row>
    <row r="172" customFormat="false" ht="15" hidden="false" customHeight="false" outlineLevel="0" collapsed="false">
      <c r="A172" s="15"/>
      <c r="B172" s="16"/>
      <c r="C172" s="16"/>
      <c r="D172" s="21" t="str">
        <f aca="false">IF(A172="","",IF(SUMPRODUCT(--(SUBSTITUTE(SUBSTITUTE(決算精算表!$D$9:$D$46," ",""),"　","")=SUBSTITUTE(SUBSTITUTE(A172," ",""),"　","")))=0,"× 精算表に科目なし","○"))</f>
        <v/>
      </c>
    </row>
    <row r="173" customFormat="false" ht="15" hidden="false" customHeight="false" outlineLevel="0" collapsed="false">
      <c r="A173" s="15"/>
      <c r="B173" s="16"/>
      <c r="C173" s="16"/>
      <c r="D173" s="21" t="str">
        <f aca="false">IF(A173="","",IF(SUMPRODUCT(--(SUBSTITUTE(SUBSTITUTE(決算精算表!$D$9:$D$46," ",""),"　","")=SUBSTITUTE(SUBSTITUTE(A173," ",""),"　","")))=0,"× 精算表に科目なし","○"))</f>
        <v/>
      </c>
    </row>
    <row r="174" customFormat="false" ht="15" hidden="false" customHeight="false" outlineLevel="0" collapsed="false">
      <c r="A174" s="15"/>
      <c r="B174" s="16"/>
      <c r="C174" s="16"/>
      <c r="D174" s="21" t="str">
        <f aca="false">IF(A174="","",IF(SUMPRODUCT(--(SUBSTITUTE(SUBSTITUTE(決算精算表!$D$9:$D$46," ",""),"　","")=SUBSTITUTE(SUBSTITUTE(A174," ",""),"　","")))=0,"× 精算表に科目なし","○"))</f>
        <v/>
      </c>
    </row>
    <row r="175" customFormat="false" ht="15" hidden="false" customHeight="false" outlineLevel="0" collapsed="false">
      <c r="A175" s="15"/>
      <c r="B175" s="16"/>
      <c r="C175" s="16"/>
      <c r="D175" s="21" t="str">
        <f aca="false">IF(A175="","",IF(SUMPRODUCT(--(SUBSTITUTE(SUBSTITUTE(決算精算表!$D$9:$D$46," ",""),"　","")=SUBSTITUTE(SUBSTITUTE(A175," ",""),"　","")))=0,"× 精算表に科目なし","○"))</f>
        <v/>
      </c>
    </row>
    <row r="176" customFormat="false" ht="15" hidden="false" customHeight="false" outlineLevel="0" collapsed="false">
      <c r="A176" s="15"/>
      <c r="B176" s="16"/>
      <c r="C176" s="16"/>
      <c r="D176" s="21" t="str">
        <f aca="false">IF(A176="","",IF(SUMPRODUCT(--(SUBSTITUTE(SUBSTITUTE(決算精算表!$D$9:$D$46," ",""),"　","")=SUBSTITUTE(SUBSTITUTE(A176," ",""),"　","")))=0,"× 精算表に科目なし","○"))</f>
        <v/>
      </c>
    </row>
    <row r="177" customFormat="false" ht="15" hidden="false" customHeight="false" outlineLevel="0" collapsed="false">
      <c r="A177" s="15"/>
      <c r="B177" s="16"/>
      <c r="C177" s="16"/>
      <c r="D177" s="21" t="str">
        <f aca="false">IF(A177="","",IF(SUMPRODUCT(--(SUBSTITUTE(SUBSTITUTE(決算精算表!$D$9:$D$46," ",""),"　","")=SUBSTITUTE(SUBSTITUTE(A177," ",""),"　","")))=0,"× 精算表に科目なし","○"))</f>
        <v/>
      </c>
    </row>
    <row r="178" customFormat="false" ht="15" hidden="false" customHeight="false" outlineLevel="0" collapsed="false">
      <c r="A178" s="15"/>
      <c r="B178" s="16"/>
      <c r="C178" s="16"/>
      <c r="D178" s="21" t="str">
        <f aca="false">IF(A178="","",IF(SUMPRODUCT(--(SUBSTITUTE(SUBSTITUTE(決算精算表!$D$9:$D$46," ",""),"　","")=SUBSTITUTE(SUBSTITUTE(A178," ",""),"　","")))=0,"× 精算表に科目なし","○"))</f>
        <v/>
      </c>
    </row>
    <row r="179" customFormat="false" ht="15" hidden="false" customHeight="false" outlineLevel="0" collapsed="false">
      <c r="A179" s="15"/>
      <c r="B179" s="16"/>
      <c r="C179" s="16"/>
      <c r="D179" s="21" t="str">
        <f aca="false">IF(A179="","",IF(SUMPRODUCT(--(SUBSTITUTE(SUBSTITUTE(決算精算表!$D$9:$D$46," ",""),"　","")=SUBSTITUTE(SUBSTITUTE(A179," ",""),"　","")))=0,"× 精算表に科目なし","○"))</f>
        <v/>
      </c>
    </row>
    <row r="180" customFormat="false" ht="15" hidden="false" customHeight="false" outlineLevel="0" collapsed="false">
      <c r="A180" s="15"/>
      <c r="B180" s="16"/>
      <c r="C180" s="16"/>
      <c r="D180" s="21" t="str">
        <f aca="false">IF(A180="","",IF(SUMPRODUCT(--(SUBSTITUTE(SUBSTITUTE(決算精算表!$D$9:$D$46," ",""),"　","")=SUBSTITUTE(SUBSTITUTE(A180," ",""),"　","")))=0,"× 精算表に科目なし","○"))</f>
        <v/>
      </c>
    </row>
    <row r="181" customFormat="false" ht="15" hidden="false" customHeight="false" outlineLevel="0" collapsed="false">
      <c r="A181" s="15"/>
      <c r="B181" s="16"/>
      <c r="C181" s="16"/>
      <c r="D181" s="21" t="str">
        <f aca="false">IF(A181="","",IF(SUMPRODUCT(--(SUBSTITUTE(SUBSTITUTE(決算精算表!$D$9:$D$46," ",""),"　","")=SUBSTITUTE(SUBSTITUTE(A181," ",""),"　","")))=0,"× 精算表に科目なし","○"))</f>
        <v/>
      </c>
    </row>
    <row r="182" customFormat="false" ht="15" hidden="false" customHeight="false" outlineLevel="0" collapsed="false">
      <c r="A182" s="15"/>
      <c r="B182" s="16"/>
      <c r="C182" s="16"/>
      <c r="D182" s="21" t="str">
        <f aca="false">IF(A182="","",IF(SUMPRODUCT(--(SUBSTITUTE(SUBSTITUTE(決算精算表!$D$9:$D$46," ",""),"　","")=SUBSTITUTE(SUBSTITUTE(A182," ",""),"　","")))=0,"× 精算表に科目なし","○"))</f>
        <v/>
      </c>
    </row>
    <row r="183" customFormat="false" ht="15" hidden="false" customHeight="false" outlineLevel="0" collapsed="false">
      <c r="A183" s="15"/>
      <c r="B183" s="16"/>
      <c r="C183" s="16"/>
      <c r="D183" s="21" t="str">
        <f aca="false">IF(A183="","",IF(SUMPRODUCT(--(SUBSTITUTE(SUBSTITUTE(決算精算表!$D$9:$D$46," ",""),"　","")=SUBSTITUTE(SUBSTITUTE(A183," ",""),"　","")))=0,"× 精算表に科目なし","○"))</f>
        <v/>
      </c>
    </row>
    <row r="184" customFormat="false" ht="15" hidden="false" customHeight="false" outlineLevel="0" collapsed="false">
      <c r="A184" s="15"/>
      <c r="B184" s="16"/>
      <c r="C184" s="16"/>
      <c r="D184" s="21" t="str">
        <f aca="false">IF(A184="","",IF(SUMPRODUCT(--(SUBSTITUTE(SUBSTITUTE(決算精算表!$D$9:$D$46," ",""),"　","")=SUBSTITUTE(SUBSTITUTE(A184," ",""),"　","")))=0,"× 精算表に科目なし","○"))</f>
        <v/>
      </c>
    </row>
    <row r="185" customFormat="false" ht="15" hidden="false" customHeight="false" outlineLevel="0" collapsed="false">
      <c r="A185" s="15"/>
      <c r="B185" s="16"/>
      <c r="C185" s="16"/>
      <c r="D185" s="21" t="str">
        <f aca="false">IF(A185="","",IF(SUMPRODUCT(--(SUBSTITUTE(SUBSTITUTE(決算精算表!$D$9:$D$46," ",""),"　","")=SUBSTITUTE(SUBSTITUTE(A185," ",""),"　","")))=0,"× 精算表に科目なし","○"))</f>
        <v/>
      </c>
    </row>
    <row r="186" customFormat="false" ht="15" hidden="false" customHeight="false" outlineLevel="0" collapsed="false">
      <c r="A186" s="15"/>
      <c r="B186" s="16"/>
      <c r="C186" s="16"/>
      <c r="D186" s="21" t="str">
        <f aca="false">IF(A186="","",IF(SUMPRODUCT(--(SUBSTITUTE(SUBSTITUTE(決算精算表!$D$9:$D$46," ",""),"　","")=SUBSTITUTE(SUBSTITUTE(A186," ",""),"　","")))=0,"× 精算表に科目なし","○"))</f>
        <v/>
      </c>
    </row>
    <row r="187" customFormat="false" ht="15" hidden="false" customHeight="false" outlineLevel="0" collapsed="false">
      <c r="A187" s="15"/>
      <c r="B187" s="16"/>
      <c r="C187" s="16"/>
      <c r="D187" s="21" t="str">
        <f aca="false">IF(A187="","",IF(SUMPRODUCT(--(SUBSTITUTE(SUBSTITUTE(決算精算表!$D$9:$D$46," ",""),"　","")=SUBSTITUTE(SUBSTITUTE(A187," ",""),"　","")))=0,"× 精算表に科目なし","○"))</f>
        <v/>
      </c>
    </row>
    <row r="188" customFormat="false" ht="15" hidden="false" customHeight="false" outlineLevel="0" collapsed="false">
      <c r="A188" s="15"/>
      <c r="B188" s="16"/>
      <c r="C188" s="16"/>
      <c r="D188" s="21" t="str">
        <f aca="false">IF(A188="","",IF(SUMPRODUCT(--(SUBSTITUTE(SUBSTITUTE(決算精算表!$D$9:$D$46," ",""),"　","")=SUBSTITUTE(SUBSTITUTE(A188," ",""),"　","")))=0,"× 精算表に科目なし","○"))</f>
        <v/>
      </c>
    </row>
    <row r="189" customFormat="false" ht="15" hidden="false" customHeight="false" outlineLevel="0" collapsed="false">
      <c r="A189" s="15"/>
      <c r="B189" s="16"/>
      <c r="C189" s="16"/>
      <c r="D189" s="21" t="str">
        <f aca="false">IF(A189="","",IF(SUMPRODUCT(--(SUBSTITUTE(SUBSTITUTE(決算精算表!$D$9:$D$46," ",""),"　","")=SUBSTITUTE(SUBSTITUTE(A189," ",""),"　","")))=0,"× 精算表に科目なし","○"))</f>
        <v/>
      </c>
    </row>
    <row r="190" customFormat="false" ht="15" hidden="false" customHeight="false" outlineLevel="0" collapsed="false">
      <c r="A190" s="15"/>
      <c r="B190" s="16"/>
      <c r="C190" s="16"/>
      <c r="D190" s="21" t="str">
        <f aca="false">IF(A190="","",IF(SUMPRODUCT(--(SUBSTITUTE(SUBSTITUTE(決算精算表!$D$9:$D$46," ",""),"　","")=SUBSTITUTE(SUBSTITUTE(A190," ",""),"　","")))=0,"× 精算表に科目なし","○"))</f>
        <v/>
      </c>
    </row>
    <row r="191" customFormat="false" ht="15" hidden="false" customHeight="false" outlineLevel="0" collapsed="false">
      <c r="A191" s="15"/>
      <c r="B191" s="16"/>
      <c r="C191" s="16"/>
      <c r="D191" s="21" t="str">
        <f aca="false">IF(A191="","",IF(SUMPRODUCT(--(SUBSTITUTE(SUBSTITUTE(決算精算表!$D$9:$D$46," ",""),"　","")=SUBSTITUTE(SUBSTITUTE(A191," ",""),"　","")))=0,"× 精算表に科目なし","○"))</f>
        <v/>
      </c>
    </row>
    <row r="192" customFormat="false" ht="15" hidden="false" customHeight="false" outlineLevel="0" collapsed="false">
      <c r="A192" s="15"/>
      <c r="B192" s="16"/>
      <c r="C192" s="16"/>
      <c r="D192" s="21" t="str">
        <f aca="false">IF(A192="","",IF(SUMPRODUCT(--(SUBSTITUTE(SUBSTITUTE(決算精算表!$D$9:$D$46," ",""),"　","")=SUBSTITUTE(SUBSTITUTE(A192," ",""),"　","")))=0,"× 精算表に科目なし","○"))</f>
        <v/>
      </c>
    </row>
    <row r="193" customFormat="false" ht="15" hidden="false" customHeight="false" outlineLevel="0" collapsed="false">
      <c r="A193" s="15"/>
      <c r="B193" s="16"/>
      <c r="C193" s="16"/>
      <c r="D193" s="21" t="str">
        <f aca="false">IF(A193="","",IF(SUMPRODUCT(--(SUBSTITUTE(SUBSTITUTE(決算精算表!$D$9:$D$46," ",""),"　","")=SUBSTITUTE(SUBSTITUTE(A193," ",""),"　","")))=0,"× 精算表に科目なし","○"))</f>
        <v/>
      </c>
    </row>
    <row r="194" customFormat="false" ht="15" hidden="false" customHeight="false" outlineLevel="0" collapsed="false">
      <c r="A194" s="15"/>
      <c r="B194" s="16"/>
      <c r="C194" s="16"/>
      <c r="D194" s="21" t="str">
        <f aca="false">IF(A194="","",IF(SUMPRODUCT(--(SUBSTITUTE(SUBSTITUTE(決算精算表!$D$9:$D$46," ",""),"　","")=SUBSTITUTE(SUBSTITUTE(A194," ",""),"　","")))=0,"× 精算表に科目なし","○"))</f>
        <v/>
      </c>
    </row>
    <row r="195" customFormat="false" ht="15" hidden="false" customHeight="false" outlineLevel="0" collapsed="false">
      <c r="A195" s="15"/>
      <c r="B195" s="16"/>
      <c r="C195" s="16"/>
      <c r="D195" s="21" t="str">
        <f aca="false">IF(A195="","",IF(SUMPRODUCT(--(SUBSTITUTE(SUBSTITUTE(決算精算表!$D$9:$D$46," ",""),"　","")=SUBSTITUTE(SUBSTITUTE(A195," ",""),"　","")))=0,"× 精算表に科目なし","○"))</f>
        <v/>
      </c>
    </row>
    <row r="196" customFormat="false" ht="15" hidden="false" customHeight="false" outlineLevel="0" collapsed="false">
      <c r="A196" s="15"/>
      <c r="B196" s="16"/>
      <c r="C196" s="16"/>
      <c r="D196" s="21" t="str">
        <f aca="false">IF(A196="","",IF(SUMPRODUCT(--(SUBSTITUTE(SUBSTITUTE(決算精算表!$D$9:$D$46," ",""),"　","")=SUBSTITUTE(SUBSTITUTE(A196," ",""),"　","")))=0,"× 精算表に科目なし","○"))</f>
        <v/>
      </c>
    </row>
    <row r="197" customFormat="false" ht="15" hidden="false" customHeight="false" outlineLevel="0" collapsed="false">
      <c r="A197" s="15"/>
      <c r="B197" s="16"/>
      <c r="C197" s="16"/>
      <c r="D197" s="21" t="str">
        <f aca="false">IF(A197="","",IF(SUMPRODUCT(--(SUBSTITUTE(SUBSTITUTE(決算精算表!$D$9:$D$46," ",""),"　","")=SUBSTITUTE(SUBSTITUTE(A197," ",""),"　","")))=0,"× 精算表に科目なし","○"))</f>
        <v/>
      </c>
    </row>
    <row r="198" customFormat="false" ht="15" hidden="false" customHeight="false" outlineLevel="0" collapsed="false">
      <c r="A198" s="15"/>
      <c r="B198" s="16"/>
      <c r="C198" s="16"/>
      <c r="D198" s="21" t="str">
        <f aca="false">IF(A198="","",IF(SUMPRODUCT(--(SUBSTITUTE(SUBSTITUTE(決算精算表!$D$9:$D$46," ",""),"　","")=SUBSTITUTE(SUBSTITUTE(A198," ",""),"　","")))=0,"× 精算表に科目なし","○"))</f>
        <v/>
      </c>
    </row>
    <row r="199" customFormat="false" ht="15" hidden="false" customHeight="false" outlineLevel="0" collapsed="false">
      <c r="A199" s="15"/>
      <c r="B199" s="16"/>
      <c r="C199" s="16"/>
      <c r="D199" s="21" t="str">
        <f aca="false">IF(A199="","",IF(SUMPRODUCT(--(SUBSTITUTE(SUBSTITUTE(決算精算表!$D$9:$D$46," ",""),"　","")=SUBSTITUTE(SUBSTITUTE(A199," ",""),"　","")))=0,"× 精算表に科目なし","○"))</f>
        <v/>
      </c>
    </row>
    <row r="200" customFormat="false" ht="15" hidden="false" customHeight="false" outlineLevel="0" collapsed="false">
      <c r="A200" s="15"/>
      <c r="B200" s="16"/>
      <c r="C200" s="16"/>
      <c r="D200" s="21" t="str">
        <f aca="false">IF(A200="","",IF(SUMPRODUCT(--(SUBSTITUTE(SUBSTITUTE(決算精算表!$D$9:$D$46," ",""),"　","")=SUBSTITUTE(SUBSTITUTE(A200," ",""),"　","")))=0,"× 精算表に科目なし","○"))</f>
        <v/>
      </c>
    </row>
    <row r="201" customFormat="false" ht="15" hidden="false" customHeight="false" outlineLevel="0" collapsed="false">
      <c r="A201" s="15"/>
      <c r="B201" s="16"/>
      <c r="C201" s="16"/>
      <c r="D201" s="21" t="str">
        <f aca="false">IF(A201="","",IF(SUMPRODUCT(--(SUBSTITUTE(SUBSTITUTE(決算精算表!$D$9:$D$46," ",""),"　","")=SUBSTITUTE(SUBSTITUTE(A201," ",""),"　","")))=0,"× 精算表に科目なし","○"))</f>
        <v/>
      </c>
    </row>
    <row r="202" customFormat="false" ht="15" hidden="false" customHeight="false" outlineLevel="0" collapsed="false">
      <c r="A202" s="15"/>
      <c r="B202" s="16"/>
      <c r="C202" s="16"/>
      <c r="D202" s="21" t="str">
        <f aca="false">IF(A202="","",IF(SUMPRODUCT(--(SUBSTITUTE(SUBSTITUTE(決算精算表!$D$9:$D$46," ",""),"　","")=SUBSTITUTE(SUBSTITUTE(A202," ",""),"　","")))=0,"× 精算表に科目なし","○"))</f>
        <v/>
      </c>
    </row>
    <row r="203" customFormat="false" ht="15" hidden="false" customHeight="false" outlineLevel="0" collapsed="false">
      <c r="A203" s="15"/>
      <c r="B203" s="16"/>
      <c r="C203" s="16"/>
      <c r="D203" s="21" t="str">
        <f aca="false">IF(A203="","",IF(SUMPRODUCT(--(SUBSTITUTE(SUBSTITUTE(決算精算表!$D$9:$D$46," ",""),"　","")=SUBSTITUTE(SUBSTITUTE(A203," ",""),"　","")))=0,"× 精算表に科目なし","○"))</f>
        <v/>
      </c>
    </row>
    <row r="204" customFormat="false" ht="15" hidden="false" customHeight="false" outlineLevel="0" collapsed="false">
      <c r="A204" s="15"/>
      <c r="B204" s="16"/>
      <c r="C204" s="16"/>
      <c r="D204" s="21" t="str">
        <f aca="false">IF(A204="","",IF(SUMPRODUCT(--(SUBSTITUTE(SUBSTITUTE(決算精算表!$D$9:$D$46," ",""),"　","")=SUBSTITUTE(SUBSTITUTE(A204," ",""),"　","")))=0,"× 精算表に科目なし","○"))</f>
        <v/>
      </c>
    </row>
    <row r="205" customFormat="false" ht="15" hidden="false" customHeight="false" outlineLevel="0" collapsed="false">
      <c r="A205" s="15"/>
      <c r="B205" s="16"/>
      <c r="C205" s="16"/>
      <c r="D205" s="21" t="str">
        <f aca="false">IF(A205="","",IF(SUMPRODUCT(--(SUBSTITUTE(SUBSTITUTE(決算精算表!$D$9:$D$46," ",""),"　","")=SUBSTITUTE(SUBSTITUTE(A205," ",""),"　","")))=0,"× 精算表に科目なし","○"))</f>
        <v/>
      </c>
    </row>
    <row r="206" customFormat="false" ht="15" hidden="false" customHeight="false" outlineLevel="0" collapsed="false">
      <c r="A206" s="15"/>
      <c r="B206" s="16"/>
      <c r="C206" s="16"/>
      <c r="D206" s="21" t="str">
        <f aca="false">IF(A206="","",IF(SUMPRODUCT(--(SUBSTITUTE(SUBSTITUTE(決算精算表!$D$9:$D$46," ",""),"　","")=SUBSTITUTE(SUBSTITUTE(A206," ",""),"　","")))=0,"× 精算表に科目なし","○"))</f>
        <v/>
      </c>
    </row>
    <row r="207" customFormat="false" ht="15" hidden="false" customHeight="false" outlineLevel="0" collapsed="false">
      <c r="A207" s="15"/>
      <c r="B207" s="16"/>
      <c r="C207" s="16"/>
      <c r="D207" s="21" t="str">
        <f aca="false">IF(A207="","",IF(SUMPRODUCT(--(SUBSTITUTE(SUBSTITUTE(決算精算表!$D$9:$D$46," ",""),"　","")=SUBSTITUTE(SUBSTITUTE(A207," ",""),"　","")))=0,"× 精算表に科目なし","○"))</f>
        <v/>
      </c>
    </row>
    <row r="208" customFormat="false" ht="15" hidden="false" customHeight="false" outlineLevel="0" collapsed="false">
      <c r="A208" s="15"/>
      <c r="B208" s="16"/>
      <c r="C208" s="16"/>
      <c r="D208" s="21" t="str">
        <f aca="false">IF(A208="","",IF(SUMPRODUCT(--(SUBSTITUTE(SUBSTITUTE(決算精算表!$D$9:$D$46," ",""),"　","")=SUBSTITUTE(SUBSTITUTE(A208," ",""),"　","")))=0,"× 精算表に科目なし","○"))</f>
        <v/>
      </c>
    </row>
    <row r="209" customFormat="false" ht="15" hidden="false" customHeight="false" outlineLevel="0" collapsed="false">
      <c r="A209" s="15"/>
      <c r="B209" s="16"/>
      <c r="C209" s="16"/>
      <c r="D209" s="21" t="str">
        <f aca="false">IF(A209="","",IF(SUMPRODUCT(--(SUBSTITUTE(SUBSTITUTE(決算精算表!$D$9:$D$46," ",""),"　","")=SUBSTITUTE(SUBSTITUTE(A209," ",""),"　","")))=0,"× 精算表に科目なし","○"))</f>
        <v/>
      </c>
    </row>
    <row r="210" customFormat="false" ht="15" hidden="false" customHeight="false" outlineLevel="0" collapsed="false">
      <c r="A210" s="15"/>
      <c r="B210" s="16"/>
      <c r="C210" s="16"/>
      <c r="D210" s="21" t="str">
        <f aca="false">IF(A210="","",IF(SUMPRODUCT(--(SUBSTITUTE(SUBSTITUTE(決算精算表!$D$9:$D$46," ",""),"　","")=SUBSTITUTE(SUBSTITUTE(A210," ",""),"　","")))=0,"× 精算表に科目なし","○"))</f>
        <v/>
      </c>
    </row>
    <row r="211" customFormat="false" ht="15" hidden="false" customHeight="false" outlineLevel="0" collapsed="false">
      <c r="A211" s="15"/>
      <c r="B211" s="16"/>
      <c r="C211" s="16"/>
      <c r="D211" s="21" t="str">
        <f aca="false">IF(A211="","",IF(SUMPRODUCT(--(SUBSTITUTE(SUBSTITUTE(決算精算表!$D$9:$D$46," ",""),"　","")=SUBSTITUTE(SUBSTITUTE(A211," ",""),"　","")))=0,"× 精算表に科目なし","○"))</f>
        <v/>
      </c>
    </row>
    <row r="212" customFormat="false" ht="15" hidden="false" customHeight="false" outlineLevel="0" collapsed="false">
      <c r="A212" s="15"/>
      <c r="B212" s="16"/>
      <c r="C212" s="16"/>
      <c r="D212" s="21" t="str">
        <f aca="false">IF(A212="","",IF(SUMPRODUCT(--(SUBSTITUTE(SUBSTITUTE(決算精算表!$D$9:$D$46," ",""),"　","")=SUBSTITUTE(SUBSTITUTE(A212," ",""),"　","")))=0,"× 精算表に科目なし","○"))</f>
        <v/>
      </c>
    </row>
    <row r="213" customFormat="false" ht="15" hidden="false" customHeight="false" outlineLevel="0" collapsed="false">
      <c r="A213" s="15"/>
      <c r="B213" s="16"/>
      <c r="C213" s="16"/>
      <c r="D213" s="21" t="str">
        <f aca="false">IF(A213="","",IF(SUMPRODUCT(--(SUBSTITUTE(SUBSTITUTE(決算精算表!$D$9:$D$46," ",""),"　","")=SUBSTITUTE(SUBSTITUTE(A213," ",""),"　","")))=0,"× 精算表に科目なし","○"))</f>
        <v/>
      </c>
    </row>
    <row r="214" customFormat="false" ht="15" hidden="false" customHeight="false" outlineLevel="0" collapsed="false">
      <c r="A214" s="15"/>
      <c r="B214" s="16"/>
      <c r="C214" s="16"/>
      <c r="D214" s="21" t="str">
        <f aca="false">IF(A214="","",IF(SUMPRODUCT(--(SUBSTITUTE(SUBSTITUTE(決算精算表!$D$9:$D$46," ",""),"　","")=SUBSTITUTE(SUBSTITUTE(A214," ",""),"　","")))=0,"× 精算表に科目なし","○"))</f>
        <v/>
      </c>
    </row>
    <row r="215" customFormat="false" ht="15" hidden="false" customHeight="false" outlineLevel="0" collapsed="false">
      <c r="A215" s="15"/>
      <c r="B215" s="16"/>
      <c r="C215" s="16"/>
      <c r="D215" s="21" t="str">
        <f aca="false">IF(A215="","",IF(SUMPRODUCT(--(SUBSTITUTE(SUBSTITUTE(決算精算表!$D$9:$D$46," ",""),"　","")=SUBSTITUTE(SUBSTITUTE(A215," ",""),"　","")))=0,"× 精算表に科目なし","○"))</f>
        <v/>
      </c>
    </row>
    <row r="216" customFormat="false" ht="15" hidden="false" customHeight="false" outlineLevel="0" collapsed="false">
      <c r="A216" s="15"/>
      <c r="B216" s="16"/>
      <c r="C216" s="16"/>
      <c r="D216" s="21" t="str">
        <f aca="false">IF(A216="","",IF(SUMPRODUCT(--(SUBSTITUTE(SUBSTITUTE(決算精算表!$D$9:$D$46," ",""),"　","")=SUBSTITUTE(SUBSTITUTE(A216," ",""),"　","")))=0,"× 精算表に科目なし","○"))</f>
        <v/>
      </c>
    </row>
    <row r="217" customFormat="false" ht="15" hidden="false" customHeight="false" outlineLevel="0" collapsed="false">
      <c r="A217" s="15"/>
      <c r="B217" s="16"/>
      <c r="C217" s="16"/>
      <c r="D217" s="21" t="str">
        <f aca="false">IF(A217="","",IF(SUMPRODUCT(--(SUBSTITUTE(SUBSTITUTE(決算精算表!$D$9:$D$46," ",""),"　","")=SUBSTITUTE(SUBSTITUTE(A217," ",""),"　","")))=0,"× 精算表に科目なし","○"))</f>
        <v/>
      </c>
    </row>
    <row r="218" customFormat="false" ht="15" hidden="false" customHeight="false" outlineLevel="0" collapsed="false">
      <c r="A218" s="15"/>
      <c r="B218" s="16"/>
      <c r="C218" s="16"/>
      <c r="D218" s="21" t="str">
        <f aca="false">IF(A218="","",IF(SUMPRODUCT(--(SUBSTITUTE(SUBSTITUTE(決算精算表!$D$9:$D$46," ",""),"　","")=SUBSTITUTE(SUBSTITUTE(A218," ",""),"　","")))=0,"× 精算表に科目なし","○"))</f>
        <v/>
      </c>
    </row>
    <row r="219" customFormat="false" ht="15" hidden="false" customHeight="false" outlineLevel="0" collapsed="false">
      <c r="A219" s="15"/>
      <c r="B219" s="16"/>
      <c r="C219" s="16"/>
      <c r="D219" s="21" t="str">
        <f aca="false">IF(A219="","",IF(SUMPRODUCT(--(SUBSTITUTE(SUBSTITUTE(決算精算表!$D$9:$D$46," ",""),"　","")=SUBSTITUTE(SUBSTITUTE(A219," ",""),"　","")))=0,"× 精算表に科目なし","○"))</f>
        <v/>
      </c>
    </row>
  </sheetData>
  <sheetProtection sheet="true" formatCells="false" formatColumns="false" formatRows="false" sort="false" autoFilter="false"/>
  <conditionalFormatting sqref="A20:D219">
    <cfRule type="expression" priority="2" aboveAverage="0" equalAverage="0" bottom="0" percent="0" rank="0" text="" dxfId="0">
      <formula>LEFT($D20,1)="×"</formula>
    </cfRule>
  </conditionalFormatting>
  <dataValidations count="3">
    <dataValidation allowBlank="false" error="令和の年度を1〜99の整数で入力してください。" errorStyle="stop" errorTitle="会計年度" operator="between" showDropDown="false" showErrorMessage="true" showInputMessage="false" sqref="B5" type="whole">
      <formula1>1</formula1>
      <formula2>99</formula2>
    </dataValidation>
    <dataValidation allowBlank="true" error="0以上の数値を入力してください。" errorStyle="warning" errorTitle="入力値" operator="greaterThanOrEqual" showDropDown="false" showErrorMessage="true" showInputMessage="false" sqref="B11:B14" type="decimal">
      <formula1>0</formula1>
      <formula2>0</formula2>
    </dataValidation>
    <dataValidation allowBlank="true" error="金額は数値で入力してください（文字や「,」付き文字列は取り込まれません）。" errorStyle="warning" errorTitle="金額" operator="between" showDropDown="false" showErrorMessage="true" showInputMessage="false" sqref="B20:C219" type="decimal">
      <formula1>-100000000000000</formula1>
      <formula2>100000000000000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5"/>
    <col collapsed="false" customWidth="true" hidden="false" outlineLevel="0" max="2" min="2" style="0" width="54"/>
    <col collapsed="false" customWidth="true" hidden="false" outlineLevel="0" max="4" min="3" style="0" width="18"/>
    <col collapsed="false" customWidth="true" hidden="false" outlineLevel="0" max="5" min="5" style="0" width="14"/>
    <col collapsed="false" customWidth="true" hidden="false" outlineLevel="0" max="6" min="6" style="0" width="10"/>
  </cols>
  <sheetData>
    <row r="1" customFormat="false" ht="17.35" hidden="false" customHeight="false" outlineLevel="0" collapsed="false">
      <c r="A1" s="1" t="s">
        <v>97</v>
      </c>
    </row>
    <row r="3" customFormat="false" ht="17.15" hidden="false" customHeight="false" outlineLevel="0" collapsed="false">
      <c r="B3" s="3" t="str">
        <f aca="false">IF(COUNTIF(F5:F27,"NG")=0,"✔ すべてOK（23項目）","✖ NGが "&amp;COUNTIF(F5:F27,"NG")&amp;" 件あります。差を確認してください")</f>
        <v>✔ すべてOK（23項目）</v>
      </c>
    </row>
    <row r="4" customFormat="false" ht="15" hidden="false" customHeight="false" outlineLevel="0" collapsed="false">
      <c r="A4" s="22" t="s">
        <v>98</v>
      </c>
      <c r="B4" s="23" t="s">
        <v>99</v>
      </c>
      <c r="C4" s="23" t="s">
        <v>100</v>
      </c>
      <c r="D4" s="23" t="s">
        <v>101</v>
      </c>
      <c r="E4" s="23" t="s">
        <v>102</v>
      </c>
      <c r="F4" s="23" t="s">
        <v>103</v>
      </c>
    </row>
    <row r="5" customFormat="false" ht="26.85" hidden="false" customHeight="false" outlineLevel="0" collapsed="false">
      <c r="A5" s="24" t="n">
        <v>1</v>
      </c>
      <c r="B5" s="25" t="s">
        <v>104</v>
      </c>
      <c r="C5" s="26" t="n">
        <f aca="false">入力!B17</f>
        <v>189744039</v>
      </c>
      <c r="D5" s="26" t="n">
        <f aca="false">決算精算表!C48</f>
        <v>189744039</v>
      </c>
      <c r="E5" s="26" t="n">
        <f aca="false">C5-D5</f>
        <v>0</v>
      </c>
      <c r="F5" s="24" t="str">
        <f aca="false">IF(E5=0,"OK","NG")</f>
        <v>OK</v>
      </c>
    </row>
    <row r="6" customFormat="false" ht="15" hidden="false" customHeight="false" outlineLevel="0" collapsed="false">
      <c r="A6" s="24" t="n">
        <v>2</v>
      </c>
      <c r="B6" s="25" t="s">
        <v>105</v>
      </c>
      <c r="C6" s="26" t="n">
        <f aca="false">入力!C17</f>
        <v>189744039</v>
      </c>
      <c r="D6" s="26" t="n">
        <f aca="false">決算精算表!E48</f>
        <v>189744039</v>
      </c>
      <c r="E6" s="26" t="n">
        <f aca="false">C6-D6</f>
        <v>0</v>
      </c>
      <c r="F6" s="24" t="str">
        <f aca="false">IF(E6=0,"OK","NG")</f>
        <v>OK</v>
      </c>
    </row>
    <row r="7" customFormat="false" ht="15" hidden="false" customHeight="false" outlineLevel="0" collapsed="false">
      <c r="A7" s="24" t="n">
        <v>3</v>
      </c>
      <c r="B7" s="25" t="s">
        <v>106</v>
      </c>
      <c r="C7" s="26" t="n">
        <f aca="false">決算精算表!A48</f>
        <v>209902719</v>
      </c>
      <c r="D7" s="26" t="n">
        <f aca="false">決算精算表!G48</f>
        <v>209902719</v>
      </c>
      <c r="E7" s="26" t="n">
        <f aca="false">C7-D7</f>
        <v>0</v>
      </c>
      <c r="F7" s="24" t="str">
        <f aca="false">IF(E7=0,"OK","NG")</f>
        <v>OK</v>
      </c>
    </row>
    <row r="8" customFormat="false" ht="15" hidden="false" customHeight="false" outlineLevel="0" collapsed="false">
      <c r="A8" s="24" t="n">
        <v>4</v>
      </c>
      <c r="B8" s="25" t="s">
        <v>107</v>
      </c>
      <c r="C8" s="26" t="n">
        <f aca="false">財務諸表!D25</f>
        <v>85175250</v>
      </c>
      <c r="D8" s="26" t="n">
        <f aca="false">財務諸表!H25</f>
        <v>85175250</v>
      </c>
      <c r="E8" s="26" t="n">
        <f aca="false">C8-D8</f>
        <v>0</v>
      </c>
      <c r="F8" s="24" t="str">
        <f aca="false">IF(E8=0,"OK","NG")</f>
        <v>OK</v>
      </c>
    </row>
    <row r="9" customFormat="false" ht="15" hidden="false" customHeight="false" outlineLevel="0" collapsed="false">
      <c r="A9" s="24" t="n">
        <v>5</v>
      </c>
      <c r="B9" s="25" t="s">
        <v>108</v>
      </c>
      <c r="C9" s="26" t="n">
        <f aca="false">財務諸表!D59</f>
        <v>124727469</v>
      </c>
      <c r="D9" s="26" t="n">
        <f aca="false">財務諸表!H59</f>
        <v>124727469</v>
      </c>
      <c r="E9" s="26" t="n">
        <f aca="false">C9-D9</f>
        <v>0</v>
      </c>
      <c r="F9" s="24" t="str">
        <f aca="false">IF(E9=0,"OK","NG")</f>
        <v>OK</v>
      </c>
    </row>
    <row r="10" customFormat="false" ht="15" hidden="false" customHeight="false" outlineLevel="0" collapsed="false">
      <c r="A10" s="24" t="n">
        <v>6</v>
      </c>
      <c r="B10" s="25" t="s">
        <v>109</v>
      </c>
      <c r="C10" s="26" t="n">
        <f aca="false">財務諸表!D25</f>
        <v>85175250</v>
      </c>
      <c r="D10" s="26" t="n">
        <f aca="false">決算精算表!A20</f>
        <v>85175250</v>
      </c>
      <c r="E10" s="26" t="n">
        <f aca="false">C10-D10</f>
        <v>0</v>
      </c>
      <c r="F10" s="24" t="str">
        <f aca="false">IF(E10=0,"OK","NG")</f>
        <v>OK</v>
      </c>
    </row>
    <row r="11" customFormat="false" ht="15" hidden="false" customHeight="false" outlineLevel="0" collapsed="false">
      <c r="A11" s="24" t="n">
        <v>7</v>
      </c>
      <c r="B11" s="25" t="s">
        <v>110</v>
      </c>
      <c r="C11" s="26" t="n">
        <f aca="false">財務諸表!D36+財務諸表!D53</f>
        <v>121123959</v>
      </c>
      <c r="D11" s="26" t="n">
        <f aca="false">SUM(決算精算表!A21:A37)</f>
        <v>121123959</v>
      </c>
      <c r="E11" s="26" t="n">
        <f aca="false">C11-D11</f>
        <v>0</v>
      </c>
      <c r="F11" s="24" t="str">
        <f aca="false">IF(E11=0,"OK","NG")</f>
        <v>OK</v>
      </c>
    </row>
    <row r="12" customFormat="false" ht="15" hidden="false" customHeight="false" outlineLevel="0" collapsed="false">
      <c r="A12" s="24" t="n">
        <v>8</v>
      </c>
      <c r="B12" s="25" t="s">
        <v>111</v>
      </c>
      <c r="C12" s="26" t="n">
        <f aca="false">財務諸表!H36+財務諸表!H46+財務諸表!H49</f>
        <v>124727469</v>
      </c>
      <c r="D12" s="26" t="n">
        <f aca="false">SUM(決算精算表!G39:G45)</f>
        <v>124727469</v>
      </c>
      <c r="E12" s="26" t="n">
        <f aca="false">C12-D12</f>
        <v>0</v>
      </c>
      <c r="F12" s="24" t="str">
        <f aca="false">IF(E12=0,"OK","NG")</f>
        <v>OK</v>
      </c>
    </row>
    <row r="13" customFormat="false" ht="15" hidden="false" customHeight="false" outlineLevel="0" collapsed="false">
      <c r="A13" s="24" t="n">
        <v>9</v>
      </c>
      <c r="B13" s="25" t="s">
        <v>112</v>
      </c>
      <c r="C13" s="26" t="n">
        <f aca="false">附属明細表!M6</f>
        <v>72939159</v>
      </c>
      <c r="D13" s="26" t="n">
        <f aca="false">決算精算表!A9</f>
        <v>72939159</v>
      </c>
      <c r="E13" s="26" t="n">
        <f aca="false">C13-D13</f>
        <v>0</v>
      </c>
      <c r="F13" s="24" t="str">
        <f aca="false">IF(E13=0,"OK","NG")</f>
        <v>OK</v>
      </c>
    </row>
    <row r="14" customFormat="false" ht="15" hidden="false" customHeight="false" outlineLevel="0" collapsed="false">
      <c r="A14" s="24" t="n">
        <v>10</v>
      </c>
      <c r="B14" s="25" t="s">
        <v>113</v>
      </c>
      <c r="C14" s="26" t="n">
        <f aca="false">附属明細表!G14</f>
        <v>194420</v>
      </c>
      <c r="D14" s="26" t="n">
        <f aca="false">決算精算表!A10</f>
        <v>194420</v>
      </c>
      <c r="E14" s="26" t="n">
        <f aca="false">C14-D14</f>
        <v>0</v>
      </c>
      <c r="F14" s="24" t="str">
        <f aca="false">IF(E14=0,"OK","NG")</f>
        <v>OK</v>
      </c>
    </row>
    <row r="15" customFormat="false" ht="15" hidden="false" customHeight="false" outlineLevel="0" collapsed="false">
      <c r="A15" s="24" t="n">
        <v>11</v>
      </c>
      <c r="B15" s="25" t="s">
        <v>114</v>
      </c>
      <c r="C15" s="26" t="n">
        <f aca="false">附属明細表!G62</f>
        <v>227940</v>
      </c>
      <c r="D15" s="26" t="n">
        <f aca="false">決算精算表!G16</f>
        <v>227940</v>
      </c>
      <c r="E15" s="26" t="n">
        <f aca="false">C15-D15</f>
        <v>0</v>
      </c>
      <c r="F15" s="24" t="str">
        <f aca="false">IF(E15=0,"OK","NG")</f>
        <v>OK</v>
      </c>
    </row>
    <row r="16" customFormat="false" ht="15" hidden="false" customHeight="false" outlineLevel="0" collapsed="false">
      <c r="A16" s="24" t="n">
        <v>12</v>
      </c>
      <c r="B16" s="25" t="s">
        <v>115</v>
      </c>
      <c r="C16" s="26" t="n">
        <f aca="false">附属明細表!G69</f>
        <v>216843</v>
      </c>
      <c r="D16" s="26" t="n">
        <f aca="false">決算精算表!G17</f>
        <v>216843</v>
      </c>
      <c r="E16" s="26" t="n">
        <f aca="false">C16-D16</f>
        <v>0</v>
      </c>
      <c r="F16" s="24" t="str">
        <f aca="false">IF(E16=0,"OK","NG")</f>
        <v>OK</v>
      </c>
    </row>
    <row r="17" customFormat="false" ht="15" hidden="false" customHeight="false" outlineLevel="0" collapsed="false">
      <c r="A17" s="24" t="n">
        <v>13</v>
      </c>
      <c r="B17" s="25" t="s">
        <v>116</v>
      </c>
      <c r="C17" s="26" t="n">
        <f aca="false">附属明細表!S77</f>
        <v>207390</v>
      </c>
      <c r="D17" s="26" t="n">
        <f aca="false">財務諸表!B14</f>
        <v>207390</v>
      </c>
      <c r="E17" s="26" t="n">
        <f aca="false">C17-D17</f>
        <v>0</v>
      </c>
      <c r="F17" s="24" t="str">
        <f aca="false">IF(E17=0,"OK","NG")</f>
        <v>OK</v>
      </c>
    </row>
    <row r="18" customFormat="false" ht="15" hidden="false" customHeight="false" outlineLevel="0" collapsed="false">
      <c r="A18" s="24" t="n">
        <v>14</v>
      </c>
      <c r="B18" s="25" t="s">
        <v>117</v>
      </c>
      <c r="C18" s="26" t="n">
        <f aca="false">附属明細表!Q92</f>
        <v>74697421</v>
      </c>
      <c r="D18" s="26" t="n">
        <f aca="false">財務諸表!F16</f>
        <v>74697421</v>
      </c>
      <c r="E18" s="26" t="n">
        <f aca="false">C18-D18</f>
        <v>0</v>
      </c>
      <c r="F18" s="24" t="str">
        <f aca="false">IF(E18=0,"OK","NG")</f>
        <v>OK</v>
      </c>
    </row>
    <row r="19" customFormat="false" ht="15" hidden="false" customHeight="false" outlineLevel="0" collapsed="false">
      <c r="A19" s="24" t="n">
        <v>15</v>
      </c>
      <c r="B19" s="25" t="s">
        <v>118</v>
      </c>
      <c r="C19" s="26" t="n">
        <f aca="false">附属明細表!Q139</f>
        <v>74697421</v>
      </c>
      <c r="D19" s="26" t="n">
        <f aca="false">財務諸表!F16</f>
        <v>74697421</v>
      </c>
      <c r="E19" s="26" t="n">
        <f aca="false">C19-D19</f>
        <v>0</v>
      </c>
      <c r="F19" s="24" t="str">
        <f aca="false">IF(E19=0,"OK","NG")</f>
        <v>OK</v>
      </c>
    </row>
    <row r="20" customFormat="false" ht="15" hidden="false" customHeight="false" outlineLevel="0" collapsed="false">
      <c r="A20" s="24" t="n">
        <v>16</v>
      </c>
      <c r="B20" s="25" t="s">
        <v>119</v>
      </c>
      <c r="C20" s="26" t="n">
        <f aca="false">業務経理P19!V26</f>
        <v>121123959</v>
      </c>
      <c r="D20" s="26" t="n">
        <f aca="false">SUM(決算精算表!A21:A37)</f>
        <v>121123959</v>
      </c>
      <c r="E20" s="26" t="n">
        <f aca="false">C20-D20</f>
        <v>0</v>
      </c>
      <c r="F20" s="24" t="str">
        <f aca="false">IF(E20=0,"OK","NG")</f>
        <v>OK</v>
      </c>
    </row>
    <row r="21" customFormat="false" ht="15" hidden="false" customHeight="false" outlineLevel="0" collapsed="false">
      <c r="A21" s="24" t="n">
        <v>17</v>
      </c>
      <c r="B21" s="25" t="s">
        <v>120</v>
      </c>
      <c r="C21" s="26" t="n">
        <f aca="false">業務経理P18!V32</f>
        <v>124727469</v>
      </c>
      <c r="D21" s="26" t="n">
        <f aca="false">SUM(決算精算表!G39:G45)</f>
        <v>124727469</v>
      </c>
      <c r="E21" s="26" t="n">
        <f aca="false">C21-D21</f>
        <v>0</v>
      </c>
      <c r="F21" s="24" t="str">
        <f aca="false">IF(E21=0,"OK","NG")</f>
        <v>OK</v>
      </c>
    </row>
    <row r="22" customFormat="false" ht="15" hidden="false" customHeight="false" outlineLevel="0" collapsed="false">
      <c r="A22" s="24" t="n">
        <v>18</v>
      </c>
      <c r="B22" s="25" t="s">
        <v>121</v>
      </c>
      <c r="C22" s="26" t="n">
        <f aca="false">'〇総括　6～7（メモなし）'!K50</f>
        <v>3603510</v>
      </c>
      <c r="D22" s="26" t="n">
        <f aca="false">決算精算表!A38-決算精算表!G46</f>
        <v>3603510</v>
      </c>
      <c r="E22" s="26" t="n">
        <f aca="false">C22-D22</f>
        <v>0</v>
      </c>
      <c r="F22" s="24" t="str">
        <f aca="false">IF(E22=0,"OK","NG")</f>
        <v>OK</v>
      </c>
    </row>
    <row r="23" customFormat="false" ht="15" hidden="false" customHeight="false" outlineLevel="0" collapsed="false">
      <c r="A23" s="24" t="n">
        <v>19</v>
      </c>
      <c r="B23" s="25" t="s">
        <v>122</v>
      </c>
      <c r="C23" s="26" t="n">
        <f aca="false">'〇総括　6～7（メモなし）'!K51</f>
        <v>74697421</v>
      </c>
      <c r="D23" s="26" t="n">
        <f aca="false">財務諸表!F16</f>
        <v>74697421</v>
      </c>
      <c r="E23" s="26" t="n">
        <f aca="false">C23-D23</f>
        <v>0</v>
      </c>
      <c r="F23" s="24" t="str">
        <f aca="false">IF(E23=0,"OK","NG")</f>
        <v>OK</v>
      </c>
    </row>
    <row r="24" customFormat="false" ht="15" hidden="false" customHeight="false" outlineLevel="0" collapsed="false">
      <c r="A24" s="24" t="n">
        <v>20</v>
      </c>
      <c r="B24" s="25" t="s">
        <v>123</v>
      </c>
      <c r="C24" s="26" t="n">
        <f aca="false">'〇総括　6～7（メモなし）'!K6</f>
        <v>71093911</v>
      </c>
      <c r="D24" s="26" t="n">
        <f aca="false">決算精算表!E19</f>
        <v>71093911</v>
      </c>
      <c r="E24" s="26" t="n">
        <f aca="false">C24-D24</f>
        <v>0</v>
      </c>
      <c r="F24" s="24" t="str">
        <f aca="false">IF(E24=0,"OK","NG")</f>
        <v>OK</v>
      </c>
    </row>
    <row r="25" customFormat="false" ht="15" hidden="false" customHeight="false" outlineLevel="0" collapsed="false">
      <c r="A25" s="24" t="n">
        <v>21</v>
      </c>
      <c r="B25" s="25" t="s">
        <v>124</v>
      </c>
      <c r="C25" s="26" t="n">
        <f aca="false">業務経理P19!AN26</f>
        <v>111447230</v>
      </c>
      <c r="D25" s="26" t="n">
        <f aca="false">'〇総括　6～7（メモなし）'!L49</f>
        <v>111447230</v>
      </c>
      <c r="E25" s="26" t="n">
        <f aca="false">C25-D25</f>
        <v>0</v>
      </c>
      <c r="F25" s="24" t="str">
        <f aca="false">IF(E25=0,"OK","NG")</f>
        <v>OK</v>
      </c>
    </row>
    <row r="26" customFormat="false" ht="15" hidden="false" customHeight="false" outlineLevel="0" collapsed="false">
      <c r="A26" s="24" t="n">
        <v>22</v>
      </c>
      <c r="B26" s="25" t="s">
        <v>125</v>
      </c>
      <c r="C26" s="26" t="n">
        <f aca="false">業務経理P18!AN32</f>
        <v>115948018</v>
      </c>
      <c r="D26" s="26" t="n">
        <f aca="false">'〇総括　6～7（メモなし）'!L28</f>
        <v>115948018</v>
      </c>
      <c r="E26" s="26" t="n">
        <f aca="false">C26-D26</f>
        <v>0</v>
      </c>
      <c r="F26" s="24" t="str">
        <f aca="false">IF(E26=0,"OK","NG")</f>
        <v>OK</v>
      </c>
    </row>
    <row r="27" customFormat="false" ht="15" hidden="false" customHeight="false" outlineLevel="0" collapsed="false">
      <c r="A27" s="24" t="n">
        <v>23</v>
      </c>
      <c r="B27" s="25" t="s">
        <v>126</v>
      </c>
      <c r="C27" s="26" t="n">
        <f aca="false">業務経理P18!M32</f>
        <v>131720000</v>
      </c>
      <c r="D27" s="26" t="n">
        <f aca="false">業務経理P19!M26</f>
        <v>131720000</v>
      </c>
      <c r="E27" s="26" t="n">
        <f aca="false">C27-D27</f>
        <v>0</v>
      </c>
      <c r="F27" s="24" t="str">
        <f aca="false">IF(E27=0,"OK","NG")</f>
        <v>OK</v>
      </c>
    </row>
  </sheetData>
  <sheetProtection sheet="true" formatCells="false" formatColumns="false" formatRows="false" sort="false" autoFilter="false"/>
  <conditionalFormatting sqref="F5:F27">
    <cfRule type="cellIs" priority="2" operator="equal" aboveAverage="0" equalAverage="0" bottom="0" percent="0" rank="0" text="" dxfId="1">
      <formula>"NG"</formula>
    </cfRule>
    <cfRule type="cellIs" priority="3" operator="equal" aboveAverage="0" equalAverage="0" bottom="0" percent="0" rank="0" text="" dxfId="2">
      <formula>"OK"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30"/>
    <col collapsed="false" customWidth="true" hidden="false" outlineLevel="0" max="2" min="2" style="0" width="8"/>
    <col collapsed="false" customWidth="true" hidden="false" outlineLevel="0" max="4" min="3" style="0" width="18"/>
    <col collapsed="false" customWidth="true" hidden="false" outlineLevel="0" max="6" min="5" style="0" width="14"/>
    <col collapsed="false" customWidth="true" hidden="false" outlineLevel="0" max="7" min="7" style="0" width="50"/>
  </cols>
  <sheetData>
    <row r="1" customFormat="false" ht="19.4" hidden="false" customHeight="false" outlineLevel="0" collapsed="false">
      <c r="A1" s="1" t="s">
        <v>127</v>
      </c>
    </row>
    <row r="2" customFormat="false" ht="15" hidden="false" customHeight="false" outlineLevel="0" collapsed="false">
      <c r="A2" s="2" t="s">
        <v>128</v>
      </c>
    </row>
    <row r="3" customFormat="false" ht="17.15" hidden="false" customHeight="false" outlineLevel="0" collapsed="false">
      <c r="A3" s="3" t="str">
        <f aca="false">IF(COUNTIF(F7:F1727,"★相違")=0,"✔ 想定外の相違は0件","✖ 想定外の相違が "&amp;COUNTIF(F7:F1727,"★相違")&amp;" 件")</f>
        <v>✔ 想定外の相違は0件</v>
      </c>
    </row>
    <row r="4" customFormat="false" ht="15" hidden="false" customHeight="false" outlineLevel="0" collapsed="false">
      <c r="A4" s="2" t="str">
        <f aca="false">"照合セル数 "&amp;COUNTA(B7:B1727)&amp;" ／ 一致 "&amp;COUNTIF(F7:F1727,"一致")&amp;" ／ 変更（意図的） "&amp;COUNTIF(F7:F1727,"変更（意図的）")&amp;" ／ ★相違 "&amp;COUNTIF(F7:F1727,"★相違")</f>
        <v>照合セル数 1721 ／ 一致 1682 ／ 変更（意図的） 39 ／ ★相違 0</v>
      </c>
    </row>
    <row r="6" customFormat="false" ht="15" hidden="false" customHeight="false" outlineLevel="0" collapsed="false">
      <c r="A6" s="23" t="s">
        <v>129</v>
      </c>
      <c r="B6" s="23" t="s">
        <v>130</v>
      </c>
      <c r="C6" s="23" t="s">
        <v>131</v>
      </c>
      <c r="D6" s="23" t="s">
        <v>132</v>
      </c>
      <c r="E6" s="23" t="s">
        <v>102</v>
      </c>
      <c r="F6" s="23" t="s">
        <v>103</v>
      </c>
      <c r="G6" s="23" t="s">
        <v>133</v>
      </c>
    </row>
    <row r="7" customFormat="false" ht="15" hidden="false" customHeight="false" outlineLevel="0" collapsed="false">
      <c r="A7" s="2" t="s">
        <v>134</v>
      </c>
      <c r="B7" s="27" t="s">
        <v>135</v>
      </c>
      <c r="C7" s="28" t="n">
        <v>72939159</v>
      </c>
      <c r="D7" s="28" t="n">
        <f aca="false">決算精算表!A9</f>
        <v>72939159</v>
      </c>
      <c r="E7" s="28" t="n">
        <f aca="false">D7-N(C7)</f>
        <v>0</v>
      </c>
      <c r="F7" s="2" t="str">
        <f aca="false">IF(AND(C7&lt;&gt;"",ROUND(E7,2)=0),"一致",IF(G7&lt;&gt;"","変更（意図的）","★相違"))</f>
        <v>一致</v>
      </c>
      <c r="G7" s="2"/>
    </row>
    <row r="8" customFormat="false" ht="15" hidden="false" customHeight="false" outlineLevel="0" collapsed="false">
      <c r="A8" s="2" t="s">
        <v>134</v>
      </c>
      <c r="B8" s="27" t="s">
        <v>136</v>
      </c>
      <c r="C8" s="28" t="n">
        <v>72939159</v>
      </c>
      <c r="D8" s="28" t="n">
        <f aca="false">決算精算表!C9</f>
        <v>72939159</v>
      </c>
      <c r="E8" s="28" t="n">
        <f aca="false">D8-N(C8)</f>
        <v>0</v>
      </c>
      <c r="F8" s="2" t="str">
        <f aca="false">IF(AND(C8&lt;&gt;"",ROUND(E8,2)=0),"一致",IF(G8&lt;&gt;"","変更（意図的）","★相違"))</f>
        <v>一致</v>
      </c>
      <c r="G8" s="2"/>
    </row>
    <row r="9" customFormat="false" ht="15" hidden="false" customHeight="false" outlineLevel="0" collapsed="false">
      <c r="A9" s="2" t="s">
        <v>134</v>
      </c>
      <c r="B9" s="27" t="s">
        <v>137</v>
      </c>
      <c r="C9" s="28" t="n">
        <v>194420</v>
      </c>
      <c r="D9" s="28" t="n">
        <f aca="false">決算精算表!A10</f>
        <v>194420</v>
      </c>
      <c r="E9" s="28" t="n">
        <f aca="false">D9-N(C9)</f>
        <v>0</v>
      </c>
      <c r="F9" s="2" t="str">
        <f aca="false">IF(AND(C9&lt;&gt;"",ROUND(E9,2)=0),"一致",IF(G9&lt;&gt;"","変更（意図的）","★相違"))</f>
        <v>一致</v>
      </c>
      <c r="G9" s="2"/>
    </row>
    <row r="10" customFormat="false" ht="15" hidden="false" customHeight="false" outlineLevel="0" collapsed="false">
      <c r="A10" s="2" t="s">
        <v>134</v>
      </c>
      <c r="B10" s="27" t="s">
        <v>138</v>
      </c>
      <c r="C10" s="28" t="n">
        <v>2356</v>
      </c>
      <c r="D10" s="28" t="n">
        <f aca="false">決算精算表!B10</f>
        <v>2356</v>
      </c>
      <c r="E10" s="28" t="n">
        <f aca="false">D10-N(C10)</f>
        <v>0</v>
      </c>
      <c r="F10" s="2" t="str">
        <f aca="false">IF(AND(C10&lt;&gt;"",ROUND(E10,2)=0),"一致",IF(G10&lt;&gt;"","変更（意図的）","★相違"))</f>
        <v>一致</v>
      </c>
      <c r="G10" s="2"/>
    </row>
    <row r="11" customFormat="false" ht="15" hidden="false" customHeight="false" outlineLevel="0" collapsed="false">
      <c r="A11" s="2" t="s">
        <v>134</v>
      </c>
      <c r="B11" s="27" t="s">
        <v>139</v>
      </c>
      <c r="C11" s="28" t="n">
        <v>192064</v>
      </c>
      <c r="D11" s="28" t="n">
        <f aca="false">決算精算表!C10</f>
        <v>192064</v>
      </c>
      <c r="E11" s="28" t="n">
        <f aca="false">D11-N(C11)</f>
        <v>0</v>
      </c>
      <c r="F11" s="2" t="str">
        <f aca="false">IF(AND(C11&lt;&gt;"",ROUND(E11,2)=0),"一致",IF(G11&lt;&gt;"","変更（意図的）","★相違"))</f>
        <v>一致</v>
      </c>
      <c r="G11" s="2"/>
    </row>
    <row r="12" customFormat="false" ht="15" hidden="false" customHeight="false" outlineLevel="0" collapsed="false">
      <c r="A12" s="2" t="s">
        <v>134</v>
      </c>
      <c r="B12" s="27" t="s">
        <v>140</v>
      </c>
      <c r="C12" s="28" t="n">
        <v>0</v>
      </c>
      <c r="D12" s="28" t="n">
        <f aca="false">決算精算表!A11</f>
        <v>0</v>
      </c>
      <c r="E12" s="28" t="n">
        <f aca="false">D12-N(C12)</f>
        <v>0</v>
      </c>
      <c r="F12" s="2" t="str">
        <f aca="false">IF(AND(C12&lt;&gt;"",ROUND(E12,2)=0),"一致",IF(G12&lt;&gt;"","変更（意図的）","★相違"))</f>
        <v>一致</v>
      </c>
      <c r="G12" s="2"/>
    </row>
    <row r="13" customFormat="false" ht="15" hidden="false" customHeight="false" outlineLevel="0" collapsed="false">
      <c r="A13" s="2" t="s">
        <v>134</v>
      </c>
      <c r="B13" s="27" t="s">
        <v>141</v>
      </c>
      <c r="C13" s="28"/>
      <c r="D13" s="28" t="n">
        <f aca="false">決算精算表!C11</f>
        <v>0</v>
      </c>
      <c r="E13" s="28" t="n">
        <f aca="false">D13-N(C13)</f>
        <v>0</v>
      </c>
      <c r="F13" s="2" t="str">
        <f aca="false">IF(AND(C13&lt;&gt;"",ROUND(E13,2)=0),"一致",IF(G13&lt;&gt;"","変更（意図的）","★相違"))</f>
        <v>変更（意図的）</v>
      </c>
      <c r="G13" s="2" t="s">
        <v>142</v>
      </c>
    </row>
    <row r="14" customFormat="false" ht="15" hidden="false" customHeight="false" outlineLevel="0" collapsed="false">
      <c r="A14" s="2" t="s">
        <v>134</v>
      </c>
      <c r="B14" s="27" t="s">
        <v>143</v>
      </c>
      <c r="C14" s="28" t="n">
        <v>11834281</v>
      </c>
      <c r="D14" s="28" t="n">
        <f aca="false">決算精算表!A12</f>
        <v>11834281</v>
      </c>
      <c r="E14" s="28" t="n">
        <f aca="false">D14-N(C14)</f>
        <v>0</v>
      </c>
      <c r="F14" s="2" t="str">
        <f aca="false">IF(AND(C14&lt;&gt;"",ROUND(E14,2)=0),"一致",IF(G14&lt;&gt;"","変更（意図的）","★相違"))</f>
        <v>一致</v>
      </c>
      <c r="G14" s="2"/>
    </row>
    <row r="15" customFormat="false" ht="15" hidden="false" customHeight="false" outlineLevel="0" collapsed="false">
      <c r="A15" s="2" t="s">
        <v>134</v>
      </c>
      <c r="B15" s="27" t="s">
        <v>144</v>
      </c>
      <c r="C15" s="28" t="n">
        <v>11834281</v>
      </c>
      <c r="D15" s="28" t="n">
        <f aca="false">決算精算表!B12</f>
        <v>11834281</v>
      </c>
      <c r="E15" s="28" t="n">
        <f aca="false">D15-N(C15)</f>
        <v>0</v>
      </c>
      <c r="F15" s="2" t="str">
        <f aca="false">IF(AND(C15&lt;&gt;"",ROUND(E15,2)=0),"一致",IF(G15&lt;&gt;"","変更（意図的）","★相違"))</f>
        <v>一致</v>
      </c>
      <c r="G15" s="2"/>
    </row>
    <row r="16" customFormat="false" ht="15" hidden="false" customHeight="false" outlineLevel="0" collapsed="false">
      <c r="A16" s="2" t="s">
        <v>134</v>
      </c>
      <c r="B16" s="27" t="s">
        <v>145</v>
      </c>
      <c r="C16" s="28"/>
      <c r="D16" s="28" t="n">
        <f aca="false">決算精算表!C12</f>
        <v>0</v>
      </c>
      <c r="E16" s="28" t="n">
        <f aca="false">D16-N(C16)</f>
        <v>0</v>
      </c>
      <c r="F16" s="2" t="str">
        <f aca="false">IF(AND(C16&lt;&gt;"",ROUND(E16,2)=0),"一致",IF(G16&lt;&gt;"","変更（意図的）","★相違"))</f>
        <v>変更（意図的）</v>
      </c>
      <c r="G16" s="2" t="s">
        <v>142</v>
      </c>
    </row>
    <row r="17" customFormat="false" ht="15" hidden="false" customHeight="false" outlineLevel="0" collapsed="false">
      <c r="A17" s="2" t="s">
        <v>134</v>
      </c>
      <c r="B17" s="27" t="s">
        <v>146</v>
      </c>
      <c r="C17" s="28" t="n">
        <v>207390</v>
      </c>
      <c r="D17" s="28" t="n">
        <f aca="false">決算精算表!A13</f>
        <v>207390</v>
      </c>
      <c r="E17" s="28" t="n">
        <f aca="false">D17-N(C17)</f>
        <v>0</v>
      </c>
      <c r="F17" s="2" t="str">
        <f aca="false">IF(AND(C17&lt;&gt;"",ROUND(E17,2)=0),"一致",IF(G17&lt;&gt;"","変更（意図的）","★相違"))</f>
        <v>一致</v>
      </c>
      <c r="G17" s="2"/>
    </row>
    <row r="18" customFormat="false" ht="15" hidden="false" customHeight="false" outlineLevel="0" collapsed="false">
      <c r="A18" s="2" t="s">
        <v>134</v>
      </c>
      <c r="B18" s="27" t="s">
        <v>147</v>
      </c>
      <c r="C18" s="28" t="n">
        <v>383946</v>
      </c>
      <c r="D18" s="28" t="n">
        <f aca="false">決算精算表!C13</f>
        <v>383946</v>
      </c>
      <c r="E18" s="28" t="n">
        <f aca="false">D18-N(C18)</f>
        <v>0</v>
      </c>
      <c r="F18" s="2" t="str">
        <f aca="false">IF(AND(C18&lt;&gt;"",ROUND(E18,2)=0),"一致",IF(G18&lt;&gt;"","変更（意図的）","★相違"))</f>
        <v>一致</v>
      </c>
      <c r="G18" s="2"/>
    </row>
    <row r="19" customFormat="false" ht="15" hidden="false" customHeight="false" outlineLevel="0" collapsed="false">
      <c r="A19" s="2" t="s">
        <v>134</v>
      </c>
      <c r="B19" s="27" t="s">
        <v>148</v>
      </c>
      <c r="C19" s="28" t="n">
        <v>176556</v>
      </c>
      <c r="D19" s="28" t="n">
        <f aca="false">決算精算表!F13</f>
        <v>176556</v>
      </c>
      <c r="E19" s="28" t="n">
        <f aca="false">D19-N(C19)</f>
        <v>0</v>
      </c>
      <c r="F19" s="2" t="str">
        <f aca="false">IF(AND(C19&lt;&gt;"",ROUND(E19,2)=0),"一致",IF(G19&lt;&gt;"","変更（意図的）","★相違"))</f>
        <v>一致</v>
      </c>
      <c r="G19" s="2"/>
    </row>
    <row r="20" customFormat="false" ht="15" hidden="false" customHeight="false" outlineLevel="0" collapsed="false">
      <c r="A20" s="2" t="s">
        <v>134</v>
      </c>
      <c r="B20" s="27" t="s">
        <v>149</v>
      </c>
      <c r="C20" s="28"/>
      <c r="D20" s="28" t="n">
        <f aca="false">決算精算表!E14</f>
        <v>0</v>
      </c>
      <c r="E20" s="28" t="n">
        <f aca="false">D20-N(C20)</f>
        <v>0</v>
      </c>
      <c r="F20" s="2" t="str">
        <f aca="false">IF(AND(C20&lt;&gt;"",ROUND(E20,2)=0),"一致",IF(G20&lt;&gt;"","変更（意図的）","★相違"))</f>
        <v>変更（意図的）</v>
      </c>
      <c r="G20" s="2" t="s">
        <v>142</v>
      </c>
    </row>
    <row r="21" customFormat="false" ht="15" hidden="false" customHeight="false" outlineLevel="0" collapsed="false">
      <c r="A21" s="2" t="s">
        <v>134</v>
      </c>
      <c r="B21" s="27" t="s">
        <v>150</v>
      </c>
      <c r="C21" s="28" t="n">
        <v>9597685</v>
      </c>
      <c r="D21" s="28" t="n">
        <f aca="false">決算精算表!F14</f>
        <v>9597685</v>
      </c>
      <c r="E21" s="28" t="n">
        <f aca="false">D21-N(C21)</f>
        <v>0</v>
      </c>
      <c r="F21" s="2" t="str">
        <f aca="false">IF(AND(C21&lt;&gt;"",ROUND(E21,2)=0),"一致",IF(G21&lt;&gt;"","変更（意図的）","★相違"))</f>
        <v>一致</v>
      </c>
      <c r="G21" s="2"/>
    </row>
    <row r="22" customFormat="false" ht="15" hidden="false" customHeight="false" outlineLevel="0" collapsed="false">
      <c r="A22" s="2" t="s">
        <v>134</v>
      </c>
      <c r="B22" s="27" t="s">
        <v>151</v>
      </c>
      <c r="C22" s="28" t="n">
        <v>9597685</v>
      </c>
      <c r="D22" s="28" t="n">
        <f aca="false">決算精算表!G14</f>
        <v>9597685</v>
      </c>
      <c r="E22" s="28" t="n">
        <f aca="false">D22-N(C22)</f>
        <v>0</v>
      </c>
      <c r="F22" s="2" t="str">
        <f aca="false">IF(AND(C22&lt;&gt;"",ROUND(E22,2)=0),"一致",IF(G22&lt;&gt;"","変更（意図的）","★相違"))</f>
        <v>一致</v>
      </c>
      <c r="G22" s="2"/>
    </row>
    <row r="23" customFormat="false" ht="15" hidden="false" customHeight="false" outlineLevel="0" collapsed="false">
      <c r="A23" s="2" t="s">
        <v>134</v>
      </c>
      <c r="B23" s="27" t="s">
        <v>152</v>
      </c>
      <c r="C23" s="28"/>
      <c r="D23" s="28" t="n">
        <f aca="false">決算精算表!E15</f>
        <v>0</v>
      </c>
      <c r="E23" s="28" t="n">
        <f aca="false">D23-N(C23)</f>
        <v>0</v>
      </c>
      <c r="F23" s="2" t="str">
        <f aca="false">IF(AND(C23&lt;&gt;"",ROUND(E23,2)=0),"一致",IF(G23&lt;&gt;"","変更（意図的）","★相違"))</f>
        <v>変更（意図的）</v>
      </c>
      <c r="G23" s="2" t="s">
        <v>142</v>
      </c>
    </row>
    <row r="24" customFormat="false" ht="15" hidden="false" customHeight="false" outlineLevel="0" collapsed="false">
      <c r="A24" s="2" t="s">
        <v>134</v>
      </c>
      <c r="B24" s="27" t="s">
        <v>153</v>
      </c>
      <c r="C24" s="28" t="n">
        <v>435361</v>
      </c>
      <c r="D24" s="28" t="n">
        <f aca="false">決算精算表!F15</f>
        <v>435361</v>
      </c>
      <c r="E24" s="28" t="n">
        <f aca="false">D24-N(C24)</f>
        <v>0</v>
      </c>
      <c r="F24" s="2" t="str">
        <f aca="false">IF(AND(C24&lt;&gt;"",ROUND(E24,2)=0),"一致",IF(G24&lt;&gt;"","変更（意図的）","★相違"))</f>
        <v>一致</v>
      </c>
      <c r="G24" s="2"/>
    </row>
    <row r="25" customFormat="false" ht="15" hidden="false" customHeight="false" outlineLevel="0" collapsed="false">
      <c r="A25" s="2" t="s">
        <v>134</v>
      </c>
      <c r="B25" s="27" t="s">
        <v>154</v>
      </c>
      <c r="C25" s="28" t="n">
        <v>435361</v>
      </c>
      <c r="D25" s="28" t="n">
        <f aca="false">決算精算表!G15</f>
        <v>435361</v>
      </c>
      <c r="E25" s="28" t="n">
        <f aca="false">D25-N(C25)</f>
        <v>0</v>
      </c>
      <c r="F25" s="2" t="str">
        <f aca="false">IF(AND(C25&lt;&gt;"",ROUND(E25,2)=0),"一致",IF(G25&lt;&gt;"","変更（意図的）","★相違"))</f>
        <v>一致</v>
      </c>
      <c r="G25" s="2"/>
    </row>
    <row r="26" customFormat="false" ht="15" hidden="false" customHeight="false" outlineLevel="0" collapsed="false">
      <c r="A26" s="2" t="s">
        <v>134</v>
      </c>
      <c r="B26" s="27" t="s">
        <v>155</v>
      </c>
      <c r="C26" s="28" t="n">
        <v>227940</v>
      </c>
      <c r="D26" s="28" t="n">
        <f aca="false">決算精算表!E16</f>
        <v>227940</v>
      </c>
      <c r="E26" s="28" t="n">
        <f aca="false">D26-N(C26)</f>
        <v>0</v>
      </c>
      <c r="F26" s="2" t="str">
        <f aca="false">IF(AND(C26&lt;&gt;"",ROUND(E26,2)=0),"一致",IF(G26&lt;&gt;"","変更（意図的）","★相違"))</f>
        <v>一致</v>
      </c>
      <c r="G26" s="2"/>
    </row>
    <row r="27" customFormat="false" ht="15" hidden="false" customHeight="false" outlineLevel="0" collapsed="false">
      <c r="A27" s="2" t="s">
        <v>134</v>
      </c>
      <c r="B27" s="27" t="s">
        <v>156</v>
      </c>
      <c r="C27" s="28" t="n">
        <v>227940</v>
      </c>
      <c r="D27" s="28" t="n">
        <f aca="false">決算精算表!G16</f>
        <v>227940</v>
      </c>
      <c r="E27" s="28" t="n">
        <f aca="false">D27-N(C27)</f>
        <v>0</v>
      </c>
      <c r="F27" s="2" t="str">
        <f aca="false">IF(AND(C27&lt;&gt;"",ROUND(E27,2)=0),"一致",IF(G27&lt;&gt;"","変更（意図的）","★相違"))</f>
        <v>一致</v>
      </c>
      <c r="G27" s="2"/>
    </row>
    <row r="28" customFormat="false" ht="15" hidden="false" customHeight="false" outlineLevel="0" collapsed="false">
      <c r="A28" s="2" t="s">
        <v>134</v>
      </c>
      <c r="B28" s="27" t="s">
        <v>157</v>
      </c>
      <c r="C28" s="28" t="n">
        <v>216843</v>
      </c>
      <c r="D28" s="28" t="n">
        <f aca="false">決算精算表!E17</f>
        <v>216843</v>
      </c>
      <c r="E28" s="28" t="n">
        <f aca="false">D28-N(C28)</f>
        <v>0</v>
      </c>
      <c r="F28" s="2" t="str">
        <f aca="false">IF(AND(C28&lt;&gt;"",ROUND(E28,2)=0),"一致",IF(G28&lt;&gt;"","変更（意図的）","★相違"))</f>
        <v>一致</v>
      </c>
      <c r="G28" s="2"/>
    </row>
    <row r="29" customFormat="false" ht="15" hidden="false" customHeight="false" outlineLevel="0" collapsed="false">
      <c r="A29" s="2" t="s">
        <v>134</v>
      </c>
      <c r="B29" s="27" t="s">
        <v>158</v>
      </c>
      <c r="C29" s="28" t="n">
        <v>216843</v>
      </c>
      <c r="D29" s="28" t="n">
        <f aca="false">決算精算表!G17</f>
        <v>216843</v>
      </c>
      <c r="E29" s="28" t="n">
        <f aca="false">D29-N(C29)</f>
        <v>0</v>
      </c>
      <c r="F29" s="2" t="str">
        <f aca="false">IF(AND(C29&lt;&gt;"",ROUND(E29,2)=0),"一致",IF(G29&lt;&gt;"","変更（意図的）","★相違"))</f>
        <v>一致</v>
      </c>
      <c r="G29" s="2"/>
    </row>
    <row r="30" customFormat="false" ht="15" hidden="false" customHeight="false" outlineLevel="0" collapsed="false">
      <c r="A30" s="2" t="s">
        <v>134</v>
      </c>
      <c r="B30" s="27" t="s">
        <v>159</v>
      </c>
      <c r="C30" s="28"/>
      <c r="D30" s="28" t="n">
        <f aca="false">決算精算表!E18</f>
        <v>0</v>
      </c>
      <c r="E30" s="28" t="n">
        <f aca="false">D30-N(C30)</f>
        <v>0</v>
      </c>
      <c r="F30" s="2" t="str">
        <f aca="false">IF(AND(C30&lt;&gt;"",ROUND(E30,2)=0),"一致",IF(G30&lt;&gt;"","変更（意図的）","★相違"))</f>
        <v>変更（意図的）</v>
      </c>
      <c r="G30" s="2" t="s">
        <v>142</v>
      </c>
    </row>
    <row r="31" customFormat="false" ht="15" hidden="false" customHeight="false" outlineLevel="0" collapsed="false">
      <c r="A31" s="2" t="s">
        <v>134</v>
      </c>
      <c r="B31" s="27" t="s">
        <v>160</v>
      </c>
      <c r="C31" s="28" t="n">
        <v>3603510</v>
      </c>
      <c r="D31" s="28" t="n">
        <f aca="false">決算精算表!B19</f>
        <v>3603510</v>
      </c>
      <c r="E31" s="28" t="n">
        <f aca="false">D31-N(C31)</f>
        <v>0</v>
      </c>
      <c r="F31" s="2" t="str">
        <f aca="false">IF(AND(C31&lt;&gt;"",ROUND(E31,2)=0),"一致",IF(G31&lt;&gt;"","変更（意図的）","★相違"))</f>
        <v>一致</v>
      </c>
      <c r="G31" s="2"/>
    </row>
    <row r="32" customFormat="false" ht="15" hidden="false" customHeight="false" outlineLevel="0" collapsed="false">
      <c r="A32" s="2" t="s">
        <v>134</v>
      </c>
      <c r="B32" s="27" t="s">
        <v>161</v>
      </c>
      <c r="C32" s="28" t="n">
        <v>71093911</v>
      </c>
      <c r="D32" s="28" t="n">
        <f aca="false">決算精算表!E19</f>
        <v>71093911</v>
      </c>
      <c r="E32" s="28" t="n">
        <f aca="false">D32-N(C32)</f>
        <v>0</v>
      </c>
      <c r="F32" s="2" t="str">
        <f aca="false">IF(AND(C32&lt;&gt;"",ROUND(E32,2)=0),"一致",IF(G32&lt;&gt;"","変更（意図的）","★相違"))</f>
        <v>一致</v>
      </c>
      <c r="G32" s="2"/>
    </row>
    <row r="33" customFormat="false" ht="15" hidden="false" customHeight="false" outlineLevel="0" collapsed="false">
      <c r="A33" s="2" t="s">
        <v>134</v>
      </c>
      <c r="B33" s="27" t="s">
        <v>162</v>
      </c>
      <c r="C33" s="28" t="n">
        <v>7207020</v>
      </c>
      <c r="D33" s="28" t="n">
        <f aca="false">決算精算表!F19</f>
        <v>7207020</v>
      </c>
      <c r="E33" s="28" t="n">
        <f aca="false">D33-N(C33)</f>
        <v>0</v>
      </c>
      <c r="F33" s="2" t="str">
        <f aca="false">IF(AND(C33&lt;&gt;"",ROUND(E33,2)=0),"一致",IF(G33&lt;&gt;"","変更（意図的）","★相違"))</f>
        <v>一致</v>
      </c>
      <c r="G33" s="2"/>
    </row>
    <row r="34" customFormat="false" ht="15" hidden="false" customHeight="false" outlineLevel="0" collapsed="false">
      <c r="A34" s="2" t="s">
        <v>134</v>
      </c>
      <c r="B34" s="27" t="s">
        <v>163</v>
      </c>
      <c r="C34" s="28" t="n">
        <v>74697421</v>
      </c>
      <c r="D34" s="28" t="n">
        <f aca="false">決算精算表!G19</f>
        <v>74697421</v>
      </c>
      <c r="E34" s="28" t="n">
        <f aca="false">D34-N(C34)</f>
        <v>0</v>
      </c>
      <c r="F34" s="2" t="str">
        <f aca="false">IF(AND(C34&lt;&gt;"",ROUND(E34,2)=0),"一致",IF(G34&lt;&gt;"","変更（意図的）","★相違"))</f>
        <v>一致</v>
      </c>
      <c r="G34" s="2"/>
    </row>
    <row r="35" customFormat="false" ht="15" hidden="false" customHeight="false" outlineLevel="0" collapsed="false">
      <c r="A35" s="2" t="s">
        <v>134</v>
      </c>
      <c r="B35" s="27" t="s">
        <v>164</v>
      </c>
      <c r="C35" s="28" t="n">
        <v>85175250</v>
      </c>
      <c r="D35" s="28" t="n">
        <f aca="false">決算精算表!A20</f>
        <v>85175250</v>
      </c>
      <c r="E35" s="28" t="n">
        <f aca="false">D35-N(C35)</f>
        <v>0</v>
      </c>
      <c r="F35" s="2" t="str">
        <f aca="false">IF(AND(C35&lt;&gt;"",ROUND(E35,2)=0),"一致",IF(G35&lt;&gt;"","変更（意図的）","★相違"))</f>
        <v>一致</v>
      </c>
      <c r="G35" s="2"/>
    </row>
    <row r="36" customFormat="false" ht="15" hidden="false" customHeight="false" outlineLevel="0" collapsed="false">
      <c r="A36" s="2" t="s">
        <v>134</v>
      </c>
      <c r="B36" s="27" t="s">
        <v>165</v>
      </c>
      <c r="C36" s="28" t="n">
        <v>15440147</v>
      </c>
      <c r="D36" s="28" t="n">
        <f aca="false">決算精算表!B20</f>
        <v>15440147</v>
      </c>
      <c r="E36" s="28" t="n">
        <f aca="false">D36-N(C36)</f>
        <v>0</v>
      </c>
      <c r="F36" s="2" t="str">
        <f aca="false">IF(AND(C36&lt;&gt;"",ROUND(E36,2)=0),"一致",IF(G36&lt;&gt;"","変更（意図的）","★相違"))</f>
        <v>一致</v>
      </c>
      <c r="G36" s="2"/>
    </row>
    <row r="37" customFormat="false" ht="15" hidden="false" customHeight="false" outlineLevel="0" collapsed="false">
      <c r="A37" s="2" t="s">
        <v>134</v>
      </c>
      <c r="B37" s="27" t="s">
        <v>166</v>
      </c>
      <c r="C37" s="28" t="n">
        <v>73515169</v>
      </c>
      <c r="D37" s="28" t="n">
        <f aca="false">決算精算表!C20</f>
        <v>73515169</v>
      </c>
      <c r="E37" s="28" t="n">
        <f aca="false">D37-N(C37)</f>
        <v>0</v>
      </c>
      <c r="F37" s="2" t="str">
        <f aca="false">IF(AND(C37&lt;&gt;"",ROUND(E37,2)=0),"一致",IF(G37&lt;&gt;"","変更（意図的）","★相違"))</f>
        <v>一致</v>
      </c>
      <c r="G37" s="2"/>
    </row>
    <row r="38" customFormat="false" ht="15" hidden="false" customHeight="false" outlineLevel="0" collapsed="false">
      <c r="A38" s="2" t="s">
        <v>134</v>
      </c>
      <c r="B38" s="27" t="s">
        <v>167</v>
      </c>
      <c r="C38" s="28" t="n">
        <v>71538694</v>
      </c>
      <c r="D38" s="28" t="n">
        <f aca="false">決算精算表!E20</f>
        <v>71538694</v>
      </c>
      <c r="E38" s="28" t="n">
        <f aca="false">D38-N(C38)</f>
        <v>0</v>
      </c>
      <c r="F38" s="2" t="str">
        <f aca="false">IF(AND(C38&lt;&gt;"",ROUND(E38,2)=0),"一致",IF(G38&lt;&gt;"","変更（意図的）","★相違"))</f>
        <v>一致</v>
      </c>
      <c r="G38" s="2"/>
    </row>
    <row r="39" customFormat="false" ht="15" hidden="false" customHeight="false" outlineLevel="0" collapsed="false">
      <c r="A39" s="2" t="s">
        <v>134</v>
      </c>
      <c r="B39" s="27" t="s">
        <v>168</v>
      </c>
      <c r="C39" s="28" t="n">
        <v>17416622</v>
      </c>
      <c r="D39" s="28" t="n">
        <f aca="false">決算精算表!F20</f>
        <v>17416622</v>
      </c>
      <c r="E39" s="28" t="n">
        <f aca="false">D39-N(C39)</f>
        <v>0</v>
      </c>
      <c r="F39" s="2" t="str">
        <f aca="false">IF(AND(C39&lt;&gt;"",ROUND(E39,2)=0),"一致",IF(G39&lt;&gt;"","変更（意図的）","★相違"))</f>
        <v>一致</v>
      </c>
      <c r="G39" s="2"/>
    </row>
    <row r="40" customFormat="false" ht="15" hidden="false" customHeight="false" outlineLevel="0" collapsed="false">
      <c r="A40" s="2" t="s">
        <v>134</v>
      </c>
      <c r="B40" s="27" t="s">
        <v>169</v>
      </c>
      <c r="C40" s="28" t="n">
        <v>85175250</v>
      </c>
      <c r="D40" s="28" t="n">
        <f aca="false">決算精算表!G20</f>
        <v>85175250</v>
      </c>
      <c r="E40" s="28" t="n">
        <f aca="false">D40-N(C40)</f>
        <v>0</v>
      </c>
      <c r="F40" s="2" t="str">
        <f aca="false">IF(AND(C40&lt;&gt;"",ROUND(E40,2)=0),"一致",IF(G40&lt;&gt;"","変更（意図的）","★相違"))</f>
        <v>一致</v>
      </c>
      <c r="G40" s="2"/>
    </row>
    <row r="41" customFormat="false" ht="15" hidden="false" customHeight="false" outlineLevel="0" collapsed="false">
      <c r="A41" s="2" t="s">
        <v>134</v>
      </c>
      <c r="B41" s="27" t="s">
        <v>170</v>
      </c>
      <c r="C41" s="28" t="n">
        <v>33000</v>
      </c>
      <c r="D41" s="28" t="n">
        <f aca="false">決算精算表!A21</f>
        <v>33000</v>
      </c>
      <c r="E41" s="28" t="n">
        <f aca="false">D41-N(C41)</f>
        <v>0</v>
      </c>
      <c r="F41" s="2" t="str">
        <f aca="false">IF(AND(C41&lt;&gt;"",ROUND(E41,2)=0),"一致",IF(G41&lt;&gt;"","変更（意図的）","★相違"))</f>
        <v>一致</v>
      </c>
      <c r="G41" s="2"/>
    </row>
    <row r="42" customFormat="false" ht="15" hidden="false" customHeight="false" outlineLevel="0" collapsed="false">
      <c r="A42" s="2" t="s">
        <v>134</v>
      </c>
      <c r="B42" s="27" t="s">
        <v>171</v>
      </c>
      <c r="C42" s="28" t="n">
        <v>33000</v>
      </c>
      <c r="D42" s="28" t="n">
        <f aca="false">決算精算表!C21</f>
        <v>33000</v>
      </c>
      <c r="E42" s="28" t="n">
        <f aca="false">D42-N(C42)</f>
        <v>0</v>
      </c>
      <c r="F42" s="2" t="str">
        <f aca="false">IF(AND(C42&lt;&gt;"",ROUND(E42,2)=0),"一致",IF(G42&lt;&gt;"","変更（意図的）","★相違"))</f>
        <v>一致</v>
      </c>
      <c r="G42" s="2"/>
    </row>
    <row r="43" customFormat="false" ht="15" hidden="false" customHeight="false" outlineLevel="0" collapsed="false">
      <c r="A43" s="2" t="s">
        <v>134</v>
      </c>
      <c r="B43" s="27" t="s">
        <v>172</v>
      </c>
      <c r="C43" s="28" t="n">
        <v>10141337</v>
      </c>
      <c r="D43" s="28" t="n">
        <f aca="false">決算精算表!A22</f>
        <v>10141337</v>
      </c>
      <c r="E43" s="28" t="n">
        <f aca="false">D43-N(C43)</f>
        <v>0</v>
      </c>
      <c r="F43" s="2" t="str">
        <f aca="false">IF(AND(C43&lt;&gt;"",ROUND(E43,2)=0),"一致",IF(G43&lt;&gt;"","変更（意図的）","★相違"))</f>
        <v>一致</v>
      </c>
      <c r="G43" s="2"/>
    </row>
    <row r="44" customFormat="false" ht="15" hidden="false" customHeight="false" outlineLevel="0" collapsed="false">
      <c r="A44" s="2" t="s">
        <v>134</v>
      </c>
      <c r="B44" s="27" t="s">
        <v>173</v>
      </c>
      <c r="C44" s="28" t="n">
        <v>59015</v>
      </c>
      <c r="D44" s="28" t="n">
        <f aca="false">決算精算表!B22</f>
        <v>59015</v>
      </c>
      <c r="E44" s="28" t="n">
        <f aca="false">D44-N(C44)</f>
        <v>0</v>
      </c>
      <c r="F44" s="2" t="str">
        <f aca="false">IF(AND(C44&lt;&gt;"",ROUND(E44,2)=0),"一致",IF(G44&lt;&gt;"","変更（意図的）","★相違"))</f>
        <v>一致</v>
      </c>
      <c r="G44" s="2"/>
    </row>
    <row r="45" customFormat="false" ht="15" hidden="false" customHeight="false" outlineLevel="0" collapsed="false">
      <c r="A45" s="2" t="s">
        <v>134</v>
      </c>
      <c r="B45" s="27" t="s">
        <v>174</v>
      </c>
      <c r="C45" s="28" t="n">
        <v>10082322</v>
      </c>
      <c r="D45" s="28" t="n">
        <f aca="false">決算精算表!C22</f>
        <v>10082322</v>
      </c>
      <c r="E45" s="28" t="n">
        <f aca="false">D45-N(C45)</f>
        <v>0</v>
      </c>
      <c r="F45" s="2" t="str">
        <f aca="false">IF(AND(C45&lt;&gt;"",ROUND(E45,2)=0),"一致",IF(G45&lt;&gt;"","変更（意図的）","★相違"))</f>
        <v>一致</v>
      </c>
      <c r="G45" s="2"/>
    </row>
    <row r="46" customFormat="false" ht="15" hidden="false" customHeight="false" outlineLevel="0" collapsed="false">
      <c r="A46" s="2" t="s">
        <v>134</v>
      </c>
      <c r="B46" s="27" t="s">
        <v>175</v>
      </c>
      <c r="C46" s="28" t="n">
        <v>9702</v>
      </c>
      <c r="D46" s="28" t="n">
        <f aca="false">決算精算表!A23</f>
        <v>9702</v>
      </c>
      <c r="E46" s="28" t="n">
        <f aca="false">D46-N(C46)</f>
        <v>0</v>
      </c>
      <c r="F46" s="2" t="str">
        <f aca="false">IF(AND(C46&lt;&gt;"",ROUND(E46,2)=0),"一致",IF(G46&lt;&gt;"","変更（意図的）","★相違"))</f>
        <v>一致</v>
      </c>
      <c r="G46" s="2"/>
    </row>
    <row r="47" customFormat="false" ht="15" hidden="false" customHeight="false" outlineLevel="0" collapsed="false">
      <c r="A47" s="2" t="s">
        <v>134</v>
      </c>
      <c r="B47" s="27" t="s">
        <v>176</v>
      </c>
      <c r="C47" s="28" t="n">
        <v>9702</v>
      </c>
      <c r="D47" s="28" t="n">
        <f aca="false">決算精算表!C23</f>
        <v>9702</v>
      </c>
      <c r="E47" s="28" t="n">
        <f aca="false">D47-N(C47)</f>
        <v>0</v>
      </c>
      <c r="F47" s="2" t="str">
        <f aca="false">IF(AND(C47&lt;&gt;"",ROUND(E47,2)=0),"一致",IF(G47&lt;&gt;"","変更（意図的）","★相違"))</f>
        <v>一致</v>
      </c>
      <c r="G47" s="2"/>
    </row>
    <row r="48" customFormat="false" ht="15" hidden="false" customHeight="false" outlineLevel="0" collapsed="false">
      <c r="A48" s="2" t="s">
        <v>134</v>
      </c>
      <c r="B48" s="27" t="s">
        <v>177</v>
      </c>
      <c r="C48" s="28" t="n">
        <v>343112</v>
      </c>
      <c r="D48" s="28" t="n">
        <f aca="false">決算精算表!A24</f>
        <v>343112</v>
      </c>
      <c r="E48" s="28" t="n">
        <f aca="false">D48-N(C48)</f>
        <v>0</v>
      </c>
      <c r="F48" s="2" t="str">
        <f aca="false">IF(AND(C48&lt;&gt;"",ROUND(E48,2)=0),"一致",IF(G48&lt;&gt;"","変更（意図的）","★相違"))</f>
        <v>一致</v>
      </c>
      <c r="G48" s="2"/>
    </row>
    <row r="49" customFormat="false" ht="15" hidden="false" customHeight="false" outlineLevel="0" collapsed="false">
      <c r="A49" s="2" t="s">
        <v>134</v>
      </c>
      <c r="B49" s="27" t="s">
        <v>178</v>
      </c>
      <c r="C49" s="28" t="n">
        <v>343112</v>
      </c>
      <c r="D49" s="28" t="n">
        <f aca="false">決算精算表!C24</f>
        <v>343112</v>
      </c>
      <c r="E49" s="28" t="n">
        <f aca="false">D49-N(C49)</f>
        <v>0</v>
      </c>
      <c r="F49" s="2" t="str">
        <f aca="false">IF(AND(C49&lt;&gt;"",ROUND(E49,2)=0),"一致",IF(G49&lt;&gt;"","変更（意図的）","★相違"))</f>
        <v>一致</v>
      </c>
      <c r="G49" s="2"/>
    </row>
    <row r="50" customFormat="false" ht="15" hidden="false" customHeight="false" outlineLevel="0" collapsed="false">
      <c r="A50" s="2" t="s">
        <v>134</v>
      </c>
      <c r="B50" s="27" t="s">
        <v>179</v>
      </c>
      <c r="C50" s="28" t="n">
        <v>13993113</v>
      </c>
      <c r="D50" s="28" t="n">
        <f aca="false">決算精算表!A25</f>
        <v>13993113</v>
      </c>
      <c r="E50" s="28" t="n">
        <f aca="false">D50-N(C50)</f>
        <v>0</v>
      </c>
      <c r="F50" s="2" t="str">
        <f aca="false">IF(AND(C50&lt;&gt;"",ROUND(E50,2)=0),"一致",IF(G50&lt;&gt;"","変更（意図的）","★相違"))</f>
        <v>一致</v>
      </c>
      <c r="G50" s="2"/>
    </row>
    <row r="51" customFormat="false" ht="15" hidden="false" customHeight="false" outlineLevel="0" collapsed="false">
      <c r="A51" s="2" t="s">
        <v>134</v>
      </c>
      <c r="B51" s="27" t="s">
        <v>180</v>
      </c>
      <c r="C51" s="28" t="n">
        <v>846685</v>
      </c>
      <c r="D51" s="28" t="n">
        <f aca="false">決算精算表!B25</f>
        <v>846685</v>
      </c>
      <c r="E51" s="28" t="n">
        <f aca="false">D51-N(C51)</f>
        <v>0</v>
      </c>
      <c r="F51" s="2" t="str">
        <f aca="false">IF(AND(C51&lt;&gt;"",ROUND(E51,2)=0),"一致",IF(G51&lt;&gt;"","変更（意図的）","★相違"))</f>
        <v>一致</v>
      </c>
      <c r="G51" s="2"/>
    </row>
    <row r="52" customFormat="false" ht="15" hidden="false" customHeight="false" outlineLevel="0" collapsed="false">
      <c r="A52" s="2" t="s">
        <v>134</v>
      </c>
      <c r="B52" s="27" t="s">
        <v>181</v>
      </c>
      <c r="C52" s="28" t="n">
        <v>13146428</v>
      </c>
      <c r="D52" s="28" t="n">
        <f aca="false">決算精算表!C25</f>
        <v>13146428</v>
      </c>
      <c r="E52" s="28" t="n">
        <f aca="false">D52-N(C52)</f>
        <v>0</v>
      </c>
      <c r="F52" s="2" t="str">
        <f aca="false">IF(AND(C52&lt;&gt;"",ROUND(E52,2)=0),"一致",IF(G52&lt;&gt;"","変更（意図的）","★相違"))</f>
        <v>一致</v>
      </c>
      <c r="G52" s="2"/>
    </row>
    <row r="53" customFormat="false" ht="15" hidden="false" customHeight="false" outlineLevel="0" collapsed="false">
      <c r="A53" s="2" t="s">
        <v>134</v>
      </c>
      <c r="B53" s="27" t="s">
        <v>182</v>
      </c>
      <c r="C53" s="28" t="n">
        <v>4598066</v>
      </c>
      <c r="D53" s="28" t="n">
        <f aca="false">決算精算表!A26</f>
        <v>4598066</v>
      </c>
      <c r="E53" s="28" t="n">
        <f aca="false">D53-N(C53)</f>
        <v>0</v>
      </c>
      <c r="F53" s="2" t="str">
        <f aca="false">IF(AND(C53&lt;&gt;"",ROUND(E53,2)=0),"一致",IF(G53&lt;&gt;"","変更（意図的）","★相違"))</f>
        <v>一致</v>
      </c>
      <c r="G53" s="2"/>
    </row>
    <row r="54" customFormat="false" ht="15" hidden="false" customHeight="false" outlineLevel="0" collapsed="false">
      <c r="A54" s="2" t="s">
        <v>134</v>
      </c>
      <c r="B54" s="27" t="s">
        <v>183</v>
      </c>
      <c r="C54" s="28" t="n">
        <v>376346</v>
      </c>
      <c r="D54" s="28" t="n">
        <f aca="false">決算精算表!B26</f>
        <v>376346</v>
      </c>
      <c r="E54" s="28" t="n">
        <f aca="false">D54-N(C54)</f>
        <v>0</v>
      </c>
      <c r="F54" s="2" t="str">
        <f aca="false">IF(AND(C54&lt;&gt;"",ROUND(E54,2)=0),"一致",IF(G54&lt;&gt;"","変更（意図的）","★相違"))</f>
        <v>一致</v>
      </c>
      <c r="G54" s="2"/>
    </row>
    <row r="55" customFormat="false" ht="15" hidden="false" customHeight="false" outlineLevel="0" collapsed="false">
      <c r="A55" s="2" t="s">
        <v>134</v>
      </c>
      <c r="B55" s="27" t="s">
        <v>184</v>
      </c>
      <c r="C55" s="28" t="n">
        <v>4221720</v>
      </c>
      <c r="D55" s="28" t="n">
        <f aca="false">決算精算表!C26</f>
        <v>4221720</v>
      </c>
      <c r="E55" s="28" t="n">
        <f aca="false">D55-N(C55)</f>
        <v>0</v>
      </c>
      <c r="F55" s="2" t="str">
        <f aca="false">IF(AND(C55&lt;&gt;"",ROUND(E55,2)=0),"一致",IF(G55&lt;&gt;"","変更（意図的）","★相違"))</f>
        <v>一致</v>
      </c>
      <c r="G55" s="2"/>
    </row>
    <row r="56" customFormat="false" ht="15" hidden="false" customHeight="false" outlineLevel="0" collapsed="false">
      <c r="A56" s="2" t="s">
        <v>134</v>
      </c>
      <c r="B56" s="27" t="s">
        <v>185</v>
      </c>
      <c r="C56" s="28" t="n">
        <v>10084438</v>
      </c>
      <c r="D56" s="28" t="n">
        <f aca="false">決算精算表!A27</f>
        <v>10084438</v>
      </c>
      <c r="E56" s="28" t="n">
        <f aca="false">D56-N(C56)</f>
        <v>0</v>
      </c>
      <c r="F56" s="2" t="str">
        <f aca="false">IF(AND(C56&lt;&gt;"",ROUND(E56,2)=0),"一致",IF(G56&lt;&gt;"","変更（意図的）","★相違"))</f>
        <v>一致</v>
      </c>
      <c r="G56" s="2"/>
    </row>
    <row r="57" customFormat="false" ht="15" hidden="false" customHeight="false" outlineLevel="0" collapsed="false">
      <c r="A57" s="2" t="s">
        <v>134</v>
      </c>
      <c r="B57" s="27" t="s">
        <v>186</v>
      </c>
      <c r="C57" s="28" t="n">
        <v>1576505</v>
      </c>
      <c r="D57" s="28" t="n">
        <f aca="false">決算精算表!B27</f>
        <v>1576505</v>
      </c>
      <c r="E57" s="28" t="n">
        <f aca="false">D57-N(C57)</f>
        <v>0</v>
      </c>
      <c r="F57" s="2" t="str">
        <f aca="false">IF(AND(C57&lt;&gt;"",ROUND(E57,2)=0),"一致",IF(G57&lt;&gt;"","変更（意図的）","★相違"))</f>
        <v>一致</v>
      </c>
      <c r="G57" s="2"/>
    </row>
    <row r="58" customFormat="false" ht="15" hidden="false" customHeight="false" outlineLevel="0" collapsed="false">
      <c r="A58" s="2" t="s">
        <v>134</v>
      </c>
      <c r="B58" s="27" t="s">
        <v>187</v>
      </c>
      <c r="C58" s="28" t="n">
        <v>8507933</v>
      </c>
      <c r="D58" s="28" t="n">
        <f aca="false">決算精算表!C27</f>
        <v>8507933</v>
      </c>
      <c r="E58" s="28" t="n">
        <f aca="false">D58-N(C58)</f>
        <v>0</v>
      </c>
      <c r="F58" s="2" t="str">
        <f aca="false">IF(AND(C58&lt;&gt;"",ROUND(E58,2)=0),"一致",IF(G58&lt;&gt;"","変更（意図的）","★相違"))</f>
        <v>一致</v>
      </c>
      <c r="G58" s="2"/>
    </row>
    <row r="59" customFormat="false" ht="15" hidden="false" customHeight="false" outlineLevel="0" collapsed="false">
      <c r="A59" s="2" t="s">
        <v>134</v>
      </c>
      <c r="B59" s="27" t="s">
        <v>188</v>
      </c>
      <c r="C59" s="28" t="n">
        <v>103921</v>
      </c>
      <c r="D59" s="28" t="n">
        <f aca="false">決算精算表!A28</f>
        <v>103921</v>
      </c>
      <c r="E59" s="28" t="n">
        <f aca="false">D59-N(C59)</f>
        <v>0</v>
      </c>
      <c r="F59" s="2" t="str">
        <f aca="false">IF(AND(C59&lt;&gt;"",ROUND(E59,2)=0),"一致",IF(G59&lt;&gt;"","変更（意図的）","★相違"))</f>
        <v>一致</v>
      </c>
      <c r="G59" s="2"/>
    </row>
    <row r="60" customFormat="false" ht="15" hidden="false" customHeight="false" outlineLevel="0" collapsed="false">
      <c r="A60" s="2" t="s">
        <v>134</v>
      </c>
      <c r="B60" s="27" t="s">
        <v>189</v>
      </c>
      <c r="C60" s="28" t="n">
        <v>46537</v>
      </c>
      <c r="D60" s="28" t="n">
        <f aca="false">決算精算表!B28</f>
        <v>46537</v>
      </c>
      <c r="E60" s="28" t="n">
        <f aca="false">D60-N(C60)</f>
        <v>0</v>
      </c>
      <c r="F60" s="2" t="str">
        <f aca="false">IF(AND(C60&lt;&gt;"",ROUND(E60,2)=0),"一致",IF(G60&lt;&gt;"","変更（意図的）","★相違"))</f>
        <v>一致</v>
      </c>
      <c r="G60" s="2"/>
    </row>
    <row r="61" customFormat="false" ht="15" hidden="false" customHeight="false" outlineLevel="0" collapsed="false">
      <c r="A61" s="2" t="s">
        <v>134</v>
      </c>
      <c r="B61" s="27" t="s">
        <v>190</v>
      </c>
      <c r="C61" s="28" t="n">
        <v>57384</v>
      </c>
      <c r="D61" s="28" t="n">
        <f aca="false">決算精算表!C28</f>
        <v>57384</v>
      </c>
      <c r="E61" s="28" t="n">
        <f aca="false">D61-N(C61)</f>
        <v>0</v>
      </c>
      <c r="F61" s="2" t="str">
        <f aca="false">IF(AND(C61&lt;&gt;"",ROUND(E61,2)=0),"一致",IF(G61&lt;&gt;"","変更（意図的）","★相違"))</f>
        <v>一致</v>
      </c>
      <c r="G61" s="2"/>
    </row>
    <row r="62" customFormat="false" ht="15" hidden="false" customHeight="false" outlineLevel="0" collapsed="false">
      <c r="A62" s="2" t="s">
        <v>134</v>
      </c>
      <c r="B62" s="27" t="s">
        <v>191</v>
      </c>
      <c r="C62" s="28" t="n">
        <v>0</v>
      </c>
      <c r="D62" s="28" t="n">
        <f aca="false">決算精算表!A29</f>
        <v>0</v>
      </c>
      <c r="E62" s="28" t="n">
        <f aca="false">D62-N(C62)</f>
        <v>0</v>
      </c>
      <c r="F62" s="2" t="str">
        <f aca="false">IF(AND(C62&lt;&gt;"",ROUND(E62,2)=0),"一致",IF(G62&lt;&gt;"","変更（意図的）","★相違"))</f>
        <v>一致</v>
      </c>
      <c r="G62" s="2"/>
    </row>
    <row r="63" customFormat="false" ht="15" hidden="false" customHeight="false" outlineLevel="0" collapsed="false">
      <c r="A63" s="2" t="s">
        <v>134</v>
      </c>
      <c r="B63" s="27" t="s">
        <v>192</v>
      </c>
      <c r="C63" s="28" t="n">
        <v>0</v>
      </c>
      <c r="D63" s="28" t="n">
        <f aca="false">決算精算表!C29</f>
        <v>0</v>
      </c>
      <c r="E63" s="28" t="n">
        <f aca="false">D63-N(C63)</f>
        <v>0</v>
      </c>
      <c r="F63" s="2" t="str">
        <f aca="false">IF(AND(C63&lt;&gt;"",ROUND(E63,2)=0),"一致",IF(G63&lt;&gt;"","変更（意図的）","★相違"))</f>
        <v>一致</v>
      </c>
      <c r="G63" s="2"/>
    </row>
    <row r="64" customFormat="false" ht="15" hidden="false" customHeight="false" outlineLevel="0" collapsed="false">
      <c r="A64" s="2" t="s">
        <v>134</v>
      </c>
      <c r="B64" s="27" t="s">
        <v>193</v>
      </c>
      <c r="C64" s="28" t="n">
        <v>9430768</v>
      </c>
      <c r="D64" s="28" t="n">
        <f aca="false">決算精算表!A30</f>
        <v>9430768</v>
      </c>
      <c r="E64" s="28" t="n">
        <f aca="false">D64-N(C64)</f>
        <v>0</v>
      </c>
      <c r="F64" s="2" t="str">
        <f aca="false">IF(AND(C64&lt;&gt;"",ROUND(E64,2)=0),"一致",IF(G64&lt;&gt;"","変更（意図的）","★相違"))</f>
        <v>一致</v>
      </c>
      <c r="G64" s="2"/>
    </row>
    <row r="65" customFormat="false" ht="15" hidden="false" customHeight="false" outlineLevel="0" collapsed="false">
      <c r="A65" s="2" t="s">
        <v>134</v>
      </c>
      <c r="B65" s="27" t="s">
        <v>194</v>
      </c>
      <c r="C65" s="28" t="n">
        <v>1020091</v>
      </c>
      <c r="D65" s="28" t="n">
        <f aca="false">決算精算表!B30</f>
        <v>1020091</v>
      </c>
      <c r="E65" s="28" t="n">
        <f aca="false">D65-N(C65)</f>
        <v>0</v>
      </c>
      <c r="F65" s="2" t="str">
        <f aca="false">IF(AND(C65&lt;&gt;"",ROUND(E65,2)=0),"一致",IF(G65&lt;&gt;"","変更（意図的）","★相違"))</f>
        <v>一致</v>
      </c>
      <c r="G65" s="2"/>
    </row>
    <row r="66" customFormat="false" ht="15" hidden="false" customHeight="false" outlineLevel="0" collapsed="false">
      <c r="A66" s="2" t="s">
        <v>134</v>
      </c>
      <c r="B66" s="27" t="s">
        <v>195</v>
      </c>
      <c r="C66" s="28" t="n">
        <v>8410677</v>
      </c>
      <c r="D66" s="28" t="n">
        <f aca="false">決算精算表!C30</f>
        <v>8410677</v>
      </c>
      <c r="E66" s="28" t="n">
        <f aca="false">D66-N(C66)</f>
        <v>0</v>
      </c>
      <c r="F66" s="2" t="str">
        <f aca="false">IF(AND(C66&lt;&gt;"",ROUND(E66,2)=0),"一致",IF(G66&lt;&gt;"","変更（意図的）","★相違"))</f>
        <v>一致</v>
      </c>
      <c r="G66" s="2"/>
    </row>
    <row r="67" customFormat="false" ht="15" hidden="false" customHeight="false" outlineLevel="0" collapsed="false">
      <c r="A67" s="2" t="s">
        <v>134</v>
      </c>
      <c r="B67" s="27" t="s">
        <v>196</v>
      </c>
      <c r="C67" s="28" t="n">
        <v>1884714</v>
      </c>
      <c r="D67" s="28" t="n">
        <f aca="false">決算精算表!A31</f>
        <v>1884714</v>
      </c>
      <c r="E67" s="28" t="n">
        <f aca="false">D67-N(C67)</f>
        <v>0</v>
      </c>
      <c r="F67" s="2" t="str">
        <f aca="false">IF(AND(C67&lt;&gt;"",ROUND(E67,2)=0),"一致",IF(G67&lt;&gt;"","変更（意図的）","★相違"))</f>
        <v>一致</v>
      </c>
      <c r="G67" s="2"/>
    </row>
    <row r="68" customFormat="false" ht="15" hidden="false" customHeight="false" outlineLevel="0" collapsed="false">
      <c r="A68" s="2" t="s">
        <v>134</v>
      </c>
      <c r="B68" s="27" t="s">
        <v>197</v>
      </c>
      <c r="C68" s="28" t="n">
        <v>689790</v>
      </c>
      <c r="D68" s="28" t="n">
        <f aca="false">決算精算表!B31</f>
        <v>689790</v>
      </c>
      <c r="E68" s="28" t="n">
        <f aca="false">D68-N(C68)</f>
        <v>0</v>
      </c>
      <c r="F68" s="2" t="str">
        <f aca="false">IF(AND(C68&lt;&gt;"",ROUND(E68,2)=0),"一致",IF(G68&lt;&gt;"","変更（意図的）","★相違"))</f>
        <v>一致</v>
      </c>
      <c r="G68" s="2"/>
    </row>
    <row r="69" customFormat="false" ht="15" hidden="false" customHeight="false" outlineLevel="0" collapsed="false">
      <c r="A69" s="2" t="s">
        <v>134</v>
      </c>
      <c r="B69" s="27" t="s">
        <v>198</v>
      </c>
      <c r="C69" s="28" t="n">
        <v>1194924</v>
      </c>
      <c r="D69" s="28" t="n">
        <f aca="false">決算精算表!C31</f>
        <v>1194924</v>
      </c>
      <c r="E69" s="28" t="n">
        <f aca="false">D69-N(C69)</f>
        <v>0</v>
      </c>
      <c r="F69" s="2" t="str">
        <f aca="false">IF(AND(C69&lt;&gt;"",ROUND(E69,2)=0),"一致",IF(G69&lt;&gt;"","変更（意図的）","★相違"))</f>
        <v>一致</v>
      </c>
      <c r="G69" s="2"/>
    </row>
    <row r="70" customFormat="false" ht="15" hidden="false" customHeight="false" outlineLevel="0" collapsed="false">
      <c r="A70" s="2" t="s">
        <v>134</v>
      </c>
      <c r="B70" s="27" t="s">
        <v>199</v>
      </c>
      <c r="C70" s="28" t="n">
        <v>2453880</v>
      </c>
      <c r="D70" s="28" t="n">
        <f aca="false">決算精算表!A32</f>
        <v>2453880</v>
      </c>
      <c r="E70" s="28" t="n">
        <f aca="false">D70-N(C70)</f>
        <v>0</v>
      </c>
      <c r="F70" s="2" t="str">
        <f aca="false">IF(AND(C70&lt;&gt;"",ROUND(E70,2)=0),"一致",IF(G70&lt;&gt;"","変更（意図的）","★相違"))</f>
        <v>一致</v>
      </c>
      <c r="G70" s="2"/>
    </row>
    <row r="71" customFormat="false" ht="15" hidden="false" customHeight="false" outlineLevel="0" collapsed="false">
      <c r="A71" s="2" t="s">
        <v>134</v>
      </c>
      <c r="B71" s="27" t="s">
        <v>200</v>
      </c>
      <c r="C71" s="28" t="n">
        <v>103564</v>
      </c>
      <c r="D71" s="28" t="n">
        <f aca="false">決算精算表!B32</f>
        <v>103564</v>
      </c>
      <c r="E71" s="28" t="n">
        <f aca="false">D71-N(C71)</f>
        <v>0</v>
      </c>
      <c r="F71" s="2" t="str">
        <f aca="false">IF(AND(C71&lt;&gt;"",ROUND(E71,2)=0),"一致",IF(G71&lt;&gt;"","変更（意図的）","★相違"))</f>
        <v>一致</v>
      </c>
      <c r="G71" s="2"/>
    </row>
    <row r="72" customFormat="false" ht="15" hidden="false" customHeight="false" outlineLevel="0" collapsed="false">
      <c r="A72" s="2" t="s">
        <v>134</v>
      </c>
      <c r="B72" s="27" t="s">
        <v>201</v>
      </c>
      <c r="C72" s="28" t="n">
        <v>2350316</v>
      </c>
      <c r="D72" s="28" t="n">
        <f aca="false">決算精算表!C32</f>
        <v>2350316</v>
      </c>
      <c r="E72" s="28" t="n">
        <f aca="false">D72-N(C72)</f>
        <v>0</v>
      </c>
      <c r="F72" s="2" t="str">
        <f aca="false">IF(AND(C72&lt;&gt;"",ROUND(E72,2)=0),"一致",IF(G72&lt;&gt;"","変更（意図的）","★相違"))</f>
        <v>一致</v>
      </c>
      <c r="G72" s="2"/>
    </row>
    <row r="73" customFormat="false" ht="15" hidden="false" customHeight="false" outlineLevel="0" collapsed="false">
      <c r="A73" s="2" t="s">
        <v>134</v>
      </c>
      <c r="B73" s="27" t="s">
        <v>202</v>
      </c>
      <c r="C73" s="28" t="n">
        <v>13718352</v>
      </c>
      <c r="D73" s="28" t="n">
        <f aca="false">決算精算表!A33</f>
        <v>13718352</v>
      </c>
      <c r="E73" s="28" t="n">
        <f aca="false">D73-N(C73)</f>
        <v>0</v>
      </c>
      <c r="F73" s="2" t="str">
        <f aca="false">IF(AND(C73&lt;&gt;"",ROUND(E73,2)=0),"一致",IF(G73&lt;&gt;"","変更（意図的）","★相違"))</f>
        <v>一致</v>
      </c>
      <c r="G73" s="2"/>
    </row>
    <row r="74" customFormat="false" ht="15" hidden="false" customHeight="false" outlineLevel="0" collapsed="false">
      <c r="A74" s="2" t="s">
        <v>134</v>
      </c>
      <c r="B74" s="27" t="s">
        <v>203</v>
      </c>
      <c r="C74" s="28" t="n">
        <v>13718352</v>
      </c>
      <c r="D74" s="28" t="n">
        <f aca="false">決算精算表!C33</f>
        <v>13718352</v>
      </c>
      <c r="E74" s="28" t="n">
        <f aca="false">D74-N(C74)</f>
        <v>0</v>
      </c>
      <c r="F74" s="2" t="str">
        <f aca="false">IF(AND(C74&lt;&gt;"",ROUND(E74,2)=0),"一致",IF(G74&lt;&gt;"","変更（意図的）","★相違"))</f>
        <v>一致</v>
      </c>
      <c r="G74" s="2"/>
    </row>
    <row r="75" customFormat="false" ht="15" hidden="false" customHeight="false" outlineLevel="0" collapsed="false">
      <c r="A75" s="2" t="s">
        <v>134</v>
      </c>
      <c r="B75" s="27" t="s">
        <v>204</v>
      </c>
      <c r="C75" s="28" t="n">
        <v>54153000</v>
      </c>
      <c r="D75" s="28" t="n">
        <f aca="false">決算精算表!A34</f>
        <v>54153000</v>
      </c>
      <c r="E75" s="28" t="n">
        <f aca="false">D75-N(C75)</f>
        <v>0</v>
      </c>
      <c r="F75" s="2" t="str">
        <f aca="false">IF(AND(C75&lt;&gt;"",ROUND(E75,2)=0),"一致",IF(G75&lt;&gt;"","変更（意図的）","★相違"))</f>
        <v>一致</v>
      </c>
      <c r="G75" s="2"/>
    </row>
    <row r="76" customFormat="false" ht="15" hidden="false" customHeight="false" outlineLevel="0" collapsed="false">
      <c r="A76" s="2" t="s">
        <v>134</v>
      </c>
      <c r="B76" s="27" t="s">
        <v>205</v>
      </c>
      <c r="C76" s="28" t="n">
        <v>54153000</v>
      </c>
      <c r="D76" s="28" t="n">
        <f aca="false">決算精算表!C34</f>
        <v>54153000</v>
      </c>
      <c r="E76" s="28" t="n">
        <f aca="false">D76-N(C76)</f>
        <v>0</v>
      </c>
      <c r="F76" s="2" t="str">
        <f aca="false">IF(AND(C76&lt;&gt;"",ROUND(E76,2)=0),"一致",IF(G76&lt;&gt;"","変更（意図的）","★相違"))</f>
        <v>一致</v>
      </c>
      <c r="G76" s="2"/>
    </row>
    <row r="77" customFormat="false" ht="15" hidden="false" customHeight="false" outlineLevel="0" collapsed="false">
      <c r="A77" s="2" t="s">
        <v>134</v>
      </c>
      <c r="B77" s="27" t="s">
        <v>206</v>
      </c>
      <c r="C77" s="28" t="n">
        <v>176556</v>
      </c>
      <c r="D77" s="28" t="n">
        <f aca="false">決算精算表!A35</f>
        <v>176556</v>
      </c>
      <c r="E77" s="28" t="n">
        <f aca="false">D77-N(C77)</f>
        <v>0</v>
      </c>
      <c r="F77" s="2" t="str">
        <f aca="false">IF(AND(C77&lt;&gt;"",ROUND(E77,2)=0),"一致",IF(G77&lt;&gt;"","変更（意図的）","★相違"))</f>
        <v>一致</v>
      </c>
      <c r="G77" s="2"/>
    </row>
    <row r="78" customFormat="false" ht="15" hidden="false" customHeight="false" outlineLevel="0" collapsed="false">
      <c r="A78" s="2" t="s">
        <v>134</v>
      </c>
      <c r="B78" s="27" t="s">
        <v>207</v>
      </c>
      <c r="C78" s="28" t="n">
        <v>176556</v>
      </c>
      <c r="D78" s="28" t="n">
        <f aca="false">決算精算表!B35</f>
        <v>176556</v>
      </c>
      <c r="E78" s="28" t="n">
        <f aca="false">D78-N(C78)</f>
        <v>0</v>
      </c>
      <c r="F78" s="2" t="str">
        <f aca="false">IF(AND(C78&lt;&gt;"",ROUND(E78,2)=0),"一致",IF(G78&lt;&gt;"","変更（意図的）","★相違"))</f>
        <v>一致</v>
      </c>
      <c r="G78" s="2"/>
    </row>
    <row r="79" customFormat="false" ht="15" hidden="false" customHeight="false" outlineLevel="0" collapsed="false">
      <c r="A79" s="2" t="s">
        <v>134</v>
      </c>
      <c r="B79" s="27" t="s">
        <v>208</v>
      </c>
      <c r="C79" s="28"/>
      <c r="D79" s="28" t="n">
        <f aca="false">決算精算表!C35</f>
        <v>0</v>
      </c>
      <c r="E79" s="28" t="n">
        <f aca="false">D79-N(C79)</f>
        <v>0</v>
      </c>
      <c r="F79" s="2" t="str">
        <f aca="false">IF(AND(C79&lt;&gt;"",ROUND(E79,2)=0),"一致",IF(G79&lt;&gt;"","変更（意図的）","★相違"))</f>
        <v>変更（意図的）</v>
      </c>
      <c r="G79" s="2" t="s">
        <v>142</v>
      </c>
    </row>
    <row r="80" customFormat="false" ht="15" hidden="false" customHeight="false" outlineLevel="0" collapsed="false">
      <c r="A80" s="2" t="s">
        <v>134</v>
      </c>
      <c r="B80" s="27" t="s">
        <v>209</v>
      </c>
      <c r="C80" s="28" t="n">
        <v>0</v>
      </c>
      <c r="D80" s="28" t="n">
        <f aca="false">決算精算表!A36</f>
        <v>0</v>
      </c>
      <c r="E80" s="28" t="n">
        <f aca="false">D80-N(C80)</f>
        <v>0</v>
      </c>
      <c r="F80" s="2" t="str">
        <f aca="false">IF(AND(C80&lt;&gt;"",ROUND(E80,2)=0),"一致",IF(G80&lt;&gt;"","変更（意図的）","★相違"))</f>
        <v>一致</v>
      </c>
      <c r="G80" s="2"/>
    </row>
    <row r="81" customFormat="false" ht="15" hidden="false" customHeight="false" outlineLevel="0" collapsed="false">
      <c r="A81" s="2" t="s">
        <v>134</v>
      </c>
      <c r="B81" s="27" t="s">
        <v>210</v>
      </c>
      <c r="C81" s="28"/>
      <c r="D81" s="28" t="n">
        <f aca="false">決算精算表!C36</f>
        <v>0</v>
      </c>
      <c r="E81" s="28" t="n">
        <f aca="false">D81-N(C81)</f>
        <v>0</v>
      </c>
      <c r="F81" s="2" t="str">
        <f aca="false">IF(AND(C81&lt;&gt;"",ROUND(E81,2)=0),"一致",IF(G81&lt;&gt;"","変更（意図的）","★相違"))</f>
        <v>変更（意図的）</v>
      </c>
      <c r="G81" s="2" t="s">
        <v>142</v>
      </c>
    </row>
    <row r="82" customFormat="false" ht="15" hidden="false" customHeight="false" outlineLevel="0" collapsed="false">
      <c r="A82" s="2" t="s">
        <v>134</v>
      </c>
      <c r="B82" s="27" t="s">
        <v>211</v>
      </c>
      <c r="C82" s="28" t="n">
        <v>0</v>
      </c>
      <c r="D82" s="28" t="n">
        <f aca="false">決算精算表!A37</f>
        <v>0</v>
      </c>
      <c r="E82" s="28" t="n">
        <f aca="false">D82-N(C82)</f>
        <v>0</v>
      </c>
      <c r="F82" s="2" t="str">
        <f aca="false">IF(AND(C82&lt;&gt;"",ROUND(E82,2)=0),"一致",IF(G82&lt;&gt;"","変更（意図的）","★相違"))</f>
        <v>一致</v>
      </c>
      <c r="G82" s="2"/>
    </row>
    <row r="83" customFormat="false" ht="15" hidden="false" customHeight="false" outlineLevel="0" collapsed="false">
      <c r="A83" s="2" t="s">
        <v>134</v>
      </c>
      <c r="B83" s="27" t="s">
        <v>212</v>
      </c>
      <c r="C83" s="28" t="n">
        <v>0</v>
      </c>
      <c r="D83" s="28" t="n">
        <f aca="false">決算精算表!B37</f>
        <v>0</v>
      </c>
      <c r="E83" s="28" t="n">
        <f aca="false">D83-N(C83)</f>
        <v>0</v>
      </c>
      <c r="F83" s="2" t="str">
        <f aca="false">IF(AND(C83&lt;&gt;"",ROUND(E83,2)=0),"一致",IF(G83&lt;&gt;"","変更（意図的）","★相違"))</f>
        <v>一致</v>
      </c>
      <c r="G83" s="2"/>
    </row>
    <row r="84" customFormat="false" ht="15" hidden="false" customHeight="false" outlineLevel="0" collapsed="false">
      <c r="A84" s="2" t="s">
        <v>134</v>
      </c>
      <c r="B84" s="27" t="s">
        <v>213</v>
      </c>
      <c r="C84" s="28"/>
      <c r="D84" s="28" t="n">
        <f aca="false">決算精算表!C37</f>
        <v>0</v>
      </c>
      <c r="E84" s="28" t="n">
        <f aca="false">D84-N(C84)</f>
        <v>0</v>
      </c>
      <c r="F84" s="2" t="str">
        <f aca="false">IF(AND(C84&lt;&gt;"",ROUND(E84,2)=0),"一致",IF(G84&lt;&gt;"","変更（意図的）","★相違"))</f>
        <v>変更（意図的）</v>
      </c>
      <c r="G84" s="2" t="s">
        <v>142</v>
      </c>
    </row>
    <row r="85" customFormat="false" ht="15" hidden="false" customHeight="false" outlineLevel="0" collapsed="false">
      <c r="A85" s="2" t="s">
        <v>134</v>
      </c>
      <c r="B85" s="27" t="s">
        <v>214</v>
      </c>
      <c r="C85" s="28" t="n">
        <v>3603510</v>
      </c>
      <c r="D85" s="28" t="n">
        <f aca="false">決算精算表!A38</f>
        <v>3603510</v>
      </c>
      <c r="E85" s="28" t="n">
        <f aca="false">D85-N(C85)</f>
        <v>0</v>
      </c>
      <c r="F85" s="2" t="str">
        <f aca="false">IF(AND(C85&lt;&gt;"",ROUND(E85,2)=0),"一致",IF(G85&lt;&gt;"","変更（意図的）","★相違"))</f>
        <v>一致</v>
      </c>
      <c r="G85" s="2"/>
    </row>
    <row r="86" customFormat="false" ht="15" hidden="false" customHeight="false" outlineLevel="0" collapsed="false">
      <c r="A86" s="2" t="s">
        <v>134</v>
      </c>
      <c r="B86" s="27" t="s">
        <v>215</v>
      </c>
      <c r="C86" s="28" t="n">
        <v>3603510</v>
      </c>
      <c r="D86" s="28" t="n">
        <f aca="false">決算精算表!B38</f>
        <v>3603510</v>
      </c>
      <c r="E86" s="28" t="n">
        <f aca="false">D86-N(C86)</f>
        <v>0</v>
      </c>
      <c r="F86" s="2" t="str">
        <f aca="false">IF(AND(C86&lt;&gt;"",ROUND(E86,2)=0),"一致",IF(G86&lt;&gt;"","変更（意図的）","★相違"))</f>
        <v>一致</v>
      </c>
      <c r="G86" s="2"/>
    </row>
    <row r="87" customFormat="false" ht="15" hidden="false" customHeight="false" outlineLevel="0" collapsed="false">
      <c r="A87" s="2" t="s">
        <v>134</v>
      </c>
      <c r="B87" s="27" t="s">
        <v>216</v>
      </c>
      <c r="C87" s="28" t="n">
        <v>5312157</v>
      </c>
      <c r="D87" s="28" t="n">
        <f aca="false">決算精算表!B39</f>
        <v>5312157</v>
      </c>
      <c r="E87" s="28" t="n">
        <f aca="false">D87-N(C87)</f>
        <v>0</v>
      </c>
      <c r="F87" s="2" t="str">
        <f aca="false">IF(AND(C87&lt;&gt;"",ROUND(E87,2)=0),"一致",IF(G87&lt;&gt;"","変更（意図的）","★相違"))</f>
        <v>一致</v>
      </c>
      <c r="G87" s="2"/>
    </row>
    <row r="88" customFormat="false" ht="15" hidden="false" customHeight="false" outlineLevel="0" collapsed="false">
      <c r="A88" s="2" t="s">
        <v>134</v>
      </c>
      <c r="B88" s="27" t="s">
        <v>217</v>
      </c>
      <c r="C88" s="28" t="n">
        <v>94968000</v>
      </c>
      <c r="D88" s="28" t="n">
        <f aca="false">決算精算表!E39</f>
        <v>94968000</v>
      </c>
      <c r="E88" s="28" t="n">
        <f aca="false">D88-N(C88)</f>
        <v>0</v>
      </c>
      <c r="F88" s="2" t="str">
        <f aca="false">IF(AND(C88&lt;&gt;"",ROUND(E88,2)=0),"一致",IF(G88&lt;&gt;"","変更（意図的）","★相違"))</f>
        <v>一致</v>
      </c>
      <c r="G88" s="2"/>
    </row>
    <row r="89" customFormat="false" ht="15" hidden="false" customHeight="false" outlineLevel="0" collapsed="false">
      <c r="A89" s="2" t="s">
        <v>134</v>
      </c>
      <c r="B89" s="27" t="s">
        <v>218</v>
      </c>
      <c r="C89" s="28" t="n">
        <v>89655843</v>
      </c>
      <c r="D89" s="28" t="n">
        <f aca="false">決算精算表!G39</f>
        <v>89655843</v>
      </c>
      <c r="E89" s="28" t="n">
        <f aca="false">D89-N(C89)</f>
        <v>0</v>
      </c>
      <c r="F89" s="2" t="str">
        <f aca="false">IF(AND(C89&lt;&gt;"",ROUND(E89,2)=0),"一致",IF(G89&lt;&gt;"","変更（意図的）","★相違"))</f>
        <v>一致</v>
      </c>
      <c r="G89" s="2"/>
    </row>
    <row r="90" customFormat="false" ht="15" hidden="false" customHeight="false" outlineLevel="0" collapsed="false">
      <c r="A90" s="2" t="s">
        <v>134</v>
      </c>
      <c r="B90" s="27" t="s">
        <v>219</v>
      </c>
      <c r="C90" s="28" t="n">
        <v>77607</v>
      </c>
      <c r="D90" s="28" t="n">
        <f aca="false">決算精算表!E40</f>
        <v>77607</v>
      </c>
      <c r="E90" s="28" t="n">
        <f aca="false">D90-N(C90)</f>
        <v>0</v>
      </c>
      <c r="F90" s="2" t="str">
        <f aca="false">IF(AND(C90&lt;&gt;"",ROUND(E90,2)=0),"一致",IF(G90&lt;&gt;"","変更（意図的）","★相違"))</f>
        <v>一致</v>
      </c>
      <c r="G90" s="2"/>
    </row>
    <row r="91" customFormat="false" ht="15" hidden="false" customHeight="false" outlineLevel="0" collapsed="false">
      <c r="A91" s="2" t="s">
        <v>134</v>
      </c>
      <c r="B91" s="27" t="s">
        <v>220</v>
      </c>
      <c r="C91" s="28" t="n">
        <v>77607</v>
      </c>
      <c r="D91" s="28" t="n">
        <f aca="false">決算精算表!G40</f>
        <v>77607</v>
      </c>
      <c r="E91" s="28" t="n">
        <f aca="false">D91-N(C91)</f>
        <v>0</v>
      </c>
      <c r="F91" s="2" t="str">
        <f aca="false">IF(AND(C91&lt;&gt;"",ROUND(E91,2)=0),"一致",IF(G91&lt;&gt;"","変更（意図的）","★相違"))</f>
        <v>一致</v>
      </c>
      <c r="G91" s="2"/>
    </row>
    <row r="92" customFormat="false" ht="15" hidden="false" customHeight="false" outlineLevel="0" collapsed="false">
      <c r="A92" s="2" t="s">
        <v>134</v>
      </c>
      <c r="B92" s="27" t="s">
        <v>221</v>
      </c>
      <c r="C92" s="28"/>
      <c r="D92" s="28" t="n">
        <f aca="false">決算精算表!E41</f>
        <v>0</v>
      </c>
      <c r="E92" s="28" t="n">
        <f aca="false">D92-N(C92)</f>
        <v>0</v>
      </c>
      <c r="F92" s="2" t="str">
        <f aca="false">IF(AND(C92&lt;&gt;"",ROUND(E92,2)=0),"一致",IF(G92&lt;&gt;"","変更（意図的）","★相違"))</f>
        <v>変更（意図的）</v>
      </c>
      <c r="G92" s="2" t="s">
        <v>142</v>
      </c>
    </row>
    <row r="93" customFormat="false" ht="15" hidden="false" customHeight="false" outlineLevel="0" collapsed="false">
      <c r="A93" s="2" t="s">
        <v>134</v>
      </c>
      <c r="B93" s="27" t="s">
        <v>222</v>
      </c>
      <c r="C93" s="28" t="n">
        <v>0</v>
      </c>
      <c r="D93" s="28" t="n">
        <f aca="false">決算精算表!G41</f>
        <v>0</v>
      </c>
      <c r="E93" s="28" t="n">
        <f aca="false">D93-N(C93)</f>
        <v>0</v>
      </c>
      <c r="F93" s="2" t="str">
        <f aca="false">IF(AND(C93&lt;&gt;"",ROUND(E93,2)=0),"一致",IF(G93&lt;&gt;"","変更（意図的）","★相違"))</f>
        <v>一致</v>
      </c>
      <c r="G93" s="2"/>
    </row>
    <row r="94" customFormat="false" ht="15" hidden="false" customHeight="false" outlineLevel="0" collapsed="false">
      <c r="A94" s="2" t="s">
        <v>134</v>
      </c>
      <c r="B94" s="27" t="s">
        <v>223</v>
      </c>
      <c r="C94" s="28" t="n">
        <v>23159738</v>
      </c>
      <c r="D94" s="28" t="n">
        <f aca="false">決算精算表!E42</f>
        <v>23159738</v>
      </c>
      <c r="E94" s="28" t="n">
        <f aca="false">D94-N(C94)</f>
        <v>0</v>
      </c>
      <c r="F94" s="2" t="str">
        <f aca="false">IF(AND(C94&lt;&gt;"",ROUND(E94,2)=0),"一致",IF(G94&lt;&gt;"","変更（意図的）","★相違"))</f>
        <v>一致</v>
      </c>
      <c r="G94" s="2"/>
    </row>
    <row r="95" customFormat="false" ht="15" hidden="false" customHeight="false" outlineLevel="0" collapsed="false">
      <c r="A95" s="2" t="s">
        <v>134</v>
      </c>
      <c r="B95" s="27" t="s">
        <v>224</v>
      </c>
      <c r="C95" s="28" t="n">
        <v>23159738</v>
      </c>
      <c r="D95" s="28" t="n">
        <f aca="false">決算精算表!G42</f>
        <v>23159738</v>
      </c>
      <c r="E95" s="28" t="n">
        <f aca="false">D95-N(C95)</f>
        <v>0</v>
      </c>
      <c r="F95" s="2" t="str">
        <f aca="false">IF(AND(C95&lt;&gt;"",ROUND(E95,2)=0),"一致",IF(G95&lt;&gt;"","変更（意図的）","★相違"))</f>
        <v>一致</v>
      </c>
      <c r="G95" s="2"/>
    </row>
    <row r="96" customFormat="false" ht="15" hidden="false" customHeight="false" outlineLevel="0" collapsed="false">
      <c r="A96" s="2" t="s">
        <v>134</v>
      </c>
      <c r="B96" s="27" t="s">
        <v>225</v>
      </c>
      <c r="C96" s="28"/>
      <c r="D96" s="28" t="n">
        <f aca="false">決算精算表!E43</f>
        <v>0</v>
      </c>
      <c r="E96" s="28" t="n">
        <f aca="false">D96-N(C96)</f>
        <v>0</v>
      </c>
      <c r="F96" s="2" t="str">
        <f aca="false">IF(AND(C96&lt;&gt;"",ROUND(E96,2)=0),"一致",IF(G96&lt;&gt;"","変更（意図的）","★相違"))</f>
        <v>変更（意図的）</v>
      </c>
      <c r="G96" s="2" t="s">
        <v>142</v>
      </c>
    </row>
    <row r="97" customFormat="false" ht="15" hidden="false" customHeight="false" outlineLevel="0" collapsed="false">
      <c r="A97" s="2" t="s">
        <v>134</v>
      </c>
      <c r="B97" s="27" t="s">
        <v>226</v>
      </c>
      <c r="C97" s="28" t="n">
        <v>0</v>
      </c>
      <c r="D97" s="28" t="n">
        <f aca="false">決算精算表!G43</f>
        <v>0</v>
      </c>
      <c r="E97" s="28" t="n">
        <f aca="false">D97-N(C97)</f>
        <v>0</v>
      </c>
      <c r="F97" s="2" t="str">
        <f aca="false">IF(AND(C97&lt;&gt;"",ROUND(E97,2)=0),"一致",IF(G97&lt;&gt;"","変更（意図的）","★相違"))</f>
        <v>一致</v>
      </c>
      <c r="G97" s="2"/>
    </row>
    <row r="98" customFormat="false" ht="15" hidden="false" customHeight="false" outlineLevel="0" collapsed="false">
      <c r="A98" s="2" t="s">
        <v>134</v>
      </c>
      <c r="B98" s="27" t="s">
        <v>227</v>
      </c>
      <c r="C98" s="28"/>
      <c r="D98" s="28" t="n">
        <f aca="false">決算精算表!E44</f>
        <v>0</v>
      </c>
      <c r="E98" s="28" t="n">
        <f aca="false">D98-N(C98)</f>
        <v>0</v>
      </c>
      <c r="F98" s="2" t="str">
        <f aca="false">IF(AND(C98&lt;&gt;"",ROUND(E98,2)=0),"一致",IF(G98&lt;&gt;"","変更（意図的）","★相違"))</f>
        <v>変更（意図的）</v>
      </c>
      <c r="G98" s="2" t="s">
        <v>142</v>
      </c>
    </row>
    <row r="99" customFormat="false" ht="15" hidden="false" customHeight="false" outlineLevel="0" collapsed="false">
      <c r="A99" s="2" t="s">
        <v>134</v>
      </c>
      <c r="B99" s="27" t="s">
        <v>228</v>
      </c>
      <c r="C99" s="28" t="n">
        <v>11834281</v>
      </c>
      <c r="D99" s="28" t="n">
        <f aca="false">決算精算表!F44</f>
        <v>11834281</v>
      </c>
      <c r="E99" s="28" t="n">
        <f aca="false">D99-N(C99)</f>
        <v>0</v>
      </c>
      <c r="F99" s="2" t="str">
        <f aca="false">IF(AND(C99&lt;&gt;"",ROUND(E99,2)=0),"一致",IF(G99&lt;&gt;"","変更（意図的）","★相違"))</f>
        <v>一致</v>
      </c>
      <c r="G99" s="2"/>
    </row>
    <row r="100" customFormat="false" ht="15" hidden="false" customHeight="false" outlineLevel="0" collapsed="false">
      <c r="A100" s="2" t="s">
        <v>134</v>
      </c>
      <c r="B100" s="27" t="s">
        <v>229</v>
      </c>
      <c r="C100" s="28" t="n">
        <v>11834281</v>
      </c>
      <c r="D100" s="28" t="n">
        <f aca="false">決算精算表!G44</f>
        <v>11834281</v>
      </c>
      <c r="E100" s="28" t="n">
        <f aca="false">D100-N(C100)</f>
        <v>0</v>
      </c>
      <c r="F100" s="2" t="str">
        <f aca="false">IF(AND(C100&lt;&gt;"",ROUND(E100,2)=0),"一致",IF(G100&lt;&gt;"","変更（意図的）","★相違"))</f>
        <v>一致</v>
      </c>
      <c r="G100" s="2"/>
    </row>
    <row r="101" customFormat="false" ht="15" hidden="false" customHeight="false" outlineLevel="0" collapsed="false">
      <c r="A101" s="2" t="s">
        <v>134</v>
      </c>
      <c r="B101" s="27" t="s">
        <v>230</v>
      </c>
      <c r="C101" s="28"/>
      <c r="D101" s="28" t="n">
        <f aca="false">決算精算表!E45</f>
        <v>0</v>
      </c>
      <c r="E101" s="28" t="n">
        <f aca="false">D101-N(C101)</f>
        <v>0</v>
      </c>
      <c r="F101" s="2" t="str">
        <f aca="false">IF(AND(C101&lt;&gt;"",ROUND(E101,2)=0),"一致",IF(G101&lt;&gt;"","変更（意図的）","★相違"))</f>
        <v>変更（意図的）</v>
      </c>
      <c r="G101" s="2" t="s">
        <v>142</v>
      </c>
    </row>
    <row r="102" customFormat="false" ht="15" hidden="false" customHeight="false" outlineLevel="0" collapsed="false">
      <c r="A102" s="2" t="s">
        <v>134</v>
      </c>
      <c r="B102" s="27" t="s">
        <v>231</v>
      </c>
      <c r="C102" s="28" t="n">
        <v>0</v>
      </c>
      <c r="D102" s="28" t="n">
        <f aca="false">決算精算表!G45</f>
        <v>0</v>
      </c>
      <c r="E102" s="28" t="n">
        <f aca="false">D102-N(C102)</f>
        <v>0</v>
      </c>
      <c r="F102" s="2" t="str">
        <f aca="false">IF(AND(C102&lt;&gt;"",ROUND(E102,2)=0),"一致",IF(G102&lt;&gt;"","変更（意図的）","★相違"))</f>
        <v>一致</v>
      </c>
      <c r="G102" s="2"/>
    </row>
    <row r="103" customFormat="false" ht="15" hidden="false" customHeight="false" outlineLevel="0" collapsed="false">
      <c r="A103" s="2" t="s">
        <v>134</v>
      </c>
      <c r="B103" s="27" t="s">
        <v>232</v>
      </c>
      <c r="C103" s="28"/>
      <c r="D103" s="28" t="n">
        <f aca="false">決算精算表!E46</f>
        <v>0</v>
      </c>
      <c r="E103" s="28" t="n">
        <f aca="false">D103-N(C103)</f>
        <v>0</v>
      </c>
      <c r="F103" s="2" t="str">
        <f aca="false">IF(AND(C103&lt;&gt;"",ROUND(E103,2)=0),"一致",IF(G103&lt;&gt;"","変更（意図的）","★相違"))</f>
        <v>変更（意図的）</v>
      </c>
      <c r="G103" s="2" t="s">
        <v>142</v>
      </c>
    </row>
    <row r="104" customFormat="false" ht="15" hidden="false" customHeight="false" outlineLevel="0" collapsed="false">
      <c r="A104" s="2" t="s">
        <v>134</v>
      </c>
      <c r="B104" s="27" t="s">
        <v>233</v>
      </c>
      <c r="C104" s="28"/>
      <c r="D104" s="28" t="n">
        <f aca="false">決算精算表!F46</f>
        <v>0</v>
      </c>
      <c r="E104" s="28" t="n">
        <f aca="false">D104-N(C104)</f>
        <v>0</v>
      </c>
      <c r="F104" s="2" t="str">
        <f aca="false">IF(AND(C104&lt;&gt;"",ROUND(E104,2)=0),"一致",IF(G104&lt;&gt;"","変更（意図的）","★相違"))</f>
        <v>変更（意図的）</v>
      </c>
      <c r="G104" s="2" t="s">
        <v>142</v>
      </c>
    </row>
    <row r="105" customFormat="false" ht="15" hidden="false" customHeight="false" outlineLevel="0" collapsed="false">
      <c r="A105" s="2" t="s">
        <v>134</v>
      </c>
      <c r="B105" s="27" t="s">
        <v>234</v>
      </c>
      <c r="C105" s="28" t="n">
        <v>0</v>
      </c>
      <c r="D105" s="28" t="n">
        <f aca="false">決算精算表!G46</f>
        <v>0</v>
      </c>
      <c r="E105" s="28" t="n">
        <f aca="false">D105-N(C105)</f>
        <v>0</v>
      </c>
      <c r="F105" s="2" t="str">
        <f aca="false">IF(AND(C105&lt;&gt;"",ROUND(E105,2)=0),"一致",IF(G105&lt;&gt;"","変更（意図的）","★相違"))</f>
        <v>一致</v>
      </c>
      <c r="G105" s="2"/>
    </row>
    <row r="106" customFormat="false" ht="15" hidden="false" customHeight="false" outlineLevel="0" collapsed="false">
      <c r="A106" s="2" t="s">
        <v>134</v>
      </c>
      <c r="B106" s="27" t="s">
        <v>235</v>
      </c>
      <c r="C106" s="28" t="n">
        <v>124727469</v>
      </c>
      <c r="D106" s="28" t="n">
        <f aca="false">決算精算表!A47</f>
        <v>124727469</v>
      </c>
      <c r="E106" s="28" t="n">
        <f aca="false">D106-N(C106)</f>
        <v>0</v>
      </c>
      <c r="F106" s="2" t="str">
        <f aca="false">IF(AND(C106&lt;&gt;"",ROUND(E106,2)=0),"一致",IF(G106&lt;&gt;"","変更（意図的）","★相違"))</f>
        <v>一致</v>
      </c>
      <c r="G106" s="2"/>
    </row>
    <row r="107" customFormat="false" ht="15" hidden="false" customHeight="false" outlineLevel="0" collapsed="false">
      <c r="A107" s="2" t="s">
        <v>134</v>
      </c>
      <c r="B107" s="27" t="s">
        <v>236</v>
      </c>
      <c r="C107" s="28" t="n">
        <v>13810756</v>
      </c>
      <c r="D107" s="28" t="n">
        <f aca="false">決算精算表!B47</f>
        <v>13810756</v>
      </c>
      <c r="E107" s="28" t="n">
        <f aca="false">D107-N(C107)</f>
        <v>0</v>
      </c>
      <c r="F107" s="2" t="str">
        <f aca="false">IF(AND(C107&lt;&gt;"",ROUND(E107,2)=0),"一致",IF(G107&lt;&gt;"","変更（意図的）","★相違"))</f>
        <v>一致</v>
      </c>
      <c r="G107" s="2"/>
    </row>
    <row r="108" customFormat="false" ht="15" hidden="false" customHeight="false" outlineLevel="0" collapsed="false">
      <c r="A108" s="2" t="s">
        <v>134</v>
      </c>
      <c r="B108" s="27" t="s">
        <v>237</v>
      </c>
      <c r="C108" s="28" t="n">
        <v>116228870</v>
      </c>
      <c r="D108" s="28" t="n">
        <f aca="false">決算精算表!C47</f>
        <v>116228870</v>
      </c>
      <c r="E108" s="28" t="n">
        <f aca="false">D108-N(C108)</f>
        <v>0</v>
      </c>
      <c r="F108" s="2" t="str">
        <f aca="false">IF(AND(C108&lt;&gt;"",ROUND(E108,2)=0),"一致",IF(G108&lt;&gt;"","変更（意図的）","★相違"))</f>
        <v>一致</v>
      </c>
      <c r="G108" s="2"/>
    </row>
    <row r="109" customFormat="false" ht="15" hidden="false" customHeight="false" outlineLevel="0" collapsed="false">
      <c r="A109" s="2" t="s">
        <v>134</v>
      </c>
      <c r="B109" s="27" t="s">
        <v>238</v>
      </c>
      <c r="C109" s="28" t="n">
        <v>118205345</v>
      </c>
      <c r="D109" s="28" t="n">
        <f aca="false">決算精算表!E47</f>
        <v>118205345</v>
      </c>
      <c r="E109" s="28" t="n">
        <f aca="false">D109-N(C109)</f>
        <v>0</v>
      </c>
      <c r="F109" s="2" t="str">
        <f aca="false">IF(AND(C109&lt;&gt;"",ROUND(E109,2)=0),"一致",IF(G109&lt;&gt;"","変更（意図的）","★相違"))</f>
        <v>一致</v>
      </c>
      <c r="G109" s="2"/>
    </row>
    <row r="110" customFormat="false" ht="15" hidden="false" customHeight="false" outlineLevel="0" collapsed="false">
      <c r="A110" s="2" t="s">
        <v>134</v>
      </c>
      <c r="B110" s="27" t="s">
        <v>239</v>
      </c>
      <c r="C110" s="28" t="n">
        <v>11834281</v>
      </c>
      <c r="D110" s="28" t="n">
        <f aca="false">決算精算表!F47</f>
        <v>11834281</v>
      </c>
      <c r="E110" s="28" t="n">
        <f aca="false">D110-N(C110)</f>
        <v>0</v>
      </c>
      <c r="F110" s="2" t="str">
        <f aca="false">IF(AND(C110&lt;&gt;"",ROUND(E110,2)=0),"一致",IF(G110&lt;&gt;"","変更（意図的）","★相違"))</f>
        <v>一致</v>
      </c>
      <c r="G110" s="2"/>
    </row>
    <row r="111" customFormat="false" ht="15" hidden="false" customHeight="false" outlineLevel="0" collapsed="false">
      <c r="A111" s="2" t="s">
        <v>134</v>
      </c>
      <c r="B111" s="27" t="s">
        <v>240</v>
      </c>
      <c r="C111" s="28" t="n">
        <v>124727469</v>
      </c>
      <c r="D111" s="28" t="n">
        <f aca="false">決算精算表!G47</f>
        <v>124727469</v>
      </c>
      <c r="E111" s="28" t="n">
        <f aca="false">D111-N(C111)</f>
        <v>0</v>
      </c>
      <c r="F111" s="2" t="str">
        <f aca="false">IF(AND(C111&lt;&gt;"",ROUND(E111,2)=0),"一致",IF(G111&lt;&gt;"","変更（意図的）","★相違"))</f>
        <v>一致</v>
      </c>
      <c r="G111" s="2"/>
    </row>
    <row r="112" customFormat="false" ht="15" hidden="false" customHeight="false" outlineLevel="0" collapsed="false">
      <c r="A112" s="2" t="s">
        <v>134</v>
      </c>
      <c r="B112" s="27" t="s">
        <v>241</v>
      </c>
      <c r="C112" s="28" t="n">
        <v>209902719</v>
      </c>
      <c r="D112" s="28" t="n">
        <f aca="false">決算精算表!A48</f>
        <v>209902719</v>
      </c>
      <c r="E112" s="28" t="n">
        <f aca="false">D112-N(C112)</f>
        <v>0</v>
      </c>
      <c r="F112" s="2" t="str">
        <f aca="false">IF(AND(C112&lt;&gt;"",ROUND(E112,2)=0),"一致",IF(G112&lt;&gt;"","変更（意図的）","★相違"))</f>
        <v>一致</v>
      </c>
      <c r="G112" s="2"/>
    </row>
    <row r="113" customFormat="false" ht="15" hidden="false" customHeight="false" outlineLevel="0" collapsed="false">
      <c r="A113" s="2" t="s">
        <v>134</v>
      </c>
      <c r="B113" s="27" t="s">
        <v>242</v>
      </c>
      <c r="C113" s="28" t="n">
        <v>29250903</v>
      </c>
      <c r="D113" s="28" t="n">
        <f aca="false">決算精算表!B48</f>
        <v>29250903</v>
      </c>
      <c r="E113" s="28" t="n">
        <f aca="false">D113-N(C113)</f>
        <v>0</v>
      </c>
      <c r="F113" s="2" t="str">
        <f aca="false">IF(AND(C113&lt;&gt;"",ROUND(E113,2)=0),"一致",IF(G113&lt;&gt;"","変更（意図的）","★相違"))</f>
        <v>一致</v>
      </c>
      <c r="G113" s="2"/>
    </row>
    <row r="114" customFormat="false" ht="15" hidden="false" customHeight="false" outlineLevel="0" collapsed="false">
      <c r="A114" s="2" t="s">
        <v>134</v>
      </c>
      <c r="B114" s="27" t="s">
        <v>243</v>
      </c>
      <c r="C114" s="28" t="n">
        <v>189744039</v>
      </c>
      <c r="D114" s="28" t="n">
        <f aca="false">決算精算表!C48</f>
        <v>189744039</v>
      </c>
      <c r="E114" s="28" t="n">
        <f aca="false">D114-N(C114)</f>
        <v>0</v>
      </c>
      <c r="F114" s="2" t="str">
        <f aca="false">IF(AND(C114&lt;&gt;"",ROUND(E114,2)=0),"一致",IF(G114&lt;&gt;"","変更（意図的）","★相違"))</f>
        <v>一致</v>
      </c>
      <c r="G114" s="2"/>
    </row>
    <row r="115" customFormat="false" ht="15" hidden="false" customHeight="false" outlineLevel="0" collapsed="false">
      <c r="A115" s="2" t="s">
        <v>134</v>
      </c>
      <c r="B115" s="27" t="s">
        <v>244</v>
      </c>
      <c r="C115" s="28" t="n">
        <v>189744039</v>
      </c>
      <c r="D115" s="28" t="n">
        <f aca="false">決算精算表!E48</f>
        <v>189744039</v>
      </c>
      <c r="E115" s="28" t="n">
        <f aca="false">D115-N(C115)</f>
        <v>0</v>
      </c>
      <c r="F115" s="2" t="str">
        <f aca="false">IF(AND(C115&lt;&gt;"",ROUND(E115,2)=0),"一致",IF(G115&lt;&gt;"","変更（意図的）","★相違"))</f>
        <v>一致</v>
      </c>
      <c r="G115" s="2"/>
    </row>
    <row r="116" customFormat="false" ht="15" hidden="false" customHeight="false" outlineLevel="0" collapsed="false">
      <c r="A116" s="2" t="s">
        <v>134</v>
      </c>
      <c r="B116" s="27" t="s">
        <v>245</v>
      </c>
      <c r="C116" s="28" t="n">
        <v>29250903</v>
      </c>
      <c r="D116" s="28" t="n">
        <f aca="false">決算精算表!F48</f>
        <v>29250903</v>
      </c>
      <c r="E116" s="28" t="n">
        <f aca="false">D116-N(C116)</f>
        <v>0</v>
      </c>
      <c r="F116" s="2" t="str">
        <f aca="false">IF(AND(C116&lt;&gt;"",ROUND(E116,2)=0),"一致",IF(G116&lt;&gt;"","変更（意図的）","★相違"))</f>
        <v>一致</v>
      </c>
      <c r="G116" s="2"/>
    </row>
    <row r="117" customFormat="false" ht="15" hidden="false" customHeight="false" outlineLevel="0" collapsed="false">
      <c r="A117" s="2" t="s">
        <v>134</v>
      </c>
      <c r="B117" s="27" t="s">
        <v>246</v>
      </c>
      <c r="C117" s="28" t="n">
        <v>209902719</v>
      </c>
      <c r="D117" s="28" t="n">
        <f aca="false">決算精算表!G48</f>
        <v>209902719</v>
      </c>
      <c r="E117" s="28" t="n">
        <f aca="false">D117-N(C117)</f>
        <v>0</v>
      </c>
      <c r="F117" s="2" t="str">
        <f aca="false">IF(AND(C117&lt;&gt;"",ROUND(E117,2)=0),"一致",IF(G117&lt;&gt;"","変更（意図的）","★相違"))</f>
        <v>一致</v>
      </c>
      <c r="G117" s="2"/>
    </row>
    <row r="118" customFormat="false" ht="15" hidden="false" customHeight="false" outlineLevel="0" collapsed="false">
      <c r="A118" s="2" t="s">
        <v>247</v>
      </c>
      <c r="B118" s="27" t="s">
        <v>248</v>
      </c>
      <c r="C118" s="28" t="n">
        <v>84967860</v>
      </c>
      <c r="D118" s="28" t="n">
        <f aca="false">財務諸表!D6</f>
        <v>84967860</v>
      </c>
      <c r="E118" s="28" t="n">
        <f aca="false">D118-N(C118)</f>
        <v>0</v>
      </c>
      <c r="F118" s="2" t="str">
        <f aca="false">IF(AND(C118&lt;&gt;"",ROUND(E118,2)=0),"一致",IF(G118&lt;&gt;"","変更（意図的）","★相違"))</f>
        <v>一致</v>
      </c>
      <c r="G118" s="2"/>
    </row>
    <row r="119" customFormat="false" ht="15" hidden="false" customHeight="false" outlineLevel="0" collapsed="false">
      <c r="A119" s="2" t="s">
        <v>247</v>
      </c>
      <c r="B119" s="27" t="s">
        <v>249</v>
      </c>
      <c r="C119" s="28" t="n">
        <v>10477829</v>
      </c>
      <c r="D119" s="28" t="n">
        <f aca="false">財務諸表!H6</f>
        <v>10477829</v>
      </c>
      <c r="E119" s="28" t="n">
        <f aca="false">D119-N(C119)</f>
        <v>0</v>
      </c>
      <c r="F119" s="2" t="str">
        <f aca="false">IF(AND(C119&lt;&gt;"",ROUND(E119,2)=0),"一致",IF(G119&lt;&gt;"","変更（意図的）","★相違"))</f>
        <v>一致</v>
      </c>
      <c r="G119" s="2"/>
    </row>
    <row r="120" customFormat="false" ht="15" hidden="false" customHeight="false" outlineLevel="0" collapsed="false">
      <c r="A120" s="2" t="s">
        <v>247</v>
      </c>
      <c r="B120" s="27" t="s">
        <v>250</v>
      </c>
      <c r="C120" s="28" t="n">
        <v>72939159</v>
      </c>
      <c r="D120" s="28" t="n">
        <f aca="false">財務諸表!C7</f>
        <v>72939159</v>
      </c>
      <c r="E120" s="28" t="n">
        <f aca="false">D120-N(C120)</f>
        <v>0</v>
      </c>
      <c r="F120" s="2" t="str">
        <f aca="false">IF(AND(C120&lt;&gt;"",ROUND(E120,2)=0),"一致",IF(G120&lt;&gt;"","変更（意図的）","★相違"))</f>
        <v>一致</v>
      </c>
      <c r="G120" s="2"/>
    </row>
    <row r="121" customFormat="false" ht="15" hidden="false" customHeight="false" outlineLevel="0" collapsed="false">
      <c r="A121" s="2" t="s">
        <v>247</v>
      </c>
      <c r="B121" s="27" t="s">
        <v>251</v>
      </c>
      <c r="C121" s="28" t="n">
        <v>9597685</v>
      </c>
      <c r="D121" s="28" t="n">
        <f aca="false">財務諸表!G7</f>
        <v>9597685</v>
      </c>
      <c r="E121" s="28" t="n">
        <f aca="false">D121-N(C121)</f>
        <v>0</v>
      </c>
      <c r="F121" s="2" t="str">
        <f aca="false">IF(AND(C121&lt;&gt;"",ROUND(E121,2)=0),"一致",IF(G121&lt;&gt;"","変更（意図的）","★相違"))</f>
        <v>一致</v>
      </c>
      <c r="G121" s="2"/>
    </row>
    <row r="122" customFormat="false" ht="15" hidden="false" customHeight="false" outlineLevel="0" collapsed="false">
      <c r="A122" s="2" t="s">
        <v>247</v>
      </c>
      <c r="B122" s="27" t="s">
        <v>252</v>
      </c>
      <c r="C122" s="28" t="n">
        <v>194420</v>
      </c>
      <c r="D122" s="28" t="n">
        <f aca="false">財務諸表!C8</f>
        <v>194420</v>
      </c>
      <c r="E122" s="28" t="n">
        <f aca="false">D122-N(C122)</f>
        <v>0</v>
      </c>
      <c r="F122" s="2" t="str">
        <f aca="false">IF(AND(C122&lt;&gt;"",ROUND(E122,2)=0),"一致",IF(G122&lt;&gt;"","変更（意図的）","★相違"))</f>
        <v>一致</v>
      </c>
      <c r="G122" s="2"/>
    </row>
    <row r="123" customFormat="false" ht="15" hidden="false" customHeight="false" outlineLevel="0" collapsed="false">
      <c r="A123" s="2" t="s">
        <v>247</v>
      </c>
      <c r="B123" s="27" t="s">
        <v>253</v>
      </c>
      <c r="C123" s="28" t="n">
        <v>435361</v>
      </c>
      <c r="D123" s="28" t="n">
        <f aca="false">財務諸表!G8</f>
        <v>435361</v>
      </c>
      <c r="E123" s="28" t="n">
        <f aca="false">D123-N(C123)</f>
        <v>0</v>
      </c>
      <c r="F123" s="2" t="str">
        <f aca="false">IF(AND(C123&lt;&gt;"",ROUND(E123,2)=0),"一致",IF(G123&lt;&gt;"","変更（意図的）","★相違"))</f>
        <v>一致</v>
      </c>
      <c r="G123" s="2"/>
    </row>
    <row r="124" customFormat="false" ht="15" hidden="false" customHeight="false" outlineLevel="0" collapsed="false">
      <c r="A124" s="2" t="s">
        <v>247</v>
      </c>
      <c r="B124" s="27" t="s">
        <v>136</v>
      </c>
      <c r="C124" s="28" t="n">
        <v>11834281</v>
      </c>
      <c r="D124" s="28" t="n">
        <f aca="false">財務諸表!C9</f>
        <v>11834281</v>
      </c>
      <c r="E124" s="28" t="n">
        <f aca="false">D124-N(C124)</f>
        <v>0</v>
      </c>
      <c r="F124" s="2" t="str">
        <f aca="false">IF(AND(C124&lt;&gt;"",ROUND(E124,2)=0),"一致",IF(G124&lt;&gt;"","変更（意図的）","★相違"))</f>
        <v>一致</v>
      </c>
      <c r="G124" s="2"/>
    </row>
    <row r="125" customFormat="false" ht="15" hidden="false" customHeight="false" outlineLevel="0" collapsed="false">
      <c r="A125" s="2" t="s">
        <v>247</v>
      </c>
      <c r="B125" s="27" t="s">
        <v>254</v>
      </c>
      <c r="C125" s="28" t="n">
        <v>227940</v>
      </c>
      <c r="D125" s="28" t="n">
        <f aca="false">財務諸表!G9</f>
        <v>227940</v>
      </c>
      <c r="E125" s="28" t="n">
        <f aca="false">D125-N(C125)</f>
        <v>0</v>
      </c>
      <c r="F125" s="2" t="str">
        <f aca="false">IF(AND(C125&lt;&gt;"",ROUND(E125,2)=0),"一致",IF(G125&lt;&gt;"","変更（意図的）","★相違"))</f>
        <v>一致</v>
      </c>
      <c r="G125" s="2"/>
    </row>
    <row r="126" customFormat="false" ht="15" hidden="false" customHeight="false" outlineLevel="0" collapsed="false">
      <c r="A126" s="2" t="s">
        <v>247</v>
      </c>
      <c r="B126" s="27" t="s">
        <v>255</v>
      </c>
      <c r="C126" s="28" t="n">
        <v>216843</v>
      </c>
      <c r="D126" s="28" t="n">
        <f aca="false">財務諸表!G10</f>
        <v>216843</v>
      </c>
      <c r="E126" s="28" t="n">
        <f aca="false">D126-N(C126)</f>
        <v>0</v>
      </c>
      <c r="F126" s="2" t="str">
        <f aca="false">IF(AND(C126&lt;&gt;"",ROUND(E126,2)=0),"一致",IF(G126&lt;&gt;"","変更（意図的）","★相違"))</f>
        <v>一致</v>
      </c>
      <c r="G126" s="2"/>
    </row>
    <row r="127" customFormat="false" ht="15" hidden="false" customHeight="false" outlineLevel="0" collapsed="false">
      <c r="A127" s="2" t="s">
        <v>247</v>
      </c>
      <c r="B127" s="27" t="s">
        <v>256</v>
      </c>
      <c r="C127" s="28" t="n">
        <v>207390</v>
      </c>
      <c r="D127" s="28" t="n">
        <f aca="false">財務諸表!D12</f>
        <v>207390</v>
      </c>
      <c r="E127" s="28" t="n">
        <f aca="false">D127-N(C127)</f>
        <v>0</v>
      </c>
      <c r="F127" s="2" t="str">
        <f aca="false">IF(AND(C127&lt;&gt;"",ROUND(E127,2)=0),"一致",IF(G127&lt;&gt;"","変更（意図的）","★相違"))</f>
        <v>一致</v>
      </c>
      <c r="G127" s="2"/>
    </row>
    <row r="128" customFormat="false" ht="15" hidden="false" customHeight="false" outlineLevel="0" collapsed="false">
      <c r="A128" s="2" t="s">
        <v>247</v>
      </c>
      <c r="B128" s="27" t="s">
        <v>257</v>
      </c>
      <c r="C128" s="28" t="n">
        <v>10477829</v>
      </c>
      <c r="D128" s="28" t="n">
        <f aca="false">財務諸表!H12</f>
        <v>10477829</v>
      </c>
      <c r="E128" s="28" t="n">
        <f aca="false">D128-N(C128)</f>
        <v>0</v>
      </c>
      <c r="F128" s="2" t="str">
        <f aca="false">IF(AND(C128&lt;&gt;"",ROUND(E128,2)=0),"一致",IF(G128&lt;&gt;"","変更（意図的）","★相違"))</f>
        <v>一致</v>
      </c>
      <c r="G128" s="2"/>
    </row>
    <row r="129" customFormat="false" ht="15" hidden="false" customHeight="false" outlineLevel="0" collapsed="false">
      <c r="A129" s="2" t="s">
        <v>247</v>
      </c>
      <c r="B129" s="27" t="s">
        <v>147</v>
      </c>
      <c r="C129" s="28" t="n">
        <v>207390</v>
      </c>
      <c r="D129" s="28" t="n">
        <f aca="false">財務諸表!C13</f>
        <v>207390</v>
      </c>
      <c r="E129" s="28" t="n">
        <f aca="false">D129-N(C129)</f>
        <v>0</v>
      </c>
      <c r="F129" s="2" t="str">
        <f aca="false">IF(AND(C129&lt;&gt;"",ROUND(E129,2)=0),"一致",IF(G129&lt;&gt;"","変更（意図的）","★相違"))</f>
        <v>一致</v>
      </c>
      <c r="G129" s="2"/>
    </row>
    <row r="130" customFormat="false" ht="15" hidden="false" customHeight="false" outlineLevel="0" collapsed="false">
      <c r="A130" s="2" t="s">
        <v>247</v>
      </c>
      <c r="B130" s="27" t="s">
        <v>258</v>
      </c>
      <c r="C130" s="28" t="n">
        <v>207390</v>
      </c>
      <c r="D130" s="28" t="n">
        <f aca="false">財務諸表!B14</f>
        <v>207390</v>
      </c>
      <c r="E130" s="28" t="n">
        <f aca="false">D130-N(C130)</f>
        <v>0</v>
      </c>
      <c r="F130" s="2" t="str">
        <f aca="false">IF(AND(C130&lt;&gt;"",ROUND(E130,2)=0),"一致",IF(G130&lt;&gt;"","変更（意図的）","★相違"))</f>
        <v>一致</v>
      </c>
      <c r="G130" s="2"/>
    </row>
    <row r="131" customFormat="false" ht="15" hidden="false" customHeight="false" outlineLevel="0" collapsed="false">
      <c r="A131" s="2" t="s">
        <v>247</v>
      </c>
      <c r="B131" s="27" t="s">
        <v>259</v>
      </c>
      <c r="C131" s="28" t="n">
        <v>74697421</v>
      </c>
      <c r="D131" s="28" t="n">
        <f aca="false">財務諸表!H14</f>
        <v>74697421</v>
      </c>
      <c r="E131" s="28" t="n">
        <f aca="false">D131-N(C131)</f>
        <v>0</v>
      </c>
      <c r="F131" s="2" t="str">
        <f aca="false">IF(AND(C131&lt;&gt;"",ROUND(E131,2)=0),"一致",IF(G131&lt;&gt;"","変更（意図的）","★相違"))</f>
        <v>一致</v>
      </c>
      <c r="G131" s="2"/>
    </row>
    <row r="132" customFormat="false" ht="15" hidden="false" customHeight="false" outlineLevel="0" collapsed="false">
      <c r="A132" s="2" t="s">
        <v>247</v>
      </c>
      <c r="B132" s="27" t="s">
        <v>154</v>
      </c>
      <c r="C132" s="28" t="n">
        <v>74697421</v>
      </c>
      <c r="D132" s="28" t="n">
        <f aca="false">財務諸表!G15</f>
        <v>74697421</v>
      </c>
      <c r="E132" s="28" t="n">
        <f aca="false">D132-N(C132)</f>
        <v>0</v>
      </c>
      <c r="F132" s="2" t="str">
        <f aca="false">IF(AND(C132&lt;&gt;"",ROUND(E132,2)=0),"一致",IF(G132&lt;&gt;"","変更（意図的）","★相違"))</f>
        <v>一致</v>
      </c>
      <c r="G132" s="2"/>
    </row>
    <row r="133" customFormat="false" ht="15" hidden="false" customHeight="false" outlineLevel="0" collapsed="false">
      <c r="A133" s="2" t="s">
        <v>247</v>
      </c>
      <c r="B133" s="27" t="s">
        <v>260</v>
      </c>
      <c r="C133" s="28" t="n">
        <v>74697421</v>
      </c>
      <c r="D133" s="28" t="n">
        <f aca="false">財務諸表!F16</f>
        <v>74697421</v>
      </c>
      <c r="E133" s="28" t="n">
        <f aca="false">D133-N(C133)</f>
        <v>0</v>
      </c>
      <c r="F133" s="2" t="str">
        <f aca="false">IF(AND(C133&lt;&gt;"",ROUND(E133,2)=0),"一致",IF(G133&lt;&gt;"","変更（意図的）","★相違"))</f>
        <v>一致</v>
      </c>
      <c r="G133" s="2"/>
    </row>
    <row r="134" customFormat="false" ht="15" hidden="false" customHeight="false" outlineLevel="0" collapsed="false">
      <c r="A134" s="2" t="s">
        <v>247</v>
      </c>
      <c r="B134" s="27" t="s">
        <v>261</v>
      </c>
      <c r="C134" s="28" t="n">
        <v>74697421</v>
      </c>
      <c r="D134" s="28" t="n">
        <f aca="false">財務諸表!H19</f>
        <v>74697421</v>
      </c>
      <c r="E134" s="28" t="n">
        <f aca="false">D134-N(C134)</f>
        <v>0</v>
      </c>
      <c r="F134" s="2" t="str">
        <f aca="false">IF(AND(C134&lt;&gt;"",ROUND(E134,2)=0),"一致",IF(G134&lt;&gt;"","変更（意図的）","★相違"))</f>
        <v>一致</v>
      </c>
      <c r="G134" s="2"/>
    </row>
    <row r="135" customFormat="false" ht="15" hidden="false" customHeight="false" outlineLevel="0" collapsed="false">
      <c r="A135" s="2" t="s">
        <v>247</v>
      </c>
      <c r="B135" s="27" t="s">
        <v>262</v>
      </c>
      <c r="C135" s="28" t="n">
        <v>85175250</v>
      </c>
      <c r="D135" s="28" t="n">
        <f aca="false">財務諸表!D25</f>
        <v>85175250</v>
      </c>
      <c r="E135" s="28" t="n">
        <f aca="false">D135-N(C135)</f>
        <v>0</v>
      </c>
      <c r="F135" s="2" t="str">
        <f aca="false">IF(AND(C135&lt;&gt;"",ROUND(E135,2)=0),"一致",IF(G135&lt;&gt;"","変更（意図的）","★相違"))</f>
        <v>一致</v>
      </c>
      <c r="G135" s="2"/>
    </row>
    <row r="136" customFormat="false" ht="15" hidden="false" customHeight="false" outlineLevel="0" collapsed="false">
      <c r="A136" s="2" t="s">
        <v>247</v>
      </c>
      <c r="B136" s="27" t="s">
        <v>263</v>
      </c>
      <c r="C136" s="28" t="n">
        <v>85175250</v>
      </c>
      <c r="D136" s="28" t="n">
        <f aca="false">財務諸表!H25</f>
        <v>85175250</v>
      </c>
      <c r="E136" s="28" t="n">
        <f aca="false">D136-N(C136)</f>
        <v>0</v>
      </c>
      <c r="F136" s="2" t="str">
        <f aca="false">IF(AND(C136&lt;&gt;"",ROUND(E136,2)=0),"一致",IF(G136&lt;&gt;"","変更（意図的）","★相違"))</f>
        <v>一致</v>
      </c>
      <c r="G136" s="2"/>
    </row>
    <row r="137" customFormat="false" ht="15" hidden="false" customHeight="false" outlineLevel="0" collapsed="false">
      <c r="A137" s="2" t="s">
        <v>247</v>
      </c>
      <c r="B137" s="27" t="s">
        <v>264</v>
      </c>
      <c r="C137" s="28" t="n">
        <v>121123959</v>
      </c>
      <c r="D137" s="28" t="n">
        <f aca="false">財務諸表!D36</f>
        <v>121123959</v>
      </c>
      <c r="E137" s="28" t="n">
        <f aca="false">D137-N(C137)</f>
        <v>0</v>
      </c>
      <c r="F137" s="2" t="str">
        <f aca="false">IF(AND(C137&lt;&gt;"",ROUND(E137,2)=0),"一致",IF(G137&lt;&gt;"","変更（意図的）","★相違"))</f>
        <v>一致</v>
      </c>
      <c r="G137" s="2"/>
    </row>
    <row r="138" customFormat="false" ht="15" hidden="false" customHeight="false" outlineLevel="0" collapsed="false">
      <c r="A138" s="2" t="s">
        <v>247</v>
      </c>
      <c r="B138" s="27" t="s">
        <v>265</v>
      </c>
      <c r="C138" s="28" t="n">
        <v>112893188</v>
      </c>
      <c r="D138" s="28" t="n">
        <f aca="false">財務諸表!H36</f>
        <v>112893188</v>
      </c>
      <c r="E138" s="28" t="n">
        <f aca="false">D138-N(C138)</f>
        <v>0</v>
      </c>
      <c r="F138" s="2" t="str">
        <f aca="false">IF(AND(C138&lt;&gt;"",ROUND(E138,2)=0),"一致",IF(G138&lt;&gt;"","変更（意図的）","★相違"))</f>
        <v>一致</v>
      </c>
      <c r="G138" s="2"/>
    </row>
    <row r="139" customFormat="false" ht="15" hidden="false" customHeight="false" outlineLevel="0" collapsed="false">
      <c r="A139" s="2" t="s">
        <v>247</v>
      </c>
      <c r="B139" s="27" t="s">
        <v>213</v>
      </c>
      <c r="C139" s="28" t="n">
        <v>121123959</v>
      </c>
      <c r="D139" s="28" t="n">
        <f aca="false">財務諸表!C37</f>
        <v>121123959</v>
      </c>
      <c r="E139" s="28" t="n">
        <f aca="false">D139-N(C139)</f>
        <v>0</v>
      </c>
      <c r="F139" s="2" t="str">
        <f aca="false">IF(AND(C139&lt;&gt;"",ROUND(E139,2)=0),"一致",IF(G139&lt;&gt;"","変更（意図的）","★相違"))</f>
        <v>一致</v>
      </c>
      <c r="G139" s="2"/>
    </row>
    <row r="140" customFormat="false" ht="15" hidden="false" customHeight="false" outlineLevel="0" collapsed="false">
      <c r="A140" s="2" t="s">
        <v>247</v>
      </c>
      <c r="B140" s="27" t="s">
        <v>266</v>
      </c>
      <c r="C140" s="28" t="n">
        <v>89733450</v>
      </c>
      <c r="D140" s="28" t="n">
        <f aca="false">財務諸表!G37</f>
        <v>89733450</v>
      </c>
      <c r="E140" s="28" t="n">
        <f aca="false">D140-N(C140)</f>
        <v>0</v>
      </c>
      <c r="F140" s="2" t="str">
        <f aca="false">IF(AND(C140&lt;&gt;"",ROUND(E140,2)=0),"一致",IF(G140&lt;&gt;"","変更（意図的）","★相違"))</f>
        <v>一致</v>
      </c>
      <c r="G140" s="2"/>
    </row>
    <row r="141" customFormat="false" ht="15" hidden="false" customHeight="false" outlineLevel="0" collapsed="false">
      <c r="A141" s="2" t="s">
        <v>247</v>
      </c>
      <c r="B141" s="27" t="s">
        <v>215</v>
      </c>
      <c r="C141" s="28" t="n">
        <v>33000</v>
      </c>
      <c r="D141" s="28" t="n">
        <f aca="false">財務諸表!B38</f>
        <v>33000</v>
      </c>
      <c r="E141" s="28" t="n">
        <f aca="false">D141-N(C141)</f>
        <v>0</v>
      </c>
      <c r="F141" s="2" t="str">
        <f aca="false">IF(AND(C141&lt;&gt;"",ROUND(E141,2)=0),"一致",IF(G141&lt;&gt;"","変更（意図的）","★相違"))</f>
        <v>一致</v>
      </c>
      <c r="G141" s="2"/>
    </row>
    <row r="142" customFormat="false" ht="15" hidden="false" customHeight="false" outlineLevel="0" collapsed="false">
      <c r="A142" s="2" t="s">
        <v>247</v>
      </c>
      <c r="B142" s="27" t="s">
        <v>267</v>
      </c>
      <c r="C142" s="28" t="n">
        <v>89655843</v>
      </c>
      <c r="D142" s="28" t="n">
        <f aca="false">財務諸表!F38</f>
        <v>89655843</v>
      </c>
      <c r="E142" s="28" t="n">
        <f aca="false">D142-N(C142)</f>
        <v>0</v>
      </c>
      <c r="F142" s="2" t="str">
        <f aca="false">IF(AND(C142&lt;&gt;"",ROUND(E142,2)=0),"一致",IF(G142&lt;&gt;"","変更（意図的）","★相違"))</f>
        <v>一致</v>
      </c>
      <c r="G142" s="2"/>
    </row>
    <row r="143" customFormat="false" ht="15" hidden="false" customHeight="false" outlineLevel="0" collapsed="false">
      <c r="A143" s="2" t="s">
        <v>247</v>
      </c>
      <c r="B143" s="27" t="s">
        <v>216</v>
      </c>
      <c r="C143" s="28" t="n">
        <v>10141337</v>
      </c>
      <c r="D143" s="28" t="n">
        <f aca="false">財務諸表!B39</f>
        <v>10141337</v>
      </c>
      <c r="E143" s="28" t="n">
        <f aca="false">D143-N(C143)</f>
        <v>0</v>
      </c>
      <c r="F143" s="2" t="str">
        <f aca="false">IF(AND(C143&lt;&gt;"",ROUND(E143,2)=0),"一致",IF(G143&lt;&gt;"","変更（意図的）","★相違"))</f>
        <v>一致</v>
      </c>
      <c r="G143" s="2"/>
    </row>
    <row r="144" customFormat="false" ht="15" hidden="false" customHeight="false" outlineLevel="0" collapsed="false">
      <c r="A144" s="2" t="s">
        <v>247</v>
      </c>
      <c r="B144" s="27" t="s">
        <v>268</v>
      </c>
      <c r="C144" s="28" t="n">
        <v>77607</v>
      </c>
      <c r="D144" s="28" t="n">
        <f aca="false">財務諸表!F39</f>
        <v>77607</v>
      </c>
      <c r="E144" s="28" t="n">
        <f aca="false">D144-N(C144)</f>
        <v>0</v>
      </c>
      <c r="F144" s="2" t="str">
        <f aca="false">IF(AND(C144&lt;&gt;"",ROUND(E144,2)=0),"一致",IF(G144&lt;&gt;"","変更（意図的）","★相違"))</f>
        <v>一致</v>
      </c>
      <c r="G144" s="2"/>
    </row>
    <row r="145" customFormat="false" ht="15" hidden="false" customHeight="false" outlineLevel="0" collapsed="false">
      <c r="A145" s="2" t="s">
        <v>247</v>
      </c>
      <c r="B145" s="27" t="s">
        <v>269</v>
      </c>
      <c r="C145" s="28" t="n">
        <v>9702</v>
      </c>
      <c r="D145" s="28" t="n">
        <f aca="false">財務諸表!B40</f>
        <v>9702</v>
      </c>
      <c r="E145" s="28" t="n">
        <f aca="false">D145-N(C145)</f>
        <v>0</v>
      </c>
      <c r="F145" s="2" t="str">
        <f aca="false">IF(AND(C145&lt;&gt;"",ROUND(E145,2)=0),"一致",IF(G145&lt;&gt;"","変更（意図的）","★相違"))</f>
        <v>一致</v>
      </c>
      <c r="G145" s="2"/>
    </row>
    <row r="146" customFormat="false" ht="15" hidden="false" customHeight="false" outlineLevel="0" collapsed="false">
      <c r="A146" s="2" t="s">
        <v>247</v>
      </c>
      <c r="B146" s="27" t="s">
        <v>270</v>
      </c>
      <c r="C146" s="28" t="n">
        <v>343112</v>
      </c>
      <c r="D146" s="28" t="n">
        <f aca="false">財務諸表!B41</f>
        <v>343112</v>
      </c>
      <c r="E146" s="28" t="n">
        <f aca="false">D146-N(C146)</f>
        <v>0</v>
      </c>
      <c r="F146" s="2" t="str">
        <f aca="false">IF(AND(C146&lt;&gt;"",ROUND(E146,2)=0),"一致",IF(G146&lt;&gt;"","変更（意図的）","★相違"))</f>
        <v>一致</v>
      </c>
      <c r="G146" s="2"/>
    </row>
    <row r="147" customFormat="false" ht="15" hidden="false" customHeight="false" outlineLevel="0" collapsed="false">
      <c r="A147" s="2" t="s">
        <v>247</v>
      </c>
      <c r="B147" s="27" t="s">
        <v>222</v>
      </c>
      <c r="C147" s="28" t="n">
        <v>23159738</v>
      </c>
      <c r="D147" s="28" t="n">
        <f aca="false">財務諸表!G41</f>
        <v>23159738</v>
      </c>
      <c r="E147" s="28" t="n">
        <f aca="false">D147-N(C147)</f>
        <v>0</v>
      </c>
      <c r="F147" s="2" t="str">
        <f aca="false">IF(AND(C147&lt;&gt;"",ROUND(E147,2)=0),"一致",IF(G147&lt;&gt;"","変更（意図的）","★相違"))</f>
        <v>一致</v>
      </c>
      <c r="G147" s="2"/>
    </row>
    <row r="148" customFormat="false" ht="15" hidden="false" customHeight="false" outlineLevel="0" collapsed="false">
      <c r="A148" s="2" t="s">
        <v>247</v>
      </c>
      <c r="B148" s="27" t="s">
        <v>271</v>
      </c>
      <c r="C148" s="28" t="n">
        <v>13993113</v>
      </c>
      <c r="D148" s="28" t="n">
        <f aca="false">財務諸表!B42</f>
        <v>13993113</v>
      </c>
      <c r="E148" s="28" t="n">
        <f aca="false">D148-N(C148)</f>
        <v>0</v>
      </c>
      <c r="F148" s="2" t="str">
        <f aca="false">IF(AND(C148&lt;&gt;"",ROUND(E148,2)=0),"一致",IF(G148&lt;&gt;"","変更（意図的）","★相違"))</f>
        <v>一致</v>
      </c>
      <c r="G148" s="2"/>
    </row>
    <row r="149" customFormat="false" ht="15" hidden="false" customHeight="false" outlineLevel="0" collapsed="false">
      <c r="A149" s="2" t="s">
        <v>247</v>
      </c>
      <c r="B149" s="27" t="s">
        <v>272</v>
      </c>
      <c r="C149" s="28" t="n">
        <v>23159738</v>
      </c>
      <c r="D149" s="28" t="n">
        <f aca="false">財務諸表!F42</f>
        <v>23159738</v>
      </c>
      <c r="E149" s="28" t="n">
        <f aca="false">D149-N(C149)</f>
        <v>0</v>
      </c>
      <c r="F149" s="2" t="str">
        <f aca="false">IF(AND(C149&lt;&gt;"",ROUND(E149,2)=0),"一致",IF(G149&lt;&gt;"","変更（意図的）","★相違"))</f>
        <v>一致</v>
      </c>
      <c r="G149" s="2"/>
    </row>
    <row r="150" customFormat="false" ht="15" hidden="false" customHeight="false" outlineLevel="0" collapsed="false">
      <c r="A150" s="2" t="s">
        <v>247</v>
      </c>
      <c r="B150" s="27" t="s">
        <v>273</v>
      </c>
      <c r="C150" s="28" t="n">
        <v>4598066</v>
      </c>
      <c r="D150" s="28" t="n">
        <f aca="false">財務諸表!B43</f>
        <v>4598066</v>
      </c>
      <c r="E150" s="28" t="n">
        <f aca="false">D150-N(C150)</f>
        <v>0</v>
      </c>
      <c r="F150" s="2" t="str">
        <f aca="false">IF(AND(C150&lt;&gt;"",ROUND(E150,2)=0),"一致",IF(G150&lt;&gt;"","変更（意図的）","★相違"))</f>
        <v>一致</v>
      </c>
      <c r="G150" s="2"/>
    </row>
    <row r="151" customFormat="false" ht="15" hidden="false" customHeight="false" outlineLevel="0" collapsed="false">
      <c r="A151" s="2" t="s">
        <v>247</v>
      </c>
      <c r="B151" s="27" t="s">
        <v>226</v>
      </c>
      <c r="C151" s="28" t="n">
        <v>0</v>
      </c>
      <c r="D151" s="28" t="n">
        <f aca="false">財務諸表!G43</f>
        <v>0</v>
      </c>
      <c r="E151" s="28" t="n">
        <f aca="false">D151-N(C151)</f>
        <v>0</v>
      </c>
      <c r="F151" s="2" t="str">
        <f aca="false">IF(AND(C151&lt;&gt;"",ROUND(E151,2)=0),"一致",IF(G151&lt;&gt;"","変更（意図的）","★相違"))</f>
        <v>一致</v>
      </c>
      <c r="G151" s="2"/>
    </row>
    <row r="152" customFormat="false" ht="15" hidden="false" customHeight="false" outlineLevel="0" collapsed="false">
      <c r="A152" s="2" t="s">
        <v>247</v>
      </c>
      <c r="B152" s="27" t="s">
        <v>274</v>
      </c>
      <c r="C152" s="28" t="n">
        <v>10084438</v>
      </c>
      <c r="D152" s="28" t="n">
        <f aca="false">財務諸表!B44</f>
        <v>10084438</v>
      </c>
      <c r="E152" s="28" t="n">
        <f aca="false">D152-N(C152)</f>
        <v>0</v>
      </c>
      <c r="F152" s="2" t="str">
        <f aca="false">IF(AND(C152&lt;&gt;"",ROUND(E152,2)=0),"一致",IF(G152&lt;&gt;"","変更（意図的）","★相違"))</f>
        <v>一致</v>
      </c>
      <c r="G152" s="2"/>
    </row>
    <row r="153" customFormat="false" ht="15" hidden="false" customHeight="false" outlineLevel="0" collapsed="false">
      <c r="A153" s="2" t="s">
        <v>247</v>
      </c>
      <c r="B153" s="27" t="s">
        <v>228</v>
      </c>
      <c r="C153" s="28"/>
      <c r="D153" s="28" t="n">
        <f aca="false">財務諸表!F44</f>
        <v>0</v>
      </c>
      <c r="E153" s="28" t="n">
        <f aca="false">D153-N(C153)</f>
        <v>0</v>
      </c>
      <c r="F153" s="2" t="str">
        <f aca="false">IF(AND(C153&lt;&gt;"",ROUND(E153,2)=0),"一致",IF(G153&lt;&gt;"","変更（意図的）","★相違"))</f>
        <v>変更（意図的）</v>
      </c>
      <c r="G153" s="2" t="s">
        <v>142</v>
      </c>
    </row>
    <row r="154" customFormat="false" ht="15" hidden="false" customHeight="false" outlineLevel="0" collapsed="false">
      <c r="A154" s="2" t="s">
        <v>247</v>
      </c>
      <c r="B154" s="27" t="s">
        <v>275</v>
      </c>
      <c r="C154" s="28" t="n">
        <v>103921</v>
      </c>
      <c r="D154" s="28" t="n">
        <f aca="false">財務諸表!B45</f>
        <v>103921</v>
      </c>
      <c r="E154" s="28" t="n">
        <f aca="false">D154-N(C154)</f>
        <v>0</v>
      </c>
      <c r="F154" s="2" t="str">
        <f aca="false">IF(AND(C154&lt;&gt;"",ROUND(E154,2)=0),"一致",IF(G154&lt;&gt;"","変更（意図的）","★相違"))</f>
        <v>一致</v>
      </c>
      <c r="G154" s="2"/>
    </row>
    <row r="155" customFormat="false" ht="15" hidden="false" customHeight="false" outlineLevel="0" collapsed="false">
      <c r="A155" s="2" t="s">
        <v>247</v>
      </c>
      <c r="B155" s="27" t="s">
        <v>276</v>
      </c>
      <c r="C155" s="28" t="n">
        <v>0</v>
      </c>
      <c r="D155" s="28" t="n">
        <f aca="false">財務諸表!B46</f>
        <v>0</v>
      </c>
      <c r="E155" s="28" t="n">
        <f aca="false">D155-N(C155)</f>
        <v>0</v>
      </c>
      <c r="F155" s="2" t="str">
        <f aca="false">IF(AND(C155&lt;&gt;"",ROUND(E155,2)=0),"一致",IF(G155&lt;&gt;"","変更（意図的）","★相違"))</f>
        <v>一致</v>
      </c>
      <c r="G155" s="2"/>
    </row>
    <row r="156" customFormat="false" ht="15" hidden="false" customHeight="false" outlineLevel="0" collapsed="false">
      <c r="A156" s="2" t="s">
        <v>247</v>
      </c>
      <c r="B156" s="27" t="s">
        <v>277</v>
      </c>
      <c r="C156" s="28" t="n">
        <v>11834281</v>
      </c>
      <c r="D156" s="28" t="n">
        <f aca="false">財務諸表!H46</f>
        <v>11834281</v>
      </c>
      <c r="E156" s="28" t="n">
        <f aca="false">D156-N(C156)</f>
        <v>0</v>
      </c>
      <c r="F156" s="2" t="str">
        <f aca="false">IF(AND(C156&lt;&gt;"",ROUND(E156,2)=0),"一致",IF(G156&lt;&gt;"","変更（意図的）","★相違"))</f>
        <v>一致</v>
      </c>
      <c r="G156" s="2"/>
    </row>
    <row r="157" customFormat="false" ht="15" hidden="false" customHeight="false" outlineLevel="0" collapsed="false">
      <c r="A157" s="2" t="s">
        <v>247</v>
      </c>
      <c r="B157" s="27" t="s">
        <v>236</v>
      </c>
      <c r="C157" s="28" t="n">
        <v>9430768</v>
      </c>
      <c r="D157" s="28" t="n">
        <f aca="false">財務諸表!B47</f>
        <v>9430768</v>
      </c>
      <c r="E157" s="28" t="n">
        <f aca="false">D157-N(C157)</f>
        <v>0</v>
      </c>
      <c r="F157" s="2" t="str">
        <f aca="false">IF(AND(C157&lt;&gt;"",ROUND(E157,2)=0),"一致",IF(G157&lt;&gt;"","変更（意図的）","★相違"))</f>
        <v>一致</v>
      </c>
      <c r="G157" s="2"/>
    </row>
    <row r="158" customFormat="false" ht="15" hidden="false" customHeight="false" outlineLevel="0" collapsed="false">
      <c r="A158" s="2" t="s">
        <v>247</v>
      </c>
      <c r="B158" s="27" t="s">
        <v>240</v>
      </c>
      <c r="C158" s="28" t="n">
        <v>11834281</v>
      </c>
      <c r="D158" s="28" t="n">
        <f aca="false">財務諸表!G47</f>
        <v>11834281</v>
      </c>
      <c r="E158" s="28" t="n">
        <f aca="false">D158-N(C158)</f>
        <v>0</v>
      </c>
      <c r="F158" s="2" t="str">
        <f aca="false">IF(AND(C158&lt;&gt;"",ROUND(E158,2)=0),"一致",IF(G158&lt;&gt;"","変更（意図的）","★相違"))</f>
        <v>一致</v>
      </c>
      <c r="G158" s="2"/>
    </row>
    <row r="159" customFormat="false" ht="15" hidden="false" customHeight="false" outlineLevel="0" collapsed="false">
      <c r="A159" s="2" t="s">
        <v>247</v>
      </c>
      <c r="B159" s="27" t="s">
        <v>242</v>
      </c>
      <c r="C159" s="28" t="n">
        <v>1884714</v>
      </c>
      <c r="D159" s="28" t="n">
        <f aca="false">財務諸表!B48</f>
        <v>1884714</v>
      </c>
      <c r="E159" s="28" t="n">
        <f aca="false">D159-N(C159)</f>
        <v>0</v>
      </c>
      <c r="F159" s="2" t="str">
        <f aca="false">IF(AND(C159&lt;&gt;"",ROUND(E159,2)=0),"一致",IF(G159&lt;&gt;"","変更（意図的）","★相違"))</f>
        <v>一致</v>
      </c>
      <c r="G159" s="2"/>
    </row>
    <row r="160" customFormat="false" ht="15" hidden="false" customHeight="false" outlineLevel="0" collapsed="false">
      <c r="A160" s="2" t="s">
        <v>247</v>
      </c>
      <c r="B160" s="27" t="s">
        <v>278</v>
      </c>
      <c r="C160" s="28" t="n">
        <v>2453880</v>
      </c>
      <c r="D160" s="28" t="n">
        <f aca="false">財務諸表!B49</f>
        <v>2453880</v>
      </c>
      <c r="E160" s="28" t="n">
        <f aca="false">D160-N(C160)</f>
        <v>0</v>
      </c>
      <c r="F160" s="2" t="str">
        <f aca="false">IF(AND(C160&lt;&gt;"",ROUND(E160,2)=0),"一致",IF(G160&lt;&gt;"","変更（意図的）","★相違"))</f>
        <v>一致</v>
      </c>
      <c r="G160" s="2"/>
    </row>
    <row r="161" customFormat="false" ht="15" hidden="false" customHeight="false" outlineLevel="0" collapsed="false">
      <c r="A161" s="2" t="s">
        <v>247</v>
      </c>
      <c r="B161" s="27" t="s">
        <v>279</v>
      </c>
      <c r="C161" s="28" t="n">
        <v>0</v>
      </c>
      <c r="D161" s="28" t="n">
        <f aca="false">財務諸表!H49</f>
        <v>0</v>
      </c>
      <c r="E161" s="28" t="n">
        <f aca="false">D161-N(C161)</f>
        <v>0</v>
      </c>
      <c r="F161" s="2" t="str">
        <f aca="false">IF(AND(C161&lt;&gt;"",ROUND(E161,2)=0),"一致",IF(G161&lt;&gt;"","変更（意図的）","★相違"))</f>
        <v>一致</v>
      </c>
      <c r="G161" s="2"/>
    </row>
    <row r="162" customFormat="false" ht="15" hidden="false" customHeight="false" outlineLevel="0" collapsed="false">
      <c r="A162" s="2" t="s">
        <v>247</v>
      </c>
      <c r="B162" s="27" t="s">
        <v>280</v>
      </c>
      <c r="C162" s="28" t="n">
        <v>13718352</v>
      </c>
      <c r="D162" s="28" t="n">
        <f aca="false">財務諸表!B50</f>
        <v>13718352</v>
      </c>
      <c r="E162" s="28" t="n">
        <f aca="false">D162-N(C162)</f>
        <v>0</v>
      </c>
      <c r="F162" s="2" t="str">
        <f aca="false">IF(AND(C162&lt;&gt;"",ROUND(E162,2)=0),"一致",IF(G162&lt;&gt;"","変更（意図的）","★相違"))</f>
        <v>一致</v>
      </c>
      <c r="G162" s="2"/>
    </row>
    <row r="163" customFormat="false" ht="15" hidden="false" customHeight="false" outlineLevel="0" collapsed="false">
      <c r="A163" s="2" t="s">
        <v>247</v>
      </c>
      <c r="B163" s="27" t="s">
        <v>281</v>
      </c>
      <c r="C163" s="28" t="n">
        <v>0</v>
      </c>
      <c r="D163" s="28" t="n">
        <f aca="false">財務諸表!G50</f>
        <v>0</v>
      </c>
      <c r="E163" s="28" t="n">
        <f aca="false">D163-N(C163)</f>
        <v>0</v>
      </c>
      <c r="F163" s="2" t="str">
        <f aca="false">IF(AND(C163&lt;&gt;"",ROUND(E163,2)=0),"一致",IF(G163&lt;&gt;"","変更（意図的）","★相違"))</f>
        <v>一致</v>
      </c>
      <c r="G163" s="2"/>
    </row>
    <row r="164" customFormat="false" ht="15" hidden="false" customHeight="false" outlineLevel="0" collapsed="false">
      <c r="A164" s="2" t="s">
        <v>247</v>
      </c>
      <c r="B164" s="27" t="s">
        <v>282</v>
      </c>
      <c r="C164" s="28" t="n">
        <v>54153000</v>
      </c>
      <c r="D164" s="28" t="n">
        <f aca="false">財務諸表!B51</f>
        <v>54153000</v>
      </c>
      <c r="E164" s="28" t="n">
        <f aca="false">D164-N(C164)</f>
        <v>0</v>
      </c>
      <c r="F164" s="2" t="str">
        <f aca="false">IF(AND(C164&lt;&gt;"",ROUND(E164,2)=0),"一致",IF(G164&lt;&gt;"","変更（意図的）","★相違"))</f>
        <v>一致</v>
      </c>
      <c r="G164" s="2"/>
    </row>
    <row r="165" customFormat="false" ht="15" hidden="false" customHeight="false" outlineLevel="0" collapsed="false">
      <c r="A165" s="2" t="s">
        <v>247</v>
      </c>
      <c r="B165" s="27" t="s">
        <v>283</v>
      </c>
      <c r="C165" s="28" t="n">
        <v>176556</v>
      </c>
      <c r="D165" s="28" t="n">
        <f aca="false">財務諸表!B52</f>
        <v>176556</v>
      </c>
      <c r="E165" s="28" t="n">
        <f aca="false">D165-N(C165)</f>
        <v>0</v>
      </c>
      <c r="F165" s="2" t="str">
        <f aca="false">IF(AND(C165&lt;&gt;"",ROUND(E165,2)=0),"一致",IF(G165&lt;&gt;"","変更（意図的）","★相違"))</f>
        <v>一致</v>
      </c>
      <c r="G165" s="2"/>
    </row>
    <row r="166" customFormat="false" ht="15" hidden="false" customHeight="false" outlineLevel="0" collapsed="false">
      <c r="A166" s="2" t="s">
        <v>247</v>
      </c>
      <c r="B166" s="27" t="s">
        <v>284</v>
      </c>
      <c r="C166" s="28" t="n">
        <v>0</v>
      </c>
      <c r="D166" s="28" t="n">
        <f aca="false">財務諸表!D53</f>
        <v>0</v>
      </c>
      <c r="E166" s="28" t="n">
        <f aca="false">D166-N(C166)</f>
        <v>0</v>
      </c>
      <c r="F166" s="2" t="str">
        <f aca="false">IF(AND(C166&lt;&gt;"",ROUND(E166,2)=0),"一致",IF(G166&lt;&gt;"","変更（意図的）","★相違"))</f>
        <v>一致</v>
      </c>
      <c r="G166" s="2"/>
    </row>
    <row r="167" customFormat="false" ht="15" hidden="false" customHeight="false" outlineLevel="0" collapsed="false">
      <c r="A167" s="2" t="s">
        <v>247</v>
      </c>
      <c r="B167" s="27" t="s">
        <v>285</v>
      </c>
      <c r="C167" s="28" t="n">
        <v>0</v>
      </c>
      <c r="D167" s="28" t="n">
        <f aca="false">財務諸表!H53</f>
        <v>0</v>
      </c>
      <c r="E167" s="28" t="n">
        <f aca="false">D167-N(C167)</f>
        <v>0</v>
      </c>
      <c r="F167" s="2" t="str">
        <f aca="false">IF(AND(C167&lt;&gt;"",ROUND(E167,2)=0),"一致",IF(G167&lt;&gt;"","変更（意図的）","★相違"))</f>
        <v>一致</v>
      </c>
      <c r="G167" s="2"/>
    </row>
    <row r="168" customFormat="false" ht="15" hidden="false" customHeight="false" outlineLevel="0" collapsed="false">
      <c r="A168" s="2" t="s">
        <v>247</v>
      </c>
      <c r="B168" s="27" t="s">
        <v>286</v>
      </c>
      <c r="C168" s="28" t="n">
        <v>0</v>
      </c>
      <c r="D168" s="28" t="n">
        <f aca="false">財務諸表!C54</f>
        <v>0</v>
      </c>
      <c r="E168" s="28" t="n">
        <f aca="false">D168-N(C168)</f>
        <v>0</v>
      </c>
      <c r="F168" s="2" t="str">
        <f aca="false">IF(AND(C168&lt;&gt;"",ROUND(E168,2)=0),"一致",IF(G168&lt;&gt;"","変更（意図的）","★相違"))</f>
        <v>一致</v>
      </c>
      <c r="G168" s="2"/>
    </row>
    <row r="169" customFormat="false" ht="15" hidden="false" customHeight="false" outlineLevel="0" collapsed="false">
      <c r="A169" s="2" t="s">
        <v>247</v>
      </c>
      <c r="B169" s="27" t="s">
        <v>287</v>
      </c>
      <c r="C169" s="28" t="n">
        <v>0</v>
      </c>
      <c r="D169" s="28" t="n">
        <f aca="false">財務諸表!G54</f>
        <v>0</v>
      </c>
      <c r="E169" s="28" t="n">
        <f aca="false">D169-N(C169)</f>
        <v>0</v>
      </c>
      <c r="F169" s="2" t="str">
        <f aca="false">IF(AND(C169&lt;&gt;"",ROUND(E169,2)=0),"一致",IF(G169&lt;&gt;"","変更（意図的）","★相違"))</f>
        <v>一致</v>
      </c>
      <c r="G169" s="2"/>
    </row>
    <row r="170" customFormat="false" ht="15" hidden="false" customHeight="false" outlineLevel="0" collapsed="false">
      <c r="A170" s="2" t="s">
        <v>247</v>
      </c>
      <c r="B170" s="27" t="s">
        <v>288</v>
      </c>
      <c r="C170" s="28" t="n">
        <v>3603510</v>
      </c>
      <c r="D170" s="28" t="n">
        <f aca="false">財務諸表!D56</f>
        <v>3603510</v>
      </c>
      <c r="E170" s="28" t="n">
        <f aca="false">D170-N(C170)</f>
        <v>0</v>
      </c>
      <c r="F170" s="2" t="str">
        <f aca="false">IF(AND(C170&lt;&gt;"",ROUND(E170,2)=0),"一致",IF(G170&lt;&gt;"","変更（意図的）","★相違"))</f>
        <v>一致</v>
      </c>
      <c r="G170" s="2"/>
    </row>
    <row r="171" customFormat="false" ht="15" hidden="false" customHeight="false" outlineLevel="0" collapsed="false">
      <c r="A171" s="2" t="s">
        <v>247</v>
      </c>
      <c r="B171" s="27" t="s">
        <v>289</v>
      </c>
      <c r="C171" s="28" t="n">
        <v>3603510</v>
      </c>
      <c r="D171" s="28" t="n">
        <f aca="false">財務諸表!C57</f>
        <v>3603510</v>
      </c>
      <c r="E171" s="28" t="n">
        <f aca="false">D171-N(C171)</f>
        <v>0</v>
      </c>
      <c r="F171" s="2" t="str">
        <f aca="false">IF(AND(C171&lt;&gt;"",ROUND(E171,2)=0),"一致",IF(G171&lt;&gt;"","変更（意図的）","★相違"))</f>
        <v>一致</v>
      </c>
      <c r="G171" s="2"/>
    </row>
    <row r="172" customFormat="false" ht="15" hidden="false" customHeight="false" outlineLevel="0" collapsed="false">
      <c r="A172" s="2" t="s">
        <v>247</v>
      </c>
      <c r="B172" s="27" t="s">
        <v>290</v>
      </c>
      <c r="C172" s="28" t="n">
        <v>124727469</v>
      </c>
      <c r="D172" s="28" t="n">
        <f aca="false">財務諸表!D59</f>
        <v>124727469</v>
      </c>
      <c r="E172" s="28" t="n">
        <f aca="false">D172-N(C172)</f>
        <v>0</v>
      </c>
      <c r="F172" s="2" t="str">
        <f aca="false">IF(AND(C172&lt;&gt;"",ROUND(E172,2)=0),"一致",IF(G172&lt;&gt;"","変更（意図的）","★相違"))</f>
        <v>一致</v>
      </c>
      <c r="G172" s="2"/>
    </row>
    <row r="173" customFormat="false" ht="15" hidden="false" customHeight="false" outlineLevel="0" collapsed="false">
      <c r="A173" s="2" t="s">
        <v>247</v>
      </c>
      <c r="B173" s="27" t="s">
        <v>291</v>
      </c>
      <c r="C173" s="28" t="n">
        <v>124727469</v>
      </c>
      <c r="D173" s="28" t="n">
        <f aca="false">財務諸表!H59</f>
        <v>124727469</v>
      </c>
      <c r="E173" s="28" t="n">
        <f aca="false">D173-N(C173)</f>
        <v>0</v>
      </c>
      <c r="F173" s="2" t="str">
        <f aca="false">IF(AND(C173&lt;&gt;"",ROUND(E173,2)=0),"一致",IF(G173&lt;&gt;"","変更（意図的）","★相違"))</f>
        <v>一致</v>
      </c>
      <c r="G173" s="2"/>
    </row>
    <row r="174" customFormat="false" ht="15" hidden="false" customHeight="false" outlineLevel="0" collapsed="false">
      <c r="A174" s="2" t="s">
        <v>292</v>
      </c>
      <c r="B174" s="27" t="s">
        <v>293</v>
      </c>
      <c r="C174" s="28" t="n">
        <v>72939159</v>
      </c>
      <c r="D174" s="28" t="n">
        <f aca="false">附属明細表!M5</f>
        <v>72939159</v>
      </c>
      <c r="E174" s="28" t="n">
        <f aca="false">D174-N(C174)</f>
        <v>0</v>
      </c>
      <c r="F174" s="2" t="str">
        <f aca="false">IF(AND(C174&lt;&gt;"",ROUND(E174,2)=0),"一致",IF(G174&lt;&gt;"","変更（意図的）","★相違"))</f>
        <v>一致</v>
      </c>
      <c r="G174" s="2"/>
    </row>
    <row r="175" customFormat="false" ht="15" hidden="false" customHeight="false" outlineLevel="0" collapsed="false">
      <c r="A175" s="2" t="s">
        <v>292</v>
      </c>
      <c r="B175" s="27" t="s">
        <v>294</v>
      </c>
      <c r="C175" s="28" t="n">
        <v>72939159</v>
      </c>
      <c r="D175" s="28" t="n">
        <f aca="false">附属明細表!M6</f>
        <v>72939159</v>
      </c>
      <c r="E175" s="28" t="n">
        <f aca="false">D175-N(C175)</f>
        <v>0</v>
      </c>
      <c r="F175" s="2" t="str">
        <f aca="false">IF(AND(C175&lt;&gt;"",ROUND(E175,2)=0),"一致",IF(G175&lt;&gt;"","変更（意図的）","★相違"))</f>
        <v>一致</v>
      </c>
      <c r="G175" s="2"/>
    </row>
    <row r="176" customFormat="false" ht="15" hidden="false" customHeight="false" outlineLevel="0" collapsed="false">
      <c r="A176" s="2" t="s">
        <v>292</v>
      </c>
      <c r="B176" s="27" t="s">
        <v>295</v>
      </c>
      <c r="C176" s="28" t="n">
        <v>194420</v>
      </c>
      <c r="D176" s="28" t="n">
        <f aca="false">附属明細表!G12</f>
        <v>194420</v>
      </c>
      <c r="E176" s="28" t="n">
        <f aca="false">D176-N(C176)</f>
        <v>0</v>
      </c>
      <c r="F176" s="2" t="str">
        <f aca="false">IF(AND(C176&lt;&gt;"",ROUND(E176,2)=0),"一致",IF(G176&lt;&gt;"","変更（意図的）","★相違"))</f>
        <v>一致</v>
      </c>
      <c r="G176" s="2"/>
    </row>
    <row r="177" customFormat="false" ht="15" hidden="false" customHeight="false" outlineLevel="0" collapsed="false">
      <c r="A177" s="2" t="s">
        <v>292</v>
      </c>
      <c r="B177" s="27" t="s">
        <v>151</v>
      </c>
      <c r="C177" s="28" t="n">
        <v>194420</v>
      </c>
      <c r="D177" s="28" t="n">
        <f aca="false">附属明細表!G14</f>
        <v>194420</v>
      </c>
      <c r="E177" s="28" t="n">
        <f aca="false">D177-N(C177)</f>
        <v>0</v>
      </c>
      <c r="F177" s="2" t="str">
        <f aca="false">IF(AND(C177&lt;&gt;"",ROUND(E177,2)=0),"一致",IF(G177&lt;&gt;"","変更（意図的）","★相違"))</f>
        <v>一致</v>
      </c>
      <c r="G177" s="2"/>
    </row>
    <row r="178" customFormat="false" ht="15" hidden="false" customHeight="false" outlineLevel="0" collapsed="false">
      <c r="A178" s="2" t="s">
        <v>292</v>
      </c>
      <c r="B178" s="27" t="s">
        <v>296</v>
      </c>
      <c r="C178" s="28" t="n">
        <v>0</v>
      </c>
      <c r="D178" s="28" t="n">
        <f aca="false">附属明細表!P23</f>
        <v>0</v>
      </c>
      <c r="E178" s="28" t="n">
        <f aca="false">D178-N(C178)</f>
        <v>0</v>
      </c>
      <c r="F178" s="2" t="str">
        <f aca="false">IF(AND(C178&lt;&gt;"",ROUND(E178,2)=0),"一致",IF(G178&lt;&gt;"","変更（意図的）","★相違"))</f>
        <v>一致</v>
      </c>
      <c r="G178" s="2"/>
    </row>
    <row r="179" customFormat="false" ht="15" hidden="false" customHeight="false" outlineLevel="0" collapsed="false">
      <c r="A179" s="2" t="s">
        <v>292</v>
      </c>
      <c r="B179" s="27" t="s">
        <v>297</v>
      </c>
      <c r="C179" s="28" t="n">
        <v>0</v>
      </c>
      <c r="D179" s="28" t="n">
        <f aca="false">附属明細表!S23</f>
        <v>0</v>
      </c>
      <c r="E179" s="28" t="n">
        <f aca="false">D179-N(C179)</f>
        <v>0</v>
      </c>
      <c r="F179" s="2" t="str">
        <f aca="false">IF(AND(C179&lt;&gt;"",ROUND(E179,2)=0),"一致",IF(G179&lt;&gt;"","変更（意図的）","★相違"))</f>
        <v>一致</v>
      </c>
      <c r="G179" s="2"/>
    </row>
    <row r="180" customFormat="false" ht="15" hidden="false" customHeight="false" outlineLevel="0" collapsed="false">
      <c r="A180" s="2" t="s">
        <v>292</v>
      </c>
      <c r="B180" s="27" t="s">
        <v>298</v>
      </c>
      <c r="C180" s="28" t="n">
        <v>11834281</v>
      </c>
      <c r="D180" s="28" t="n">
        <f aca="false">附属明細表!G31</f>
        <v>11834281</v>
      </c>
      <c r="E180" s="28" t="n">
        <f aca="false">D180-N(C180)</f>
        <v>0</v>
      </c>
      <c r="F180" s="2" t="str">
        <f aca="false">IF(AND(C180&lt;&gt;"",ROUND(E180,2)=0),"一致",IF(G180&lt;&gt;"","変更（意図的）","★相違"))</f>
        <v>一致</v>
      </c>
      <c r="G180" s="2"/>
    </row>
    <row r="181" customFormat="false" ht="15" hidden="false" customHeight="false" outlineLevel="0" collapsed="false">
      <c r="A181" s="2" t="s">
        <v>292</v>
      </c>
      <c r="B181" s="27" t="s">
        <v>299</v>
      </c>
      <c r="C181" s="28" t="n">
        <v>11834281</v>
      </c>
      <c r="D181" s="28" t="n">
        <f aca="false">附属明細表!G32</f>
        <v>11834281</v>
      </c>
      <c r="E181" s="28" t="n">
        <f aca="false">D181-N(C181)</f>
        <v>0</v>
      </c>
      <c r="F181" s="2" t="str">
        <f aca="false">IF(AND(C181&lt;&gt;"",ROUND(E181,2)=0),"一致",IF(G181&lt;&gt;"","変更（意図的）","★相違"))</f>
        <v>一致</v>
      </c>
      <c r="G181" s="2"/>
    </row>
    <row r="182" customFormat="false" ht="15" hidden="false" customHeight="false" outlineLevel="0" collapsed="false">
      <c r="A182" s="2" t="s">
        <v>292</v>
      </c>
      <c r="B182" s="27" t="s">
        <v>300</v>
      </c>
      <c r="C182" s="28" t="n">
        <v>2356</v>
      </c>
      <c r="D182" s="28" t="n">
        <f aca="false">附属明細表!G38</f>
        <v>2356</v>
      </c>
      <c r="E182" s="28" t="n">
        <f aca="false">D182-N(C182)</f>
        <v>0</v>
      </c>
      <c r="F182" s="2" t="str">
        <f aca="false">IF(AND(C182&lt;&gt;"",ROUND(E182,2)=0),"一致",IF(G182&lt;&gt;"","変更（意図的）","★相違"))</f>
        <v>一致</v>
      </c>
      <c r="G182" s="2"/>
    </row>
    <row r="183" customFormat="false" ht="15" hidden="false" customHeight="false" outlineLevel="0" collapsed="false">
      <c r="A183" s="2" t="s">
        <v>292</v>
      </c>
      <c r="B183" s="27" t="s">
        <v>218</v>
      </c>
      <c r="C183" s="28" t="n">
        <v>846685</v>
      </c>
      <c r="D183" s="28" t="n">
        <f aca="false">附属明細表!G39</f>
        <v>846685</v>
      </c>
      <c r="E183" s="28" t="n">
        <f aca="false">D183-N(C183)</f>
        <v>0</v>
      </c>
      <c r="F183" s="2" t="str">
        <f aca="false">IF(AND(C183&lt;&gt;"",ROUND(E183,2)=0),"一致",IF(G183&lt;&gt;"","変更（意図的）","★相違"))</f>
        <v>一致</v>
      </c>
      <c r="G183" s="2"/>
    </row>
    <row r="184" customFormat="false" ht="15" hidden="false" customHeight="false" outlineLevel="0" collapsed="false">
      <c r="A184" s="2" t="s">
        <v>292</v>
      </c>
      <c r="B184" s="27" t="s">
        <v>220</v>
      </c>
      <c r="C184" s="28" t="n">
        <v>1576505</v>
      </c>
      <c r="D184" s="28" t="n">
        <f aca="false">附属明細表!G40</f>
        <v>1576505</v>
      </c>
      <c r="E184" s="28" t="n">
        <f aca="false">D184-N(C184)</f>
        <v>0</v>
      </c>
      <c r="F184" s="2" t="str">
        <f aca="false">IF(AND(C184&lt;&gt;"",ROUND(E184,2)=0),"一致",IF(G184&lt;&gt;"","変更（意図的）","★相違"))</f>
        <v>一致</v>
      </c>
      <c r="G184" s="2"/>
    </row>
    <row r="185" customFormat="false" ht="15" hidden="false" customHeight="false" outlineLevel="0" collapsed="false">
      <c r="A185" s="2" t="s">
        <v>292</v>
      </c>
      <c r="B185" s="27" t="s">
        <v>222</v>
      </c>
      <c r="C185" s="28" t="n">
        <v>46537</v>
      </c>
      <c r="D185" s="28" t="n">
        <f aca="false">附属明細表!G41</f>
        <v>46537</v>
      </c>
      <c r="E185" s="28" t="n">
        <f aca="false">D185-N(C185)</f>
        <v>0</v>
      </c>
      <c r="F185" s="2" t="str">
        <f aca="false">IF(AND(C185&lt;&gt;"",ROUND(E185,2)=0),"一致",IF(G185&lt;&gt;"","変更（意図的）","★相違"))</f>
        <v>一致</v>
      </c>
      <c r="G185" s="2"/>
    </row>
    <row r="186" customFormat="false" ht="15" hidden="false" customHeight="false" outlineLevel="0" collapsed="false">
      <c r="A186" s="2" t="s">
        <v>292</v>
      </c>
      <c r="B186" s="27" t="s">
        <v>224</v>
      </c>
      <c r="C186" s="28" t="n">
        <v>1020091</v>
      </c>
      <c r="D186" s="28" t="n">
        <f aca="false">附属明細表!G42</f>
        <v>1020091</v>
      </c>
      <c r="E186" s="28" t="n">
        <f aca="false">D186-N(C186)</f>
        <v>0</v>
      </c>
      <c r="F186" s="2" t="str">
        <f aca="false">IF(AND(C186&lt;&gt;"",ROUND(E186,2)=0),"一致",IF(G186&lt;&gt;"","変更（意図的）","★相違"))</f>
        <v>一致</v>
      </c>
      <c r="G186" s="2"/>
    </row>
    <row r="187" customFormat="false" ht="15" hidden="false" customHeight="false" outlineLevel="0" collapsed="false">
      <c r="A187" s="2" t="s">
        <v>292</v>
      </c>
      <c r="B187" s="27" t="s">
        <v>226</v>
      </c>
      <c r="C187" s="28" t="n">
        <v>689790</v>
      </c>
      <c r="D187" s="28" t="n">
        <f aca="false">附属明細表!G43</f>
        <v>689790</v>
      </c>
      <c r="E187" s="28" t="n">
        <f aca="false">D187-N(C187)</f>
        <v>0</v>
      </c>
      <c r="F187" s="2" t="str">
        <f aca="false">IF(AND(C187&lt;&gt;"",ROUND(E187,2)=0),"一致",IF(G187&lt;&gt;"","変更（意図的）","★相違"))</f>
        <v>一致</v>
      </c>
      <c r="G187" s="2"/>
    </row>
    <row r="188" customFormat="false" ht="15" hidden="false" customHeight="false" outlineLevel="0" collapsed="false">
      <c r="A188" s="2" t="s">
        <v>292</v>
      </c>
      <c r="B188" s="27" t="s">
        <v>229</v>
      </c>
      <c r="C188" s="28" t="n">
        <v>103564</v>
      </c>
      <c r="D188" s="28" t="n">
        <f aca="false">附属明細表!G44</f>
        <v>103564</v>
      </c>
      <c r="E188" s="28" t="n">
        <f aca="false">D188-N(C188)</f>
        <v>0</v>
      </c>
      <c r="F188" s="2" t="str">
        <f aca="false">IF(AND(C188&lt;&gt;"",ROUND(E188,2)=0),"一致",IF(G188&lt;&gt;"","変更（意図的）","★相違"))</f>
        <v>一致</v>
      </c>
      <c r="G188" s="2"/>
    </row>
    <row r="189" customFormat="false" ht="15" hidden="false" customHeight="false" outlineLevel="0" collapsed="false">
      <c r="A189" s="2" t="s">
        <v>292</v>
      </c>
      <c r="B189" s="27" t="s">
        <v>231</v>
      </c>
      <c r="C189" s="28" t="n">
        <v>5312157</v>
      </c>
      <c r="D189" s="28" t="n">
        <f aca="false">附属明細表!G45</f>
        <v>5312157</v>
      </c>
      <c r="E189" s="28" t="n">
        <f aca="false">D189-N(C189)</f>
        <v>0</v>
      </c>
      <c r="F189" s="2" t="str">
        <f aca="false">IF(AND(C189&lt;&gt;"",ROUND(E189,2)=0),"一致",IF(G189&lt;&gt;"","変更（意図的）","★相違"))</f>
        <v>一致</v>
      </c>
      <c r="G189" s="2"/>
    </row>
    <row r="190" customFormat="false" ht="15" hidden="false" customHeight="false" outlineLevel="0" collapsed="false">
      <c r="A190" s="2" t="s">
        <v>292</v>
      </c>
      <c r="B190" s="27" t="s">
        <v>234</v>
      </c>
      <c r="C190" s="28" t="n">
        <v>9597685</v>
      </c>
      <c r="D190" s="28" t="n">
        <f aca="false">附属明細表!G46</f>
        <v>9597685</v>
      </c>
      <c r="E190" s="28" t="n">
        <f aca="false">D190-N(C190)</f>
        <v>0</v>
      </c>
      <c r="F190" s="2" t="str">
        <f aca="false">IF(AND(C190&lt;&gt;"",ROUND(E190,2)=0),"一致",IF(G190&lt;&gt;"","変更（意図的）","★相違"))</f>
        <v>一致</v>
      </c>
      <c r="G190" s="2"/>
    </row>
    <row r="191" customFormat="false" ht="15" hidden="false" customHeight="false" outlineLevel="0" collapsed="false">
      <c r="A191" s="2" t="s">
        <v>292</v>
      </c>
      <c r="B191" s="27" t="s">
        <v>301</v>
      </c>
      <c r="C191" s="28" t="n">
        <v>59015</v>
      </c>
      <c r="D191" s="28" t="n">
        <f aca="false">附属明細表!G52</f>
        <v>59015</v>
      </c>
      <c r="E191" s="28" t="n">
        <f aca="false">D191-N(C191)</f>
        <v>0</v>
      </c>
      <c r="F191" s="2" t="str">
        <f aca="false">IF(AND(C191&lt;&gt;"",ROUND(E191,2)=0),"一致",IF(G191&lt;&gt;"","変更（意図的）","★相違"))</f>
        <v>一致</v>
      </c>
      <c r="G191" s="2"/>
    </row>
    <row r="192" customFormat="false" ht="15" hidden="false" customHeight="false" outlineLevel="0" collapsed="false">
      <c r="A192" s="2" t="s">
        <v>292</v>
      </c>
      <c r="B192" s="27" t="s">
        <v>302</v>
      </c>
      <c r="C192" s="28" t="n">
        <v>376346</v>
      </c>
      <c r="D192" s="28" t="n">
        <f aca="false">附属明細表!G53</f>
        <v>376346</v>
      </c>
      <c r="E192" s="28" t="n">
        <f aca="false">D192-N(C192)</f>
        <v>0</v>
      </c>
      <c r="F192" s="2" t="str">
        <f aca="false">IF(AND(C192&lt;&gt;"",ROUND(E192,2)=0),"一致",IF(G192&lt;&gt;"","変更（意図的）","★相違"))</f>
        <v>一致</v>
      </c>
      <c r="G192" s="2"/>
    </row>
    <row r="193" customFormat="false" ht="15" hidden="false" customHeight="false" outlineLevel="0" collapsed="false">
      <c r="A193" s="2" t="s">
        <v>292</v>
      </c>
      <c r="B193" s="27" t="s">
        <v>287</v>
      </c>
      <c r="C193" s="28" t="n">
        <v>435361</v>
      </c>
      <c r="D193" s="28" t="n">
        <f aca="false">附属明細表!G54</f>
        <v>435361</v>
      </c>
      <c r="E193" s="28" t="n">
        <f aca="false">D193-N(C193)</f>
        <v>0</v>
      </c>
      <c r="F193" s="2" t="str">
        <f aca="false">IF(AND(C193&lt;&gt;"",ROUND(E193,2)=0),"一致",IF(G193&lt;&gt;"","変更（意図的）","★相違"))</f>
        <v>一致</v>
      </c>
      <c r="G193" s="2"/>
    </row>
    <row r="194" customFormat="false" ht="15" hidden="false" customHeight="false" outlineLevel="0" collapsed="false">
      <c r="A194" s="2" t="s">
        <v>292</v>
      </c>
      <c r="B194" s="27" t="s">
        <v>303</v>
      </c>
      <c r="C194" s="28" t="n">
        <v>203327</v>
      </c>
      <c r="D194" s="28" t="n">
        <f aca="false">附属明細表!G60</f>
        <v>203327</v>
      </c>
      <c r="E194" s="28" t="n">
        <f aca="false">D194-N(C194)</f>
        <v>0</v>
      </c>
      <c r="F194" s="2" t="str">
        <f aca="false">IF(AND(C194&lt;&gt;"",ROUND(E194,2)=0),"一致",IF(G194&lt;&gt;"","変更（意図的）","★相違"))</f>
        <v>一致</v>
      </c>
      <c r="G194" s="2"/>
    </row>
    <row r="195" customFormat="false" ht="15" hidden="false" customHeight="false" outlineLevel="0" collapsed="false">
      <c r="A195" s="2" t="s">
        <v>292</v>
      </c>
      <c r="B195" s="27" t="s">
        <v>304</v>
      </c>
      <c r="C195" s="28" t="n">
        <v>24613</v>
      </c>
      <c r="D195" s="28" t="n">
        <f aca="false">附属明細表!G61</f>
        <v>24613</v>
      </c>
      <c r="E195" s="28" t="n">
        <f aca="false">D195-N(C195)</f>
        <v>0</v>
      </c>
      <c r="F195" s="2" t="str">
        <f aca="false">IF(AND(C195&lt;&gt;"",ROUND(E195,2)=0),"一致",IF(G195&lt;&gt;"","変更（意図的）","★相違"))</f>
        <v>一致</v>
      </c>
      <c r="G195" s="2"/>
    </row>
    <row r="196" customFormat="false" ht="15" hidden="false" customHeight="false" outlineLevel="0" collapsed="false">
      <c r="A196" s="2" t="s">
        <v>292</v>
      </c>
      <c r="B196" s="27" t="s">
        <v>305</v>
      </c>
      <c r="C196" s="28" t="n">
        <v>227940</v>
      </c>
      <c r="D196" s="28" t="n">
        <f aca="false">附属明細表!G62</f>
        <v>227940</v>
      </c>
      <c r="E196" s="28" t="n">
        <f aca="false">D196-N(C196)</f>
        <v>0</v>
      </c>
      <c r="F196" s="2" t="str">
        <f aca="false">IF(AND(C196&lt;&gt;"",ROUND(E196,2)=0),"一致",IF(G196&lt;&gt;"","変更（意図的）","★相違"))</f>
        <v>一致</v>
      </c>
      <c r="G196" s="2"/>
    </row>
    <row r="197" customFormat="false" ht="15" hidden="false" customHeight="false" outlineLevel="0" collapsed="false">
      <c r="A197" s="2" t="s">
        <v>292</v>
      </c>
      <c r="B197" s="27" t="s">
        <v>306</v>
      </c>
      <c r="C197" s="28" t="n">
        <v>216843</v>
      </c>
      <c r="D197" s="28" t="n">
        <f aca="false">附属明細表!G68</f>
        <v>216843</v>
      </c>
      <c r="E197" s="28" t="n">
        <f aca="false">D197-N(C197)</f>
        <v>0</v>
      </c>
      <c r="F197" s="2" t="str">
        <f aca="false">IF(AND(C197&lt;&gt;"",ROUND(E197,2)=0),"一致",IF(G197&lt;&gt;"","変更（意図的）","★相違"))</f>
        <v>一致</v>
      </c>
      <c r="G197" s="2"/>
    </row>
    <row r="198" customFormat="false" ht="15" hidden="false" customHeight="false" outlineLevel="0" collapsed="false">
      <c r="A198" s="2" t="s">
        <v>292</v>
      </c>
      <c r="B198" s="27" t="s">
        <v>307</v>
      </c>
      <c r="C198" s="28" t="n">
        <v>216843</v>
      </c>
      <c r="D198" s="28" t="n">
        <f aca="false">附属明細表!G69</f>
        <v>216843</v>
      </c>
      <c r="E198" s="28" t="n">
        <f aca="false">D198-N(C198)</f>
        <v>0</v>
      </c>
      <c r="F198" s="2" t="str">
        <f aca="false">IF(AND(C198&lt;&gt;"",ROUND(E198,2)=0),"一致",IF(G198&lt;&gt;"","変更（意図的）","★相違"))</f>
        <v>一致</v>
      </c>
      <c r="G198" s="2"/>
    </row>
    <row r="199" customFormat="false" ht="15" hidden="false" customHeight="false" outlineLevel="0" collapsed="false">
      <c r="A199" s="2" t="s">
        <v>292</v>
      </c>
      <c r="B199" s="27" t="s">
        <v>308</v>
      </c>
      <c r="C199" s="28" t="n">
        <v>383946</v>
      </c>
      <c r="D199" s="28" t="n">
        <f aca="false">附属明細表!D76</f>
        <v>383946</v>
      </c>
      <c r="E199" s="28" t="n">
        <f aca="false">D199-N(C199)</f>
        <v>0</v>
      </c>
      <c r="F199" s="2" t="str">
        <f aca="false">IF(AND(C199&lt;&gt;"",ROUND(E199,2)=0),"一致",IF(G199&lt;&gt;"","変更（意図的）","★相違"))</f>
        <v>一致</v>
      </c>
      <c r="G199" s="2"/>
    </row>
    <row r="200" customFormat="false" ht="15" hidden="false" customHeight="false" outlineLevel="0" collapsed="false">
      <c r="A200" s="2" t="s">
        <v>292</v>
      </c>
      <c r="B200" s="27" t="s">
        <v>309</v>
      </c>
      <c r="C200" s="28" t="n">
        <v>0</v>
      </c>
      <c r="D200" s="28" t="n">
        <f aca="false">附属明細表!G76</f>
        <v>0</v>
      </c>
      <c r="E200" s="28" t="n">
        <f aca="false">D200-N(C200)</f>
        <v>0</v>
      </c>
      <c r="F200" s="2" t="str">
        <f aca="false">IF(AND(C200&lt;&gt;"",ROUND(E200,2)=0),"一致",IF(G200&lt;&gt;"","変更（意図的）","★相違"))</f>
        <v>一致</v>
      </c>
      <c r="G200" s="2"/>
    </row>
    <row r="201" customFormat="false" ht="15" hidden="false" customHeight="false" outlineLevel="0" collapsed="false">
      <c r="A201" s="2" t="s">
        <v>292</v>
      </c>
      <c r="B201" s="27" t="s">
        <v>310</v>
      </c>
      <c r="C201" s="28" t="n">
        <v>0</v>
      </c>
      <c r="D201" s="28" t="n">
        <f aca="false">附属明細表!J76</f>
        <v>0</v>
      </c>
      <c r="E201" s="28" t="n">
        <f aca="false">D201-N(C201)</f>
        <v>0</v>
      </c>
      <c r="F201" s="2" t="str">
        <f aca="false">IF(AND(C201&lt;&gt;"",ROUND(E201,2)=0),"一致",IF(G201&lt;&gt;"","変更（意図的）","★相違"))</f>
        <v>一致</v>
      </c>
      <c r="G201" s="2"/>
    </row>
    <row r="202" customFormat="false" ht="15" hidden="false" customHeight="false" outlineLevel="0" collapsed="false">
      <c r="A202" s="2" t="s">
        <v>292</v>
      </c>
      <c r="B202" s="27" t="s">
        <v>311</v>
      </c>
      <c r="C202" s="28" t="n">
        <v>383946</v>
      </c>
      <c r="D202" s="28" t="n">
        <f aca="false">附属明細表!M76</f>
        <v>383946</v>
      </c>
      <c r="E202" s="28" t="n">
        <f aca="false">D202-N(C202)</f>
        <v>0</v>
      </c>
      <c r="F202" s="2" t="str">
        <f aca="false">IF(AND(C202&lt;&gt;"",ROUND(E202,2)=0),"一致",IF(G202&lt;&gt;"","変更（意図的）","★相違"))</f>
        <v>一致</v>
      </c>
      <c r="G202" s="2"/>
    </row>
    <row r="203" customFormat="false" ht="15" hidden="false" customHeight="false" outlineLevel="0" collapsed="false">
      <c r="A203" s="2" t="s">
        <v>292</v>
      </c>
      <c r="B203" s="27" t="s">
        <v>312</v>
      </c>
      <c r="C203" s="28" t="n">
        <v>176556</v>
      </c>
      <c r="D203" s="28" t="n">
        <f aca="false">附属明細表!P76</f>
        <v>176556</v>
      </c>
      <c r="E203" s="28" t="n">
        <f aca="false">D203-N(C203)</f>
        <v>0</v>
      </c>
      <c r="F203" s="2" t="str">
        <f aca="false">IF(AND(C203&lt;&gt;"",ROUND(E203,2)=0),"一致",IF(G203&lt;&gt;"","変更（意図的）","★相違"))</f>
        <v>一致</v>
      </c>
      <c r="G203" s="2"/>
    </row>
    <row r="204" customFormat="false" ht="15" hidden="false" customHeight="false" outlineLevel="0" collapsed="false">
      <c r="A204" s="2" t="s">
        <v>292</v>
      </c>
      <c r="B204" s="27" t="s">
        <v>313</v>
      </c>
      <c r="C204" s="28" t="n">
        <v>207390</v>
      </c>
      <c r="D204" s="28" t="n">
        <f aca="false">附属明細表!S76</f>
        <v>207390</v>
      </c>
      <c r="E204" s="28" t="n">
        <f aca="false">D204-N(C204)</f>
        <v>0</v>
      </c>
      <c r="F204" s="2" t="str">
        <f aca="false">IF(AND(C204&lt;&gt;"",ROUND(E204,2)=0),"一致",IF(G204&lt;&gt;"","変更（意図的）","★相違"))</f>
        <v>一致</v>
      </c>
      <c r="G204" s="2"/>
    </row>
    <row r="205" customFormat="false" ht="15" hidden="false" customHeight="false" outlineLevel="0" collapsed="false">
      <c r="A205" s="2" t="s">
        <v>292</v>
      </c>
      <c r="B205" s="27" t="s">
        <v>314</v>
      </c>
      <c r="C205" s="28" t="n">
        <v>383946</v>
      </c>
      <c r="D205" s="28" t="n">
        <f aca="false">附属明細表!D77</f>
        <v>383946</v>
      </c>
      <c r="E205" s="28" t="n">
        <f aca="false">D205-N(C205)</f>
        <v>0</v>
      </c>
      <c r="F205" s="2" t="str">
        <f aca="false">IF(AND(C205&lt;&gt;"",ROUND(E205,2)=0),"一致",IF(G205&lt;&gt;"","変更（意図的）","★相違"))</f>
        <v>一致</v>
      </c>
      <c r="G205" s="2"/>
    </row>
    <row r="206" customFormat="false" ht="15" hidden="false" customHeight="false" outlineLevel="0" collapsed="false">
      <c r="A206" s="2" t="s">
        <v>292</v>
      </c>
      <c r="B206" s="27" t="s">
        <v>315</v>
      </c>
      <c r="C206" s="28" t="n">
        <v>0</v>
      </c>
      <c r="D206" s="28" t="n">
        <f aca="false">附属明細表!G77</f>
        <v>0</v>
      </c>
      <c r="E206" s="28" t="n">
        <f aca="false">D206-N(C206)</f>
        <v>0</v>
      </c>
      <c r="F206" s="2" t="str">
        <f aca="false">IF(AND(C206&lt;&gt;"",ROUND(E206,2)=0),"一致",IF(G206&lt;&gt;"","変更（意図的）","★相違"))</f>
        <v>一致</v>
      </c>
      <c r="G206" s="2"/>
    </row>
    <row r="207" customFormat="false" ht="15" hidden="false" customHeight="false" outlineLevel="0" collapsed="false">
      <c r="A207" s="2" t="s">
        <v>292</v>
      </c>
      <c r="B207" s="27" t="s">
        <v>316</v>
      </c>
      <c r="C207" s="28" t="n">
        <v>0</v>
      </c>
      <c r="D207" s="28" t="n">
        <f aca="false">附属明細表!J77</f>
        <v>0</v>
      </c>
      <c r="E207" s="28" t="n">
        <f aca="false">D207-N(C207)</f>
        <v>0</v>
      </c>
      <c r="F207" s="2" t="str">
        <f aca="false">IF(AND(C207&lt;&gt;"",ROUND(E207,2)=0),"一致",IF(G207&lt;&gt;"","変更（意図的）","★相違"))</f>
        <v>一致</v>
      </c>
      <c r="G207" s="2"/>
    </row>
    <row r="208" customFormat="false" ht="15" hidden="false" customHeight="false" outlineLevel="0" collapsed="false">
      <c r="A208" s="2" t="s">
        <v>292</v>
      </c>
      <c r="B208" s="27" t="s">
        <v>317</v>
      </c>
      <c r="C208" s="28" t="n">
        <v>383946</v>
      </c>
      <c r="D208" s="28" t="n">
        <f aca="false">附属明細表!M77</f>
        <v>383946</v>
      </c>
      <c r="E208" s="28" t="n">
        <f aca="false">D208-N(C208)</f>
        <v>0</v>
      </c>
      <c r="F208" s="2" t="str">
        <f aca="false">IF(AND(C208&lt;&gt;"",ROUND(E208,2)=0),"一致",IF(G208&lt;&gt;"","変更（意図的）","★相違"))</f>
        <v>一致</v>
      </c>
      <c r="G208" s="2"/>
    </row>
    <row r="209" customFormat="false" ht="15" hidden="false" customHeight="false" outlineLevel="0" collapsed="false">
      <c r="A209" s="2" t="s">
        <v>292</v>
      </c>
      <c r="B209" s="27" t="s">
        <v>318</v>
      </c>
      <c r="C209" s="28" t="n">
        <v>176556</v>
      </c>
      <c r="D209" s="28" t="n">
        <f aca="false">附属明細表!P77</f>
        <v>176556</v>
      </c>
      <c r="E209" s="28" t="n">
        <f aca="false">D209-N(C209)</f>
        <v>0</v>
      </c>
      <c r="F209" s="2" t="str">
        <f aca="false">IF(AND(C209&lt;&gt;"",ROUND(E209,2)=0),"一致",IF(G209&lt;&gt;"","変更（意図的）","★相違"))</f>
        <v>一致</v>
      </c>
      <c r="G209" s="2"/>
    </row>
    <row r="210" customFormat="false" ht="15" hidden="false" customHeight="false" outlineLevel="0" collapsed="false">
      <c r="A210" s="2" t="s">
        <v>292</v>
      </c>
      <c r="B210" s="27" t="s">
        <v>319</v>
      </c>
      <c r="C210" s="28" t="n">
        <v>207390</v>
      </c>
      <c r="D210" s="28" t="n">
        <f aca="false">附属明細表!S77</f>
        <v>207390</v>
      </c>
      <c r="E210" s="28" t="n">
        <f aca="false">D210-N(C210)</f>
        <v>0</v>
      </c>
      <c r="F210" s="2" t="str">
        <f aca="false">IF(AND(C210&lt;&gt;"",ROUND(E210,2)=0),"一致",IF(G210&lt;&gt;"","変更（意図的）","★相違"))</f>
        <v>一致</v>
      </c>
      <c r="G210" s="2"/>
    </row>
    <row r="211" customFormat="false" ht="15" hidden="false" customHeight="false" outlineLevel="0" collapsed="false">
      <c r="A211" s="2" t="s">
        <v>292</v>
      </c>
      <c r="B211" s="27" t="s">
        <v>320</v>
      </c>
      <c r="C211" s="28" t="n">
        <v>723140</v>
      </c>
      <c r="D211" s="28" t="n">
        <f aca="false">附属明細表!F83</f>
        <v>723140</v>
      </c>
      <c r="E211" s="28" t="n">
        <f aca="false">D211-N(C211)</f>
        <v>0</v>
      </c>
      <c r="F211" s="2" t="str">
        <f aca="false">IF(AND(C211&lt;&gt;"",ROUND(E211,2)=0),"一致",IF(G211&lt;&gt;"","変更（意図的）","★相違"))</f>
        <v>一致</v>
      </c>
      <c r="G211" s="2"/>
    </row>
    <row r="212" customFormat="false" ht="15" hidden="false" customHeight="false" outlineLevel="0" collapsed="false">
      <c r="A212" s="2" t="s">
        <v>292</v>
      </c>
      <c r="B212" s="27" t="s">
        <v>321</v>
      </c>
      <c r="C212" s="28" t="n">
        <v>144628</v>
      </c>
      <c r="D212" s="28" t="n">
        <f aca="false">附属明細表!H83</f>
        <v>144628</v>
      </c>
      <c r="E212" s="28" t="n">
        <f aca="false">D212-N(C212)</f>
        <v>0</v>
      </c>
      <c r="F212" s="2" t="str">
        <f aca="false">IF(AND(C212&lt;&gt;"",ROUND(E212,2)=0),"一致",IF(G212&lt;&gt;"","変更（意図的）","★相違"))</f>
        <v>一致</v>
      </c>
      <c r="G212" s="2"/>
    </row>
    <row r="213" customFormat="false" ht="15" hidden="false" customHeight="false" outlineLevel="0" collapsed="false">
      <c r="A213" s="2" t="s">
        <v>292</v>
      </c>
      <c r="B213" s="27" t="s">
        <v>322</v>
      </c>
      <c r="C213" s="28" t="n">
        <v>542355</v>
      </c>
      <c r="D213" s="28" t="n">
        <f aca="false">附属明細表!K83</f>
        <v>542355</v>
      </c>
      <c r="E213" s="28" t="n">
        <f aca="false">D213-N(C213)</f>
        <v>0</v>
      </c>
      <c r="F213" s="2" t="str">
        <f aca="false">IF(AND(C213&lt;&gt;"",ROUND(E213,2)=0),"一致",IF(G213&lt;&gt;"","変更（意図的）","★相違"))</f>
        <v>一致</v>
      </c>
      <c r="G213" s="2"/>
    </row>
    <row r="214" customFormat="false" ht="15" hidden="false" customHeight="false" outlineLevel="0" collapsed="false">
      <c r="A214" s="2" t="s">
        <v>292</v>
      </c>
      <c r="B214" s="27" t="s">
        <v>323</v>
      </c>
      <c r="C214" s="28" t="n">
        <v>180785</v>
      </c>
      <c r="D214" s="28" t="n">
        <f aca="false">附属明細表!N83</f>
        <v>180785</v>
      </c>
      <c r="E214" s="28" t="n">
        <f aca="false">D214-N(C214)</f>
        <v>0</v>
      </c>
      <c r="F214" s="2" t="str">
        <f aca="false">IF(AND(C214&lt;&gt;"",ROUND(E214,2)=0),"一致",IF(G214&lt;&gt;"","変更（意図的）","★相違"))</f>
        <v>一致</v>
      </c>
      <c r="G214" s="2"/>
    </row>
    <row r="215" customFormat="false" ht="15" hidden="false" customHeight="false" outlineLevel="0" collapsed="false">
      <c r="A215" s="2" t="s">
        <v>292</v>
      </c>
      <c r="B215" s="27" t="s">
        <v>324</v>
      </c>
      <c r="C215" s="28" t="n">
        <v>75</v>
      </c>
      <c r="D215" s="28" t="n">
        <f aca="false">附属明細表!Q83</f>
        <v>75</v>
      </c>
      <c r="E215" s="28" t="n">
        <f aca="false">D215-N(C215)</f>
        <v>0</v>
      </c>
      <c r="F215" s="2" t="str">
        <f aca="false">IF(AND(C215&lt;&gt;"",ROUND(E215,2)=0),"一致",IF(G215&lt;&gt;"","変更（意図的）","★相違"))</f>
        <v>一致</v>
      </c>
      <c r="G215" s="2"/>
    </row>
    <row r="216" customFormat="false" ht="15" hidden="false" customHeight="false" outlineLevel="0" collapsed="false">
      <c r="A216" s="2" t="s">
        <v>292</v>
      </c>
      <c r="B216" s="27" t="s">
        <v>325</v>
      </c>
      <c r="C216" s="28" t="n">
        <v>127710</v>
      </c>
      <c r="D216" s="28" t="n">
        <f aca="false">附属明細表!F84</f>
        <v>127710</v>
      </c>
      <c r="E216" s="28" t="n">
        <f aca="false">D216-N(C216)</f>
        <v>0</v>
      </c>
      <c r="F216" s="2" t="str">
        <f aca="false">IF(AND(C216&lt;&gt;"",ROUND(E216,2)=0),"一致",IF(G216&lt;&gt;"","変更（意図的）","★相違"))</f>
        <v>一致</v>
      </c>
      <c r="G216" s="2"/>
    </row>
    <row r="217" customFormat="false" ht="15" hidden="false" customHeight="false" outlineLevel="0" collapsed="false">
      <c r="A217" s="2" t="s">
        <v>292</v>
      </c>
      <c r="B217" s="27" t="s">
        <v>326</v>
      </c>
      <c r="C217" s="28" t="n">
        <v>31928</v>
      </c>
      <c r="D217" s="28" t="n">
        <f aca="false">附属明細表!H84</f>
        <v>31928</v>
      </c>
      <c r="E217" s="28" t="n">
        <f aca="false">D217-N(C217)</f>
        <v>0</v>
      </c>
      <c r="F217" s="2" t="str">
        <f aca="false">IF(AND(C217&lt;&gt;"",ROUND(E217,2)=0),"一致",IF(G217&lt;&gt;"","変更（意図的）","★相違"))</f>
        <v>一致</v>
      </c>
      <c r="G217" s="2"/>
    </row>
    <row r="218" customFormat="false" ht="15" hidden="false" customHeight="false" outlineLevel="0" collapsed="false">
      <c r="A218" s="2" t="s">
        <v>292</v>
      </c>
      <c r="B218" s="27" t="s">
        <v>327</v>
      </c>
      <c r="C218" s="28" t="n">
        <v>101105</v>
      </c>
      <c r="D218" s="28" t="n">
        <f aca="false">附属明細表!K84</f>
        <v>101105</v>
      </c>
      <c r="E218" s="28" t="n">
        <f aca="false">D218-N(C218)</f>
        <v>0</v>
      </c>
      <c r="F218" s="2" t="str">
        <f aca="false">IF(AND(C218&lt;&gt;"",ROUND(E218,2)=0),"一致",IF(G218&lt;&gt;"","変更（意図的）","★相違"))</f>
        <v>一致</v>
      </c>
      <c r="G218" s="2"/>
    </row>
    <row r="219" customFormat="false" ht="15" hidden="false" customHeight="false" outlineLevel="0" collapsed="false">
      <c r="A219" s="2" t="s">
        <v>292</v>
      </c>
      <c r="B219" s="27" t="s">
        <v>328</v>
      </c>
      <c r="C219" s="28" t="n">
        <v>26605</v>
      </c>
      <c r="D219" s="28" t="n">
        <f aca="false">附属明細表!N84</f>
        <v>26605</v>
      </c>
      <c r="E219" s="28" t="n">
        <f aca="false">D219-N(C219)</f>
        <v>0</v>
      </c>
      <c r="F219" s="2" t="str">
        <f aca="false">IF(AND(C219&lt;&gt;"",ROUND(E219,2)=0),"一致",IF(G219&lt;&gt;"","変更（意図的）","★相違"))</f>
        <v>一致</v>
      </c>
      <c r="G219" s="2"/>
    </row>
    <row r="220" customFormat="false" ht="15" hidden="false" customHeight="false" outlineLevel="0" collapsed="false">
      <c r="A220" s="2" t="s">
        <v>292</v>
      </c>
      <c r="B220" s="27" t="s">
        <v>329</v>
      </c>
      <c r="C220" s="28" t="n">
        <v>79.167</v>
      </c>
      <c r="D220" s="28" t="n">
        <f aca="false">附属明細表!Q84</f>
        <v>79.167</v>
      </c>
      <c r="E220" s="28" t="n">
        <f aca="false">D220-N(C220)</f>
        <v>0</v>
      </c>
      <c r="F220" s="2" t="str">
        <f aca="false">IF(AND(C220&lt;&gt;"",ROUND(E220,2)=0),"一致",IF(G220&lt;&gt;"","変更（意図的）","★相違"))</f>
        <v>一致</v>
      </c>
      <c r="G220" s="2"/>
    </row>
    <row r="221" customFormat="false" ht="15" hidden="false" customHeight="false" outlineLevel="0" collapsed="false">
      <c r="A221" s="2" t="s">
        <v>292</v>
      </c>
      <c r="B221" s="27" t="s">
        <v>330</v>
      </c>
      <c r="C221" s="28" t="n">
        <v>850850</v>
      </c>
      <c r="D221" s="28" t="n">
        <f aca="false">附属明細表!F85</f>
        <v>850850</v>
      </c>
      <c r="E221" s="28" t="n">
        <f aca="false">D221-N(C221)</f>
        <v>0</v>
      </c>
      <c r="F221" s="2" t="str">
        <f aca="false">IF(AND(C221&lt;&gt;"",ROUND(E221,2)=0),"一致",IF(G221&lt;&gt;"","変更（意図的）","★相違"))</f>
        <v>一致</v>
      </c>
      <c r="G221" s="2"/>
    </row>
    <row r="222" customFormat="false" ht="15" hidden="false" customHeight="false" outlineLevel="0" collapsed="false">
      <c r="A222" s="2" t="s">
        <v>292</v>
      </c>
      <c r="B222" s="27" t="s">
        <v>331</v>
      </c>
      <c r="C222" s="28" t="n">
        <v>176556</v>
      </c>
      <c r="D222" s="28" t="n">
        <f aca="false">附属明細表!H85</f>
        <v>176556</v>
      </c>
      <c r="E222" s="28" t="n">
        <f aca="false">D222-N(C222)</f>
        <v>0</v>
      </c>
      <c r="F222" s="2" t="str">
        <f aca="false">IF(AND(C222&lt;&gt;"",ROUND(E222,2)=0),"一致",IF(G222&lt;&gt;"","変更（意図的）","★相違"))</f>
        <v>一致</v>
      </c>
      <c r="G222" s="2"/>
    </row>
    <row r="223" customFormat="false" ht="15" hidden="false" customHeight="false" outlineLevel="0" collapsed="false">
      <c r="A223" s="2" t="s">
        <v>292</v>
      </c>
      <c r="B223" s="27" t="s">
        <v>332</v>
      </c>
      <c r="C223" s="28" t="n">
        <v>643460</v>
      </c>
      <c r="D223" s="28" t="n">
        <f aca="false">附属明細表!K85</f>
        <v>643460</v>
      </c>
      <c r="E223" s="28" t="n">
        <f aca="false">D223-N(C223)</f>
        <v>0</v>
      </c>
      <c r="F223" s="2" t="str">
        <f aca="false">IF(AND(C223&lt;&gt;"",ROUND(E223,2)=0),"一致",IF(G223&lt;&gt;"","変更（意図的）","★相違"))</f>
        <v>一致</v>
      </c>
      <c r="G223" s="2"/>
    </row>
    <row r="224" customFormat="false" ht="15" hidden="false" customHeight="false" outlineLevel="0" collapsed="false">
      <c r="A224" s="2" t="s">
        <v>292</v>
      </c>
      <c r="B224" s="27" t="s">
        <v>333</v>
      </c>
      <c r="C224" s="28" t="n">
        <v>207390</v>
      </c>
      <c r="D224" s="28" t="n">
        <f aca="false">附属明細表!N85</f>
        <v>207390</v>
      </c>
      <c r="E224" s="28" t="n">
        <f aca="false">D224-N(C224)</f>
        <v>0</v>
      </c>
      <c r="F224" s="2" t="str">
        <f aca="false">IF(AND(C224&lt;&gt;"",ROUND(E224,2)=0),"一致",IF(G224&lt;&gt;"","変更（意図的）","★相違"))</f>
        <v>一致</v>
      </c>
      <c r="G224" s="2"/>
    </row>
    <row r="225" customFormat="false" ht="15" hidden="false" customHeight="false" outlineLevel="0" collapsed="false">
      <c r="A225" s="2" t="s">
        <v>292</v>
      </c>
      <c r="B225" s="27" t="s">
        <v>334</v>
      </c>
      <c r="C225" s="28" t="n">
        <v>71093911</v>
      </c>
      <c r="D225" s="28" t="n">
        <f aca="false">附属明細表!E91</f>
        <v>71093911</v>
      </c>
      <c r="E225" s="28" t="n">
        <f aca="false">D225-N(C225)</f>
        <v>0</v>
      </c>
      <c r="F225" s="2" t="str">
        <f aca="false">IF(AND(C225&lt;&gt;"",ROUND(E225,2)=0),"一致",IF(G225&lt;&gt;"","変更（意図的）","★相違"))</f>
        <v>一致</v>
      </c>
      <c r="G225" s="2"/>
    </row>
    <row r="226" customFormat="false" ht="15" hidden="false" customHeight="false" outlineLevel="0" collapsed="false">
      <c r="A226" s="2" t="s">
        <v>292</v>
      </c>
      <c r="B226" s="27" t="s">
        <v>335</v>
      </c>
      <c r="C226" s="28" t="n">
        <v>3603510</v>
      </c>
      <c r="D226" s="28" t="n">
        <f aca="false">附属明細表!I91</f>
        <v>3603510</v>
      </c>
      <c r="E226" s="28" t="n">
        <f aca="false">D226-N(C226)</f>
        <v>0</v>
      </c>
      <c r="F226" s="2" t="str">
        <f aca="false">IF(AND(C226&lt;&gt;"",ROUND(E226,2)=0),"一致",IF(G226&lt;&gt;"","変更（意図的）","★相違"))</f>
        <v>一致</v>
      </c>
      <c r="G226" s="2"/>
    </row>
    <row r="227" customFormat="false" ht="15" hidden="false" customHeight="false" outlineLevel="0" collapsed="false">
      <c r="A227" s="2" t="s">
        <v>292</v>
      </c>
      <c r="B227" s="27" t="s">
        <v>336</v>
      </c>
      <c r="C227" s="28" t="n">
        <v>0</v>
      </c>
      <c r="D227" s="28" t="n">
        <f aca="false">附属明細表!M91</f>
        <v>0</v>
      </c>
      <c r="E227" s="28" t="n">
        <f aca="false">D227-N(C227)</f>
        <v>0</v>
      </c>
      <c r="F227" s="2" t="str">
        <f aca="false">IF(AND(C227&lt;&gt;"",ROUND(E227,2)=0),"一致",IF(G227&lt;&gt;"","変更（意図的）","★相違"))</f>
        <v>一致</v>
      </c>
      <c r="G227" s="2"/>
    </row>
    <row r="228" customFormat="false" ht="15" hidden="false" customHeight="false" outlineLevel="0" collapsed="false">
      <c r="A228" s="2" t="s">
        <v>292</v>
      </c>
      <c r="B228" s="27" t="s">
        <v>337</v>
      </c>
      <c r="C228" s="28" t="n">
        <v>74697421</v>
      </c>
      <c r="D228" s="28" t="n">
        <f aca="false">附属明細表!Q91</f>
        <v>74697421</v>
      </c>
      <c r="E228" s="28" t="n">
        <f aca="false">D228-N(C228)</f>
        <v>0</v>
      </c>
      <c r="F228" s="2" t="str">
        <f aca="false">IF(AND(C228&lt;&gt;"",ROUND(E228,2)=0),"一致",IF(G228&lt;&gt;"","変更（意図的）","★相違"))</f>
        <v>一致</v>
      </c>
      <c r="G228" s="2"/>
    </row>
    <row r="229" customFormat="false" ht="15" hidden="false" customHeight="false" outlineLevel="0" collapsed="false">
      <c r="A229" s="2" t="s">
        <v>292</v>
      </c>
      <c r="B229" s="27" t="s">
        <v>338</v>
      </c>
      <c r="C229" s="28" t="n">
        <v>71093911</v>
      </c>
      <c r="D229" s="28" t="n">
        <f aca="false">附属明細表!E92</f>
        <v>71093911</v>
      </c>
      <c r="E229" s="28" t="n">
        <f aca="false">D229-N(C229)</f>
        <v>0</v>
      </c>
      <c r="F229" s="2" t="str">
        <f aca="false">IF(AND(C229&lt;&gt;"",ROUND(E229,2)=0),"一致",IF(G229&lt;&gt;"","変更（意図的）","★相違"))</f>
        <v>一致</v>
      </c>
      <c r="G229" s="2"/>
    </row>
    <row r="230" customFormat="false" ht="15" hidden="false" customHeight="false" outlineLevel="0" collapsed="false">
      <c r="A230" s="2" t="s">
        <v>292</v>
      </c>
      <c r="B230" s="27" t="s">
        <v>339</v>
      </c>
      <c r="C230" s="28" t="n">
        <v>3603510</v>
      </c>
      <c r="D230" s="28" t="n">
        <f aca="false">附属明細表!I92</f>
        <v>3603510</v>
      </c>
      <c r="E230" s="28" t="n">
        <f aca="false">D230-N(C230)</f>
        <v>0</v>
      </c>
      <c r="F230" s="2" t="str">
        <f aca="false">IF(AND(C230&lt;&gt;"",ROUND(E230,2)=0),"一致",IF(G230&lt;&gt;"","変更（意図的）","★相違"))</f>
        <v>一致</v>
      </c>
      <c r="G230" s="2"/>
    </row>
    <row r="231" customFormat="false" ht="15" hidden="false" customHeight="false" outlineLevel="0" collapsed="false">
      <c r="A231" s="2" t="s">
        <v>292</v>
      </c>
      <c r="B231" s="27" t="s">
        <v>340</v>
      </c>
      <c r="C231" s="28" t="n">
        <v>0</v>
      </c>
      <c r="D231" s="28" t="n">
        <f aca="false">附属明細表!M92</f>
        <v>0</v>
      </c>
      <c r="E231" s="28" t="n">
        <f aca="false">D231-N(C231)</f>
        <v>0</v>
      </c>
      <c r="F231" s="2" t="str">
        <f aca="false">IF(AND(C231&lt;&gt;"",ROUND(E231,2)=0),"一致",IF(G231&lt;&gt;"","変更（意図的）","★相違"))</f>
        <v>一致</v>
      </c>
      <c r="G231" s="2"/>
    </row>
    <row r="232" customFormat="false" ht="15" hidden="false" customHeight="false" outlineLevel="0" collapsed="false">
      <c r="A232" s="2" t="s">
        <v>292</v>
      </c>
      <c r="B232" s="27" t="s">
        <v>341</v>
      </c>
      <c r="C232" s="28" t="n">
        <v>74697421</v>
      </c>
      <c r="D232" s="28" t="n">
        <f aca="false">附属明細表!Q92</f>
        <v>74697421</v>
      </c>
      <c r="E232" s="28" t="n">
        <f aca="false">D232-N(C232)</f>
        <v>0</v>
      </c>
      <c r="F232" s="2" t="str">
        <f aca="false">IF(AND(C232&lt;&gt;"",ROUND(E232,2)=0),"一致",IF(G232&lt;&gt;"","変更（意図的）","★相違"))</f>
        <v>一致</v>
      </c>
      <c r="G232" s="2"/>
    </row>
    <row r="233" customFormat="false" ht="15" hidden="false" customHeight="false" outlineLevel="0" collapsed="false">
      <c r="A233" s="2" t="s">
        <v>292</v>
      </c>
      <c r="B233" s="27" t="s">
        <v>342</v>
      </c>
      <c r="C233" s="28" t="n">
        <v>169470</v>
      </c>
      <c r="D233" s="28" t="n">
        <f aca="false">附属明細表!F98</f>
        <v>169470</v>
      </c>
      <c r="E233" s="28" t="n">
        <f aca="false">D233-N(C233)</f>
        <v>0</v>
      </c>
      <c r="F233" s="2" t="str">
        <f aca="false">IF(AND(C233&lt;&gt;"",ROUND(E233,2)=0),"一致",IF(G233&lt;&gt;"","変更（意図的）","★相違"))</f>
        <v>一致</v>
      </c>
      <c r="G233" s="2"/>
    </row>
    <row r="234" customFormat="false" ht="15" hidden="false" customHeight="false" outlineLevel="0" collapsed="false">
      <c r="A234" s="2" t="s">
        <v>292</v>
      </c>
      <c r="B234" s="27" t="s">
        <v>343</v>
      </c>
      <c r="C234" s="28" t="n">
        <v>0</v>
      </c>
      <c r="D234" s="28" t="n">
        <f aca="false">附属明細表!H98</f>
        <v>0</v>
      </c>
      <c r="E234" s="28" t="n">
        <f aca="false">D234-N(C234)</f>
        <v>0</v>
      </c>
      <c r="F234" s="2" t="str">
        <f aca="false">IF(AND(C234&lt;&gt;"",ROUND(E234,2)=0),"一致",IF(G234&lt;&gt;"","変更（意図的）","★相違"))</f>
        <v>一致</v>
      </c>
      <c r="G234" s="2"/>
    </row>
    <row r="235" customFormat="false" ht="15" hidden="false" customHeight="false" outlineLevel="0" collapsed="false">
      <c r="A235" s="2" t="s">
        <v>292</v>
      </c>
      <c r="B235" s="27" t="s">
        <v>344</v>
      </c>
      <c r="C235" s="28" t="n">
        <v>152520</v>
      </c>
      <c r="D235" s="28" t="n">
        <f aca="false">附属明細表!J98</f>
        <v>152520</v>
      </c>
      <c r="E235" s="28" t="n">
        <f aca="false">D235-N(C235)</f>
        <v>0</v>
      </c>
      <c r="F235" s="2" t="str">
        <f aca="false">IF(AND(C235&lt;&gt;"",ROUND(E235,2)=0),"一致",IF(G235&lt;&gt;"","変更（意図的）","★相違"))</f>
        <v>一致</v>
      </c>
      <c r="G235" s="2"/>
    </row>
    <row r="236" customFormat="false" ht="15" hidden="false" customHeight="false" outlineLevel="0" collapsed="false">
      <c r="A236" s="2" t="s">
        <v>292</v>
      </c>
      <c r="B236" s="27" t="s">
        <v>345</v>
      </c>
      <c r="C236" s="28" t="n">
        <v>16950</v>
      </c>
      <c r="D236" s="28" t="n">
        <f aca="false">附属明細表!L98</f>
        <v>16950</v>
      </c>
      <c r="E236" s="28" t="n">
        <f aca="false">D236-N(C236)</f>
        <v>0</v>
      </c>
      <c r="F236" s="2" t="str">
        <f aca="false">IF(AND(C236&lt;&gt;"",ROUND(E236,2)=0),"一致",IF(G236&lt;&gt;"","変更（意図的）","★相違"))</f>
        <v>一致</v>
      </c>
      <c r="G236" s="2"/>
    </row>
    <row r="237" customFormat="false" ht="15" hidden="false" customHeight="false" outlineLevel="0" collapsed="false">
      <c r="A237" s="2" t="s">
        <v>292</v>
      </c>
      <c r="B237" s="27" t="s">
        <v>346</v>
      </c>
      <c r="C237" s="28" t="n">
        <v>90</v>
      </c>
      <c r="D237" s="28" t="n">
        <f aca="false">附属明細表!N98</f>
        <v>90</v>
      </c>
      <c r="E237" s="28" t="n">
        <f aca="false">D237-N(C237)</f>
        <v>0</v>
      </c>
      <c r="F237" s="2" t="str">
        <f aca="false">IF(AND(C237&lt;&gt;"",ROUND(E237,2)=0),"一致",IF(G237&lt;&gt;"","変更（意図的）","★相違"))</f>
        <v>一致</v>
      </c>
      <c r="G237" s="2"/>
    </row>
    <row r="238" customFormat="false" ht="15" hidden="false" customHeight="false" outlineLevel="0" collapsed="false">
      <c r="A238" s="2" t="s">
        <v>292</v>
      </c>
      <c r="B238" s="27" t="s">
        <v>347</v>
      </c>
      <c r="C238" s="28" t="n">
        <v>10</v>
      </c>
      <c r="D238" s="28" t="n">
        <f aca="false">附属明細表!D99</f>
        <v>10</v>
      </c>
      <c r="E238" s="28" t="n">
        <f aca="false">D238-N(C238)</f>
        <v>0</v>
      </c>
      <c r="F238" s="2" t="str">
        <f aca="false">IF(AND(C238&lt;&gt;"",ROUND(E238,2)=0),"一致",IF(G238&lt;&gt;"","変更（意図的）","★相違"))</f>
        <v>一致</v>
      </c>
      <c r="G238" s="2"/>
    </row>
    <row r="239" customFormat="false" ht="15" hidden="false" customHeight="false" outlineLevel="0" collapsed="false">
      <c r="A239" s="2" t="s">
        <v>292</v>
      </c>
      <c r="B239" s="27" t="s">
        <v>348</v>
      </c>
      <c r="C239" s="28" t="n">
        <v>90825</v>
      </c>
      <c r="D239" s="28" t="n">
        <f aca="false">附属明細表!F99</f>
        <v>90825</v>
      </c>
      <c r="E239" s="28" t="n">
        <f aca="false">D239-N(C239)</f>
        <v>0</v>
      </c>
      <c r="F239" s="2" t="str">
        <f aca="false">IF(AND(C239&lt;&gt;"",ROUND(E239,2)=0),"一致",IF(G239&lt;&gt;"","変更（意図的）","★相違"))</f>
        <v>一致</v>
      </c>
      <c r="G239" s="2"/>
    </row>
    <row r="240" customFormat="false" ht="15" hidden="false" customHeight="false" outlineLevel="0" collapsed="false">
      <c r="A240" s="2" t="s">
        <v>292</v>
      </c>
      <c r="B240" s="27" t="s">
        <v>349</v>
      </c>
      <c r="C240" s="28" t="n">
        <v>9082</v>
      </c>
      <c r="D240" s="28" t="n">
        <f aca="false">附属明細表!H99</f>
        <v>9082</v>
      </c>
      <c r="E240" s="28" t="n">
        <f aca="false">D240-N(C240)</f>
        <v>0</v>
      </c>
      <c r="F240" s="2" t="str">
        <f aca="false">IF(AND(C240&lt;&gt;"",ROUND(E240,2)=0),"一致",IF(G240&lt;&gt;"","変更（意図的）","★相違"))</f>
        <v>一致</v>
      </c>
      <c r="G240" s="2"/>
    </row>
    <row r="241" customFormat="false" ht="15" hidden="false" customHeight="false" outlineLevel="0" collapsed="false">
      <c r="A241" s="2" t="s">
        <v>292</v>
      </c>
      <c r="B241" s="27" t="s">
        <v>350</v>
      </c>
      <c r="C241" s="28" t="n">
        <v>18926</v>
      </c>
      <c r="D241" s="28" t="n">
        <f aca="false">附属明細表!L99</f>
        <v>18926</v>
      </c>
      <c r="E241" s="28" t="n">
        <f aca="false">D241-N(C241)</f>
        <v>0</v>
      </c>
      <c r="F241" s="2" t="str">
        <f aca="false">IF(AND(C241&lt;&gt;"",ROUND(E241,2)=0),"一致",IF(G241&lt;&gt;"","変更（意図的）","★相違"))</f>
        <v>一致</v>
      </c>
      <c r="G241" s="2"/>
    </row>
    <row r="242" customFormat="false" ht="15" hidden="false" customHeight="false" outlineLevel="0" collapsed="false">
      <c r="A242" s="2" t="s">
        <v>292</v>
      </c>
      <c r="B242" s="27" t="s">
        <v>351</v>
      </c>
      <c r="C242" s="28" t="n">
        <v>260295</v>
      </c>
      <c r="D242" s="28" t="n">
        <f aca="false">附属明細表!F100</f>
        <v>260295</v>
      </c>
      <c r="E242" s="28" t="n">
        <f aca="false">D242-N(C242)</f>
        <v>0</v>
      </c>
      <c r="F242" s="2" t="str">
        <f aca="false">IF(AND(C242&lt;&gt;"",ROUND(E242,2)=0),"一致",IF(G242&lt;&gt;"","変更（意図的）","★相違"))</f>
        <v>一致</v>
      </c>
      <c r="G242" s="2"/>
    </row>
    <row r="243" customFormat="false" ht="15" hidden="false" customHeight="false" outlineLevel="0" collapsed="false">
      <c r="A243" s="2" t="s">
        <v>292</v>
      </c>
      <c r="B243" s="27" t="s">
        <v>352</v>
      </c>
      <c r="C243" s="28" t="n">
        <v>9082</v>
      </c>
      <c r="D243" s="28" t="n">
        <f aca="false">附属明細表!H100</f>
        <v>9082</v>
      </c>
      <c r="E243" s="28" t="n">
        <f aca="false">D243-N(C243)</f>
        <v>0</v>
      </c>
      <c r="F243" s="2" t="str">
        <f aca="false">IF(AND(C243&lt;&gt;"",ROUND(E243,2)=0),"一致",IF(G243&lt;&gt;"","変更（意図的）","★相違"))</f>
        <v>一致</v>
      </c>
      <c r="G243" s="2"/>
    </row>
    <row r="244" customFormat="false" ht="15" hidden="false" customHeight="false" outlineLevel="0" collapsed="false">
      <c r="A244" s="2" t="s">
        <v>292</v>
      </c>
      <c r="B244" s="27" t="s">
        <v>353</v>
      </c>
      <c r="C244" s="28" t="n">
        <v>152520</v>
      </c>
      <c r="D244" s="28" t="n">
        <f aca="false">附属明細表!J100</f>
        <v>152520</v>
      </c>
      <c r="E244" s="28" t="n">
        <f aca="false">D244-N(C244)</f>
        <v>0</v>
      </c>
      <c r="F244" s="2" t="str">
        <f aca="false">IF(AND(C244&lt;&gt;"",ROUND(E244,2)=0),"一致",IF(G244&lt;&gt;"","変更（意図的）","★相違"))</f>
        <v>一致</v>
      </c>
      <c r="G244" s="2"/>
    </row>
    <row r="245" customFormat="false" ht="15" hidden="false" customHeight="false" outlineLevel="0" collapsed="false">
      <c r="A245" s="2" t="s">
        <v>292</v>
      </c>
      <c r="B245" s="27" t="s">
        <v>354</v>
      </c>
      <c r="C245" s="28" t="n">
        <v>35876</v>
      </c>
      <c r="D245" s="28" t="n">
        <f aca="false">附属明細表!L100</f>
        <v>35876</v>
      </c>
      <c r="E245" s="28" t="n">
        <f aca="false">D245-N(C245)</f>
        <v>0</v>
      </c>
      <c r="F245" s="2" t="str">
        <f aca="false">IF(AND(C245&lt;&gt;"",ROUND(E245,2)=0),"一致",IF(G245&lt;&gt;"","変更（意図的）","★相違"))</f>
        <v>一致</v>
      </c>
      <c r="G245" s="2"/>
    </row>
    <row r="246" customFormat="false" ht="15" hidden="false" customHeight="false" outlineLevel="0" collapsed="false">
      <c r="A246" s="2" t="s">
        <v>292</v>
      </c>
      <c r="B246" s="27" t="s">
        <v>355</v>
      </c>
      <c r="C246" s="28" t="n">
        <v>152520</v>
      </c>
      <c r="D246" s="28" t="n">
        <f aca="false">附属明細表!E106</f>
        <v>152520</v>
      </c>
      <c r="E246" s="28" t="n">
        <f aca="false">D246-N(C246)</f>
        <v>0</v>
      </c>
      <c r="F246" s="2" t="str">
        <f aca="false">IF(AND(C246&lt;&gt;"",ROUND(E246,2)=0),"一致",IF(G246&lt;&gt;"","変更（意図的）","★相違"))</f>
        <v>一致</v>
      </c>
      <c r="G246" s="2"/>
    </row>
    <row r="247" customFormat="false" ht="15" hidden="false" customHeight="false" outlineLevel="0" collapsed="false">
      <c r="A247" s="2" t="s">
        <v>292</v>
      </c>
      <c r="B247" s="27" t="s">
        <v>356</v>
      </c>
      <c r="C247" s="28" t="n">
        <v>0</v>
      </c>
      <c r="D247" s="28" t="n">
        <f aca="false">附属明細表!I106</f>
        <v>0</v>
      </c>
      <c r="E247" s="28" t="n">
        <f aca="false">D247-N(C247)</f>
        <v>0</v>
      </c>
      <c r="F247" s="2" t="str">
        <f aca="false">IF(AND(C247&lt;&gt;"",ROUND(E247,2)=0),"一致",IF(G247&lt;&gt;"","変更（意図的）","★相違"))</f>
        <v>一致</v>
      </c>
      <c r="G247" s="2"/>
    </row>
    <row r="248" customFormat="false" ht="15" hidden="false" customHeight="false" outlineLevel="0" collapsed="false">
      <c r="A248" s="2" t="s">
        <v>292</v>
      </c>
      <c r="B248" s="27" t="s">
        <v>357</v>
      </c>
      <c r="C248" s="28" t="n">
        <v>0</v>
      </c>
      <c r="D248" s="28" t="n">
        <f aca="false">附属明細表!M106</f>
        <v>0</v>
      </c>
      <c r="E248" s="28" t="n">
        <f aca="false">D248-N(C248)</f>
        <v>0</v>
      </c>
      <c r="F248" s="2" t="str">
        <f aca="false">IF(AND(C248&lt;&gt;"",ROUND(E248,2)=0),"一致",IF(G248&lt;&gt;"","変更（意図的）","★相違"))</f>
        <v>一致</v>
      </c>
      <c r="G248" s="2"/>
    </row>
    <row r="249" customFormat="false" ht="15" hidden="false" customHeight="false" outlineLevel="0" collapsed="false">
      <c r="A249" s="2" t="s">
        <v>292</v>
      </c>
      <c r="B249" s="27" t="s">
        <v>358</v>
      </c>
      <c r="C249" s="28" t="n">
        <v>152520</v>
      </c>
      <c r="D249" s="28" t="n">
        <f aca="false">附属明細表!Q106</f>
        <v>152520</v>
      </c>
      <c r="E249" s="28" t="n">
        <f aca="false">D249-N(C249)</f>
        <v>0</v>
      </c>
      <c r="F249" s="2" t="str">
        <f aca="false">IF(AND(C249&lt;&gt;"",ROUND(E249,2)=0),"一致",IF(G249&lt;&gt;"","変更（意図的）","★相違"))</f>
        <v>一致</v>
      </c>
      <c r="G249" s="2"/>
    </row>
    <row r="250" customFormat="false" ht="15" hidden="false" customHeight="false" outlineLevel="0" collapsed="false">
      <c r="A250" s="2" t="s">
        <v>292</v>
      </c>
      <c r="B250" s="27" t="s">
        <v>359</v>
      </c>
      <c r="C250" s="28" t="n">
        <v>152520</v>
      </c>
      <c r="D250" s="28" t="n">
        <f aca="false">附属明細表!E107</f>
        <v>152520</v>
      </c>
      <c r="E250" s="28" t="n">
        <f aca="false">D250-N(C250)</f>
        <v>0</v>
      </c>
      <c r="F250" s="2" t="str">
        <f aca="false">IF(AND(C250&lt;&gt;"",ROUND(E250,2)=0),"一致",IF(G250&lt;&gt;"","変更（意図的）","★相違"))</f>
        <v>一致</v>
      </c>
      <c r="G250" s="2"/>
    </row>
    <row r="251" customFormat="false" ht="15" hidden="false" customHeight="false" outlineLevel="0" collapsed="false">
      <c r="A251" s="2" t="s">
        <v>292</v>
      </c>
      <c r="B251" s="27" t="s">
        <v>360</v>
      </c>
      <c r="C251" s="28" t="n">
        <v>0</v>
      </c>
      <c r="D251" s="28" t="n">
        <f aca="false">附属明細表!I107</f>
        <v>0</v>
      </c>
      <c r="E251" s="28" t="n">
        <f aca="false">D251-N(C251)</f>
        <v>0</v>
      </c>
      <c r="F251" s="2" t="str">
        <f aca="false">IF(AND(C251&lt;&gt;"",ROUND(E251,2)=0),"一致",IF(G251&lt;&gt;"","変更（意図的）","★相違"))</f>
        <v>一致</v>
      </c>
      <c r="G251" s="2"/>
    </row>
    <row r="252" customFormat="false" ht="15" hidden="false" customHeight="false" outlineLevel="0" collapsed="false">
      <c r="A252" s="2" t="s">
        <v>292</v>
      </c>
      <c r="B252" s="27" t="s">
        <v>361</v>
      </c>
      <c r="C252" s="28" t="n">
        <v>0</v>
      </c>
      <c r="D252" s="28" t="n">
        <f aca="false">附属明細表!M107</f>
        <v>0</v>
      </c>
      <c r="E252" s="28" t="n">
        <f aca="false">D252-N(C252)</f>
        <v>0</v>
      </c>
      <c r="F252" s="2" t="str">
        <f aca="false">IF(AND(C252&lt;&gt;"",ROUND(E252,2)=0),"一致",IF(G252&lt;&gt;"","変更（意図的）","★相違"))</f>
        <v>一致</v>
      </c>
      <c r="G252" s="2"/>
    </row>
    <row r="253" customFormat="false" ht="15" hidden="false" customHeight="false" outlineLevel="0" collapsed="false">
      <c r="A253" s="2" t="s">
        <v>292</v>
      </c>
      <c r="B253" s="27" t="s">
        <v>362</v>
      </c>
      <c r="C253" s="28" t="n">
        <v>152520</v>
      </c>
      <c r="D253" s="28" t="n">
        <f aca="false">附属明細表!Q107</f>
        <v>152520</v>
      </c>
      <c r="E253" s="28" t="n">
        <f aca="false">D253-N(C253)</f>
        <v>0</v>
      </c>
      <c r="F253" s="2" t="str">
        <f aca="false">IF(AND(C253&lt;&gt;"",ROUND(E253,2)=0),"一致",IF(G253&lt;&gt;"","変更（意図的）","★相違"))</f>
        <v>一致</v>
      </c>
      <c r="G253" s="2"/>
    </row>
    <row r="254" customFormat="false" ht="15" hidden="false" customHeight="false" outlineLevel="0" collapsed="false">
      <c r="A254" s="2" t="s">
        <v>292</v>
      </c>
      <c r="B254" s="27" t="s">
        <v>363</v>
      </c>
      <c r="C254" s="28" t="n">
        <v>466904</v>
      </c>
      <c r="D254" s="28" t="n">
        <f aca="false">附属明細表!E115</f>
        <v>466904</v>
      </c>
      <c r="E254" s="28" t="n">
        <f aca="false">D254-N(C254)</f>
        <v>0</v>
      </c>
      <c r="F254" s="2" t="str">
        <f aca="false">IF(AND(C254&lt;&gt;"",ROUND(E254,2)=0),"一致",IF(G254&lt;&gt;"","変更（意図的）","★相違"))</f>
        <v>一致</v>
      </c>
      <c r="G254" s="2"/>
    </row>
    <row r="255" customFormat="false" ht="15" hidden="false" customHeight="false" outlineLevel="0" collapsed="false">
      <c r="A255" s="2" t="s">
        <v>292</v>
      </c>
      <c r="B255" s="27" t="s">
        <v>364</v>
      </c>
      <c r="C255" s="28" t="n">
        <v>176556</v>
      </c>
      <c r="D255" s="28" t="n">
        <f aca="false">附属明細表!I115</f>
        <v>176556</v>
      </c>
      <c r="E255" s="28" t="n">
        <f aca="false">D255-N(C255)</f>
        <v>0</v>
      </c>
      <c r="F255" s="2" t="str">
        <f aca="false">IF(AND(C255&lt;&gt;"",ROUND(E255,2)=0),"一致",IF(G255&lt;&gt;"","変更（意図的）","★相違"))</f>
        <v>一致</v>
      </c>
      <c r="G255" s="2"/>
    </row>
    <row r="256" customFormat="false" ht="15" hidden="false" customHeight="false" outlineLevel="0" collapsed="false">
      <c r="A256" s="2" t="s">
        <v>292</v>
      </c>
      <c r="B256" s="27" t="s">
        <v>365</v>
      </c>
      <c r="C256" s="28" t="n">
        <v>643460</v>
      </c>
      <c r="D256" s="28" t="n">
        <f aca="false">附属明細表!Q115</f>
        <v>643460</v>
      </c>
      <c r="E256" s="28" t="n">
        <f aca="false">D256-N(C256)</f>
        <v>0</v>
      </c>
      <c r="F256" s="2" t="str">
        <f aca="false">IF(AND(C256&lt;&gt;"",ROUND(E256,2)=0),"一致",IF(G256&lt;&gt;"","変更（意図的）","★相違"))</f>
        <v>一致</v>
      </c>
      <c r="G256" s="2"/>
    </row>
    <row r="257" customFormat="false" ht="15" hidden="false" customHeight="false" outlineLevel="0" collapsed="false">
      <c r="A257" s="2" t="s">
        <v>292</v>
      </c>
      <c r="B257" s="27" t="s">
        <v>366</v>
      </c>
      <c r="C257" s="28" t="n">
        <v>466904</v>
      </c>
      <c r="D257" s="28" t="n">
        <f aca="false">附属明細表!E116</f>
        <v>466904</v>
      </c>
      <c r="E257" s="28" t="n">
        <f aca="false">D257-N(C257)</f>
        <v>0</v>
      </c>
      <c r="F257" s="2" t="str">
        <f aca="false">IF(AND(C257&lt;&gt;"",ROUND(E257,2)=0),"一致",IF(G257&lt;&gt;"","変更（意図的）","★相違"))</f>
        <v>一致</v>
      </c>
      <c r="G257" s="2"/>
    </row>
    <row r="258" customFormat="false" ht="15" hidden="false" customHeight="false" outlineLevel="0" collapsed="false">
      <c r="A258" s="2" t="s">
        <v>292</v>
      </c>
      <c r="B258" s="27" t="s">
        <v>367</v>
      </c>
      <c r="C258" s="28" t="n">
        <v>176556</v>
      </c>
      <c r="D258" s="28" t="n">
        <f aca="false">附属明細表!I116</f>
        <v>176556</v>
      </c>
      <c r="E258" s="28" t="n">
        <f aca="false">D258-N(C258)</f>
        <v>0</v>
      </c>
      <c r="F258" s="2" t="str">
        <f aca="false">IF(AND(C258&lt;&gt;"",ROUND(E258,2)=0),"一致",IF(G258&lt;&gt;"","変更（意図的）","★相違"))</f>
        <v>一致</v>
      </c>
      <c r="G258" s="2"/>
    </row>
    <row r="259" customFormat="false" ht="15" hidden="false" customHeight="false" outlineLevel="0" collapsed="false">
      <c r="A259" s="2" t="s">
        <v>292</v>
      </c>
      <c r="B259" s="27" t="s">
        <v>368</v>
      </c>
      <c r="C259" s="28" t="n">
        <v>0</v>
      </c>
      <c r="D259" s="28" t="n">
        <f aca="false">附属明細表!M116</f>
        <v>0</v>
      </c>
      <c r="E259" s="28" t="n">
        <f aca="false">D259-N(C259)</f>
        <v>0</v>
      </c>
      <c r="F259" s="2" t="str">
        <f aca="false">IF(AND(C259&lt;&gt;"",ROUND(E259,2)=0),"一致",IF(G259&lt;&gt;"","変更（意図的）","★相違"))</f>
        <v>一致</v>
      </c>
      <c r="G259" s="2"/>
    </row>
    <row r="260" customFormat="false" ht="15" hidden="false" customHeight="false" outlineLevel="0" collapsed="false">
      <c r="A260" s="2" t="s">
        <v>292</v>
      </c>
      <c r="B260" s="27" t="s">
        <v>369</v>
      </c>
      <c r="C260" s="28" t="n">
        <v>643460</v>
      </c>
      <c r="D260" s="28" t="n">
        <f aca="false">附属明細表!Q116</f>
        <v>643460</v>
      </c>
      <c r="E260" s="28" t="n">
        <f aca="false">D260-N(C260)</f>
        <v>0</v>
      </c>
      <c r="F260" s="2" t="str">
        <f aca="false">IF(AND(C260&lt;&gt;"",ROUND(E260,2)=0),"一致",IF(G260&lt;&gt;"","変更（意図的）","★相違"))</f>
        <v>一致</v>
      </c>
      <c r="G260" s="2"/>
    </row>
    <row r="261" customFormat="false" ht="15" hidden="false" customHeight="false" outlineLevel="0" collapsed="false">
      <c r="A261" s="2" t="s">
        <v>292</v>
      </c>
      <c r="B261" s="27" t="s">
        <v>370</v>
      </c>
      <c r="C261" s="28" t="n">
        <v>33000</v>
      </c>
      <c r="D261" s="28" t="n">
        <f aca="false">附属明細表!E122</f>
        <v>33000</v>
      </c>
      <c r="E261" s="28" t="n">
        <f aca="false">D261-N(C261)</f>
        <v>0</v>
      </c>
      <c r="F261" s="2" t="str">
        <f aca="false">IF(AND(C261&lt;&gt;"",ROUND(E261,2)=0),"一致",IF(G261&lt;&gt;"","変更（意図的）","★相違"))</f>
        <v>一致</v>
      </c>
      <c r="G261" s="2"/>
    </row>
    <row r="262" customFormat="false" ht="15" hidden="false" customHeight="false" outlineLevel="0" collapsed="false">
      <c r="A262" s="2" t="s">
        <v>292</v>
      </c>
      <c r="B262" s="27" t="s">
        <v>371</v>
      </c>
      <c r="C262" s="28" t="n">
        <v>33000</v>
      </c>
      <c r="D262" s="28" t="n">
        <f aca="false">附属明細表!J122</f>
        <v>33000</v>
      </c>
      <c r="E262" s="28" t="n">
        <f aca="false">D262-N(C262)</f>
        <v>0</v>
      </c>
      <c r="F262" s="2" t="str">
        <f aca="false">IF(AND(C262&lt;&gt;"",ROUND(E262,2)=0),"一致",IF(G262&lt;&gt;"","変更（意図的）","★相違"))</f>
        <v>一致</v>
      </c>
      <c r="G262" s="2"/>
    </row>
    <row r="263" customFormat="false" ht="15" hidden="false" customHeight="false" outlineLevel="0" collapsed="false">
      <c r="A263" s="2" t="s">
        <v>292</v>
      </c>
      <c r="B263" s="27" t="s">
        <v>372</v>
      </c>
      <c r="C263" s="28" t="n">
        <v>0</v>
      </c>
      <c r="D263" s="28" t="n">
        <f aca="false">附属明細表!O122</f>
        <v>0</v>
      </c>
      <c r="E263" s="28" t="n">
        <f aca="false">D263-N(C263)</f>
        <v>0</v>
      </c>
      <c r="F263" s="2" t="str">
        <f aca="false">IF(AND(C263&lt;&gt;"",ROUND(E263,2)=0),"一致",IF(G263&lt;&gt;"","変更（意図的）","★相違"))</f>
        <v>一致</v>
      </c>
      <c r="G263" s="2"/>
    </row>
    <row r="264" customFormat="false" ht="15" hidden="false" customHeight="false" outlineLevel="0" collapsed="false">
      <c r="A264" s="2" t="s">
        <v>292</v>
      </c>
      <c r="B264" s="27" t="s">
        <v>373</v>
      </c>
      <c r="C264" s="28" t="n">
        <v>0</v>
      </c>
      <c r="D264" s="28" t="n">
        <f aca="false">附属明細表!T122</f>
        <v>0</v>
      </c>
      <c r="E264" s="28" t="n">
        <f aca="false">D264-N(C264)</f>
        <v>0</v>
      </c>
      <c r="F264" s="2" t="str">
        <f aca="false">IF(AND(C264&lt;&gt;"",ROUND(E264,2)=0),"一致",IF(G264&lt;&gt;"","変更（意図的）","★相違"))</f>
        <v>一致</v>
      </c>
      <c r="G264" s="2"/>
    </row>
    <row r="265" customFormat="false" ht="15" hidden="false" customHeight="false" outlineLevel="0" collapsed="false">
      <c r="A265" s="2" t="s">
        <v>292</v>
      </c>
      <c r="B265" s="27" t="s">
        <v>374</v>
      </c>
      <c r="C265" s="28" t="n">
        <v>11428000</v>
      </c>
      <c r="D265" s="28" t="n">
        <f aca="false">附属明細表!E123</f>
        <v>11428000</v>
      </c>
      <c r="E265" s="28" t="n">
        <f aca="false">D265-N(C265)</f>
        <v>0</v>
      </c>
      <c r="F265" s="2" t="str">
        <f aca="false">IF(AND(C265&lt;&gt;"",ROUND(E265,2)=0),"一致",IF(G265&lt;&gt;"","変更（意図的）","★相違"))</f>
        <v>一致</v>
      </c>
      <c r="G265" s="2"/>
    </row>
    <row r="266" customFormat="false" ht="15" hidden="false" customHeight="false" outlineLevel="0" collapsed="false">
      <c r="A266" s="2" t="s">
        <v>292</v>
      </c>
      <c r="B266" s="27" t="s">
        <v>375</v>
      </c>
      <c r="C266" s="28" t="n">
        <v>10082322</v>
      </c>
      <c r="D266" s="28" t="n">
        <f aca="false">附属明細表!J123</f>
        <v>10082322</v>
      </c>
      <c r="E266" s="28" t="n">
        <f aca="false">D266-N(C266)</f>
        <v>0</v>
      </c>
      <c r="F266" s="2" t="str">
        <f aca="false">IF(AND(C266&lt;&gt;"",ROUND(E266,2)=0),"一致",IF(G266&lt;&gt;"","変更（意図的）","★相違"))</f>
        <v>一致</v>
      </c>
      <c r="G266" s="2"/>
    </row>
    <row r="267" customFormat="false" ht="15" hidden="false" customHeight="false" outlineLevel="0" collapsed="false">
      <c r="A267" s="2" t="s">
        <v>292</v>
      </c>
      <c r="B267" s="27" t="s">
        <v>376</v>
      </c>
      <c r="C267" s="28" t="n">
        <v>59015</v>
      </c>
      <c r="D267" s="28" t="n">
        <f aca="false">附属明細表!O123</f>
        <v>59015</v>
      </c>
      <c r="E267" s="28" t="n">
        <f aca="false">D267-N(C267)</f>
        <v>0</v>
      </c>
      <c r="F267" s="2" t="str">
        <f aca="false">IF(AND(C267&lt;&gt;"",ROUND(E267,2)=0),"一致",IF(G267&lt;&gt;"","変更（意図的）","★相違"))</f>
        <v>一致</v>
      </c>
      <c r="G267" s="2"/>
    </row>
    <row r="268" customFormat="false" ht="15" hidden="false" customHeight="false" outlineLevel="0" collapsed="false">
      <c r="A268" s="2" t="s">
        <v>292</v>
      </c>
      <c r="B268" s="27" t="s">
        <v>377</v>
      </c>
      <c r="C268" s="28" t="n">
        <v>1286663</v>
      </c>
      <c r="D268" s="28" t="n">
        <f aca="false">附属明細表!T123</f>
        <v>1286663</v>
      </c>
      <c r="E268" s="28" t="n">
        <f aca="false">D268-N(C268)</f>
        <v>0</v>
      </c>
      <c r="F268" s="2" t="str">
        <f aca="false">IF(AND(C268&lt;&gt;"",ROUND(E268,2)=0),"一致",IF(G268&lt;&gt;"","変更（意図的）","★相違"))</f>
        <v>一致</v>
      </c>
      <c r="G268" s="2"/>
    </row>
    <row r="269" customFormat="false" ht="15" hidden="false" customHeight="false" outlineLevel="0" collapsed="false">
      <c r="A269" s="2" t="s">
        <v>292</v>
      </c>
      <c r="B269" s="27" t="s">
        <v>378</v>
      </c>
      <c r="C269" s="28" t="n">
        <v>1675000</v>
      </c>
      <c r="D269" s="28" t="n">
        <f aca="false">附属明細表!E124</f>
        <v>1675000</v>
      </c>
      <c r="E269" s="28" t="n">
        <f aca="false">D269-N(C269)</f>
        <v>0</v>
      </c>
      <c r="F269" s="2" t="str">
        <f aca="false">IF(AND(C269&lt;&gt;"",ROUND(E269,2)=0),"一致",IF(G269&lt;&gt;"","変更（意図的）","★相違"))</f>
        <v>一致</v>
      </c>
      <c r="G269" s="2"/>
    </row>
    <row r="270" customFormat="false" ht="15" hidden="false" customHeight="false" outlineLevel="0" collapsed="false">
      <c r="A270" s="2" t="s">
        <v>292</v>
      </c>
      <c r="B270" s="27" t="s">
        <v>379</v>
      </c>
      <c r="C270" s="28" t="n">
        <v>343112</v>
      </c>
      <c r="D270" s="28" t="n">
        <f aca="false">附属明細表!J124</f>
        <v>343112</v>
      </c>
      <c r="E270" s="28" t="n">
        <f aca="false">D270-N(C270)</f>
        <v>0</v>
      </c>
      <c r="F270" s="2" t="str">
        <f aca="false">IF(AND(C270&lt;&gt;"",ROUND(E270,2)=0),"一致",IF(G270&lt;&gt;"","変更（意図的）","★相違"))</f>
        <v>一致</v>
      </c>
      <c r="G270" s="2"/>
    </row>
    <row r="271" customFormat="false" ht="15" hidden="false" customHeight="false" outlineLevel="0" collapsed="false">
      <c r="A271" s="2" t="s">
        <v>292</v>
      </c>
      <c r="B271" s="27" t="s">
        <v>380</v>
      </c>
      <c r="C271" s="28" t="n">
        <v>0</v>
      </c>
      <c r="D271" s="28" t="n">
        <f aca="false">附属明細表!O124</f>
        <v>0</v>
      </c>
      <c r="E271" s="28" t="n">
        <f aca="false">D271-N(C271)</f>
        <v>0</v>
      </c>
      <c r="F271" s="2" t="str">
        <f aca="false">IF(AND(C271&lt;&gt;"",ROUND(E271,2)=0),"一致",IF(G271&lt;&gt;"","変更（意図的）","★相違"))</f>
        <v>一致</v>
      </c>
      <c r="G271" s="2"/>
    </row>
    <row r="272" customFormat="false" ht="15" hidden="false" customHeight="false" outlineLevel="0" collapsed="false">
      <c r="A272" s="2" t="s">
        <v>292</v>
      </c>
      <c r="B272" s="27" t="s">
        <v>381</v>
      </c>
      <c r="C272" s="28" t="n">
        <v>1331888</v>
      </c>
      <c r="D272" s="28" t="n">
        <f aca="false">附属明細表!T124</f>
        <v>1331888</v>
      </c>
      <c r="E272" s="28" t="n">
        <f aca="false">D272-N(C272)</f>
        <v>0</v>
      </c>
      <c r="F272" s="2" t="str">
        <f aca="false">IF(AND(C272&lt;&gt;"",ROUND(E272,2)=0),"一致",IF(G272&lt;&gt;"","変更（意図的）","★相違"))</f>
        <v>一致</v>
      </c>
      <c r="G272" s="2"/>
    </row>
    <row r="273" customFormat="false" ht="15" hidden="false" customHeight="false" outlineLevel="0" collapsed="false">
      <c r="A273" s="2" t="s">
        <v>292</v>
      </c>
      <c r="B273" s="27" t="s">
        <v>382</v>
      </c>
      <c r="C273" s="28" t="n">
        <v>17238000</v>
      </c>
      <c r="D273" s="28" t="n">
        <f aca="false">附属明細表!E125</f>
        <v>17238000</v>
      </c>
      <c r="E273" s="28" t="n">
        <f aca="false">D273-N(C273)</f>
        <v>0</v>
      </c>
      <c r="F273" s="2" t="str">
        <f aca="false">IF(AND(C273&lt;&gt;"",ROUND(E273,2)=0),"一致",IF(G273&lt;&gt;"","変更（意図的）","★相違"))</f>
        <v>一致</v>
      </c>
      <c r="G273" s="2"/>
    </row>
    <row r="274" customFormat="false" ht="15" hidden="false" customHeight="false" outlineLevel="0" collapsed="false">
      <c r="A274" s="2" t="s">
        <v>292</v>
      </c>
      <c r="B274" s="27" t="s">
        <v>383</v>
      </c>
      <c r="C274" s="28" t="n">
        <v>13146428</v>
      </c>
      <c r="D274" s="28" t="n">
        <f aca="false">附属明細表!J125</f>
        <v>13146428</v>
      </c>
      <c r="E274" s="28" t="n">
        <f aca="false">D274-N(C274)</f>
        <v>0</v>
      </c>
      <c r="F274" s="2" t="str">
        <f aca="false">IF(AND(C274&lt;&gt;"",ROUND(E274,2)=0),"一致",IF(G274&lt;&gt;"","変更（意図的）","★相違"))</f>
        <v>一致</v>
      </c>
      <c r="G274" s="2"/>
    </row>
    <row r="275" customFormat="false" ht="15" hidden="false" customHeight="false" outlineLevel="0" collapsed="false">
      <c r="A275" s="2" t="s">
        <v>292</v>
      </c>
      <c r="B275" s="27" t="s">
        <v>384</v>
      </c>
      <c r="C275" s="28" t="n">
        <v>846685</v>
      </c>
      <c r="D275" s="28" t="n">
        <f aca="false">附属明細表!O125</f>
        <v>846685</v>
      </c>
      <c r="E275" s="28" t="n">
        <f aca="false">D275-N(C275)</f>
        <v>0</v>
      </c>
      <c r="F275" s="2" t="str">
        <f aca="false">IF(AND(C275&lt;&gt;"",ROUND(E275,2)=0),"一致",IF(G275&lt;&gt;"","変更（意図的）","★相違"))</f>
        <v>一致</v>
      </c>
      <c r="G275" s="2"/>
    </row>
    <row r="276" customFormat="false" ht="15" hidden="false" customHeight="false" outlineLevel="0" collapsed="false">
      <c r="A276" s="2" t="s">
        <v>292</v>
      </c>
      <c r="B276" s="27" t="s">
        <v>385</v>
      </c>
      <c r="C276" s="28" t="n">
        <v>3244887</v>
      </c>
      <c r="D276" s="28" t="n">
        <f aca="false">附属明細表!T125</f>
        <v>3244887</v>
      </c>
      <c r="E276" s="28" t="n">
        <f aca="false">D276-N(C276)</f>
        <v>0</v>
      </c>
      <c r="F276" s="2" t="str">
        <f aca="false">IF(AND(C276&lt;&gt;"",ROUND(E276,2)=0),"一致",IF(G276&lt;&gt;"","変更（意図的）","★相違"))</f>
        <v>一致</v>
      </c>
      <c r="G276" s="2"/>
    </row>
    <row r="277" customFormat="false" ht="15" hidden="false" customHeight="false" outlineLevel="0" collapsed="false">
      <c r="A277" s="2" t="s">
        <v>292</v>
      </c>
      <c r="B277" s="27" t="s">
        <v>386</v>
      </c>
      <c r="C277" s="28" t="n">
        <v>30374000</v>
      </c>
      <c r="D277" s="28" t="n">
        <f aca="false">附属明細表!E126</f>
        <v>30374000</v>
      </c>
      <c r="E277" s="28" t="n">
        <f aca="false">D277-N(C277)</f>
        <v>0</v>
      </c>
      <c r="F277" s="2" t="str">
        <f aca="false">IF(AND(C277&lt;&gt;"",ROUND(E277,2)=0),"一致",IF(G277&lt;&gt;"","変更（意図的）","★相違"))</f>
        <v>一致</v>
      </c>
      <c r="G277" s="2"/>
    </row>
    <row r="278" customFormat="false" ht="15" hidden="false" customHeight="false" outlineLevel="0" collapsed="false">
      <c r="A278" s="2" t="s">
        <v>292</v>
      </c>
      <c r="B278" s="27" t="s">
        <v>387</v>
      </c>
      <c r="C278" s="28" t="n">
        <v>23604862</v>
      </c>
      <c r="D278" s="28" t="n">
        <f aca="false">附属明細表!J126</f>
        <v>23604862</v>
      </c>
      <c r="E278" s="28" t="n">
        <f aca="false">D278-N(C278)</f>
        <v>0</v>
      </c>
      <c r="F278" s="2" t="str">
        <f aca="false">IF(AND(C278&lt;&gt;"",ROUND(E278,2)=0),"一致",IF(G278&lt;&gt;"","変更（意図的）","★相違"))</f>
        <v>一致</v>
      </c>
      <c r="G278" s="2"/>
    </row>
    <row r="279" customFormat="false" ht="15" hidden="false" customHeight="false" outlineLevel="0" collapsed="false">
      <c r="A279" s="2" t="s">
        <v>292</v>
      </c>
      <c r="B279" s="27" t="s">
        <v>388</v>
      </c>
      <c r="C279" s="28" t="n">
        <v>905700</v>
      </c>
      <c r="D279" s="28" t="n">
        <f aca="false">附属明細表!O126</f>
        <v>905700</v>
      </c>
      <c r="E279" s="28" t="n">
        <f aca="false">D279-N(C279)</f>
        <v>0</v>
      </c>
      <c r="F279" s="2" t="str">
        <f aca="false">IF(AND(C279&lt;&gt;"",ROUND(E279,2)=0),"一致",IF(G279&lt;&gt;"","変更（意図的）","★相違"))</f>
        <v>一致</v>
      </c>
      <c r="G279" s="2"/>
    </row>
    <row r="280" customFormat="false" ht="15" hidden="false" customHeight="false" outlineLevel="0" collapsed="false">
      <c r="A280" s="2" t="s">
        <v>292</v>
      </c>
      <c r="B280" s="27" t="s">
        <v>389</v>
      </c>
      <c r="C280" s="28" t="n">
        <v>5863438</v>
      </c>
      <c r="D280" s="28" t="n">
        <f aca="false">附属明細表!T126</f>
        <v>5863438</v>
      </c>
      <c r="E280" s="28" t="n">
        <f aca="false">D280-N(C280)</f>
        <v>0</v>
      </c>
      <c r="F280" s="2" t="str">
        <f aca="false">IF(AND(C280&lt;&gt;"",ROUND(E280,2)=0),"一致",IF(G280&lt;&gt;"","変更（意図的）","★相違"))</f>
        <v>一致</v>
      </c>
      <c r="G280" s="2"/>
    </row>
    <row r="281" customFormat="false" ht="15" hidden="false" customHeight="false" outlineLevel="0" collapsed="false">
      <c r="A281" s="2" t="s">
        <v>292</v>
      </c>
      <c r="B281" s="27" t="s">
        <v>390</v>
      </c>
      <c r="C281" s="28" t="n">
        <v>71093911</v>
      </c>
      <c r="D281" s="28" t="n">
        <f aca="false">附属明細表!P133</f>
        <v>71093911</v>
      </c>
      <c r="E281" s="28" t="n">
        <f aca="false">D281-N(C281)</f>
        <v>0</v>
      </c>
      <c r="F281" s="2" t="str">
        <f aca="false">IF(AND(C281&lt;&gt;"",ROUND(E281,2)=0),"一致",IF(G281&lt;&gt;"","変更（意図的）","★相違"))</f>
        <v>一致</v>
      </c>
      <c r="G281" s="2"/>
    </row>
    <row r="282" customFormat="false" ht="15" hidden="false" customHeight="false" outlineLevel="0" collapsed="false">
      <c r="A282" s="2" t="s">
        <v>292</v>
      </c>
      <c r="B282" s="27" t="s">
        <v>391</v>
      </c>
      <c r="C282" s="28" t="n">
        <v>3603510</v>
      </c>
      <c r="D282" s="28" t="n">
        <f aca="false">附属明細表!P134</f>
        <v>3603510</v>
      </c>
      <c r="E282" s="28" t="n">
        <f aca="false">D282-N(C282)</f>
        <v>0</v>
      </c>
      <c r="F282" s="2" t="str">
        <f aca="false">IF(AND(C282&lt;&gt;"",ROUND(E282,2)=0),"一致",IF(G282&lt;&gt;"","変更（意図的）","★相違"))</f>
        <v>一致</v>
      </c>
      <c r="G282" s="2"/>
    </row>
    <row r="283" customFormat="false" ht="15" hidden="false" customHeight="false" outlineLevel="0" collapsed="false">
      <c r="A283" s="2" t="s">
        <v>292</v>
      </c>
      <c r="B283" s="27" t="s">
        <v>392</v>
      </c>
      <c r="C283" s="28" t="n">
        <v>0</v>
      </c>
      <c r="D283" s="28" t="n">
        <f aca="false">附属明細表!P135</f>
        <v>0</v>
      </c>
      <c r="E283" s="28" t="n">
        <f aca="false">D283-N(C283)</f>
        <v>0</v>
      </c>
      <c r="F283" s="2" t="str">
        <f aca="false">IF(AND(C283&lt;&gt;"",ROUND(E283,2)=0),"一致",IF(G283&lt;&gt;"","変更（意図的）","★相違"))</f>
        <v>一致</v>
      </c>
      <c r="G283" s="2"/>
    </row>
    <row r="284" customFormat="false" ht="15" hidden="false" customHeight="false" outlineLevel="0" collapsed="false">
      <c r="A284" s="2" t="s">
        <v>292</v>
      </c>
      <c r="B284" s="27" t="s">
        <v>393</v>
      </c>
      <c r="C284" s="28" t="n">
        <v>0</v>
      </c>
      <c r="D284" s="28" t="n">
        <f aca="false">附属明細表!K136</f>
        <v>0</v>
      </c>
      <c r="E284" s="28" t="n">
        <f aca="false">D284-N(C284)</f>
        <v>0</v>
      </c>
      <c r="F284" s="2" t="str">
        <f aca="false">IF(AND(C284&lt;&gt;"",ROUND(E284,2)=0),"一致",IF(G284&lt;&gt;"","変更（意図的）","★相違"))</f>
        <v>一致</v>
      </c>
      <c r="G284" s="2"/>
    </row>
    <row r="285" customFormat="false" ht="15" hidden="false" customHeight="false" outlineLevel="0" collapsed="false">
      <c r="A285" s="2" t="s">
        <v>292</v>
      </c>
      <c r="B285" s="27" t="s">
        <v>394</v>
      </c>
      <c r="C285" s="28" t="n">
        <v>0</v>
      </c>
      <c r="D285" s="28" t="n">
        <f aca="false">附属明細表!K137</f>
        <v>0</v>
      </c>
      <c r="E285" s="28" t="n">
        <f aca="false">D285-N(C285)</f>
        <v>0</v>
      </c>
      <c r="F285" s="2" t="str">
        <f aca="false">IF(AND(C285&lt;&gt;"",ROUND(E285,2)=0),"一致",IF(G285&lt;&gt;"","変更（意図的）","★相違"))</f>
        <v>一致</v>
      </c>
      <c r="G285" s="2"/>
    </row>
    <row r="286" customFormat="false" ht="15" hidden="false" customHeight="false" outlineLevel="0" collapsed="false">
      <c r="A286" s="2" t="s">
        <v>292</v>
      </c>
      <c r="B286" s="27" t="s">
        <v>395</v>
      </c>
      <c r="C286" s="28" t="n">
        <v>74697421</v>
      </c>
      <c r="D286" s="28" t="n">
        <f aca="false">附属明細表!Q139</f>
        <v>74697421</v>
      </c>
      <c r="E286" s="28" t="n">
        <f aca="false">D286-N(C286)</f>
        <v>0</v>
      </c>
      <c r="F286" s="2" t="str">
        <f aca="false">IF(AND(C286&lt;&gt;"",ROUND(E286,2)=0),"一致",IF(G286&lt;&gt;"","変更（意図的）","★相違"))</f>
        <v>一致</v>
      </c>
      <c r="G286" s="2"/>
    </row>
    <row r="287" customFormat="false" ht="15" hidden="false" customHeight="false" outlineLevel="0" collapsed="false">
      <c r="A287" s="2" t="s">
        <v>292</v>
      </c>
      <c r="B287" s="27" t="s">
        <v>396</v>
      </c>
      <c r="C287" s="28" t="n">
        <v>18913000</v>
      </c>
      <c r="D287" s="28" t="n">
        <f aca="false">附属明細表!Q145</f>
        <v>18913000</v>
      </c>
      <c r="E287" s="28" t="n">
        <f aca="false">D287-N(C287)</f>
        <v>0</v>
      </c>
      <c r="F287" s="2" t="str">
        <f aca="false">IF(AND(C287&lt;&gt;"",ROUND(E287,2)=0),"一致",IF(G287&lt;&gt;"","変更（意図的）","★相違"))</f>
        <v>一致</v>
      </c>
      <c r="G287" s="2"/>
    </row>
    <row r="288" customFormat="false" ht="15" hidden="false" customHeight="false" outlineLevel="0" collapsed="false">
      <c r="A288" s="2" t="s">
        <v>292</v>
      </c>
      <c r="B288" s="27" t="s">
        <v>397</v>
      </c>
      <c r="C288" s="28" t="n">
        <v>14336225</v>
      </c>
      <c r="D288" s="28" t="n">
        <f aca="false">附属明細表!Q147</f>
        <v>14336225</v>
      </c>
      <c r="E288" s="28" t="n">
        <f aca="false">D288-N(C288)</f>
        <v>0</v>
      </c>
      <c r="F288" s="2" t="str">
        <f aca="false">IF(AND(C288&lt;&gt;"",ROUND(E288,2)=0),"一致",IF(G288&lt;&gt;"","変更（意図的）","★相違"))</f>
        <v>一致</v>
      </c>
      <c r="G288" s="2"/>
    </row>
    <row r="289" customFormat="false" ht="15" hidden="false" customHeight="false" outlineLevel="0" collapsed="false">
      <c r="A289" s="2" t="s">
        <v>292</v>
      </c>
      <c r="B289" s="27" t="s">
        <v>398</v>
      </c>
      <c r="C289" s="28" t="n">
        <v>4576775</v>
      </c>
      <c r="D289" s="28" t="n">
        <f aca="false">附属明細表!Q149</f>
        <v>4576775</v>
      </c>
      <c r="E289" s="28" t="n">
        <f aca="false">D289-N(C289)</f>
        <v>0</v>
      </c>
      <c r="F289" s="2" t="str">
        <f aca="false">IF(AND(C289&lt;&gt;"",ROUND(E289,2)=0),"一致",IF(G289&lt;&gt;"","変更（意図的）","★相違"))</f>
        <v>一致</v>
      </c>
      <c r="G289" s="2"/>
    </row>
    <row r="290" customFormat="false" ht="15" hidden="false" customHeight="false" outlineLevel="0" collapsed="false">
      <c r="A290" s="2" t="s">
        <v>292</v>
      </c>
      <c r="B290" s="27" t="s">
        <v>399</v>
      </c>
      <c r="C290" s="28" t="n">
        <v>4576775</v>
      </c>
      <c r="D290" s="28" t="n">
        <f aca="false">附属明細表!Q150</f>
        <v>4576775</v>
      </c>
      <c r="E290" s="28" t="n">
        <f aca="false">D290-N(C290)</f>
        <v>0</v>
      </c>
      <c r="F290" s="2" t="str">
        <f aca="false">IF(AND(C290&lt;&gt;"",ROUND(E290,2)=0),"一致",IF(G290&lt;&gt;"","変更（意図的）","★相違"))</f>
        <v>一致</v>
      </c>
      <c r="G290" s="2"/>
    </row>
    <row r="291" customFormat="false" ht="15" hidden="false" customHeight="false" outlineLevel="0" collapsed="false">
      <c r="A291" s="2" t="s">
        <v>400</v>
      </c>
      <c r="B291" s="27" t="s">
        <v>401</v>
      </c>
      <c r="C291" s="28" t="n">
        <v>4883</v>
      </c>
      <c r="D291" s="28" t="n">
        <f aca="false">業務経理P18!Y6</f>
        <v>4883</v>
      </c>
      <c r="E291" s="28" t="n">
        <f aca="false">D291-N(C291)</f>
        <v>0</v>
      </c>
      <c r="F291" s="2" t="str">
        <f aca="false">IF(AND(C291&lt;&gt;"",ROUND(E291,2)=0),"一致",IF(G291&lt;&gt;"","変更（意図的）","★相違"))</f>
        <v>一致</v>
      </c>
      <c r="G291" s="2"/>
    </row>
    <row r="292" customFormat="false" ht="15" hidden="false" customHeight="false" outlineLevel="0" collapsed="false">
      <c r="A292" s="2" t="s">
        <v>400</v>
      </c>
      <c r="B292" s="27" t="s">
        <v>402</v>
      </c>
      <c r="C292" s="28" t="n">
        <v>5114</v>
      </c>
      <c r="D292" s="28" t="n">
        <f aca="false">業務経理P18!AJ6</f>
        <v>5114</v>
      </c>
      <c r="E292" s="28" t="n">
        <f aca="false">D292-N(C292)</f>
        <v>0</v>
      </c>
      <c r="F292" s="2" t="str">
        <f aca="false">IF(AND(C292&lt;&gt;"",ROUND(E292,2)=0),"一致",IF(G292&lt;&gt;"","変更（意図的）","★相違"))</f>
        <v>一致</v>
      </c>
      <c r="G292" s="2"/>
    </row>
    <row r="293" customFormat="false" ht="15" hidden="false" customHeight="false" outlineLevel="0" collapsed="false">
      <c r="A293" s="2" t="s">
        <v>400</v>
      </c>
      <c r="B293" s="27" t="s">
        <v>403</v>
      </c>
      <c r="C293" s="28" t="n">
        <v>231</v>
      </c>
      <c r="D293" s="28" t="n">
        <f aca="false">業務経理P18!AU6</f>
        <v>231</v>
      </c>
      <c r="E293" s="28" t="n">
        <f aca="false">D293-N(C293)</f>
        <v>0</v>
      </c>
      <c r="F293" s="2" t="str">
        <f aca="false">IF(AND(C293&lt;&gt;"",ROUND(E293,2)=0),"一致",IF(G293&lt;&gt;"","変更（意図的）","★相違"))</f>
        <v>一致</v>
      </c>
      <c r="G293" s="2"/>
    </row>
    <row r="294" customFormat="false" ht="15" hidden="false" customHeight="false" outlineLevel="0" collapsed="false">
      <c r="A294" s="2" t="s">
        <v>400</v>
      </c>
      <c r="B294" s="27" t="s">
        <v>404</v>
      </c>
      <c r="C294" s="28" t="n">
        <v>5508</v>
      </c>
      <c r="D294" s="28" t="n">
        <f aca="false">業務経理P18!Y7</f>
        <v>5508</v>
      </c>
      <c r="E294" s="28" t="n">
        <f aca="false">D294-N(C294)</f>
        <v>0</v>
      </c>
      <c r="F294" s="2" t="str">
        <f aca="false">IF(AND(C294&lt;&gt;"",ROUND(E294,2)=0),"一致",IF(G294&lt;&gt;"","変更（意図的）","★相違"))</f>
        <v>一致</v>
      </c>
      <c r="G294" s="2"/>
    </row>
    <row r="295" customFormat="false" ht="15" hidden="false" customHeight="false" outlineLevel="0" collapsed="false">
      <c r="A295" s="2" t="s">
        <v>400</v>
      </c>
      <c r="B295" s="27" t="s">
        <v>405</v>
      </c>
      <c r="C295" s="28" t="n">
        <v>6038</v>
      </c>
      <c r="D295" s="28" t="n">
        <f aca="false">業務経理P18!AJ7</f>
        <v>6038</v>
      </c>
      <c r="E295" s="28" t="n">
        <f aca="false">D295-N(C295)</f>
        <v>0</v>
      </c>
      <c r="F295" s="2" t="str">
        <f aca="false">IF(AND(C295&lt;&gt;"",ROUND(E295,2)=0),"一致",IF(G295&lt;&gt;"","変更（意図的）","★相違"))</f>
        <v>一致</v>
      </c>
      <c r="G295" s="2"/>
    </row>
    <row r="296" customFormat="false" ht="15" hidden="false" customHeight="false" outlineLevel="0" collapsed="false">
      <c r="A296" s="2" t="s">
        <v>400</v>
      </c>
      <c r="B296" s="27" t="s">
        <v>406</v>
      </c>
      <c r="C296" s="28" t="n">
        <v>530</v>
      </c>
      <c r="D296" s="28" t="n">
        <f aca="false">業務経理P18!AU7</f>
        <v>530</v>
      </c>
      <c r="E296" s="28" t="n">
        <f aca="false">D296-N(C296)</f>
        <v>0</v>
      </c>
      <c r="F296" s="2" t="str">
        <f aca="false">IF(AND(C296&lt;&gt;"",ROUND(E296,2)=0),"一致",IF(G296&lt;&gt;"","変更（意図的）","★相違"))</f>
        <v>一致</v>
      </c>
      <c r="G296" s="2"/>
    </row>
    <row r="297" customFormat="false" ht="15" hidden="false" customHeight="false" outlineLevel="0" collapsed="false">
      <c r="A297" s="2" t="s">
        <v>400</v>
      </c>
      <c r="B297" s="27" t="s">
        <v>407</v>
      </c>
      <c r="C297" s="28" t="n">
        <v>1847</v>
      </c>
      <c r="D297" s="28" t="n">
        <f aca="false">業務経理P18!Y8</f>
        <v>1847</v>
      </c>
      <c r="E297" s="28" t="n">
        <f aca="false">D297-N(C297)</f>
        <v>0</v>
      </c>
      <c r="F297" s="2" t="str">
        <f aca="false">IF(AND(C297&lt;&gt;"",ROUND(E297,2)=0),"一致",IF(G297&lt;&gt;"","変更（意図的）","★相違"))</f>
        <v>一致</v>
      </c>
      <c r="G297" s="2"/>
    </row>
    <row r="298" customFormat="false" ht="15" hidden="false" customHeight="false" outlineLevel="0" collapsed="false">
      <c r="A298" s="2" t="s">
        <v>400</v>
      </c>
      <c r="B298" s="27" t="s">
        <v>408</v>
      </c>
      <c r="C298" s="28" t="n">
        <v>1863</v>
      </c>
      <c r="D298" s="28" t="n">
        <f aca="false">業務経理P18!AJ8</f>
        <v>1863</v>
      </c>
      <c r="E298" s="28" t="n">
        <f aca="false">D298-N(C298)</f>
        <v>0</v>
      </c>
      <c r="F298" s="2" t="str">
        <f aca="false">IF(AND(C298&lt;&gt;"",ROUND(E298,2)=0),"一致",IF(G298&lt;&gt;"","変更（意図的）","★相違"))</f>
        <v>一致</v>
      </c>
      <c r="G298" s="2"/>
    </row>
    <row r="299" customFormat="false" ht="15" hidden="false" customHeight="false" outlineLevel="0" collapsed="false">
      <c r="A299" s="2" t="s">
        <v>400</v>
      </c>
      <c r="B299" s="27" t="s">
        <v>409</v>
      </c>
      <c r="C299" s="28" t="n">
        <v>16</v>
      </c>
      <c r="D299" s="28" t="n">
        <f aca="false">業務経理P18!AU8</f>
        <v>16</v>
      </c>
      <c r="E299" s="28" t="n">
        <f aca="false">D299-N(C299)</f>
        <v>0</v>
      </c>
      <c r="F299" s="2" t="str">
        <f aca="false">IF(AND(C299&lt;&gt;"",ROUND(E299,2)=0),"一致",IF(G299&lt;&gt;"","変更（意図的）","★相違"))</f>
        <v>一致</v>
      </c>
      <c r="G299" s="2"/>
    </row>
    <row r="300" customFormat="false" ht="15" hidden="false" customHeight="false" outlineLevel="0" collapsed="false">
      <c r="A300" s="2" t="s">
        <v>400</v>
      </c>
      <c r="B300" s="27" t="s">
        <v>410</v>
      </c>
      <c r="C300" s="28" t="n">
        <v>1570</v>
      </c>
      <c r="D300" s="28" t="n">
        <f aca="false">業務経理P18!Y9</f>
        <v>1570</v>
      </c>
      <c r="E300" s="28" t="n">
        <f aca="false">D300-N(C300)</f>
        <v>0</v>
      </c>
      <c r="F300" s="2" t="str">
        <f aca="false">IF(AND(C300&lt;&gt;"",ROUND(E300,2)=0),"一致",IF(G300&lt;&gt;"","変更（意図的）","★相違"))</f>
        <v>一致</v>
      </c>
      <c r="G300" s="2"/>
    </row>
    <row r="301" customFormat="false" ht="15" hidden="false" customHeight="false" outlineLevel="0" collapsed="false">
      <c r="A301" s="2" t="s">
        <v>400</v>
      </c>
      <c r="B301" s="27" t="s">
        <v>411</v>
      </c>
      <c r="C301" s="28" t="n">
        <v>1635</v>
      </c>
      <c r="D301" s="28" t="n">
        <f aca="false">業務経理P18!AJ9</f>
        <v>1635</v>
      </c>
      <c r="E301" s="28" t="n">
        <f aca="false">D301-N(C301)</f>
        <v>0</v>
      </c>
      <c r="F301" s="2" t="str">
        <f aca="false">IF(AND(C301&lt;&gt;"",ROUND(E301,2)=0),"一致",IF(G301&lt;&gt;"","変更（意図的）","★相違"))</f>
        <v>一致</v>
      </c>
      <c r="G301" s="2"/>
    </row>
    <row r="302" customFormat="false" ht="15" hidden="false" customHeight="false" outlineLevel="0" collapsed="false">
      <c r="A302" s="2" t="s">
        <v>400</v>
      </c>
      <c r="B302" s="27" t="s">
        <v>412</v>
      </c>
      <c r="C302" s="28" t="n">
        <v>65</v>
      </c>
      <c r="D302" s="28" t="n">
        <f aca="false">業務経理P18!AU9</f>
        <v>65</v>
      </c>
      <c r="E302" s="28" t="n">
        <f aca="false">D302-N(C302)</f>
        <v>0</v>
      </c>
      <c r="F302" s="2" t="str">
        <f aca="false">IF(AND(C302&lt;&gt;"",ROUND(E302,2)=0),"一致",IF(G302&lt;&gt;"","変更（意図的）","★相違"))</f>
        <v>一致</v>
      </c>
      <c r="G302" s="2"/>
    </row>
    <row r="303" customFormat="false" ht="15" hidden="false" customHeight="false" outlineLevel="0" collapsed="false">
      <c r="A303" s="2" t="s">
        <v>400</v>
      </c>
      <c r="B303" s="27" t="s">
        <v>413</v>
      </c>
      <c r="C303" s="28" t="n">
        <v>1466</v>
      </c>
      <c r="D303" s="28" t="n">
        <f aca="false">業務経理P18!Y10</f>
        <v>1466</v>
      </c>
      <c r="E303" s="28" t="n">
        <f aca="false">D303-N(C303)</f>
        <v>0</v>
      </c>
      <c r="F303" s="2" t="str">
        <f aca="false">IF(AND(C303&lt;&gt;"",ROUND(E303,2)=0),"一致",IF(G303&lt;&gt;"","変更（意図的）","★相違"))</f>
        <v>一致</v>
      </c>
      <c r="G303" s="2"/>
    </row>
    <row r="304" customFormat="false" ht="15" hidden="false" customHeight="false" outlineLevel="0" collapsed="false">
      <c r="A304" s="2" t="s">
        <v>400</v>
      </c>
      <c r="B304" s="27" t="s">
        <v>414</v>
      </c>
      <c r="C304" s="28" t="n">
        <v>1616</v>
      </c>
      <c r="D304" s="28" t="n">
        <f aca="false">業務経理P18!AJ10</f>
        <v>1616</v>
      </c>
      <c r="E304" s="28" t="n">
        <f aca="false">D304-N(C304)</f>
        <v>0</v>
      </c>
      <c r="F304" s="2" t="str">
        <f aca="false">IF(AND(C304&lt;&gt;"",ROUND(E304,2)=0),"一致",IF(G304&lt;&gt;"","変更（意図的）","★相違"))</f>
        <v>一致</v>
      </c>
      <c r="G304" s="2"/>
    </row>
    <row r="305" customFormat="false" ht="15" hidden="false" customHeight="false" outlineLevel="0" collapsed="false">
      <c r="A305" s="2" t="s">
        <v>400</v>
      </c>
      <c r="B305" s="27" t="s">
        <v>415</v>
      </c>
      <c r="C305" s="28" t="n">
        <v>150</v>
      </c>
      <c r="D305" s="28" t="n">
        <f aca="false">業務経理P18!AU10</f>
        <v>150</v>
      </c>
      <c r="E305" s="28" t="n">
        <f aca="false">D305-N(C305)</f>
        <v>0</v>
      </c>
      <c r="F305" s="2" t="str">
        <f aca="false">IF(AND(C305&lt;&gt;"",ROUND(E305,2)=0),"一致",IF(G305&lt;&gt;"","変更（意図的）","★相違"))</f>
        <v>一致</v>
      </c>
      <c r="G305" s="2"/>
    </row>
    <row r="306" customFormat="false" ht="15" hidden="false" customHeight="false" outlineLevel="0" collapsed="false">
      <c r="A306" s="2" t="s">
        <v>400</v>
      </c>
      <c r="B306" s="27" t="s">
        <v>416</v>
      </c>
      <c r="C306" s="28" t="n">
        <v>0</v>
      </c>
      <c r="D306" s="28" t="n">
        <f aca="false">業務経理P18!Y11</f>
        <v>0</v>
      </c>
      <c r="E306" s="28" t="n">
        <f aca="false">D306-N(C306)</f>
        <v>0</v>
      </c>
      <c r="F306" s="2" t="str">
        <f aca="false">IF(AND(C306&lt;&gt;"",ROUND(E306,2)=0),"一致",IF(G306&lt;&gt;"","変更（意図的）","★相違"))</f>
        <v>一致</v>
      </c>
      <c r="G306" s="2"/>
    </row>
    <row r="307" customFormat="false" ht="15" hidden="false" customHeight="false" outlineLevel="0" collapsed="false">
      <c r="A307" s="2" t="s">
        <v>400</v>
      </c>
      <c r="B307" s="27" t="s">
        <v>417</v>
      </c>
      <c r="C307" s="28" t="n">
        <v>0</v>
      </c>
      <c r="D307" s="28" t="n">
        <f aca="false">業務経理P18!AJ11</f>
        <v>0</v>
      </c>
      <c r="E307" s="28" t="n">
        <f aca="false">D307-N(C307)</f>
        <v>0</v>
      </c>
      <c r="F307" s="2" t="str">
        <f aca="false">IF(AND(C307&lt;&gt;"",ROUND(E307,2)=0),"一致",IF(G307&lt;&gt;"","変更（意図的）","★相違"))</f>
        <v>一致</v>
      </c>
      <c r="G307" s="2"/>
    </row>
    <row r="308" customFormat="false" ht="15" hidden="false" customHeight="false" outlineLevel="0" collapsed="false">
      <c r="A308" s="2" t="s">
        <v>400</v>
      </c>
      <c r="B308" s="27" t="s">
        <v>418</v>
      </c>
      <c r="C308" s="28" t="n">
        <v>0</v>
      </c>
      <c r="D308" s="28" t="n">
        <f aca="false">業務経理P18!AU11</f>
        <v>0</v>
      </c>
      <c r="E308" s="28" t="n">
        <f aca="false">D308-N(C308)</f>
        <v>0</v>
      </c>
      <c r="F308" s="2" t="str">
        <f aca="false">IF(AND(C308&lt;&gt;"",ROUND(E308,2)=0),"一致",IF(G308&lt;&gt;"","変更（意図的）","★相違"))</f>
        <v>一致</v>
      </c>
      <c r="G308" s="2"/>
    </row>
    <row r="309" customFormat="false" ht="15" hidden="false" customHeight="false" outlineLevel="0" collapsed="false">
      <c r="A309" s="2" t="s">
        <v>400</v>
      </c>
      <c r="B309" s="27" t="s">
        <v>419</v>
      </c>
      <c r="C309" s="28" t="n">
        <v>151</v>
      </c>
      <c r="D309" s="28" t="n">
        <f aca="false">業務経理P18!Y21</f>
        <v>151</v>
      </c>
      <c r="E309" s="28" t="n">
        <f aca="false">D309-N(C309)</f>
        <v>0</v>
      </c>
      <c r="F309" s="2" t="str">
        <f aca="false">IF(AND(C309&lt;&gt;"",ROUND(E309,2)=0),"一致",IF(G309&lt;&gt;"","変更（意図的）","★相違"))</f>
        <v>一致</v>
      </c>
      <c r="G309" s="2"/>
    </row>
    <row r="310" customFormat="false" ht="15" hidden="false" customHeight="false" outlineLevel="0" collapsed="false">
      <c r="A310" s="2" t="s">
        <v>400</v>
      </c>
      <c r="B310" s="27" t="s">
        <v>420</v>
      </c>
      <c r="C310" s="28" t="n">
        <v>170</v>
      </c>
      <c r="D310" s="28" t="n">
        <f aca="false">業務経理P18!AJ21</f>
        <v>170</v>
      </c>
      <c r="E310" s="28" t="n">
        <f aca="false">D310-N(C310)</f>
        <v>0</v>
      </c>
      <c r="F310" s="2" t="str">
        <f aca="false">IF(AND(C310&lt;&gt;"",ROUND(E310,2)=0),"一致",IF(G310&lt;&gt;"","変更（意図的）","★相違"))</f>
        <v>一致</v>
      </c>
      <c r="G310" s="2"/>
    </row>
    <row r="311" customFormat="false" ht="15" hidden="false" customHeight="false" outlineLevel="0" collapsed="false">
      <c r="A311" s="2" t="s">
        <v>400</v>
      </c>
      <c r="B311" s="27" t="s">
        <v>421</v>
      </c>
      <c r="C311" s="28" t="n">
        <v>19</v>
      </c>
      <c r="D311" s="28" t="n">
        <f aca="false">業務経理P18!AU21</f>
        <v>19</v>
      </c>
      <c r="E311" s="28" t="n">
        <f aca="false">D311-N(C311)</f>
        <v>0</v>
      </c>
      <c r="F311" s="2" t="str">
        <f aca="false">IF(AND(C311&lt;&gt;"",ROUND(E311,2)=0),"一致",IF(G311&lt;&gt;"","変更（意図的）","★相違"))</f>
        <v>一致</v>
      </c>
      <c r="G311" s="2"/>
    </row>
    <row r="312" customFormat="false" ht="15" hidden="false" customHeight="false" outlineLevel="0" collapsed="false">
      <c r="A312" s="2" t="s">
        <v>400</v>
      </c>
      <c r="B312" s="27" t="s">
        <v>422</v>
      </c>
      <c r="C312" s="28" t="n">
        <v>94968000</v>
      </c>
      <c r="D312" s="28" t="n">
        <f aca="false">業務経理P18!M27</f>
        <v>94968000</v>
      </c>
      <c r="E312" s="28" t="n">
        <f aca="false">D312-N(C312)</f>
        <v>0</v>
      </c>
      <c r="F312" s="2" t="str">
        <f aca="false">IF(AND(C312&lt;&gt;"",ROUND(E312,2)=0),"一致",IF(G312&lt;&gt;"","変更（意図的）","★相違"))</f>
        <v>一致</v>
      </c>
      <c r="G312" s="2"/>
    </row>
    <row r="313" customFormat="false" ht="15" hidden="false" customHeight="false" outlineLevel="0" collapsed="false">
      <c r="A313" s="2" t="s">
        <v>400</v>
      </c>
      <c r="B313" s="27" t="s">
        <v>423</v>
      </c>
      <c r="C313" s="28" t="n">
        <v>89655843</v>
      </c>
      <c r="D313" s="28" t="n">
        <f aca="false">業務経理P18!V27</f>
        <v>89655843</v>
      </c>
      <c r="E313" s="28" t="n">
        <f aca="false">D313-N(C313)</f>
        <v>0</v>
      </c>
      <c r="F313" s="2" t="str">
        <f aca="false">IF(AND(C313&lt;&gt;"",ROUND(E313,2)=0),"一致",IF(G313&lt;&gt;"","変更（意図的）","★相違"))</f>
        <v>一致</v>
      </c>
      <c r="G313" s="2"/>
    </row>
    <row r="314" customFormat="false" ht="15" hidden="false" customHeight="false" outlineLevel="0" collapsed="false">
      <c r="A314" s="2" t="s">
        <v>400</v>
      </c>
      <c r="B314" s="27" t="s">
        <v>424</v>
      </c>
      <c r="C314" s="28" t="n">
        <v>-5312157</v>
      </c>
      <c r="D314" s="28" t="n">
        <f aca="false">業務経理P18!AE27</f>
        <v>-5312157</v>
      </c>
      <c r="E314" s="28" t="n">
        <f aca="false">D314-N(C314)</f>
        <v>0</v>
      </c>
      <c r="F314" s="2" t="str">
        <f aca="false">IF(AND(C314&lt;&gt;"",ROUND(E314,2)=0),"一致",IF(G314&lt;&gt;"","変更（意図的）","★相違"))</f>
        <v>一致</v>
      </c>
      <c r="G314" s="2"/>
    </row>
    <row r="315" customFormat="false" ht="15" hidden="false" customHeight="false" outlineLevel="0" collapsed="false">
      <c r="A315" s="2" t="s">
        <v>400</v>
      </c>
      <c r="B315" s="27" t="s">
        <v>425</v>
      </c>
      <c r="C315" s="28" t="n">
        <v>82167559</v>
      </c>
      <c r="D315" s="28" t="n">
        <f aca="false">業務経理P18!AN27</f>
        <v>82167559</v>
      </c>
      <c r="E315" s="28" t="n">
        <f aca="false">D315-N(C315)</f>
        <v>0</v>
      </c>
      <c r="F315" s="2" t="str">
        <f aca="false">IF(AND(C315&lt;&gt;"",ROUND(E315,2)=0),"一致",IF(G315&lt;&gt;"","変更（意図的）","★相違"))</f>
        <v>一致</v>
      </c>
      <c r="G315" s="2"/>
    </row>
    <row r="316" customFormat="false" ht="15" hidden="false" customHeight="false" outlineLevel="0" collapsed="false">
      <c r="A316" s="2" t="s">
        <v>400</v>
      </c>
      <c r="B316" s="27" t="s">
        <v>426</v>
      </c>
      <c r="C316" s="28" t="n">
        <v>7488284</v>
      </c>
      <c r="D316" s="28" t="n">
        <f aca="false">業務経理P18!AW27</f>
        <v>7488284</v>
      </c>
      <c r="E316" s="28" t="n">
        <f aca="false">D316-N(C316)</f>
        <v>0</v>
      </c>
      <c r="F316" s="2" t="str">
        <f aca="false">IF(AND(C316&lt;&gt;"",ROUND(E316,2)=0),"一致",IF(G316&lt;&gt;"","変更（意図的）","★相違"))</f>
        <v>一致</v>
      </c>
      <c r="G316" s="2"/>
    </row>
    <row r="317" customFormat="false" ht="15" hidden="false" customHeight="false" outlineLevel="0" collapsed="false">
      <c r="A317" s="2" t="s">
        <v>400</v>
      </c>
      <c r="B317" s="27" t="s">
        <v>427</v>
      </c>
      <c r="C317" s="28" t="n">
        <v>23147000</v>
      </c>
      <c r="D317" s="28" t="n">
        <f aca="false">業務経理P18!M28</f>
        <v>23147000</v>
      </c>
      <c r="E317" s="28" t="n">
        <f aca="false">D317-N(C317)</f>
        <v>0</v>
      </c>
      <c r="F317" s="2" t="str">
        <f aca="false">IF(AND(C317&lt;&gt;"",ROUND(E317,2)=0),"一致",IF(G317&lt;&gt;"","変更（意図的）","★相違"))</f>
        <v>一致</v>
      </c>
      <c r="G317" s="2"/>
    </row>
    <row r="318" customFormat="false" ht="15" hidden="false" customHeight="false" outlineLevel="0" collapsed="false">
      <c r="A318" s="2" t="s">
        <v>400</v>
      </c>
      <c r="B318" s="27" t="s">
        <v>428</v>
      </c>
      <c r="C318" s="28" t="n">
        <v>23159738</v>
      </c>
      <c r="D318" s="28" t="n">
        <f aca="false">業務経理P18!V28</f>
        <v>23159738</v>
      </c>
      <c r="E318" s="28" t="n">
        <f aca="false">D318-N(C318)</f>
        <v>0</v>
      </c>
      <c r="F318" s="2" t="str">
        <f aca="false">IF(AND(C318&lt;&gt;"",ROUND(E318,2)=0),"一致",IF(G318&lt;&gt;"","変更（意図的）","★相違"))</f>
        <v>一致</v>
      </c>
      <c r="G318" s="2"/>
    </row>
    <row r="319" customFormat="false" ht="15" hidden="false" customHeight="false" outlineLevel="0" collapsed="false">
      <c r="A319" s="2" t="s">
        <v>400</v>
      </c>
      <c r="B319" s="27" t="s">
        <v>429</v>
      </c>
      <c r="C319" s="28" t="n">
        <v>12738</v>
      </c>
      <c r="D319" s="28" t="n">
        <f aca="false">業務経理P18!AE28</f>
        <v>12738</v>
      </c>
      <c r="E319" s="28" t="n">
        <f aca="false">D319-N(C319)</f>
        <v>0</v>
      </c>
      <c r="F319" s="2" t="str">
        <f aca="false">IF(AND(C319&lt;&gt;"",ROUND(E319,2)=0),"一致",IF(G319&lt;&gt;"","変更（意図的）","★相違"))</f>
        <v>一致</v>
      </c>
      <c r="G319" s="2"/>
    </row>
    <row r="320" customFormat="false" ht="15" hidden="false" customHeight="false" outlineLevel="0" collapsed="false">
      <c r="A320" s="2" t="s">
        <v>400</v>
      </c>
      <c r="B320" s="27" t="s">
        <v>430</v>
      </c>
      <c r="C320" s="28" t="n">
        <v>20856594</v>
      </c>
      <c r="D320" s="28" t="n">
        <f aca="false">業務経理P18!AN28</f>
        <v>20856594</v>
      </c>
      <c r="E320" s="28" t="n">
        <f aca="false">D320-N(C320)</f>
        <v>0</v>
      </c>
      <c r="F320" s="2" t="str">
        <f aca="false">IF(AND(C320&lt;&gt;"",ROUND(E320,2)=0),"一致",IF(G320&lt;&gt;"","変更（意図的）","★相違"))</f>
        <v>一致</v>
      </c>
      <c r="G320" s="2"/>
    </row>
    <row r="321" customFormat="false" ht="15" hidden="false" customHeight="false" outlineLevel="0" collapsed="false">
      <c r="A321" s="2" t="s">
        <v>400</v>
      </c>
      <c r="B321" s="27" t="s">
        <v>431</v>
      </c>
      <c r="C321" s="28" t="n">
        <v>2303144</v>
      </c>
      <c r="D321" s="28" t="n">
        <f aca="false">業務経理P18!AW28</f>
        <v>2303144</v>
      </c>
      <c r="E321" s="28" t="n">
        <f aca="false">D321-N(C321)</f>
        <v>0</v>
      </c>
      <c r="F321" s="2" t="str">
        <f aca="false">IF(AND(C321&lt;&gt;"",ROUND(E321,2)=0),"一致",IF(G321&lt;&gt;"","変更（意図的）","★相違"))</f>
        <v>一致</v>
      </c>
      <c r="G321" s="2"/>
    </row>
    <row r="322" customFormat="false" ht="15" hidden="false" customHeight="false" outlineLevel="0" collapsed="false">
      <c r="A322" s="2" t="s">
        <v>400</v>
      </c>
      <c r="B322" s="27" t="s">
        <v>432</v>
      </c>
      <c r="C322" s="28" t="n">
        <v>0</v>
      </c>
      <c r="D322" s="28" t="n">
        <f aca="false">業務経理P18!M29</f>
        <v>0</v>
      </c>
      <c r="E322" s="28" t="n">
        <f aca="false">D322-N(C322)</f>
        <v>0</v>
      </c>
      <c r="F322" s="2" t="str">
        <f aca="false">IF(AND(C322&lt;&gt;"",ROUND(E322,2)=0),"一致",IF(G322&lt;&gt;"","変更（意図的）","★相違"))</f>
        <v>一致</v>
      </c>
      <c r="G322" s="2"/>
    </row>
    <row r="323" customFormat="false" ht="15" hidden="false" customHeight="false" outlineLevel="0" collapsed="false">
      <c r="A323" s="2" t="s">
        <v>400</v>
      </c>
      <c r="B323" s="27" t="s">
        <v>433</v>
      </c>
      <c r="C323" s="28" t="n">
        <v>0</v>
      </c>
      <c r="D323" s="28" t="n">
        <f aca="false">業務経理P18!V29</f>
        <v>0</v>
      </c>
      <c r="E323" s="28" t="n">
        <f aca="false">D323-N(C323)</f>
        <v>0</v>
      </c>
      <c r="F323" s="2" t="str">
        <f aca="false">IF(AND(C323&lt;&gt;"",ROUND(E323,2)=0),"一致",IF(G323&lt;&gt;"","変更（意図的）","★相違"))</f>
        <v>一致</v>
      </c>
      <c r="G323" s="2"/>
    </row>
    <row r="324" customFormat="false" ht="15" hidden="false" customHeight="false" outlineLevel="0" collapsed="false">
      <c r="A324" s="2" t="s">
        <v>400</v>
      </c>
      <c r="B324" s="27" t="s">
        <v>434</v>
      </c>
      <c r="C324" s="28" t="n">
        <v>0</v>
      </c>
      <c r="D324" s="28" t="n">
        <f aca="false">業務経理P18!AE29</f>
        <v>0</v>
      </c>
      <c r="E324" s="28" t="n">
        <f aca="false">D324-N(C324)</f>
        <v>0</v>
      </c>
      <c r="F324" s="2" t="str">
        <f aca="false">IF(AND(C324&lt;&gt;"",ROUND(E324,2)=0),"一致",IF(G324&lt;&gt;"","変更（意図的）","★相違"))</f>
        <v>一致</v>
      </c>
      <c r="G324" s="2"/>
    </row>
    <row r="325" customFormat="false" ht="15" hidden="false" customHeight="false" outlineLevel="0" collapsed="false">
      <c r="A325" s="2" t="s">
        <v>400</v>
      </c>
      <c r="B325" s="27" t="s">
        <v>435</v>
      </c>
      <c r="C325" s="28" t="n">
        <v>0</v>
      </c>
      <c r="D325" s="28" t="n">
        <f aca="false">業務経理P18!AN29</f>
        <v>0</v>
      </c>
      <c r="E325" s="28" t="n">
        <f aca="false">D325-N(C325)</f>
        <v>0</v>
      </c>
      <c r="F325" s="2" t="str">
        <f aca="false">IF(AND(C325&lt;&gt;"",ROUND(E325,2)=0),"一致",IF(G325&lt;&gt;"","変更（意図的）","★相違"))</f>
        <v>一致</v>
      </c>
      <c r="G325" s="2"/>
    </row>
    <row r="326" customFormat="false" ht="15" hidden="false" customHeight="false" outlineLevel="0" collapsed="false">
      <c r="A326" s="2" t="s">
        <v>400</v>
      </c>
      <c r="B326" s="27" t="s">
        <v>436</v>
      </c>
      <c r="C326" s="28" t="n">
        <v>0</v>
      </c>
      <c r="D326" s="28" t="n">
        <f aca="false">業務経理P18!AW29</f>
        <v>0</v>
      </c>
      <c r="E326" s="28" t="n">
        <f aca="false">D326-N(C326)</f>
        <v>0</v>
      </c>
      <c r="F326" s="2" t="str">
        <f aca="false">IF(AND(C326&lt;&gt;"",ROUND(E326,2)=0),"一致",IF(G326&lt;&gt;"","変更（意図的）","★相違"))</f>
        <v>一致</v>
      </c>
      <c r="G326" s="2"/>
    </row>
    <row r="327" customFormat="false" ht="15" hidden="false" customHeight="false" outlineLevel="0" collapsed="false">
      <c r="A327" s="2" t="s">
        <v>400</v>
      </c>
      <c r="B327" s="27" t="s">
        <v>437</v>
      </c>
      <c r="C327" s="28" t="n">
        <v>13605000</v>
      </c>
      <c r="D327" s="28" t="n">
        <f aca="false">業務経理P18!M30</f>
        <v>13605000</v>
      </c>
      <c r="E327" s="28" t="n">
        <f aca="false">D327-N(C327)</f>
        <v>0</v>
      </c>
      <c r="F327" s="2" t="str">
        <f aca="false">IF(AND(C327&lt;&gt;"",ROUND(E327,2)=0),"一致",IF(G327&lt;&gt;"","変更（意図的）","★相違"))</f>
        <v>一致</v>
      </c>
      <c r="G327" s="2"/>
    </row>
    <row r="328" customFormat="false" ht="15" hidden="false" customHeight="false" outlineLevel="0" collapsed="false">
      <c r="A328" s="2" t="s">
        <v>400</v>
      </c>
      <c r="B328" s="27" t="s">
        <v>438</v>
      </c>
      <c r="C328" s="28" t="n">
        <v>11834281</v>
      </c>
      <c r="D328" s="28" t="n">
        <f aca="false">業務経理P18!V30</f>
        <v>11834281</v>
      </c>
      <c r="E328" s="28" t="n">
        <f aca="false">D328-N(C328)</f>
        <v>0</v>
      </c>
      <c r="F328" s="2" t="str">
        <f aca="false">IF(AND(C328&lt;&gt;"",ROUND(E328,2)=0),"一致",IF(G328&lt;&gt;"","変更（意図的）","★相違"))</f>
        <v>一致</v>
      </c>
      <c r="G328" s="2"/>
    </row>
    <row r="329" customFormat="false" ht="15" hidden="false" customHeight="false" outlineLevel="0" collapsed="false">
      <c r="A329" s="2" t="s">
        <v>400</v>
      </c>
      <c r="B329" s="27" t="s">
        <v>439</v>
      </c>
      <c r="C329" s="28" t="n">
        <v>-1770719</v>
      </c>
      <c r="D329" s="28" t="n">
        <f aca="false">業務経理P18!AE30</f>
        <v>-1770719</v>
      </c>
      <c r="E329" s="28" t="n">
        <f aca="false">D329-N(C329)</f>
        <v>0</v>
      </c>
      <c r="F329" s="2" t="str">
        <f aca="false">IF(AND(C329&lt;&gt;"",ROUND(E329,2)=0),"一致",IF(G329&lt;&gt;"","変更（意図的）","★相違"))</f>
        <v>一致</v>
      </c>
      <c r="G329" s="2"/>
    </row>
    <row r="330" customFormat="false" ht="15" hidden="false" customHeight="false" outlineLevel="0" collapsed="false">
      <c r="A330" s="2" t="s">
        <v>400</v>
      </c>
      <c r="B330" s="27" t="s">
        <v>440</v>
      </c>
      <c r="C330" s="28" t="n">
        <v>11648520</v>
      </c>
      <c r="D330" s="28" t="n">
        <f aca="false">業務経理P18!AN30</f>
        <v>11648520</v>
      </c>
      <c r="E330" s="28" t="n">
        <f aca="false">D330-N(C330)</f>
        <v>0</v>
      </c>
      <c r="F330" s="2" t="str">
        <f aca="false">IF(AND(C330&lt;&gt;"",ROUND(E330,2)=0),"一致",IF(G330&lt;&gt;"","変更（意図的）","★相違"))</f>
        <v>一致</v>
      </c>
      <c r="G330" s="2"/>
    </row>
    <row r="331" customFormat="false" ht="15" hidden="false" customHeight="false" outlineLevel="0" collapsed="false">
      <c r="A331" s="2" t="s">
        <v>400</v>
      </c>
      <c r="B331" s="27" t="s">
        <v>441</v>
      </c>
      <c r="C331" s="28" t="n">
        <v>185761</v>
      </c>
      <c r="D331" s="28" t="n">
        <f aca="false">業務経理P18!AW30</f>
        <v>185761</v>
      </c>
      <c r="E331" s="28" t="n">
        <f aca="false">D331-N(C331)</f>
        <v>0</v>
      </c>
      <c r="F331" s="2" t="str">
        <f aca="false">IF(AND(C331&lt;&gt;"",ROUND(E331,2)=0),"一致",IF(G331&lt;&gt;"","変更（意図的）","★相違"))</f>
        <v>一致</v>
      </c>
      <c r="G331" s="2"/>
    </row>
    <row r="332" customFormat="false" ht="15" hidden="false" customHeight="false" outlineLevel="0" collapsed="false">
      <c r="A332" s="2" t="s">
        <v>400</v>
      </c>
      <c r="B332" s="27" t="s">
        <v>442</v>
      </c>
      <c r="C332" s="28" t="n">
        <v>0</v>
      </c>
      <c r="D332" s="28" t="n">
        <f aca="false">業務経理P18!M31</f>
        <v>0</v>
      </c>
      <c r="E332" s="28" t="n">
        <f aca="false">D332-N(C332)</f>
        <v>0</v>
      </c>
      <c r="F332" s="2" t="str">
        <f aca="false">IF(AND(C332&lt;&gt;"",ROUND(E332,2)=0),"一致",IF(G332&lt;&gt;"","変更（意図的）","★相違"))</f>
        <v>一致</v>
      </c>
      <c r="G332" s="2"/>
    </row>
    <row r="333" customFormat="false" ht="15" hidden="false" customHeight="false" outlineLevel="0" collapsed="false">
      <c r="A333" s="2" t="s">
        <v>400</v>
      </c>
      <c r="B333" s="27" t="s">
        <v>443</v>
      </c>
      <c r="C333" s="28" t="n">
        <v>77607</v>
      </c>
      <c r="D333" s="28" t="n">
        <f aca="false">業務経理P18!V31</f>
        <v>77607</v>
      </c>
      <c r="E333" s="28" t="n">
        <f aca="false">D333-N(C333)</f>
        <v>0</v>
      </c>
      <c r="F333" s="2" t="str">
        <f aca="false">IF(AND(C333&lt;&gt;"",ROUND(E333,2)=0),"一致",IF(G333&lt;&gt;"","変更（意図的）","★相違"))</f>
        <v>一致</v>
      </c>
      <c r="G333" s="2"/>
    </row>
    <row r="334" customFormat="false" ht="15" hidden="false" customHeight="false" outlineLevel="0" collapsed="false">
      <c r="A334" s="2" t="s">
        <v>400</v>
      </c>
      <c r="B334" s="27" t="s">
        <v>444</v>
      </c>
      <c r="C334" s="28" t="n">
        <v>77607</v>
      </c>
      <c r="D334" s="28" t="n">
        <f aca="false">業務経理P18!AE31</f>
        <v>77607</v>
      </c>
      <c r="E334" s="28" t="n">
        <f aca="false">D334-N(C334)</f>
        <v>0</v>
      </c>
      <c r="F334" s="2" t="str">
        <f aca="false">IF(AND(C334&lt;&gt;"",ROUND(E334,2)=0),"一致",IF(G334&lt;&gt;"","変更（意図的）","★相違"))</f>
        <v>一致</v>
      </c>
      <c r="G334" s="2"/>
    </row>
    <row r="335" customFormat="false" ht="15" hidden="false" customHeight="false" outlineLevel="0" collapsed="false">
      <c r="A335" s="2" t="s">
        <v>400</v>
      </c>
      <c r="B335" s="27" t="s">
        <v>445</v>
      </c>
      <c r="C335" s="28" t="n">
        <v>1275345</v>
      </c>
      <c r="D335" s="28" t="n">
        <f aca="false">業務経理P18!AN31</f>
        <v>1275345</v>
      </c>
      <c r="E335" s="28" t="n">
        <f aca="false">D335-N(C335)</f>
        <v>0</v>
      </c>
      <c r="F335" s="2" t="str">
        <f aca="false">IF(AND(C335&lt;&gt;"",ROUND(E335,2)=0),"一致",IF(G335&lt;&gt;"","変更（意図的）","★相違"))</f>
        <v>一致</v>
      </c>
      <c r="G335" s="2"/>
    </row>
    <row r="336" customFormat="false" ht="15" hidden="false" customHeight="false" outlineLevel="0" collapsed="false">
      <c r="A336" s="2" t="s">
        <v>400</v>
      </c>
      <c r="B336" s="27" t="s">
        <v>446</v>
      </c>
      <c r="C336" s="28" t="n">
        <v>-1197738</v>
      </c>
      <c r="D336" s="28" t="n">
        <f aca="false">業務経理P18!AW31</f>
        <v>-1197738</v>
      </c>
      <c r="E336" s="28" t="n">
        <f aca="false">D336-N(C336)</f>
        <v>0</v>
      </c>
      <c r="F336" s="2" t="str">
        <f aca="false">IF(AND(C336&lt;&gt;"",ROUND(E336,2)=0),"一致",IF(G336&lt;&gt;"","変更（意図的）","★相違"))</f>
        <v>一致</v>
      </c>
      <c r="G336" s="2"/>
    </row>
    <row r="337" customFormat="false" ht="15" hidden="false" customHeight="false" outlineLevel="0" collapsed="false">
      <c r="A337" s="2" t="s">
        <v>400</v>
      </c>
      <c r="B337" s="27" t="s">
        <v>447</v>
      </c>
      <c r="C337" s="28" t="n">
        <v>131720000</v>
      </c>
      <c r="D337" s="28" t="n">
        <f aca="false">業務経理P18!M32</f>
        <v>131720000</v>
      </c>
      <c r="E337" s="28" t="n">
        <f aca="false">D337-N(C337)</f>
        <v>0</v>
      </c>
      <c r="F337" s="2" t="str">
        <f aca="false">IF(AND(C337&lt;&gt;"",ROUND(E337,2)=0),"一致",IF(G337&lt;&gt;"","変更（意図的）","★相違"))</f>
        <v>一致</v>
      </c>
      <c r="G337" s="2"/>
    </row>
    <row r="338" customFormat="false" ht="15" hidden="false" customHeight="false" outlineLevel="0" collapsed="false">
      <c r="A338" s="2" t="s">
        <v>400</v>
      </c>
      <c r="B338" s="27" t="s">
        <v>448</v>
      </c>
      <c r="C338" s="28" t="n">
        <v>124727469</v>
      </c>
      <c r="D338" s="28" t="n">
        <f aca="false">業務経理P18!V32</f>
        <v>124727469</v>
      </c>
      <c r="E338" s="28" t="n">
        <f aca="false">D338-N(C338)</f>
        <v>0</v>
      </c>
      <c r="F338" s="2" t="str">
        <f aca="false">IF(AND(C338&lt;&gt;"",ROUND(E338,2)=0),"一致",IF(G338&lt;&gt;"","変更（意図的）","★相違"))</f>
        <v>一致</v>
      </c>
      <c r="G338" s="2"/>
    </row>
    <row r="339" customFormat="false" ht="15" hidden="false" customHeight="false" outlineLevel="0" collapsed="false">
      <c r="A339" s="2" t="s">
        <v>400</v>
      </c>
      <c r="B339" s="27" t="s">
        <v>449</v>
      </c>
      <c r="C339" s="28" t="n">
        <v>-6992531</v>
      </c>
      <c r="D339" s="28" t="n">
        <f aca="false">業務経理P18!AE32</f>
        <v>-6992531</v>
      </c>
      <c r="E339" s="28" t="n">
        <f aca="false">D339-N(C339)</f>
        <v>0</v>
      </c>
      <c r="F339" s="2" t="str">
        <f aca="false">IF(AND(C339&lt;&gt;"",ROUND(E339,2)=0),"一致",IF(G339&lt;&gt;"","変更（意図的）","★相違"))</f>
        <v>一致</v>
      </c>
      <c r="G339" s="2"/>
    </row>
    <row r="340" customFormat="false" ht="15" hidden="false" customHeight="false" outlineLevel="0" collapsed="false">
      <c r="A340" s="2" t="s">
        <v>400</v>
      </c>
      <c r="B340" s="27" t="s">
        <v>450</v>
      </c>
      <c r="C340" s="28" t="n">
        <v>115948018</v>
      </c>
      <c r="D340" s="28" t="n">
        <f aca="false">業務経理P18!AN32</f>
        <v>115948018</v>
      </c>
      <c r="E340" s="28" t="n">
        <f aca="false">D340-N(C340)</f>
        <v>0</v>
      </c>
      <c r="F340" s="2" t="str">
        <f aca="false">IF(AND(C340&lt;&gt;"",ROUND(E340,2)=0),"一致",IF(G340&lt;&gt;"","変更（意図的）","★相違"))</f>
        <v>一致</v>
      </c>
      <c r="G340" s="2"/>
    </row>
    <row r="341" customFormat="false" ht="15" hidden="false" customHeight="false" outlineLevel="0" collapsed="false">
      <c r="A341" s="2" t="s">
        <v>400</v>
      </c>
      <c r="B341" s="27" t="s">
        <v>451</v>
      </c>
      <c r="C341" s="28" t="n">
        <v>8779451</v>
      </c>
      <c r="D341" s="28" t="n">
        <f aca="false">業務経理P18!AW32</f>
        <v>8779451</v>
      </c>
      <c r="E341" s="28" t="n">
        <f aca="false">D341-N(C341)</f>
        <v>0</v>
      </c>
      <c r="F341" s="2" t="str">
        <f aca="false">IF(AND(C341&lt;&gt;"",ROUND(E341,2)=0),"一致",IF(G341&lt;&gt;"","変更（意図的）","★相違"))</f>
        <v>一致</v>
      </c>
      <c r="G341" s="2"/>
    </row>
    <row r="342" customFormat="false" ht="15" hidden="false" customHeight="false" outlineLevel="0" collapsed="false">
      <c r="A342" s="2" t="s">
        <v>452</v>
      </c>
      <c r="B342" s="27" t="s">
        <v>293</v>
      </c>
      <c r="C342" s="28" t="n">
        <v>33000</v>
      </c>
      <c r="D342" s="28" t="n">
        <f aca="false">業務経理P19!M5</f>
        <v>33000</v>
      </c>
      <c r="E342" s="28" t="n">
        <f aca="false">D342-N(C342)</f>
        <v>0</v>
      </c>
      <c r="F342" s="2" t="str">
        <f aca="false">IF(AND(C342&lt;&gt;"",ROUND(E342,2)=0),"一致",IF(G342&lt;&gt;"","変更（意図的）","★相違"))</f>
        <v>一致</v>
      </c>
      <c r="G342" s="2"/>
    </row>
    <row r="343" customFormat="false" ht="15" hidden="false" customHeight="false" outlineLevel="0" collapsed="false">
      <c r="A343" s="2" t="s">
        <v>452</v>
      </c>
      <c r="B343" s="27" t="s">
        <v>453</v>
      </c>
      <c r="C343" s="28" t="n">
        <v>33000</v>
      </c>
      <c r="D343" s="28" t="n">
        <f aca="false">業務経理P19!V5</f>
        <v>33000</v>
      </c>
      <c r="E343" s="28" t="n">
        <f aca="false">D343-N(C343)</f>
        <v>0</v>
      </c>
      <c r="F343" s="2" t="str">
        <f aca="false">IF(AND(C343&lt;&gt;"",ROUND(E343,2)=0),"一致",IF(G343&lt;&gt;"","変更（意図的）","★相違"))</f>
        <v>一致</v>
      </c>
      <c r="G343" s="2"/>
    </row>
    <row r="344" customFormat="false" ht="15" hidden="false" customHeight="false" outlineLevel="0" collapsed="false">
      <c r="A344" s="2" t="s">
        <v>452</v>
      </c>
      <c r="B344" s="27" t="s">
        <v>454</v>
      </c>
      <c r="C344" s="28" t="n">
        <v>0</v>
      </c>
      <c r="D344" s="28" t="n">
        <f aca="false">業務経理P19!AE5</f>
        <v>0</v>
      </c>
      <c r="E344" s="28" t="n">
        <f aca="false">D344-N(C344)</f>
        <v>0</v>
      </c>
      <c r="F344" s="2" t="str">
        <f aca="false">IF(AND(C344&lt;&gt;"",ROUND(E344,2)=0),"一致",IF(G344&lt;&gt;"","変更（意図的）","★相違"))</f>
        <v>一致</v>
      </c>
      <c r="G344" s="2"/>
    </row>
    <row r="345" customFormat="false" ht="15" hidden="false" customHeight="false" outlineLevel="0" collapsed="false">
      <c r="A345" s="2" t="s">
        <v>452</v>
      </c>
      <c r="B345" s="27" t="s">
        <v>455</v>
      </c>
      <c r="C345" s="28" t="n">
        <v>33000</v>
      </c>
      <c r="D345" s="28" t="n">
        <f aca="false">業務経理P19!AN5</f>
        <v>33000</v>
      </c>
      <c r="E345" s="28" t="n">
        <f aca="false">D345-N(C345)</f>
        <v>0</v>
      </c>
      <c r="F345" s="2" t="str">
        <f aca="false">IF(AND(C345&lt;&gt;"",ROUND(E345,2)=0),"一致",IF(G345&lt;&gt;"","変更（意図的）","★相違"))</f>
        <v>一致</v>
      </c>
      <c r="G345" s="2"/>
    </row>
    <row r="346" customFormat="false" ht="15" hidden="false" customHeight="false" outlineLevel="0" collapsed="false">
      <c r="A346" s="2" t="s">
        <v>452</v>
      </c>
      <c r="B346" s="27" t="s">
        <v>456</v>
      </c>
      <c r="C346" s="28" t="n">
        <v>0</v>
      </c>
      <c r="D346" s="28" t="n">
        <f aca="false">業務経理P19!AW5</f>
        <v>0</v>
      </c>
      <c r="E346" s="28" t="n">
        <f aca="false">D346-N(C346)</f>
        <v>0</v>
      </c>
      <c r="F346" s="2" t="str">
        <f aca="false">IF(AND(C346&lt;&gt;"",ROUND(E346,2)=0),"一致",IF(G346&lt;&gt;"","変更（意図的）","★相違"))</f>
        <v>一致</v>
      </c>
      <c r="G346" s="2"/>
    </row>
    <row r="347" customFormat="false" ht="15" hidden="false" customHeight="false" outlineLevel="0" collapsed="false">
      <c r="A347" s="2" t="s">
        <v>452</v>
      </c>
      <c r="B347" s="27" t="s">
        <v>294</v>
      </c>
      <c r="C347" s="28" t="n">
        <v>11428000</v>
      </c>
      <c r="D347" s="28" t="n">
        <f aca="false">業務経理P19!M6</f>
        <v>11428000</v>
      </c>
      <c r="E347" s="28" t="n">
        <f aca="false">D347-N(C347)</f>
        <v>0</v>
      </c>
      <c r="F347" s="2" t="str">
        <f aca="false">IF(AND(C347&lt;&gt;"",ROUND(E347,2)=0),"一致",IF(G347&lt;&gt;"","変更（意図的）","★相違"))</f>
        <v>一致</v>
      </c>
      <c r="G347" s="2"/>
    </row>
    <row r="348" customFormat="false" ht="15" hidden="false" customHeight="false" outlineLevel="0" collapsed="false">
      <c r="A348" s="2" t="s">
        <v>452</v>
      </c>
      <c r="B348" s="27" t="s">
        <v>457</v>
      </c>
      <c r="C348" s="28" t="n">
        <v>10141337</v>
      </c>
      <c r="D348" s="28" t="n">
        <f aca="false">業務経理P19!V6</f>
        <v>10141337</v>
      </c>
      <c r="E348" s="28" t="n">
        <f aca="false">D348-N(C348)</f>
        <v>0</v>
      </c>
      <c r="F348" s="2" t="str">
        <f aca="false">IF(AND(C348&lt;&gt;"",ROUND(E348,2)=0),"一致",IF(G348&lt;&gt;"","変更（意図的）","★相違"))</f>
        <v>一致</v>
      </c>
      <c r="G348" s="2"/>
    </row>
    <row r="349" customFormat="false" ht="15" hidden="false" customHeight="false" outlineLevel="0" collapsed="false">
      <c r="A349" s="2" t="s">
        <v>452</v>
      </c>
      <c r="B349" s="27" t="s">
        <v>458</v>
      </c>
      <c r="C349" s="28" t="n">
        <v>-1286663</v>
      </c>
      <c r="D349" s="28" t="n">
        <f aca="false">業務経理P19!AE6</f>
        <v>-1286663</v>
      </c>
      <c r="E349" s="28" t="n">
        <f aca="false">D349-N(C349)</f>
        <v>0</v>
      </c>
      <c r="F349" s="2" t="str">
        <f aca="false">IF(AND(C349&lt;&gt;"",ROUND(E349,2)=0),"一致",IF(G349&lt;&gt;"","変更（意図的）","★相違"))</f>
        <v>一致</v>
      </c>
      <c r="G349" s="2"/>
    </row>
    <row r="350" customFormat="false" ht="15" hidden="false" customHeight="false" outlineLevel="0" collapsed="false">
      <c r="A350" s="2" t="s">
        <v>452</v>
      </c>
      <c r="B350" s="27" t="s">
        <v>459</v>
      </c>
      <c r="C350" s="28" t="n">
        <v>9574938</v>
      </c>
      <c r="D350" s="28" t="n">
        <f aca="false">業務経理P19!AN6</f>
        <v>9574938</v>
      </c>
      <c r="E350" s="28" t="n">
        <f aca="false">D350-N(C350)</f>
        <v>0</v>
      </c>
      <c r="F350" s="2" t="str">
        <f aca="false">IF(AND(C350&lt;&gt;"",ROUND(E350,2)=0),"一致",IF(G350&lt;&gt;"","変更（意図的）","★相違"))</f>
        <v>一致</v>
      </c>
      <c r="G350" s="2"/>
    </row>
    <row r="351" customFormat="false" ht="15" hidden="false" customHeight="false" outlineLevel="0" collapsed="false">
      <c r="A351" s="2" t="s">
        <v>452</v>
      </c>
      <c r="B351" s="27" t="s">
        <v>460</v>
      </c>
      <c r="C351" s="28" t="n">
        <v>566399</v>
      </c>
      <c r="D351" s="28" t="n">
        <f aca="false">業務経理P19!AW6</f>
        <v>566399</v>
      </c>
      <c r="E351" s="28" t="n">
        <f aca="false">D351-N(C351)</f>
        <v>0</v>
      </c>
      <c r="F351" s="2" t="str">
        <f aca="false">IF(AND(C351&lt;&gt;"",ROUND(E351,2)=0),"一致",IF(G351&lt;&gt;"","変更（意図的）","★相違"))</f>
        <v>一致</v>
      </c>
      <c r="G351" s="2"/>
    </row>
    <row r="352" customFormat="false" ht="15" hidden="false" customHeight="false" outlineLevel="0" collapsed="false">
      <c r="A352" s="2" t="s">
        <v>452</v>
      </c>
      <c r="B352" s="27" t="s">
        <v>461</v>
      </c>
      <c r="C352" s="28" t="n">
        <v>65000</v>
      </c>
      <c r="D352" s="28" t="n">
        <f aca="false">業務経理P19!M7</f>
        <v>65000</v>
      </c>
      <c r="E352" s="28" t="n">
        <f aca="false">D352-N(C352)</f>
        <v>0</v>
      </c>
      <c r="F352" s="2" t="str">
        <f aca="false">IF(AND(C352&lt;&gt;"",ROUND(E352,2)=0),"一致",IF(G352&lt;&gt;"","変更（意図的）","★相違"))</f>
        <v>一致</v>
      </c>
      <c r="G352" s="2"/>
    </row>
    <row r="353" customFormat="false" ht="15" hidden="false" customHeight="false" outlineLevel="0" collapsed="false">
      <c r="A353" s="2" t="s">
        <v>452</v>
      </c>
      <c r="B353" s="27" t="s">
        <v>462</v>
      </c>
      <c r="C353" s="28" t="n">
        <v>9702</v>
      </c>
      <c r="D353" s="28" t="n">
        <f aca="false">業務経理P19!V7</f>
        <v>9702</v>
      </c>
      <c r="E353" s="28" t="n">
        <f aca="false">D353-N(C353)</f>
        <v>0</v>
      </c>
      <c r="F353" s="2" t="str">
        <f aca="false">IF(AND(C353&lt;&gt;"",ROUND(E353,2)=0),"一致",IF(G353&lt;&gt;"","変更（意図的）","★相違"))</f>
        <v>一致</v>
      </c>
      <c r="G353" s="2"/>
    </row>
    <row r="354" customFormat="false" ht="15" hidden="false" customHeight="false" outlineLevel="0" collapsed="false">
      <c r="A354" s="2" t="s">
        <v>452</v>
      </c>
      <c r="B354" s="27" t="s">
        <v>463</v>
      </c>
      <c r="C354" s="28" t="n">
        <v>-55298</v>
      </c>
      <c r="D354" s="28" t="n">
        <f aca="false">業務経理P19!AE7</f>
        <v>-55298</v>
      </c>
      <c r="E354" s="28" t="n">
        <f aca="false">D354-N(C354)</f>
        <v>0</v>
      </c>
      <c r="F354" s="2" t="str">
        <f aca="false">IF(AND(C354&lt;&gt;"",ROUND(E354,2)=0),"一致",IF(G354&lt;&gt;"","変更（意図的）","★相違"))</f>
        <v>一致</v>
      </c>
      <c r="G354" s="2"/>
    </row>
    <row r="355" customFormat="false" ht="15" hidden="false" customHeight="false" outlineLevel="0" collapsed="false">
      <c r="A355" s="2" t="s">
        <v>452</v>
      </c>
      <c r="B355" s="27" t="s">
        <v>464</v>
      </c>
      <c r="C355" s="28" t="n">
        <v>8305</v>
      </c>
      <c r="D355" s="28" t="n">
        <f aca="false">業務経理P19!AN7</f>
        <v>8305</v>
      </c>
      <c r="E355" s="28" t="n">
        <f aca="false">D355-N(C355)</f>
        <v>0</v>
      </c>
      <c r="F355" s="2" t="str">
        <f aca="false">IF(AND(C355&lt;&gt;"",ROUND(E355,2)=0),"一致",IF(G355&lt;&gt;"","変更（意図的）","★相違"))</f>
        <v>一致</v>
      </c>
      <c r="G355" s="2"/>
    </row>
    <row r="356" customFormat="false" ht="15" hidden="false" customHeight="false" outlineLevel="0" collapsed="false">
      <c r="A356" s="2" t="s">
        <v>452</v>
      </c>
      <c r="B356" s="27" t="s">
        <v>465</v>
      </c>
      <c r="C356" s="28" t="n">
        <v>1397</v>
      </c>
      <c r="D356" s="28" t="n">
        <f aca="false">業務経理P19!AW7</f>
        <v>1397</v>
      </c>
      <c r="E356" s="28" t="n">
        <f aca="false">D356-N(C356)</f>
        <v>0</v>
      </c>
      <c r="F356" s="2" t="str">
        <f aca="false">IF(AND(C356&lt;&gt;"",ROUND(E356,2)=0),"一致",IF(G356&lt;&gt;"","変更（意図的）","★相違"))</f>
        <v>一致</v>
      </c>
      <c r="G356" s="2"/>
    </row>
    <row r="357" customFormat="false" ht="15" hidden="false" customHeight="false" outlineLevel="0" collapsed="false">
      <c r="A357" s="2" t="s">
        <v>452</v>
      </c>
      <c r="B357" s="27" t="s">
        <v>466</v>
      </c>
      <c r="C357" s="28" t="n">
        <v>1675000</v>
      </c>
      <c r="D357" s="28" t="n">
        <f aca="false">業務経理P19!M8</f>
        <v>1675000</v>
      </c>
      <c r="E357" s="28" t="n">
        <f aca="false">D357-N(C357)</f>
        <v>0</v>
      </c>
      <c r="F357" s="2" t="str">
        <f aca="false">IF(AND(C357&lt;&gt;"",ROUND(E357,2)=0),"一致",IF(G357&lt;&gt;"","変更（意図的）","★相違"))</f>
        <v>一致</v>
      </c>
      <c r="G357" s="2"/>
    </row>
    <row r="358" customFormat="false" ht="15" hidden="false" customHeight="false" outlineLevel="0" collapsed="false">
      <c r="A358" s="2" t="s">
        <v>452</v>
      </c>
      <c r="B358" s="27" t="s">
        <v>467</v>
      </c>
      <c r="C358" s="28" t="n">
        <v>343112</v>
      </c>
      <c r="D358" s="28" t="n">
        <f aca="false">業務経理P19!V8</f>
        <v>343112</v>
      </c>
      <c r="E358" s="28" t="n">
        <f aca="false">D358-N(C358)</f>
        <v>0</v>
      </c>
      <c r="F358" s="2" t="str">
        <f aca="false">IF(AND(C358&lt;&gt;"",ROUND(E358,2)=0),"一致",IF(G358&lt;&gt;"","変更（意図的）","★相違"))</f>
        <v>一致</v>
      </c>
      <c r="G358" s="2"/>
    </row>
    <row r="359" customFormat="false" ht="15" hidden="false" customHeight="false" outlineLevel="0" collapsed="false">
      <c r="A359" s="2" t="s">
        <v>452</v>
      </c>
      <c r="B359" s="27" t="s">
        <v>468</v>
      </c>
      <c r="C359" s="28" t="n">
        <v>-1331888</v>
      </c>
      <c r="D359" s="28" t="n">
        <f aca="false">業務経理P19!AE8</f>
        <v>-1331888</v>
      </c>
      <c r="E359" s="28" t="n">
        <f aca="false">D359-N(C359)</f>
        <v>0</v>
      </c>
      <c r="F359" s="2" t="str">
        <f aca="false">IF(AND(C359&lt;&gt;"",ROUND(E359,2)=0),"一致",IF(G359&lt;&gt;"","変更（意図的）","★相違"))</f>
        <v>一致</v>
      </c>
      <c r="G359" s="2"/>
    </row>
    <row r="360" customFormat="false" ht="15" hidden="false" customHeight="false" outlineLevel="0" collapsed="false">
      <c r="A360" s="2" t="s">
        <v>452</v>
      </c>
      <c r="B360" s="27" t="s">
        <v>469</v>
      </c>
      <c r="C360" s="28" t="n">
        <v>560200</v>
      </c>
      <c r="D360" s="28" t="n">
        <f aca="false">業務経理P19!AN8</f>
        <v>560200</v>
      </c>
      <c r="E360" s="28" t="n">
        <f aca="false">D360-N(C360)</f>
        <v>0</v>
      </c>
      <c r="F360" s="2" t="str">
        <f aca="false">IF(AND(C360&lt;&gt;"",ROUND(E360,2)=0),"一致",IF(G360&lt;&gt;"","変更（意図的）","★相違"))</f>
        <v>一致</v>
      </c>
      <c r="G360" s="2"/>
    </row>
    <row r="361" customFormat="false" ht="15" hidden="false" customHeight="false" outlineLevel="0" collapsed="false">
      <c r="A361" s="2" t="s">
        <v>452</v>
      </c>
      <c r="B361" s="27" t="s">
        <v>470</v>
      </c>
      <c r="C361" s="28" t="n">
        <v>-217088</v>
      </c>
      <c r="D361" s="28" t="n">
        <f aca="false">業務経理P19!AW8</f>
        <v>-217088</v>
      </c>
      <c r="E361" s="28" t="n">
        <f aca="false">D361-N(C361)</f>
        <v>0</v>
      </c>
      <c r="F361" s="2" t="str">
        <f aca="false">IF(AND(C361&lt;&gt;"",ROUND(E361,2)=0),"一致",IF(G361&lt;&gt;"","変更（意図的）","★相違"))</f>
        <v>一致</v>
      </c>
      <c r="G361" s="2"/>
    </row>
    <row r="362" customFormat="false" ht="15" hidden="false" customHeight="false" outlineLevel="0" collapsed="false">
      <c r="A362" s="2" t="s">
        <v>452</v>
      </c>
      <c r="B362" s="27" t="s">
        <v>471</v>
      </c>
      <c r="C362" s="28" t="n">
        <v>17717000</v>
      </c>
      <c r="D362" s="28" t="n">
        <f aca="false">業務経理P19!M9</f>
        <v>17717000</v>
      </c>
      <c r="E362" s="28" t="n">
        <f aca="false">D362-N(C362)</f>
        <v>0</v>
      </c>
      <c r="F362" s="2" t="str">
        <f aca="false">IF(AND(C362&lt;&gt;"",ROUND(E362,2)=0),"一致",IF(G362&lt;&gt;"","変更（意図的）","★相違"))</f>
        <v>一致</v>
      </c>
      <c r="G362" s="2"/>
    </row>
    <row r="363" customFormat="false" ht="15" hidden="false" customHeight="false" outlineLevel="0" collapsed="false">
      <c r="A363" s="2" t="s">
        <v>452</v>
      </c>
      <c r="B363" s="27" t="s">
        <v>472</v>
      </c>
      <c r="C363" s="28" t="n">
        <v>13993113</v>
      </c>
      <c r="D363" s="28" t="n">
        <f aca="false">業務経理P19!V9</f>
        <v>13993113</v>
      </c>
      <c r="E363" s="28" t="n">
        <f aca="false">D363-N(C363)</f>
        <v>0</v>
      </c>
      <c r="F363" s="2" t="str">
        <f aca="false">IF(AND(C363&lt;&gt;"",ROUND(E363,2)=0),"一致",IF(G363&lt;&gt;"","変更（意図的）","★相違"))</f>
        <v>一致</v>
      </c>
      <c r="G363" s="2"/>
    </row>
    <row r="364" customFormat="false" ht="15" hidden="false" customHeight="false" outlineLevel="0" collapsed="false">
      <c r="A364" s="2" t="s">
        <v>452</v>
      </c>
      <c r="B364" s="27" t="s">
        <v>473</v>
      </c>
      <c r="C364" s="28" t="n">
        <v>-3723887</v>
      </c>
      <c r="D364" s="28" t="n">
        <f aca="false">業務経理P19!AE9</f>
        <v>-3723887</v>
      </c>
      <c r="E364" s="28" t="n">
        <f aca="false">D364-N(C364)</f>
        <v>0</v>
      </c>
      <c r="F364" s="2" t="str">
        <f aca="false">IF(AND(C364&lt;&gt;"",ROUND(E364,2)=0),"一致",IF(G364&lt;&gt;"","変更（意図的）","★相違"))</f>
        <v>一致</v>
      </c>
      <c r="G364" s="2"/>
    </row>
    <row r="365" customFormat="false" ht="15" hidden="false" customHeight="false" outlineLevel="0" collapsed="false">
      <c r="A365" s="2" t="s">
        <v>452</v>
      </c>
      <c r="B365" s="27" t="s">
        <v>474</v>
      </c>
      <c r="C365" s="28" t="n">
        <v>11253363</v>
      </c>
      <c r="D365" s="28" t="n">
        <f aca="false">業務経理P19!AN9</f>
        <v>11253363</v>
      </c>
      <c r="E365" s="28" t="n">
        <f aca="false">D365-N(C365)</f>
        <v>0</v>
      </c>
      <c r="F365" s="2" t="str">
        <f aca="false">IF(AND(C365&lt;&gt;"",ROUND(E365,2)=0),"一致",IF(G365&lt;&gt;"","変更（意図的）","★相違"))</f>
        <v>一致</v>
      </c>
      <c r="G365" s="2"/>
    </row>
    <row r="366" customFormat="false" ht="15" hidden="false" customHeight="false" outlineLevel="0" collapsed="false">
      <c r="A366" s="2" t="s">
        <v>452</v>
      </c>
      <c r="B366" s="27" t="s">
        <v>475</v>
      </c>
      <c r="C366" s="28" t="n">
        <v>2739750</v>
      </c>
      <c r="D366" s="28" t="n">
        <f aca="false">業務経理P19!AW9</f>
        <v>2739750</v>
      </c>
      <c r="E366" s="28" t="n">
        <f aca="false">D366-N(C366)</f>
        <v>0</v>
      </c>
      <c r="F366" s="2" t="str">
        <f aca="false">IF(AND(C366&lt;&gt;"",ROUND(E366,2)=0),"一致",IF(G366&lt;&gt;"","変更（意図的）","★相違"))</f>
        <v>一致</v>
      </c>
      <c r="G366" s="2"/>
    </row>
    <row r="367" customFormat="false" ht="15" hidden="false" customHeight="false" outlineLevel="0" collapsed="false">
      <c r="A367" s="2" t="s">
        <v>452</v>
      </c>
      <c r="B367" s="27" t="s">
        <v>476</v>
      </c>
      <c r="C367" s="28" t="n">
        <v>5351000</v>
      </c>
      <c r="D367" s="28" t="n">
        <f aca="false">業務経理P19!M10</f>
        <v>5351000</v>
      </c>
      <c r="E367" s="28" t="n">
        <f aca="false">D367-N(C367)</f>
        <v>0</v>
      </c>
      <c r="F367" s="2" t="str">
        <f aca="false">IF(AND(C367&lt;&gt;"",ROUND(E367,2)=0),"一致",IF(G367&lt;&gt;"","変更（意図的）","★相違"))</f>
        <v>一致</v>
      </c>
      <c r="G367" s="2"/>
    </row>
    <row r="368" customFormat="false" ht="15" hidden="false" customHeight="false" outlineLevel="0" collapsed="false">
      <c r="A368" s="2" t="s">
        <v>452</v>
      </c>
      <c r="B368" s="27" t="s">
        <v>477</v>
      </c>
      <c r="C368" s="28" t="n">
        <v>4598066</v>
      </c>
      <c r="D368" s="28" t="n">
        <f aca="false">業務経理P19!V10</f>
        <v>4598066</v>
      </c>
      <c r="E368" s="28" t="n">
        <f aca="false">D368-N(C368)</f>
        <v>0</v>
      </c>
      <c r="F368" s="2" t="str">
        <f aca="false">IF(AND(C368&lt;&gt;"",ROUND(E368,2)=0),"一致",IF(G368&lt;&gt;"","変更（意図的）","★相違"))</f>
        <v>一致</v>
      </c>
      <c r="G368" s="2"/>
    </row>
    <row r="369" customFormat="false" ht="15" hidden="false" customHeight="false" outlineLevel="0" collapsed="false">
      <c r="A369" s="2" t="s">
        <v>452</v>
      </c>
      <c r="B369" s="27" t="s">
        <v>478</v>
      </c>
      <c r="C369" s="28" t="n">
        <v>-752934</v>
      </c>
      <c r="D369" s="28" t="n">
        <f aca="false">業務経理P19!AE10</f>
        <v>-752934</v>
      </c>
      <c r="E369" s="28" t="n">
        <f aca="false">D369-N(C369)</f>
        <v>0</v>
      </c>
      <c r="F369" s="2" t="str">
        <f aca="false">IF(AND(C369&lt;&gt;"",ROUND(E369,2)=0),"一致",IF(G369&lt;&gt;"","変更（意図的）","★相違"))</f>
        <v>一致</v>
      </c>
      <c r="G369" s="2"/>
    </row>
    <row r="370" customFormat="false" ht="15" hidden="false" customHeight="false" outlineLevel="0" collapsed="false">
      <c r="A370" s="2" t="s">
        <v>452</v>
      </c>
      <c r="B370" s="27" t="s">
        <v>479</v>
      </c>
      <c r="C370" s="28" t="n">
        <v>4198740</v>
      </c>
      <c r="D370" s="28" t="n">
        <f aca="false">業務経理P19!AN10</f>
        <v>4198740</v>
      </c>
      <c r="E370" s="28" t="n">
        <f aca="false">D370-N(C370)</f>
        <v>0</v>
      </c>
      <c r="F370" s="2" t="str">
        <f aca="false">IF(AND(C370&lt;&gt;"",ROUND(E370,2)=0),"一致",IF(G370&lt;&gt;"","変更（意図的）","★相違"))</f>
        <v>一致</v>
      </c>
      <c r="G370" s="2"/>
    </row>
    <row r="371" customFormat="false" ht="15" hidden="false" customHeight="false" outlineLevel="0" collapsed="false">
      <c r="A371" s="2" t="s">
        <v>452</v>
      </c>
      <c r="B371" s="27" t="s">
        <v>480</v>
      </c>
      <c r="C371" s="28" t="n">
        <v>399326</v>
      </c>
      <c r="D371" s="28" t="n">
        <f aca="false">業務経理P19!AW10</f>
        <v>399326</v>
      </c>
      <c r="E371" s="28" t="n">
        <f aca="false">D371-N(C371)</f>
        <v>0</v>
      </c>
      <c r="F371" s="2" t="str">
        <f aca="false">IF(AND(C371&lt;&gt;"",ROUND(E371,2)=0),"一致",IF(G371&lt;&gt;"","変更（意図的）","★相違"))</f>
        <v>一致</v>
      </c>
      <c r="G371" s="2"/>
    </row>
    <row r="372" customFormat="false" ht="15" hidden="false" customHeight="false" outlineLevel="0" collapsed="false">
      <c r="A372" s="2" t="s">
        <v>452</v>
      </c>
      <c r="B372" s="27" t="s">
        <v>481</v>
      </c>
      <c r="C372" s="28" t="n">
        <v>11829000</v>
      </c>
      <c r="D372" s="28" t="n">
        <f aca="false">業務経理P19!M11</f>
        <v>11829000</v>
      </c>
      <c r="E372" s="28" t="n">
        <f aca="false">D372-N(C372)</f>
        <v>0</v>
      </c>
      <c r="F372" s="2" t="str">
        <f aca="false">IF(AND(C372&lt;&gt;"",ROUND(E372,2)=0),"一致",IF(G372&lt;&gt;"","変更（意図的）","★相違"))</f>
        <v>一致</v>
      </c>
      <c r="G372" s="2"/>
    </row>
    <row r="373" customFormat="false" ht="15" hidden="false" customHeight="false" outlineLevel="0" collapsed="false">
      <c r="A373" s="2" t="s">
        <v>452</v>
      </c>
      <c r="B373" s="27" t="s">
        <v>482</v>
      </c>
      <c r="C373" s="28" t="n">
        <v>10084438</v>
      </c>
      <c r="D373" s="28" t="n">
        <f aca="false">業務経理P19!V11</f>
        <v>10084438</v>
      </c>
      <c r="E373" s="28" t="n">
        <f aca="false">D373-N(C373)</f>
        <v>0</v>
      </c>
      <c r="F373" s="2" t="str">
        <f aca="false">IF(AND(C373&lt;&gt;"",ROUND(E373,2)=0),"一致",IF(G373&lt;&gt;"","変更（意図的）","★相違"))</f>
        <v>一致</v>
      </c>
      <c r="G373" s="2"/>
    </row>
    <row r="374" customFormat="false" ht="15" hidden="false" customHeight="false" outlineLevel="0" collapsed="false">
      <c r="A374" s="2" t="s">
        <v>452</v>
      </c>
      <c r="B374" s="27" t="s">
        <v>483</v>
      </c>
      <c r="C374" s="28" t="n">
        <v>-1744562</v>
      </c>
      <c r="D374" s="28" t="n">
        <f aca="false">業務経理P19!AE11</f>
        <v>-1744562</v>
      </c>
      <c r="E374" s="28" t="n">
        <f aca="false">D374-N(C374)</f>
        <v>0</v>
      </c>
      <c r="F374" s="2" t="str">
        <f aca="false">IF(AND(C374&lt;&gt;"",ROUND(E374,2)=0),"一致",IF(G374&lt;&gt;"","変更（意図的）","★相違"))</f>
        <v>一致</v>
      </c>
      <c r="G374" s="2"/>
    </row>
    <row r="375" customFormat="false" ht="15" hidden="false" customHeight="false" outlineLevel="0" collapsed="false">
      <c r="A375" s="2" t="s">
        <v>452</v>
      </c>
      <c r="B375" s="27" t="s">
        <v>484</v>
      </c>
      <c r="C375" s="28" t="n">
        <v>17036296</v>
      </c>
      <c r="D375" s="28" t="n">
        <f aca="false">業務経理P19!AN11</f>
        <v>17036296</v>
      </c>
      <c r="E375" s="28" t="n">
        <f aca="false">D375-N(C375)</f>
        <v>0</v>
      </c>
      <c r="F375" s="2" t="str">
        <f aca="false">IF(AND(C375&lt;&gt;"",ROUND(E375,2)=0),"一致",IF(G375&lt;&gt;"","変更（意図的）","★相違"))</f>
        <v>一致</v>
      </c>
      <c r="G375" s="2"/>
    </row>
    <row r="376" customFormat="false" ht="15" hidden="false" customHeight="false" outlineLevel="0" collapsed="false">
      <c r="A376" s="2" t="s">
        <v>452</v>
      </c>
      <c r="B376" s="27" t="s">
        <v>485</v>
      </c>
      <c r="C376" s="28" t="n">
        <v>-6951858</v>
      </c>
      <c r="D376" s="28" t="n">
        <f aca="false">業務経理P19!AW11</f>
        <v>-6951858</v>
      </c>
      <c r="E376" s="28" t="n">
        <f aca="false">D376-N(C376)</f>
        <v>0</v>
      </c>
      <c r="F376" s="2" t="str">
        <f aca="false">IF(AND(C376&lt;&gt;"",ROUND(E376,2)=0),"一致",IF(G376&lt;&gt;"","変更（意図的）","★相違"))</f>
        <v>一致</v>
      </c>
      <c r="G376" s="2"/>
    </row>
    <row r="377" customFormat="false" ht="15" hidden="false" customHeight="false" outlineLevel="0" collapsed="false">
      <c r="A377" s="2" t="s">
        <v>452</v>
      </c>
      <c r="B377" s="27" t="s">
        <v>486</v>
      </c>
      <c r="C377" s="28" t="n">
        <v>0</v>
      </c>
      <c r="D377" s="28" t="n">
        <f aca="false">業務経理P19!M12</f>
        <v>0</v>
      </c>
      <c r="E377" s="28" t="n">
        <f aca="false">D377-N(C377)</f>
        <v>0</v>
      </c>
      <c r="F377" s="2" t="str">
        <f aca="false">IF(AND(C377&lt;&gt;"",ROUND(E377,2)=0),"一致",IF(G377&lt;&gt;"","変更（意図的）","★相違"))</f>
        <v>一致</v>
      </c>
      <c r="G377" s="2"/>
    </row>
    <row r="378" customFormat="false" ht="15" hidden="false" customHeight="false" outlineLevel="0" collapsed="false">
      <c r="A378" s="2" t="s">
        <v>452</v>
      </c>
      <c r="B378" s="27" t="s">
        <v>487</v>
      </c>
      <c r="C378" s="28" t="n">
        <v>0</v>
      </c>
      <c r="D378" s="28" t="n">
        <f aca="false">業務経理P19!V12</f>
        <v>0</v>
      </c>
      <c r="E378" s="28" t="n">
        <f aca="false">D378-N(C378)</f>
        <v>0</v>
      </c>
      <c r="F378" s="2" t="str">
        <f aca="false">IF(AND(C378&lt;&gt;"",ROUND(E378,2)=0),"一致",IF(G378&lt;&gt;"","変更（意図的）","★相違"))</f>
        <v>一致</v>
      </c>
      <c r="G378" s="2"/>
    </row>
    <row r="379" customFormat="false" ht="15" hidden="false" customHeight="false" outlineLevel="0" collapsed="false">
      <c r="A379" s="2" t="s">
        <v>452</v>
      </c>
      <c r="B379" s="27" t="s">
        <v>488</v>
      </c>
      <c r="C379" s="28" t="n">
        <v>0</v>
      </c>
      <c r="D379" s="28" t="n">
        <f aca="false">業務経理P19!AE12</f>
        <v>0</v>
      </c>
      <c r="E379" s="28" t="n">
        <f aca="false">D379-N(C379)</f>
        <v>0</v>
      </c>
      <c r="F379" s="2" t="str">
        <f aca="false">IF(AND(C379&lt;&gt;"",ROUND(E379,2)=0),"一致",IF(G379&lt;&gt;"","変更（意図的）","★相違"))</f>
        <v>一致</v>
      </c>
      <c r="G379" s="2"/>
    </row>
    <row r="380" customFormat="false" ht="15" hidden="false" customHeight="false" outlineLevel="0" collapsed="false">
      <c r="A380" s="2" t="s">
        <v>452</v>
      </c>
      <c r="B380" s="27" t="s">
        <v>489</v>
      </c>
      <c r="C380" s="28" t="n">
        <v>0</v>
      </c>
      <c r="D380" s="28" t="n">
        <f aca="false">業務経理P19!AN12</f>
        <v>0</v>
      </c>
      <c r="E380" s="28" t="n">
        <f aca="false">D380-N(C380)</f>
        <v>0</v>
      </c>
      <c r="F380" s="2" t="str">
        <f aca="false">IF(AND(C380&lt;&gt;"",ROUND(E380,2)=0),"一致",IF(G380&lt;&gt;"","変更（意図的）","★相違"))</f>
        <v>一致</v>
      </c>
      <c r="G380" s="2"/>
    </row>
    <row r="381" customFormat="false" ht="15" hidden="false" customHeight="false" outlineLevel="0" collapsed="false">
      <c r="A381" s="2" t="s">
        <v>452</v>
      </c>
      <c r="B381" s="27" t="s">
        <v>490</v>
      </c>
      <c r="C381" s="28" t="n">
        <v>0</v>
      </c>
      <c r="D381" s="28" t="n">
        <f aca="false">業務経理P19!AW12</f>
        <v>0</v>
      </c>
      <c r="E381" s="28" t="n">
        <f aca="false">D381-N(C381)</f>
        <v>0</v>
      </c>
      <c r="F381" s="2" t="str">
        <f aca="false">IF(AND(C381&lt;&gt;"",ROUND(E381,2)=0),"一致",IF(G381&lt;&gt;"","変更（意図的）","★相違"))</f>
        <v>一致</v>
      </c>
      <c r="G381" s="2"/>
    </row>
    <row r="382" customFormat="false" ht="15" hidden="false" customHeight="false" outlineLevel="0" collapsed="false">
      <c r="A382" s="2" t="s">
        <v>452</v>
      </c>
      <c r="B382" s="27" t="s">
        <v>491</v>
      </c>
      <c r="C382" s="28" t="n">
        <v>122000</v>
      </c>
      <c r="D382" s="28" t="n">
        <f aca="false">業務経理P19!M13</f>
        <v>122000</v>
      </c>
      <c r="E382" s="28" t="n">
        <f aca="false">D382-N(C382)</f>
        <v>0</v>
      </c>
      <c r="F382" s="2" t="str">
        <f aca="false">IF(AND(C382&lt;&gt;"",ROUND(E382,2)=0),"一致",IF(G382&lt;&gt;"","変更（意図的）","★相違"))</f>
        <v>一致</v>
      </c>
      <c r="G382" s="2"/>
    </row>
    <row r="383" customFormat="false" ht="15" hidden="false" customHeight="false" outlineLevel="0" collapsed="false">
      <c r="A383" s="2" t="s">
        <v>452</v>
      </c>
      <c r="B383" s="27" t="s">
        <v>492</v>
      </c>
      <c r="C383" s="28" t="n">
        <v>103921</v>
      </c>
      <c r="D383" s="28" t="n">
        <f aca="false">業務経理P19!V13</f>
        <v>103921</v>
      </c>
      <c r="E383" s="28" t="n">
        <f aca="false">D383-N(C383)</f>
        <v>0</v>
      </c>
      <c r="F383" s="2" t="str">
        <f aca="false">IF(AND(C383&lt;&gt;"",ROUND(E383,2)=0),"一致",IF(G383&lt;&gt;"","変更（意図的）","★相違"))</f>
        <v>一致</v>
      </c>
      <c r="G383" s="2"/>
    </row>
    <row r="384" customFormat="false" ht="15" hidden="false" customHeight="false" outlineLevel="0" collapsed="false">
      <c r="A384" s="2" t="s">
        <v>452</v>
      </c>
      <c r="B384" s="27" t="s">
        <v>493</v>
      </c>
      <c r="C384" s="28" t="n">
        <v>-18079</v>
      </c>
      <c r="D384" s="28" t="n">
        <f aca="false">業務経理P19!AE13</f>
        <v>-18079</v>
      </c>
      <c r="E384" s="28" t="n">
        <f aca="false">D384-N(C384)</f>
        <v>0</v>
      </c>
      <c r="F384" s="2" t="str">
        <f aca="false">IF(AND(C384&lt;&gt;"",ROUND(E384,2)=0),"一致",IF(G384&lt;&gt;"","変更（意図的）","★相違"))</f>
        <v>一致</v>
      </c>
      <c r="G384" s="2"/>
    </row>
    <row r="385" customFormat="false" ht="15" hidden="false" customHeight="false" outlineLevel="0" collapsed="false">
      <c r="A385" s="2" t="s">
        <v>452</v>
      </c>
      <c r="B385" s="27" t="s">
        <v>494</v>
      </c>
      <c r="C385" s="28" t="n">
        <v>123594</v>
      </c>
      <c r="D385" s="28" t="n">
        <f aca="false">業務経理P19!AN13</f>
        <v>123594</v>
      </c>
      <c r="E385" s="28" t="n">
        <f aca="false">D385-N(C385)</f>
        <v>0</v>
      </c>
      <c r="F385" s="2" t="str">
        <f aca="false">IF(AND(C385&lt;&gt;"",ROUND(E385,2)=0),"一致",IF(G385&lt;&gt;"","変更（意図的）","★相違"))</f>
        <v>一致</v>
      </c>
      <c r="G385" s="2"/>
    </row>
    <row r="386" customFormat="false" ht="15" hidden="false" customHeight="false" outlineLevel="0" collapsed="false">
      <c r="A386" s="2" t="s">
        <v>452</v>
      </c>
      <c r="B386" s="27" t="s">
        <v>495</v>
      </c>
      <c r="C386" s="28" t="n">
        <v>-19673</v>
      </c>
      <c r="D386" s="28" t="n">
        <f aca="false">業務経理P19!AW13</f>
        <v>-19673</v>
      </c>
      <c r="E386" s="28" t="n">
        <f aca="false">D386-N(C386)</f>
        <v>0</v>
      </c>
      <c r="F386" s="2" t="str">
        <f aca="false">IF(AND(C386&lt;&gt;"",ROUND(E386,2)=0),"一致",IF(G386&lt;&gt;"","変更（意図的）","★相違"))</f>
        <v>一致</v>
      </c>
      <c r="G386" s="2"/>
    </row>
    <row r="387" customFormat="false" ht="15" hidden="false" customHeight="false" outlineLevel="0" collapsed="false">
      <c r="A387" s="2" t="s">
        <v>452</v>
      </c>
      <c r="B387" s="27" t="s">
        <v>496</v>
      </c>
      <c r="C387" s="28" t="n">
        <v>0</v>
      </c>
      <c r="D387" s="28" t="n">
        <f aca="false">業務経理P19!M14</f>
        <v>0</v>
      </c>
      <c r="E387" s="28" t="n">
        <f aca="false">D387-N(C387)</f>
        <v>0</v>
      </c>
      <c r="F387" s="2" t="str">
        <f aca="false">IF(AND(C387&lt;&gt;"",ROUND(E387,2)=0),"一致",IF(G387&lt;&gt;"","変更（意図的）","★相違"))</f>
        <v>一致</v>
      </c>
      <c r="G387" s="2"/>
    </row>
    <row r="388" customFormat="false" ht="15" hidden="false" customHeight="false" outlineLevel="0" collapsed="false">
      <c r="A388" s="2" t="s">
        <v>452</v>
      </c>
      <c r="B388" s="27" t="s">
        <v>497</v>
      </c>
      <c r="C388" s="28" t="n">
        <v>0</v>
      </c>
      <c r="D388" s="28" t="n">
        <f aca="false">業務経理P19!V14</f>
        <v>0</v>
      </c>
      <c r="E388" s="28" t="n">
        <f aca="false">D388-N(C388)</f>
        <v>0</v>
      </c>
      <c r="F388" s="2" t="str">
        <f aca="false">IF(AND(C388&lt;&gt;"",ROUND(E388,2)=0),"一致",IF(G388&lt;&gt;"","変更（意図的）","★相違"))</f>
        <v>一致</v>
      </c>
      <c r="G388" s="2"/>
    </row>
    <row r="389" customFormat="false" ht="15" hidden="false" customHeight="false" outlineLevel="0" collapsed="false">
      <c r="A389" s="2" t="s">
        <v>452</v>
      </c>
      <c r="B389" s="27" t="s">
        <v>498</v>
      </c>
      <c r="C389" s="28" t="n">
        <v>0</v>
      </c>
      <c r="D389" s="28" t="n">
        <f aca="false">業務経理P19!AE14</f>
        <v>0</v>
      </c>
      <c r="E389" s="28" t="n">
        <f aca="false">D389-N(C389)</f>
        <v>0</v>
      </c>
      <c r="F389" s="2" t="str">
        <f aca="false">IF(AND(C389&lt;&gt;"",ROUND(E389,2)=0),"一致",IF(G389&lt;&gt;"","変更（意図的）","★相違"))</f>
        <v>一致</v>
      </c>
      <c r="G389" s="2"/>
    </row>
    <row r="390" customFormat="false" ht="15" hidden="false" customHeight="false" outlineLevel="0" collapsed="false">
      <c r="A390" s="2" t="s">
        <v>452</v>
      </c>
      <c r="B390" s="27" t="s">
        <v>499</v>
      </c>
      <c r="C390" s="28" t="n">
        <v>0</v>
      </c>
      <c r="D390" s="28" t="n">
        <f aca="false">業務経理P19!AN14</f>
        <v>0</v>
      </c>
      <c r="E390" s="28" t="n">
        <f aca="false">D390-N(C390)</f>
        <v>0</v>
      </c>
      <c r="F390" s="2" t="str">
        <f aca="false">IF(AND(C390&lt;&gt;"",ROUND(E390,2)=0),"一致",IF(G390&lt;&gt;"","変更（意図的）","★相違"))</f>
        <v>一致</v>
      </c>
      <c r="G390" s="2"/>
    </row>
    <row r="391" customFormat="false" ht="15" hidden="false" customHeight="false" outlineLevel="0" collapsed="false">
      <c r="A391" s="2" t="s">
        <v>452</v>
      </c>
      <c r="B391" s="27" t="s">
        <v>500</v>
      </c>
      <c r="C391" s="28" t="n">
        <v>0</v>
      </c>
      <c r="D391" s="28" t="n">
        <f aca="false">業務経理P19!AW14</f>
        <v>0</v>
      </c>
      <c r="E391" s="28" t="n">
        <f aca="false">D391-N(C391)</f>
        <v>0</v>
      </c>
      <c r="F391" s="2" t="str">
        <f aca="false">IF(AND(C391&lt;&gt;"",ROUND(E391,2)=0),"一致",IF(G391&lt;&gt;"","変更（意図的）","★相違"))</f>
        <v>一致</v>
      </c>
      <c r="G391" s="2"/>
    </row>
    <row r="392" customFormat="false" ht="15" hidden="false" customHeight="false" outlineLevel="0" collapsed="false">
      <c r="A392" s="2" t="s">
        <v>452</v>
      </c>
      <c r="B392" s="27" t="s">
        <v>501</v>
      </c>
      <c r="C392" s="28" t="n">
        <v>9589000</v>
      </c>
      <c r="D392" s="28" t="n">
        <f aca="false">業務経理P19!M15</f>
        <v>9589000</v>
      </c>
      <c r="E392" s="28" t="n">
        <f aca="false">D392-N(C392)</f>
        <v>0</v>
      </c>
      <c r="F392" s="2" t="str">
        <f aca="false">IF(AND(C392&lt;&gt;"",ROUND(E392,2)=0),"一致",IF(G392&lt;&gt;"","変更（意図的）","★相違"))</f>
        <v>一致</v>
      </c>
      <c r="G392" s="2"/>
    </row>
    <row r="393" customFormat="false" ht="15" hidden="false" customHeight="false" outlineLevel="0" collapsed="false">
      <c r="A393" s="2" t="s">
        <v>452</v>
      </c>
      <c r="B393" s="27" t="s">
        <v>502</v>
      </c>
      <c r="C393" s="28" t="n">
        <v>9430768</v>
      </c>
      <c r="D393" s="28" t="n">
        <f aca="false">業務経理P19!V15</f>
        <v>9430768</v>
      </c>
      <c r="E393" s="28" t="n">
        <f aca="false">D393-N(C393)</f>
        <v>0</v>
      </c>
      <c r="F393" s="2" t="str">
        <f aca="false">IF(AND(C393&lt;&gt;"",ROUND(E393,2)=0),"一致",IF(G393&lt;&gt;"","変更（意図的）","★相違"))</f>
        <v>一致</v>
      </c>
      <c r="G393" s="2"/>
    </row>
    <row r="394" customFormat="false" ht="15" hidden="false" customHeight="false" outlineLevel="0" collapsed="false">
      <c r="A394" s="2" t="s">
        <v>452</v>
      </c>
      <c r="B394" s="27" t="s">
        <v>503</v>
      </c>
      <c r="C394" s="28" t="n">
        <v>-158232</v>
      </c>
      <c r="D394" s="28" t="n">
        <f aca="false">業務経理P19!AE15</f>
        <v>-158232</v>
      </c>
      <c r="E394" s="28" t="n">
        <f aca="false">D394-N(C394)</f>
        <v>0</v>
      </c>
      <c r="F394" s="2" t="str">
        <f aca="false">IF(AND(C394&lt;&gt;"",ROUND(E394,2)=0),"一致",IF(G394&lt;&gt;"","変更（意図的）","★相違"))</f>
        <v>一致</v>
      </c>
      <c r="G394" s="2"/>
    </row>
    <row r="395" customFormat="false" ht="15" hidden="false" customHeight="false" outlineLevel="0" collapsed="false">
      <c r="A395" s="2" t="s">
        <v>452</v>
      </c>
      <c r="B395" s="27" t="s">
        <v>504</v>
      </c>
      <c r="C395" s="28" t="n">
        <v>7576231</v>
      </c>
      <c r="D395" s="28" t="n">
        <f aca="false">業務経理P19!AN15</f>
        <v>7576231</v>
      </c>
      <c r="E395" s="28" t="n">
        <f aca="false">D395-N(C395)</f>
        <v>0</v>
      </c>
      <c r="F395" s="2" t="str">
        <f aca="false">IF(AND(C395&lt;&gt;"",ROUND(E395,2)=0),"一致",IF(G395&lt;&gt;"","変更（意図的）","★相違"))</f>
        <v>一致</v>
      </c>
      <c r="G395" s="2"/>
    </row>
    <row r="396" customFormat="false" ht="15" hidden="false" customHeight="false" outlineLevel="0" collapsed="false">
      <c r="A396" s="2" t="s">
        <v>452</v>
      </c>
      <c r="B396" s="27" t="s">
        <v>505</v>
      </c>
      <c r="C396" s="28" t="n">
        <v>1854537</v>
      </c>
      <c r="D396" s="28" t="n">
        <f aca="false">業務経理P19!AW15</f>
        <v>1854537</v>
      </c>
      <c r="E396" s="28" t="n">
        <f aca="false">D396-N(C396)</f>
        <v>0</v>
      </c>
      <c r="F396" s="2" t="str">
        <f aca="false">IF(AND(C396&lt;&gt;"",ROUND(E396,2)=0),"一致",IF(G396&lt;&gt;"","変更（意図的）","★相違"))</f>
        <v>一致</v>
      </c>
      <c r="G396" s="2"/>
    </row>
    <row r="397" customFormat="false" ht="15" hidden="false" customHeight="false" outlineLevel="0" collapsed="false">
      <c r="A397" s="2" t="s">
        <v>452</v>
      </c>
      <c r="B397" s="27" t="s">
        <v>506</v>
      </c>
      <c r="C397" s="28" t="n">
        <v>2772000</v>
      </c>
      <c r="D397" s="28" t="n">
        <f aca="false">業務経理P19!M16</f>
        <v>2772000</v>
      </c>
      <c r="E397" s="28" t="n">
        <f aca="false">D397-N(C397)</f>
        <v>0</v>
      </c>
      <c r="F397" s="2" t="str">
        <f aca="false">IF(AND(C397&lt;&gt;"",ROUND(E397,2)=0),"一致",IF(G397&lt;&gt;"","変更（意図的）","★相違"))</f>
        <v>一致</v>
      </c>
      <c r="G397" s="2"/>
    </row>
    <row r="398" customFormat="false" ht="15" hidden="false" customHeight="false" outlineLevel="0" collapsed="false">
      <c r="A398" s="2" t="s">
        <v>452</v>
      </c>
      <c r="B398" s="27" t="s">
        <v>507</v>
      </c>
      <c r="C398" s="28" t="n">
        <v>1884714</v>
      </c>
      <c r="D398" s="28" t="n">
        <f aca="false">業務経理P19!V16</f>
        <v>1884714</v>
      </c>
      <c r="E398" s="28" t="n">
        <f aca="false">D398-N(C398)</f>
        <v>0</v>
      </c>
      <c r="F398" s="2" t="str">
        <f aca="false">IF(AND(C398&lt;&gt;"",ROUND(E398,2)=0),"一致",IF(G398&lt;&gt;"","変更（意図的）","★相違"))</f>
        <v>一致</v>
      </c>
      <c r="G398" s="2"/>
    </row>
    <row r="399" customFormat="false" ht="15" hidden="false" customHeight="false" outlineLevel="0" collapsed="false">
      <c r="A399" s="2" t="s">
        <v>452</v>
      </c>
      <c r="B399" s="27" t="s">
        <v>508</v>
      </c>
      <c r="C399" s="28" t="n">
        <v>-887286</v>
      </c>
      <c r="D399" s="28" t="n">
        <f aca="false">業務経理P19!AE16</f>
        <v>-887286</v>
      </c>
      <c r="E399" s="28" t="n">
        <f aca="false">D399-N(C399)</f>
        <v>0</v>
      </c>
      <c r="F399" s="2" t="str">
        <f aca="false">IF(AND(C399&lt;&gt;"",ROUND(E399,2)=0),"一致",IF(G399&lt;&gt;"","変更（意図的）","★相違"))</f>
        <v>一致</v>
      </c>
      <c r="G399" s="2"/>
    </row>
    <row r="400" customFormat="false" ht="15" hidden="false" customHeight="false" outlineLevel="0" collapsed="false">
      <c r="A400" s="2" t="s">
        <v>452</v>
      </c>
      <c r="B400" s="27" t="s">
        <v>509</v>
      </c>
      <c r="C400" s="28" t="n">
        <v>2063463</v>
      </c>
      <c r="D400" s="28" t="n">
        <f aca="false">業務経理P19!AN16</f>
        <v>2063463</v>
      </c>
      <c r="E400" s="28" t="n">
        <f aca="false">D400-N(C400)</f>
        <v>0</v>
      </c>
      <c r="F400" s="2" t="str">
        <f aca="false">IF(AND(C400&lt;&gt;"",ROUND(E400,2)=0),"一致",IF(G400&lt;&gt;"","変更（意図的）","★相違"))</f>
        <v>一致</v>
      </c>
      <c r="G400" s="2"/>
    </row>
    <row r="401" customFormat="false" ht="15" hidden="false" customHeight="false" outlineLevel="0" collapsed="false">
      <c r="A401" s="2" t="s">
        <v>452</v>
      </c>
      <c r="B401" s="27" t="s">
        <v>510</v>
      </c>
      <c r="C401" s="28" t="n">
        <v>-178749</v>
      </c>
      <c r="D401" s="28" t="n">
        <f aca="false">業務経理P19!AW16</f>
        <v>-178749</v>
      </c>
      <c r="E401" s="28" t="n">
        <f aca="false">D401-N(C401)</f>
        <v>0</v>
      </c>
      <c r="F401" s="2" t="str">
        <f aca="false">IF(AND(C401&lt;&gt;"",ROUND(E401,2)=0),"一致",IF(G401&lt;&gt;"","変更（意図的）","★相違"))</f>
        <v>一致</v>
      </c>
      <c r="G401" s="2"/>
    </row>
    <row r="402" customFormat="false" ht="15" hidden="false" customHeight="false" outlineLevel="0" collapsed="false">
      <c r="A402" s="2" t="s">
        <v>452</v>
      </c>
      <c r="B402" s="27" t="s">
        <v>511</v>
      </c>
      <c r="C402" s="28" t="n">
        <v>0</v>
      </c>
      <c r="D402" s="28" t="n">
        <f aca="false">業務経理P19!M17</f>
        <v>0</v>
      </c>
      <c r="E402" s="28" t="n">
        <f aca="false">D402-N(C402)</f>
        <v>0</v>
      </c>
      <c r="F402" s="2" t="str">
        <f aca="false">IF(AND(C402&lt;&gt;"",ROUND(E402,2)=0),"一致",IF(G402&lt;&gt;"","変更（意図的）","★相違"))</f>
        <v>一致</v>
      </c>
      <c r="G402" s="2"/>
    </row>
    <row r="403" customFormat="false" ht="15" hidden="false" customHeight="false" outlineLevel="0" collapsed="false">
      <c r="A403" s="2" t="s">
        <v>452</v>
      </c>
      <c r="B403" s="27" t="s">
        <v>512</v>
      </c>
      <c r="C403" s="28" t="n">
        <v>0</v>
      </c>
      <c r="D403" s="28" t="n">
        <f aca="false">業務経理P19!V17</f>
        <v>0</v>
      </c>
      <c r="E403" s="28" t="n">
        <f aca="false">D403-N(C403)</f>
        <v>0</v>
      </c>
      <c r="F403" s="2" t="str">
        <f aca="false">IF(AND(C403&lt;&gt;"",ROUND(E403,2)=0),"一致",IF(G403&lt;&gt;"","変更（意図的）","★相違"))</f>
        <v>一致</v>
      </c>
      <c r="G403" s="2"/>
    </row>
    <row r="404" customFormat="false" ht="15" hidden="false" customHeight="false" outlineLevel="0" collapsed="false">
      <c r="A404" s="2" t="s">
        <v>452</v>
      </c>
      <c r="B404" s="27" t="s">
        <v>513</v>
      </c>
      <c r="C404" s="28" t="n">
        <v>0</v>
      </c>
      <c r="D404" s="28" t="n">
        <f aca="false">業務経理P19!AE17</f>
        <v>0</v>
      </c>
      <c r="E404" s="28" t="n">
        <f aca="false">D404-N(C404)</f>
        <v>0</v>
      </c>
      <c r="F404" s="2" t="str">
        <f aca="false">IF(AND(C404&lt;&gt;"",ROUND(E404,2)=0),"一致",IF(G404&lt;&gt;"","変更（意図的）","★相違"))</f>
        <v>一致</v>
      </c>
      <c r="G404" s="2"/>
    </row>
    <row r="405" customFormat="false" ht="15" hidden="false" customHeight="false" outlineLevel="0" collapsed="false">
      <c r="A405" s="2" t="s">
        <v>452</v>
      </c>
      <c r="B405" s="27" t="s">
        <v>514</v>
      </c>
      <c r="C405" s="28" t="n">
        <v>0</v>
      </c>
      <c r="D405" s="28" t="n">
        <f aca="false">業務経理P19!AN17</f>
        <v>0</v>
      </c>
      <c r="E405" s="28" t="n">
        <f aca="false">D405-N(C405)</f>
        <v>0</v>
      </c>
      <c r="F405" s="2" t="str">
        <f aca="false">IF(AND(C405&lt;&gt;"",ROUND(E405,2)=0),"一致",IF(G405&lt;&gt;"","変更（意図的）","★相違"))</f>
        <v>一致</v>
      </c>
      <c r="G405" s="2"/>
    </row>
    <row r="406" customFormat="false" ht="15" hidden="false" customHeight="false" outlineLevel="0" collapsed="false">
      <c r="A406" s="2" t="s">
        <v>452</v>
      </c>
      <c r="B406" s="27" t="s">
        <v>515</v>
      </c>
      <c r="C406" s="28" t="n">
        <v>0</v>
      </c>
      <c r="D406" s="28" t="n">
        <f aca="false">業務経理P19!AW17</f>
        <v>0</v>
      </c>
      <c r="E406" s="28" t="n">
        <f aca="false">D406-N(C406)</f>
        <v>0</v>
      </c>
      <c r="F406" s="2" t="str">
        <f aca="false">IF(AND(C406&lt;&gt;"",ROUND(E406,2)=0),"一致",IF(G406&lt;&gt;"","変更（意図的）","★相違"))</f>
        <v>一致</v>
      </c>
      <c r="G406" s="2"/>
    </row>
    <row r="407" customFormat="false" ht="15" hidden="false" customHeight="false" outlineLevel="0" collapsed="false">
      <c r="A407" s="2" t="s">
        <v>452</v>
      </c>
      <c r="B407" s="27" t="s">
        <v>516</v>
      </c>
      <c r="C407" s="28" t="n">
        <v>0</v>
      </c>
      <c r="D407" s="28" t="n">
        <f aca="false">業務経理P19!AE18</f>
        <v>0</v>
      </c>
      <c r="E407" s="28" t="n">
        <f aca="false">D407-N(C407)</f>
        <v>0</v>
      </c>
      <c r="F407" s="2" t="str">
        <f aca="false">IF(AND(C407&lt;&gt;"",ROUND(E407,2)=0),"一致",IF(G407&lt;&gt;"","変更（意図的）","★相違"))</f>
        <v>一致</v>
      </c>
      <c r="G407" s="2"/>
    </row>
    <row r="408" customFormat="false" ht="15" hidden="false" customHeight="false" outlineLevel="0" collapsed="false">
      <c r="A408" s="2" t="s">
        <v>452</v>
      </c>
      <c r="B408" s="27" t="s">
        <v>517</v>
      </c>
      <c r="C408" s="28" t="n">
        <v>0</v>
      </c>
      <c r="D408" s="28" t="n">
        <f aca="false">業務経理P19!AW18</f>
        <v>0</v>
      </c>
      <c r="E408" s="28" t="n">
        <f aca="false">D408-N(C408)</f>
        <v>0</v>
      </c>
      <c r="F408" s="2" t="str">
        <f aca="false">IF(AND(C408&lt;&gt;"",ROUND(E408,2)=0),"一致",IF(G408&lt;&gt;"","変更（意図的）","★相違"))</f>
        <v>一致</v>
      </c>
      <c r="G408" s="2"/>
    </row>
    <row r="409" customFormat="false" ht="15" hidden="false" customHeight="false" outlineLevel="0" collapsed="false">
      <c r="A409" s="2" t="s">
        <v>452</v>
      </c>
      <c r="B409" s="27" t="s">
        <v>518</v>
      </c>
      <c r="C409" s="28" t="n">
        <v>2718000</v>
      </c>
      <c r="D409" s="28" t="n">
        <f aca="false">業務経理P19!M19</f>
        <v>2718000</v>
      </c>
      <c r="E409" s="28" t="n">
        <f aca="false">D409-N(C409)</f>
        <v>0</v>
      </c>
      <c r="F409" s="2" t="str">
        <f aca="false">IF(AND(C409&lt;&gt;"",ROUND(E409,2)=0),"一致",IF(G409&lt;&gt;"","変更（意図的）","★相違"))</f>
        <v>一致</v>
      </c>
      <c r="G409" s="2"/>
    </row>
    <row r="410" customFormat="false" ht="15" hidden="false" customHeight="false" outlineLevel="0" collapsed="false">
      <c r="A410" s="2" t="s">
        <v>452</v>
      </c>
      <c r="B410" s="27" t="s">
        <v>519</v>
      </c>
      <c r="C410" s="28" t="n">
        <v>2453880</v>
      </c>
      <c r="D410" s="28" t="n">
        <f aca="false">業務経理P19!V19</f>
        <v>2453880</v>
      </c>
      <c r="E410" s="28" t="n">
        <f aca="false">D410-N(C410)</f>
        <v>0</v>
      </c>
      <c r="F410" s="2" t="str">
        <f aca="false">IF(AND(C410&lt;&gt;"",ROUND(E410,2)=0),"一致",IF(G410&lt;&gt;"","変更（意図的）","★相違"))</f>
        <v>一致</v>
      </c>
      <c r="G410" s="2"/>
    </row>
    <row r="411" customFormat="false" ht="15" hidden="false" customHeight="false" outlineLevel="0" collapsed="false">
      <c r="A411" s="2" t="s">
        <v>452</v>
      </c>
      <c r="B411" s="27" t="s">
        <v>520</v>
      </c>
      <c r="C411" s="28" t="n">
        <v>-264120</v>
      </c>
      <c r="D411" s="28" t="n">
        <f aca="false">業務経理P19!AE19</f>
        <v>-264120</v>
      </c>
      <c r="E411" s="28" t="n">
        <f aca="false">D411-N(C411)</f>
        <v>0</v>
      </c>
      <c r="F411" s="2" t="str">
        <f aca="false">IF(AND(C411&lt;&gt;"",ROUND(E411,2)=0),"一致",IF(G411&lt;&gt;"","変更（意図的）","★相違"))</f>
        <v>一致</v>
      </c>
      <c r="G411" s="2"/>
    </row>
    <row r="412" customFormat="false" ht="15" hidden="false" customHeight="false" outlineLevel="0" collapsed="false">
      <c r="A412" s="2" t="s">
        <v>452</v>
      </c>
      <c r="B412" s="27" t="s">
        <v>521</v>
      </c>
      <c r="C412" s="28" t="n">
        <v>2286386</v>
      </c>
      <c r="D412" s="28" t="n">
        <f aca="false">業務経理P19!AN19</f>
        <v>2286386</v>
      </c>
      <c r="E412" s="28" t="n">
        <f aca="false">D412-N(C412)</f>
        <v>0</v>
      </c>
      <c r="F412" s="2" t="str">
        <f aca="false">IF(AND(C412&lt;&gt;"",ROUND(E412,2)=0),"一致",IF(G412&lt;&gt;"","変更（意図的）","★相違"))</f>
        <v>一致</v>
      </c>
      <c r="G412" s="2"/>
    </row>
    <row r="413" customFormat="false" ht="15" hidden="false" customHeight="false" outlineLevel="0" collapsed="false">
      <c r="A413" s="2" t="s">
        <v>452</v>
      </c>
      <c r="B413" s="27" t="s">
        <v>522</v>
      </c>
      <c r="C413" s="28" t="n">
        <v>167494</v>
      </c>
      <c r="D413" s="28" t="n">
        <f aca="false">業務経理P19!AW19</f>
        <v>167494</v>
      </c>
      <c r="E413" s="28" t="n">
        <f aca="false">D413-N(C413)</f>
        <v>0</v>
      </c>
      <c r="F413" s="2" t="str">
        <f aca="false">IF(AND(C413&lt;&gt;"",ROUND(E413,2)=0),"一致",IF(G413&lt;&gt;"","変更（意図的）","★相違"))</f>
        <v>一致</v>
      </c>
      <c r="G413" s="2"/>
    </row>
    <row r="414" customFormat="false" ht="15" hidden="false" customHeight="false" outlineLevel="0" collapsed="false">
      <c r="A414" s="2" t="s">
        <v>452</v>
      </c>
      <c r="B414" s="27" t="s">
        <v>523</v>
      </c>
      <c r="C414" s="28" t="n">
        <v>14091000</v>
      </c>
      <c r="D414" s="28" t="n">
        <f aca="false">業務経理P19!M20</f>
        <v>14091000</v>
      </c>
      <c r="E414" s="28" t="n">
        <f aca="false">D414-N(C414)</f>
        <v>0</v>
      </c>
      <c r="F414" s="2" t="str">
        <f aca="false">IF(AND(C414&lt;&gt;"",ROUND(E414,2)=0),"一致",IF(G414&lt;&gt;"","変更（意図的）","★相違"))</f>
        <v>一致</v>
      </c>
      <c r="G414" s="2"/>
    </row>
    <row r="415" customFormat="false" ht="15" hidden="false" customHeight="false" outlineLevel="0" collapsed="false">
      <c r="A415" s="2" t="s">
        <v>452</v>
      </c>
      <c r="B415" s="27" t="s">
        <v>524</v>
      </c>
      <c r="C415" s="28" t="n">
        <v>13718352</v>
      </c>
      <c r="D415" s="28" t="n">
        <f aca="false">業務経理P19!V20</f>
        <v>13718352</v>
      </c>
      <c r="E415" s="28" t="n">
        <f aca="false">D415-N(C415)</f>
        <v>0</v>
      </c>
      <c r="F415" s="2" t="str">
        <f aca="false">IF(AND(C415&lt;&gt;"",ROUND(E415,2)=0),"一致",IF(G415&lt;&gt;"","変更（意図的）","★相違"))</f>
        <v>一致</v>
      </c>
      <c r="G415" s="2"/>
    </row>
    <row r="416" customFormat="false" ht="15" hidden="false" customHeight="false" outlineLevel="0" collapsed="false">
      <c r="A416" s="2" t="s">
        <v>452</v>
      </c>
      <c r="B416" s="27" t="s">
        <v>525</v>
      </c>
      <c r="C416" s="28" t="n">
        <v>-372648</v>
      </c>
      <c r="D416" s="28" t="n">
        <f aca="false">業務経理P19!AE20</f>
        <v>-372648</v>
      </c>
      <c r="E416" s="28" t="n">
        <f aca="false">D416-N(C416)</f>
        <v>0</v>
      </c>
      <c r="F416" s="2" t="str">
        <f aca="false">IF(AND(C416&lt;&gt;"",ROUND(E416,2)=0),"一致",IF(G416&lt;&gt;"","変更（意図的）","★相違"))</f>
        <v>一致</v>
      </c>
      <c r="G416" s="2"/>
    </row>
    <row r="417" customFormat="false" ht="15" hidden="false" customHeight="false" outlineLevel="0" collapsed="false">
      <c r="A417" s="2" t="s">
        <v>452</v>
      </c>
      <c r="B417" s="27" t="s">
        <v>526</v>
      </c>
      <c r="C417" s="28" t="n">
        <v>9334157</v>
      </c>
      <c r="D417" s="28" t="n">
        <f aca="false">業務経理P19!AN20</f>
        <v>9334157</v>
      </c>
      <c r="E417" s="28" t="n">
        <f aca="false">D417-N(C417)</f>
        <v>0</v>
      </c>
      <c r="F417" s="2" t="str">
        <f aca="false">IF(AND(C417&lt;&gt;"",ROUND(E417,2)=0),"一致",IF(G417&lt;&gt;"","変更（意図的）","★相違"))</f>
        <v>一致</v>
      </c>
      <c r="G417" s="2"/>
    </row>
    <row r="418" customFormat="false" ht="15" hidden="false" customHeight="false" outlineLevel="0" collapsed="false">
      <c r="A418" s="2" t="s">
        <v>452</v>
      </c>
      <c r="B418" s="27" t="s">
        <v>527</v>
      </c>
      <c r="C418" s="28" t="n">
        <v>4384195</v>
      </c>
      <c r="D418" s="28" t="n">
        <f aca="false">業務経理P19!AW20</f>
        <v>4384195</v>
      </c>
      <c r="E418" s="28" t="n">
        <f aca="false">D418-N(C418)</f>
        <v>0</v>
      </c>
      <c r="F418" s="2" t="str">
        <f aca="false">IF(AND(C418&lt;&gt;"",ROUND(E418,2)=0),"一致",IF(G418&lt;&gt;"","変更（意図的）","★相違"))</f>
        <v>一致</v>
      </c>
      <c r="G418" s="2"/>
    </row>
    <row r="419" customFormat="false" ht="15" hidden="false" customHeight="false" outlineLevel="0" collapsed="false">
      <c r="A419" s="2" t="s">
        <v>452</v>
      </c>
      <c r="B419" s="27" t="s">
        <v>528</v>
      </c>
      <c r="C419" s="28" t="n">
        <v>54153000</v>
      </c>
      <c r="D419" s="28" t="n">
        <f aca="false">業務経理P19!M21</f>
        <v>54153000</v>
      </c>
      <c r="E419" s="28" t="n">
        <f aca="false">D419-N(C419)</f>
        <v>0</v>
      </c>
      <c r="F419" s="2" t="str">
        <f aca="false">IF(AND(C419&lt;&gt;"",ROUND(E419,2)=0),"一致",IF(G419&lt;&gt;"","変更（意図的）","★相違"))</f>
        <v>一致</v>
      </c>
      <c r="G419" s="2"/>
    </row>
    <row r="420" customFormat="false" ht="15" hidden="false" customHeight="false" outlineLevel="0" collapsed="false">
      <c r="A420" s="2" t="s">
        <v>452</v>
      </c>
      <c r="B420" s="27" t="s">
        <v>529</v>
      </c>
      <c r="C420" s="28" t="n">
        <v>54153000</v>
      </c>
      <c r="D420" s="28" t="n">
        <f aca="false">業務経理P19!V21</f>
        <v>54153000</v>
      </c>
      <c r="E420" s="28" t="n">
        <f aca="false">D420-N(C420)</f>
        <v>0</v>
      </c>
      <c r="F420" s="2" t="str">
        <f aca="false">IF(AND(C420&lt;&gt;"",ROUND(E420,2)=0),"一致",IF(G420&lt;&gt;"","変更（意図的）","★相違"))</f>
        <v>一致</v>
      </c>
      <c r="G420" s="2"/>
    </row>
    <row r="421" customFormat="false" ht="15" hidden="false" customHeight="false" outlineLevel="0" collapsed="false">
      <c r="A421" s="2" t="s">
        <v>452</v>
      </c>
      <c r="B421" s="27" t="s">
        <v>530</v>
      </c>
      <c r="C421" s="28" t="n">
        <v>0</v>
      </c>
      <c r="D421" s="28" t="n">
        <f aca="false">業務経理P19!AE21</f>
        <v>0</v>
      </c>
      <c r="E421" s="28" t="n">
        <f aca="false">D421-N(C421)</f>
        <v>0</v>
      </c>
      <c r="F421" s="2" t="str">
        <f aca="false">IF(AND(C421&lt;&gt;"",ROUND(E421,2)=0),"一致",IF(G421&lt;&gt;"","変更（意図的）","★相違"))</f>
        <v>一致</v>
      </c>
      <c r="G421" s="2"/>
    </row>
    <row r="422" customFormat="false" ht="15" hidden="false" customHeight="false" outlineLevel="0" collapsed="false">
      <c r="A422" s="2" t="s">
        <v>452</v>
      </c>
      <c r="B422" s="27" t="s">
        <v>531</v>
      </c>
      <c r="C422" s="28" t="n">
        <v>47222000</v>
      </c>
      <c r="D422" s="28" t="n">
        <f aca="false">業務経理P19!AN21</f>
        <v>47222000</v>
      </c>
      <c r="E422" s="28" t="n">
        <f aca="false">D422-N(C422)</f>
        <v>0</v>
      </c>
      <c r="F422" s="2" t="str">
        <f aca="false">IF(AND(C422&lt;&gt;"",ROUND(E422,2)=0),"一致",IF(G422&lt;&gt;"","変更（意図的）","★相違"))</f>
        <v>一致</v>
      </c>
      <c r="G422" s="2"/>
    </row>
    <row r="423" customFormat="false" ht="15" hidden="false" customHeight="false" outlineLevel="0" collapsed="false">
      <c r="A423" s="2" t="s">
        <v>452</v>
      </c>
      <c r="B423" s="27" t="s">
        <v>532</v>
      </c>
      <c r="C423" s="28" t="n">
        <v>6931000</v>
      </c>
      <c r="D423" s="28" t="n">
        <f aca="false">業務経理P19!AW21</f>
        <v>6931000</v>
      </c>
      <c r="E423" s="28" t="n">
        <f aca="false">D423-N(C423)</f>
        <v>0</v>
      </c>
      <c r="F423" s="2" t="str">
        <f aca="false">IF(AND(C423&lt;&gt;"",ROUND(E423,2)=0),"一致",IF(G423&lt;&gt;"","変更（意図的）","★相違"))</f>
        <v>一致</v>
      </c>
      <c r="G423" s="2"/>
    </row>
    <row r="424" customFormat="false" ht="15" hidden="false" customHeight="false" outlineLevel="0" collapsed="false">
      <c r="A424" s="2" t="s">
        <v>452</v>
      </c>
      <c r="B424" s="27" t="s">
        <v>533</v>
      </c>
      <c r="C424" s="28" t="n">
        <v>0</v>
      </c>
      <c r="D424" s="28" t="n">
        <f aca="false">業務経理P19!AE22</f>
        <v>0</v>
      </c>
      <c r="E424" s="28" t="n">
        <f aca="false">D424-N(C424)</f>
        <v>0</v>
      </c>
      <c r="F424" s="2" t="str">
        <f aca="false">IF(AND(C424&lt;&gt;"",ROUND(E424,2)=0),"一致",IF(G424&lt;&gt;"","変更（意図的）","★相違"))</f>
        <v>一致</v>
      </c>
      <c r="G424" s="2"/>
    </row>
    <row r="425" customFormat="false" ht="15" hidden="false" customHeight="false" outlineLevel="0" collapsed="false">
      <c r="A425" s="2" t="s">
        <v>452</v>
      </c>
      <c r="B425" s="27" t="s">
        <v>534</v>
      </c>
      <c r="C425" s="28" t="n">
        <v>0</v>
      </c>
      <c r="D425" s="28" t="n">
        <f aca="false">業務経理P19!AW22</f>
        <v>0</v>
      </c>
      <c r="E425" s="28" t="n">
        <f aca="false">D425-N(C425)</f>
        <v>0</v>
      </c>
      <c r="F425" s="2" t="str">
        <f aca="false">IF(AND(C425&lt;&gt;"",ROUND(E425,2)=0),"一致",IF(G425&lt;&gt;"","変更（意図的）","★相違"))</f>
        <v>一致</v>
      </c>
      <c r="G425" s="2"/>
    </row>
    <row r="426" customFormat="false" ht="15" hidden="false" customHeight="false" outlineLevel="0" collapsed="false">
      <c r="A426" s="2" t="s">
        <v>452</v>
      </c>
      <c r="B426" s="27" t="s">
        <v>535</v>
      </c>
      <c r="C426" s="28" t="n">
        <v>177000</v>
      </c>
      <c r="D426" s="28" t="n">
        <f aca="false">業務経理P19!M23</f>
        <v>177000</v>
      </c>
      <c r="E426" s="28" t="n">
        <f aca="false">D426-N(C426)</f>
        <v>0</v>
      </c>
      <c r="F426" s="2" t="str">
        <f aca="false">IF(AND(C426&lt;&gt;"",ROUND(E426,2)=0),"一致",IF(G426&lt;&gt;"","変更（意図的）","★相違"))</f>
        <v>一致</v>
      </c>
      <c r="G426" s="2"/>
    </row>
    <row r="427" customFormat="false" ht="15" hidden="false" customHeight="false" outlineLevel="0" collapsed="false">
      <c r="A427" s="2" t="s">
        <v>452</v>
      </c>
      <c r="B427" s="27" t="s">
        <v>536</v>
      </c>
      <c r="C427" s="28" t="n">
        <v>176556</v>
      </c>
      <c r="D427" s="28" t="n">
        <f aca="false">業務経理P19!V23</f>
        <v>176556</v>
      </c>
      <c r="E427" s="28" t="n">
        <f aca="false">D427-N(C427)</f>
        <v>0</v>
      </c>
      <c r="F427" s="2" t="str">
        <f aca="false">IF(AND(C427&lt;&gt;"",ROUND(E427,2)=0),"一致",IF(G427&lt;&gt;"","変更（意図的）","★相違"))</f>
        <v>一致</v>
      </c>
      <c r="G427" s="2"/>
    </row>
    <row r="428" customFormat="false" ht="15" hidden="false" customHeight="false" outlineLevel="0" collapsed="false">
      <c r="A428" s="2" t="s">
        <v>452</v>
      </c>
      <c r="B428" s="27" t="s">
        <v>537</v>
      </c>
      <c r="C428" s="28" t="n">
        <v>-444</v>
      </c>
      <c r="D428" s="28" t="n">
        <f aca="false">業務経理P19!AE23</f>
        <v>-444</v>
      </c>
      <c r="E428" s="28" t="n">
        <f aca="false">D428-N(C428)</f>
        <v>0</v>
      </c>
      <c r="F428" s="2" t="str">
        <f aca="false">IF(AND(C428&lt;&gt;"",ROUND(E428,2)=0),"一致",IF(G428&lt;&gt;"","変更（意図的）","★相違"))</f>
        <v>一致</v>
      </c>
      <c r="G428" s="2"/>
    </row>
    <row r="429" customFormat="false" ht="15" hidden="false" customHeight="false" outlineLevel="0" collapsed="false">
      <c r="A429" s="2" t="s">
        <v>452</v>
      </c>
      <c r="B429" s="27" t="s">
        <v>538</v>
      </c>
      <c r="C429" s="28" t="n">
        <v>176556</v>
      </c>
      <c r="D429" s="28" t="n">
        <f aca="false">業務経理P19!AN23</f>
        <v>176556</v>
      </c>
      <c r="E429" s="28" t="n">
        <f aca="false">D429-N(C429)</f>
        <v>0</v>
      </c>
      <c r="F429" s="2" t="str">
        <f aca="false">IF(AND(C429&lt;&gt;"",ROUND(E429,2)=0),"一致",IF(G429&lt;&gt;"","変更（意図的）","★相違"))</f>
        <v>一致</v>
      </c>
      <c r="G429" s="2"/>
    </row>
    <row r="430" customFormat="false" ht="15" hidden="false" customHeight="false" outlineLevel="0" collapsed="false">
      <c r="A430" s="2" t="s">
        <v>452</v>
      </c>
      <c r="B430" s="27" t="s">
        <v>539</v>
      </c>
      <c r="C430" s="28" t="n">
        <v>0</v>
      </c>
      <c r="D430" s="28" t="n">
        <f aca="false">業務経理P19!AW23</f>
        <v>0</v>
      </c>
      <c r="E430" s="28" t="n">
        <f aca="false">D430-N(C430)</f>
        <v>0</v>
      </c>
      <c r="F430" s="2" t="str">
        <f aca="false">IF(AND(C430&lt;&gt;"",ROUND(E430,2)=0),"一致",IF(G430&lt;&gt;"","変更（意図的）","★相違"))</f>
        <v>一致</v>
      </c>
      <c r="G430" s="2"/>
    </row>
    <row r="431" customFormat="false" ht="15" hidden="false" customHeight="false" outlineLevel="0" collapsed="false">
      <c r="A431" s="2" t="s">
        <v>452</v>
      </c>
      <c r="B431" s="27" t="s">
        <v>540</v>
      </c>
      <c r="C431" s="28" t="n">
        <v>0</v>
      </c>
      <c r="D431" s="28" t="n">
        <f aca="false">業務経理P19!M24</f>
        <v>0</v>
      </c>
      <c r="E431" s="28" t="n">
        <f aca="false">D431-N(C431)</f>
        <v>0</v>
      </c>
      <c r="F431" s="2" t="str">
        <f aca="false">IF(AND(C431&lt;&gt;"",ROUND(E431,2)=0),"一致",IF(G431&lt;&gt;"","変更（意図的）","★相違"))</f>
        <v>一致</v>
      </c>
      <c r="G431" s="2"/>
    </row>
    <row r="432" customFormat="false" ht="15" hidden="false" customHeight="false" outlineLevel="0" collapsed="false">
      <c r="A432" s="2" t="s">
        <v>452</v>
      </c>
      <c r="B432" s="27" t="s">
        <v>541</v>
      </c>
      <c r="C432" s="28" t="n">
        <v>0</v>
      </c>
      <c r="D432" s="28" t="n">
        <f aca="false">業務経理P19!V24</f>
        <v>0</v>
      </c>
      <c r="E432" s="28" t="n">
        <f aca="false">D432-N(C432)</f>
        <v>0</v>
      </c>
      <c r="F432" s="2" t="str">
        <f aca="false">IF(AND(C432&lt;&gt;"",ROUND(E432,2)=0),"一致",IF(G432&lt;&gt;"","変更（意図的）","★相違"))</f>
        <v>一致</v>
      </c>
      <c r="G432" s="2"/>
    </row>
    <row r="433" customFormat="false" ht="15" hidden="false" customHeight="false" outlineLevel="0" collapsed="false">
      <c r="A433" s="2" t="s">
        <v>452</v>
      </c>
      <c r="B433" s="27" t="s">
        <v>542</v>
      </c>
      <c r="C433" s="28" t="n">
        <v>0</v>
      </c>
      <c r="D433" s="28" t="n">
        <f aca="false">業務経理P19!AE24</f>
        <v>0</v>
      </c>
      <c r="E433" s="28" t="n">
        <f aca="false">D433-N(C433)</f>
        <v>0</v>
      </c>
      <c r="F433" s="2" t="str">
        <f aca="false">IF(AND(C433&lt;&gt;"",ROUND(E433,2)=0),"一致",IF(G433&lt;&gt;"","変更（意図的）","★相違"))</f>
        <v>一致</v>
      </c>
      <c r="G433" s="2"/>
    </row>
    <row r="434" customFormat="false" ht="15" hidden="false" customHeight="false" outlineLevel="0" collapsed="false">
      <c r="A434" s="2" t="s">
        <v>452</v>
      </c>
      <c r="B434" s="27" t="s">
        <v>543</v>
      </c>
      <c r="C434" s="28" t="n">
        <v>0</v>
      </c>
      <c r="D434" s="28" t="n">
        <f aca="false">業務経理P19!AN24</f>
        <v>0</v>
      </c>
      <c r="E434" s="28" t="n">
        <f aca="false">D434-N(C434)</f>
        <v>0</v>
      </c>
      <c r="F434" s="2" t="str">
        <f aca="false">IF(AND(C434&lt;&gt;"",ROUND(E434,2)=0),"一致",IF(G434&lt;&gt;"","変更（意図的）","★相違"))</f>
        <v>一致</v>
      </c>
      <c r="G434" s="2"/>
    </row>
    <row r="435" customFormat="false" ht="15" hidden="false" customHeight="false" outlineLevel="0" collapsed="false">
      <c r="A435" s="2" t="s">
        <v>452</v>
      </c>
      <c r="B435" s="27" t="s">
        <v>544</v>
      </c>
      <c r="C435" s="28" t="n">
        <v>0</v>
      </c>
      <c r="D435" s="28" t="n">
        <f aca="false">業務経理P19!AW24</f>
        <v>0</v>
      </c>
      <c r="E435" s="28" t="n">
        <f aca="false">D435-N(C435)</f>
        <v>0</v>
      </c>
      <c r="F435" s="2" t="str">
        <f aca="false">IF(AND(C435&lt;&gt;"",ROUND(E435,2)=0),"一致",IF(G435&lt;&gt;"","変更（意図的）","★相違"))</f>
        <v>一致</v>
      </c>
      <c r="G435" s="2"/>
    </row>
    <row r="436" customFormat="false" ht="15" hidden="false" customHeight="false" outlineLevel="0" collapsed="false">
      <c r="A436" s="2" t="s">
        <v>452</v>
      </c>
      <c r="B436" s="27" t="s">
        <v>545</v>
      </c>
      <c r="C436" s="28" t="n">
        <v>0</v>
      </c>
      <c r="D436" s="28" t="n">
        <f aca="false">業務経理P19!M25</f>
        <v>0</v>
      </c>
      <c r="E436" s="28" t="n">
        <f aca="false">D436-N(C436)</f>
        <v>0</v>
      </c>
      <c r="F436" s="2" t="str">
        <f aca="false">IF(AND(C436&lt;&gt;"",ROUND(E436,2)=0),"一致",IF(G436&lt;&gt;"","変更（意図的）","★相違"))</f>
        <v>一致</v>
      </c>
      <c r="G436" s="2"/>
    </row>
    <row r="437" customFormat="false" ht="15" hidden="false" customHeight="false" outlineLevel="0" collapsed="false">
      <c r="A437" s="2" t="s">
        <v>452</v>
      </c>
      <c r="B437" s="27" t="s">
        <v>546</v>
      </c>
      <c r="C437" s="28" t="n">
        <v>0</v>
      </c>
      <c r="D437" s="28" t="n">
        <f aca="false">業務経理P19!V25</f>
        <v>0</v>
      </c>
      <c r="E437" s="28" t="n">
        <f aca="false">D437-N(C437)</f>
        <v>0</v>
      </c>
      <c r="F437" s="2" t="str">
        <f aca="false">IF(AND(C437&lt;&gt;"",ROUND(E437,2)=0),"一致",IF(G437&lt;&gt;"","変更（意図的）","★相違"))</f>
        <v>一致</v>
      </c>
      <c r="G437" s="2"/>
    </row>
    <row r="438" customFormat="false" ht="15" hidden="false" customHeight="false" outlineLevel="0" collapsed="false">
      <c r="A438" s="2" t="s">
        <v>452</v>
      </c>
      <c r="B438" s="27" t="s">
        <v>547</v>
      </c>
      <c r="C438" s="28" t="n">
        <v>0</v>
      </c>
      <c r="D438" s="28" t="n">
        <f aca="false">業務経理P19!AE25</f>
        <v>0</v>
      </c>
      <c r="E438" s="28" t="n">
        <f aca="false">D438-N(C438)</f>
        <v>0</v>
      </c>
      <c r="F438" s="2" t="str">
        <f aca="false">IF(AND(C438&lt;&gt;"",ROUND(E438,2)=0),"一致",IF(G438&lt;&gt;"","変更（意図的）","★相違"))</f>
        <v>一致</v>
      </c>
      <c r="G438" s="2"/>
    </row>
    <row r="439" customFormat="false" ht="15" hidden="false" customHeight="false" outlineLevel="0" collapsed="false">
      <c r="A439" s="2" t="s">
        <v>452</v>
      </c>
      <c r="B439" s="27" t="s">
        <v>548</v>
      </c>
      <c r="C439" s="28" t="n">
        <v>1</v>
      </c>
      <c r="D439" s="28" t="n">
        <f aca="false">業務経理P19!AN25</f>
        <v>1</v>
      </c>
      <c r="E439" s="28" t="n">
        <f aca="false">D439-N(C439)</f>
        <v>0</v>
      </c>
      <c r="F439" s="2" t="str">
        <f aca="false">IF(AND(C439&lt;&gt;"",ROUND(E439,2)=0),"一致",IF(G439&lt;&gt;"","変更（意図的）","★相違"))</f>
        <v>一致</v>
      </c>
      <c r="G439" s="2"/>
    </row>
    <row r="440" customFormat="false" ht="15" hidden="false" customHeight="false" outlineLevel="0" collapsed="false">
      <c r="A440" s="2" t="s">
        <v>452</v>
      </c>
      <c r="B440" s="27" t="s">
        <v>549</v>
      </c>
      <c r="C440" s="28" t="n">
        <v>-1</v>
      </c>
      <c r="D440" s="28" t="n">
        <f aca="false">業務経理P19!AW25</f>
        <v>-1</v>
      </c>
      <c r="E440" s="28" t="n">
        <f aca="false">D440-N(C440)</f>
        <v>0</v>
      </c>
      <c r="F440" s="2" t="str">
        <f aca="false">IF(AND(C440&lt;&gt;"",ROUND(E440,2)=0),"一致",IF(G440&lt;&gt;"","変更（意図的）","★相違"))</f>
        <v>一致</v>
      </c>
      <c r="G440" s="2"/>
    </row>
    <row r="441" customFormat="false" ht="15" hidden="false" customHeight="false" outlineLevel="0" collapsed="false">
      <c r="A441" s="2" t="s">
        <v>452</v>
      </c>
      <c r="B441" s="27" t="s">
        <v>550</v>
      </c>
      <c r="C441" s="28" t="n">
        <v>131720000</v>
      </c>
      <c r="D441" s="28" t="n">
        <f aca="false">業務経理P19!M26</f>
        <v>131720000</v>
      </c>
      <c r="E441" s="28" t="n">
        <f aca="false">D441-N(C441)</f>
        <v>0</v>
      </c>
      <c r="F441" s="2" t="str">
        <f aca="false">IF(AND(C441&lt;&gt;"",ROUND(E441,2)=0),"一致",IF(G441&lt;&gt;"","変更（意図的）","★相違"))</f>
        <v>一致</v>
      </c>
      <c r="G441" s="2"/>
    </row>
    <row r="442" customFormat="false" ht="15" hidden="false" customHeight="false" outlineLevel="0" collapsed="false">
      <c r="A442" s="2" t="s">
        <v>452</v>
      </c>
      <c r="B442" s="27" t="s">
        <v>551</v>
      </c>
      <c r="C442" s="28" t="n">
        <v>121123959</v>
      </c>
      <c r="D442" s="28" t="n">
        <f aca="false">業務経理P19!V26</f>
        <v>121123959</v>
      </c>
      <c r="E442" s="28" t="n">
        <f aca="false">D442-N(C442)</f>
        <v>0</v>
      </c>
      <c r="F442" s="2" t="str">
        <f aca="false">IF(AND(C442&lt;&gt;"",ROUND(E442,2)=0),"一致",IF(G442&lt;&gt;"","変更（意図的）","★相違"))</f>
        <v>一致</v>
      </c>
      <c r="G442" s="2"/>
    </row>
    <row r="443" customFormat="false" ht="15" hidden="false" customHeight="false" outlineLevel="0" collapsed="false">
      <c r="A443" s="2" t="s">
        <v>452</v>
      </c>
      <c r="B443" s="27" t="s">
        <v>552</v>
      </c>
      <c r="C443" s="28" t="n">
        <v>-10596041</v>
      </c>
      <c r="D443" s="28" t="n">
        <f aca="false">業務経理P19!AE26</f>
        <v>-10596041</v>
      </c>
      <c r="E443" s="28" t="n">
        <f aca="false">D443-N(C443)</f>
        <v>0</v>
      </c>
      <c r="F443" s="2" t="str">
        <f aca="false">IF(AND(C443&lt;&gt;"",ROUND(E443,2)=0),"一致",IF(G443&lt;&gt;"","変更（意図的）","★相違"))</f>
        <v>一致</v>
      </c>
      <c r="G443" s="2"/>
    </row>
    <row r="444" customFormat="false" ht="15" hidden="false" customHeight="false" outlineLevel="0" collapsed="false">
      <c r="A444" s="2" t="s">
        <v>452</v>
      </c>
      <c r="B444" s="27" t="s">
        <v>553</v>
      </c>
      <c r="C444" s="28" t="n">
        <v>111447230</v>
      </c>
      <c r="D444" s="28" t="n">
        <f aca="false">業務経理P19!AN26</f>
        <v>111447230</v>
      </c>
      <c r="E444" s="28" t="n">
        <f aca="false">D444-N(C444)</f>
        <v>0</v>
      </c>
      <c r="F444" s="2" t="str">
        <f aca="false">IF(AND(C444&lt;&gt;"",ROUND(E444,2)=0),"一致",IF(G444&lt;&gt;"","変更（意図的）","★相違"))</f>
        <v>一致</v>
      </c>
      <c r="G444" s="2"/>
    </row>
    <row r="445" customFormat="false" ht="15" hidden="false" customHeight="false" outlineLevel="0" collapsed="false">
      <c r="A445" s="2" t="s">
        <v>452</v>
      </c>
      <c r="B445" s="27" t="s">
        <v>554</v>
      </c>
      <c r="C445" s="28" t="n">
        <v>9676729</v>
      </c>
      <c r="D445" s="28" t="n">
        <f aca="false">業務経理P19!AW26</f>
        <v>9676729</v>
      </c>
      <c r="E445" s="28" t="n">
        <f aca="false">D445-N(C445)</f>
        <v>0</v>
      </c>
      <c r="F445" s="2" t="str">
        <f aca="false">IF(AND(C445&lt;&gt;"",ROUND(E445,2)=0),"一致",IF(G445&lt;&gt;"","変更（意図的）","★相違"))</f>
        <v>一致</v>
      </c>
      <c r="G445" s="2"/>
    </row>
    <row r="446" customFormat="false" ht="15" hidden="false" customHeight="false" outlineLevel="0" collapsed="false">
      <c r="A446" s="2" t="s">
        <v>555</v>
      </c>
      <c r="B446" s="27" t="s">
        <v>556</v>
      </c>
      <c r="C446" s="28" t="n">
        <v>2237365593</v>
      </c>
      <c r="D446" s="28" t="n">
        <f aca="false">'〇総括　6～7（メモなし）'!E6</f>
        <v>2237365593</v>
      </c>
      <c r="E446" s="28" t="n">
        <f aca="false">D446-N(C446)</f>
        <v>0</v>
      </c>
      <c r="F446" s="2" t="str">
        <f aca="false">IF(AND(C446&lt;&gt;"",ROUND(E446,2)=0),"一致",IF(G446&lt;&gt;"","変更（意図的）","★相違"))</f>
        <v>一致</v>
      </c>
      <c r="G446" s="2"/>
    </row>
    <row r="447" customFormat="false" ht="15" hidden="false" customHeight="false" outlineLevel="0" collapsed="false">
      <c r="A447" s="2" t="s">
        <v>555</v>
      </c>
      <c r="B447" s="27" t="s">
        <v>557</v>
      </c>
      <c r="C447" s="28" t="n">
        <v>1413185083</v>
      </c>
      <c r="D447" s="28" t="n">
        <f aca="false">'〇総括　6～7（メモなし）'!F6</f>
        <v>1413185083</v>
      </c>
      <c r="E447" s="28" t="n">
        <f aca="false">D447-N(C447)</f>
        <v>0</v>
      </c>
      <c r="F447" s="2" t="str">
        <f aca="false">IF(AND(C447&lt;&gt;"",ROUND(E447,2)=0),"一致",IF(G447&lt;&gt;"","変更（意図的）","★相違"))</f>
        <v>一致</v>
      </c>
      <c r="G447" s="2"/>
    </row>
    <row r="448" customFormat="false" ht="15" hidden="false" customHeight="false" outlineLevel="0" collapsed="false">
      <c r="A448" s="2" t="s">
        <v>555</v>
      </c>
      <c r="B448" s="27" t="s">
        <v>558</v>
      </c>
      <c r="C448" s="28" t="n">
        <v>824180510</v>
      </c>
      <c r="D448" s="28" t="n">
        <f aca="false">'〇総括　6～7（メモなし）'!G6</f>
        <v>824180510</v>
      </c>
      <c r="E448" s="28" t="n">
        <f aca="false">D448-N(C448)</f>
        <v>0</v>
      </c>
      <c r="F448" s="2" t="str">
        <f aca="false">IF(AND(C448&lt;&gt;"",ROUND(E448,2)=0),"一致",IF(G448&lt;&gt;"","変更（意図的）","★相違"))</f>
        <v>一致</v>
      </c>
      <c r="G448" s="2"/>
    </row>
    <row r="449" customFormat="false" ht="15" hidden="false" customHeight="false" outlineLevel="0" collapsed="false">
      <c r="A449" s="2" t="s">
        <v>555</v>
      </c>
      <c r="B449" s="27" t="s">
        <v>249</v>
      </c>
      <c r="C449" s="28" t="n">
        <v>115269691198</v>
      </c>
      <c r="D449" s="28" t="n">
        <f aca="false">'〇総括　6～7（メモなし）'!H6</f>
        <v>115269691198</v>
      </c>
      <c r="E449" s="28" t="n">
        <f aca="false">D449-N(C449)</f>
        <v>0</v>
      </c>
      <c r="F449" s="2" t="str">
        <f aca="false">IF(AND(C449&lt;&gt;"",ROUND(E449,2)=0),"一致",IF(G449&lt;&gt;"","変更（意図的）","★相違"))</f>
        <v>一致</v>
      </c>
      <c r="G449" s="2"/>
    </row>
    <row r="450" customFormat="false" ht="15" hidden="false" customHeight="false" outlineLevel="0" collapsed="false">
      <c r="A450" s="2" t="s">
        <v>555</v>
      </c>
      <c r="B450" s="27" t="s">
        <v>559</v>
      </c>
      <c r="C450" s="28" t="n">
        <v>114599779620</v>
      </c>
      <c r="D450" s="28" t="n">
        <f aca="false">'〇総括　6～7（メモなし）'!I6</f>
        <v>114599779620</v>
      </c>
      <c r="E450" s="28" t="n">
        <f aca="false">D450-N(C450)</f>
        <v>0</v>
      </c>
      <c r="F450" s="2" t="str">
        <f aca="false">IF(AND(C450&lt;&gt;"",ROUND(E450,2)=0),"一致",IF(G450&lt;&gt;"","変更（意図的）","★相違"))</f>
        <v>一致</v>
      </c>
      <c r="G450" s="2"/>
    </row>
    <row r="451" customFormat="false" ht="15" hidden="false" customHeight="false" outlineLevel="0" collapsed="false">
      <c r="A451" s="2" t="s">
        <v>555</v>
      </c>
      <c r="B451" s="27" t="s">
        <v>560</v>
      </c>
      <c r="C451" s="28" t="n">
        <v>669911578</v>
      </c>
      <c r="D451" s="28" t="n">
        <f aca="false">'〇総括　6～7（メモなし）'!J6</f>
        <v>669911578</v>
      </c>
      <c r="E451" s="28" t="n">
        <f aca="false">D451-N(C451)</f>
        <v>0</v>
      </c>
      <c r="F451" s="2" t="str">
        <f aca="false">IF(AND(C451&lt;&gt;"",ROUND(E451,2)=0),"一致",IF(G451&lt;&gt;"","変更（意図的）","★相違"))</f>
        <v>一致</v>
      </c>
      <c r="G451" s="2"/>
    </row>
    <row r="452" customFormat="false" ht="15" hidden="false" customHeight="false" outlineLevel="0" collapsed="false">
      <c r="A452" s="2" t="s">
        <v>555</v>
      </c>
      <c r="B452" s="27" t="s">
        <v>561</v>
      </c>
      <c r="C452" s="28" t="n">
        <v>71093911</v>
      </c>
      <c r="D452" s="28" t="n">
        <f aca="false">'〇総括　6～7（メモなし）'!K6</f>
        <v>71093911</v>
      </c>
      <c r="E452" s="28" t="n">
        <f aca="false">D452-N(C452)</f>
        <v>0</v>
      </c>
      <c r="F452" s="2" t="str">
        <f aca="false">IF(AND(C452&lt;&gt;"",ROUND(E452,2)=0),"一致",IF(G452&lt;&gt;"","変更（意図的）","★相違"))</f>
        <v>一致</v>
      </c>
      <c r="G452" s="2"/>
    </row>
    <row r="453" customFormat="false" ht="15" hidden="false" customHeight="false" outlineLevel="0" collapsed="false">
      <c r="A453" s="2" t="s">
        <v>555</v>
      </c>
      <c r="B453" s="27" t="s">
        <v>562</v>
      </c>
      <c r="C453" s="28" t="n">
        <v>66593123</v>
      </c>
      <c r="D453" s="28" t="n">
        <f aca="false">'〇総括　6～7（メモなし）'!L6</f>
        <v>66593123</v>
      </c>
      <c r="E453" s="28" t="n">
        <f aca="false">D453-N(C453)</f>
        <v>0</v>
      </c>
      <c r="F453" s="2" t="str">
        <f aca="false">IF(AND(C453&lt;&gt;"",ROUND(E453,2)=0),"一致",IF(G453&lt;&gt;"","変更（意図的）","★相違"))</f>
        <v>一致</v>
      </c>
      <c r="G453" s="2"/>
    </row>
    <row r="454" customFormat="false" ht="15" hidden="false" customHeight="false" outlineLevel="0" collapsed="false">
      <c r="A454" s="2" t="s">
        <v>555</v>
      </c>
      <c r="B454" s="27" t="s">
        <v>294</v>
      </c>
      <c r="C454" s="28" t="n">
        <v>4500788</v>
      </c>
      <c r="D454" s="28" t="n">
        <f aca="false">'〇総括　6～7（メモなし）'!M6</f>
        <v>4500788</v>
      </c>
      <c r="E454" s="28" t="n">
        <f aca="false">D454-N(C454)</f>
        <v>0</v>
      </c>
      <c r="F454" s="2" t="str">
        <f aca="false">IF(AND(C454&lt;&gt;"",ROUND(E454,2)=0),"一致",IF(G454&lt;&gt;"","変更（意図的）","★相違"))</f>
        <v>一致</v>
      </c>
      <c r="G454" s="2"/>
    </row>
    <row r="455" customFormat="false" ht="15" hidden="false" customHeight="false" outlineLevel="0" collapsed="false">
      <c r="A455" s="2" t="s">
        <v>555</v>
      </c>
      <c r="B455" s="27" t="s">
        <v>563</v>
      </c>
      <c r="C455" s="28" t="n">
        <v>270947604</v>
      </c>
      <c r="D455" s="28" t="n">
        <f aca="false">'〇総括　6～7（メモなし）'!N6</f>
        <v>270947604</v>
      </c>
      <c r="E455" s="28" t="n">
        <f aca="false">D455-N(C455)</f>
        <v>0</v>
      </c>
      <c r="F455" s="2" t="str">
        <f aca="false">IF(AND(C455&lt;&gt;"",ROUND(E455,2)=0),"一致",IF(G455&lt;&gt;"","変更（意図的）","★相違"))</f>
        <v>一致</v>
      </c>
      <c r="G455" s="2"/>
    </row>
    <row r="456" customFormat="false" ht="15" hidden="false" customHeight="false" outlineLevel="0" collapsed="false">
      <c r="A456" s="2" t="s">
        <v>555</v>
      </c>
      <c r="B456" s="27" t="s">
        <v>564</v>
      </c>
      <c r="C456" s="28" t="n">
        <v>276235825</v>
      </c>
      <c r="D456" s="28" t="n">
        <f aca="false">'〇総括　6～7（メモなし）'!O6</f>
        <v>276235825</v>
      </c>
      <c r="E456" s="28" t="n">
        <f aca="false">D456-N(C456)</f>
        <v>0</v>
      </c>
      <c r="F456" s="2" t="str">
        <f aca="false">IF(AND(C456&lt;&gt;"",ROUND(E456,2)=0),"一致",IF(G456&lt;&gt;"","変更（意図的）","★相違"))</f>
        <v>一致</v>
      </c>
      <c r="G456" s="2"/>
    </row>
    <row r="457" customFormat="false" ht="15" hidden="false" customHeight="false" outlineLevel="0" collapsed="false">
      <c r="A457" s="2" t="s">
        <v>555</v>
      </c>
      <c r="B457" s="27" t="s">
        <v>565</v>
      </c>
      <c r="C457" s="28" t="n">
        <v>-5288221</v>
      </c>
      <c r="D457" s="28" t="n">
        <f aca="false">'〇総括　6～7（メモなし）'!P6</f>
        <v>-5288221</v>
      </c>
      <c r="E457" s="28" t="n">
        <f aca="false">D457-N(C457)</f>
        <v>0</v>
      </c>
      <c r="F457" s="2" t="str">
        <f aca="false">IF(AND(C457&lt;&gt;"",ROUND(E457,2)=0),"一致",IF(G457&lt;&gt;"","変更（意図的）","★相違"))</f>
        <v>一致</v>
      </c>
      <c r="G457" s="2"/>
    </row>
    <row r="458" customFormat="false" ht="15" hidden="false" customHeight="false" outlineLevel="0" collapsed="false">
      <c r="A458" s="2" t="s">
        <v>555</v>
      </c>
      <c r="B458" s="27" t="s">
        <v>566</v>
      </c>
      <c r="C458" s="28" t="n">
        <v>1961052168</v>
      </c>
      <c r="D458" s="28" t="n">
        <f aca="false">'〇総括　6～7（メモなし）'!Q6</f>
        <v>1961052168</v>
      </c>
      <c r="E458" s="28" t="n">
        <f aca="false">D458-N(C458)</f>
        <v>0</v>
      </c>
      <c r="F458" s="2" t="str">
        <f aca="false">IF(AND(C458&lt;&gt;"",ROUND(E458,2)=0),"一致",IF(G458&lt;&gt;"","変更（意図的）","★相違"))</f>
        <v>一致</v>
      </c>
      <c r="G458" s="2"/>
    </row>
    <row r="459" customFormat="false" ht="15" hidden="false" customHeight="false" outlineLevel="0" collapsed="false">
      <c r="A459" s="2" t="s">
        <v>555</v>
      </c>
      <c r="B459" s="27" t="s">
        <v>567</v>
      </c>
      <c r="C459" s="28" t="n">
        <v>1966406293</v>
      </c>
      <c r="D459" s="28" t="n">
        <f aca="false">'〇総括　6～7（メモなし）'!R6</f>
        <v>1966406293</v>
      </c>
      <c r="E459" s="28" t="n">
        <f aca="false">D459-N(C459)</f>
        <v>0</v>
      </c>
      <c r="F459" s="2" t="str">
        <f aca="false">IF(AND(C459&lt;&gt;"",ROUND(E459,2)=0),"一致",IF(G459&lt;&gt;"","変更（意図的）","★相違"))</f>
        <v>一致</v>
      </c>
      <c r="G459" s="2"/>
    </row>
    <row r="460" customFormat="false" ht="15" hidden="false" customHeight="false" outlineLevel="0" collapsed="false">
      <c r="A460" s="2" t="s">
        <v>555</v>
      </c>
      <c r="B460" s="27" t="s">
        <v>568</v>
      </c>
      <c r="C460" s="28" t="n">
        <v>-5354125</v>
      </c>
      <c r="D460" s="28" t="n">
        <f aca="false">'〇総括　6～7（メモなし）'!S6</f>
        <v>-5354125</v>
      </c>
      <c r="E460" s="28" t="n">
        <f aca="false">D460-N(C460)</f>
        <v>0</v>
      </c>
      <c r="F460" s="2" t="str">
        <f aca="false">IF(AND(C460&lt;&gt;"",ROUND(E460,2)=0),"一致",IF(G460&lt;&gt;"","変更（意図的）","★相違"))</f>
        <v>一致</v>
      </c>
      <c r="G460" s="2"/>
    </row>
    <row r="461" customFormat="false" ht="15" hidden="false" customHeight="false" outlineLevel="0" collapsed="false">
      <c r="A461" s="2" t="s">
        <v>555</v>
      </c>
      <c r="B461" s="27" t="s">
        <v>569</v>
      </c>
      <c r="C461" s="28" t="n">
        <v>5910008304</v>
      </c>
      <c r="D461" s="28" t="n">
        <f aca="false">'〇総括　6～7（メモなし）'!F7</f>
        <v>5910008304</v>
      </c>
      <c r="E461" s="28" t="n">
        <f aca="false">D461-N(C461)</f>
        <v>0</v>
      </c>
      <c r="F461" s="2" t="str">
        <f aca="false">IF(AND(C461&lt;&gt;"",ROUND(E461,2)=0),"一致",IF(G461&lt;&gt;"","変更（意図的）","★相違"))</f>
        <v>一致</v>
      </c>
      <c r="G461" s="2"/>
    </row>
    <row r="462" customFormat="false" ht="15" hidden="false" customHeight="false" outlineLevel="0" collapsed="false">
      <c r="A462" s="2" t="s">
        <v>555</v>
      </c>
      <c r="B462" s="27" t="s">
        <v>251</v>
      </c>
      <c r="C462" s="28" t="n">
        <v>-5910008304</v>
      </c>
      <c r="D462" s="28" t="n">
        <f aca="false">'〇総括　6～7（メモなし）'!G7</f>
        <v>-5910008304</v>
      </c>
      <c r="E462" s="28" t="n">
        <f aca="false">D462-N(C462)</f>
        <v>0</v>
      </c>
      <c r="F462" s="2" t="str">
        <f aca="false">IF(AND(C462&lt;&gt;"",ROUND(E462,2)=0),"一致",IF(G462&lt;&gt;"","変更（意図的）","★相違"))</f>
        <v>一致</v>
      </c>
      <c r="G462" s="2"/>
    </row>
    <row r="463" customFormat="false" ht="15" hidden="false" customHeight="false" outlineLevel="0" collapsed="false">
      <c r="A463" s="2" t="s">
        <v>555</v>
      </c>
      <c r="B463" s="27" t="s">
        <v>570</v>
      </c>
      <c r="C463" s="28" t="n">
        <v>5874630086</v>
      </c>
      <c r="D463" s="28" t="n">
        <f aca="false">'〇総括　6～7（メモなし）'!H7</f>
        <v>5874630086</v>
      </c>
      <c r="E463" s="28" t="n">
        <f aca="false">D463-N(C463)</f>
        <v>0</v>
      </c>
      <c r="F463" s="2" t="str">
        <f aca="false">IF(AND(C463&lt;&gt;"",ROUND(E463,2)=0),"一致",IF(G463&lt;&gt;"","変更（意図的）","★相違"))</f>
        <v>一致</v>
      </c>
      <c r="G463" s="2"/>
    </row>
    <row r="464" customFormat="false" ht="15" hidden="false" customHeight="false" outlineLevel="0" collapsed="false">
      <c r="A464" s="2" t="s">
        <v>555</v>
      </c>
      <c r="B464" s="27" t="s">
        <v>571</v>
      </c>
      <c r="C464" s="28" t="n">
        <v>10209423196</v>
      </c>
      <c r="D464" s="28" t="n">
        <f aca="false">'〇総括　6～7（メモなし）'!I7</f>
        <v>10209423196</v>
      </c>
      <c r="E464" s="28" t="n">
        <f aca="false">D464-N(C464)</f>
        <v>0</v>
      </c>
      <c r="F464" s="2" t="str">
        <f aca="false">IF(AND(C464&lt;&gt;"",ROUND(E464,2)=0),"一致",IF(G464&lt;&gt;"","変更（意図的）","★相違"))</f>
        <v>一致</v>
      </c>
      <c r="G464" s="2"/>
    </row>
    <row r="465" customFormat="false" ht="15" hidden="false" customHeight="false" outlineLevel="0" collapsed="false">
      <c r="A465" s="2" t="s">
        <v>555</v>
      </c>
      <c r="B465" s="27" t="s">
        <v>572</v>
      </c>
      <c r="C465" s="28" t="n">
        <v>-4334793110</v>
      </c>
      <c r="D465" s="28" t="n">
        <f aca="false">'〇総括　6～7（メモなし）'!J7</f>
        <v>-4334793110</v>
      </c>
      <c r="E465" s="28" t="n">
        <f aca="false">D465-N(C465)</f>
        <v>0</v>
      </c>
      <c r="F465" s="2" t="str">
        <f aca="false">IF(AND(C465&lt;&gt;"",ROUND(E465,2)=0),"一致",IF(G465&lt;&gt;"","変更（意図的）","★相違"))</f>
        <v>一致</v>
      </c>
      <c r="G465" s="2"/>
    </row>
    <row r="466" customFormat="false" ht="15" hidden="false" customHeight="false" outlineLevel="0" collapsed="false">
      <c r="A466" s="2" t="s">
        <v>555</v>
      </c>
      <c r="B466" s="27" t="s">
        <v>573</v>
      </c>
      <c r="C466" s="28"/>
      <c r="D466" s="28" t="n">
        <f aca="false">'〇総括　6～7（メモなし）'!K7</f>
        <v>89655843</v>
      </c>
      <c r="E466" s="28" t="n">
        <f aca="false">D466-N(C466)</f>
        <v>89655843</v>
      </c>
      <c r="F466" s="2" t="str">
        <f aca="false">IF(AND(C466&lt;&gt;"",ROUND(E466,2)=0),"一致",IF(G466&lt;&gt;"","変更（意図的）","★相違"))</f>
        <v>変更（意図的）</v>
      </c>
      <c r="G466" s="2" t="s">
        <v>574</v>
      </c>
    </row>
    <row r="467" customFormat="false" ht="15" hidden="false" customHeight="false" outlineLevel="0" collapsed="false">
      <c r="A467" s="2" t="s">
        <v>555</v>
      </c>
      <c r="B467" s="27" t="s">
        <v>575</v>
      </c>
      <c r="C467" s="28" t="n">
        <v>82167559</v>
      </c>
      <c r="D467" s="28" t="n">
        <f aca="false">'〇総括　6～7（メモなし）'!L7</f>
        <v>82167559</v>
      </c>
      <c r="E467" s="28" t="n">
        <f aca="false">D467-N(C467)</f>
        <v>0</v>
      </c>
      <c r="F467" s="2" t="str">
        <f aca="false">IF(AND(C467&lt;&gt;"",ROUND(E467,2)=0),"一致",IF(G467&lt;&gt;"","変更（意図的）","★相違"))</f>
        <v>一致</v>
      </c>
      <c r="G467" s="2"/>
    </row>
    <row r="468" customFormat="false" ht="15" hidden="false" customHeight="false" outlineLevel="0" collapsed="false">
      <c r="A468" s="2" t="s">
        <v>555</v>
      </c>
      <c r="B468" s="27" t="s">
        <v>461</v>
      </c>
      <c r="C468" s="28" t="n">
        <v>-82167559</v>
      </c>
      <c r="D468" s="28" t="n">
        <f aca="false">'〇総括　6～7（メモなし）'!M7</f>
        <v>7488284</v>
      </c>
      <c r="E468" s="28" t="n">
        <f aca="false">D468-N(C468)</f>
        <v>89655843</v>
      </c>
      <c r="F468" s="2" t="str">
        <f aca="false">IF(AND(C468&lt;&gt;"",ROUND(E468,2)=0),"一致",IF(G468&lt;&gt;"","変更（意図的）","★相違"))</f>
        <v>変更（意図的）</v>
      </c>
      <c r="G468" s="27" t="s">
        <v>576</v>
      </c>
    </row>
    <row r="469" customFormat="false" ht="15" hidden="false" customHeight="false" outlineLevel="0" collapsed="false">
      <c r="A469" s="2" t="s">
        <v>555</v>
      </c>
      <c r="B469" s="27" t="s">
        <v>577</v>
      </c>
      <c r="C469" s="28" t="n">
        <v>393344415</v>
      </c>
      <c r="D469" s="28" t="n">
        <f aca="false">'〇総括　6～7（メモなし）'!O7</f>
        <v>393344415</v>
      </c>
      <c r="E469" s="28" t="n">
        <f aca="false">D469-N(C469)</f>
        <v>0</v>
      </c>
      <c r="F469" s="2" t="str">
        <f aca="false">IF(AND(C469&lt;&gt;"",ROUND(E469,2)=0),"一致",IF(G469&lt;&gt;"","変更（意図的）","★相違"))</f>
        <v>一致</v>
      </c>
      <c r="G469" s="2"/>
    </row>
    <row r="470" customFormat="false" ht="15" hidden="false" customHeight="false" outlineLevel="0" collapsed="false">
      <c r="A470" s="2" t="s">
        <v>555</v>
      </c>
      <c r="B470" s="27" t="s">
        <v>578</v>
      </c>
      <c r="C470" s="28" t="n">
        <v>-393344415</v>
      </c>
      <c r="D470" s="28" t="n">
        <f aca="false">'〇総括　6～7（メモなし）'!P7</f>
        <v>-393344415</v>
      </c>
      <c r="E470" s="28" t="n">
        <f aca="false">D470-N(C470)</f>
        <v>0</v>
      </c>
      <c r="F470" s="2" t="str">
        <f aca="false">IF(AND(C470&lt;&gt;"",ROUND(E470,2)=0),"一致",IF(G470&lt;&gt;"","変更（意図的）","★相違"))</f>
        <v>一致</v>
      </c>
      <c r="G470" s="2"/>
    </row>
    <row r="471" customFormat="false" ht="15" hidden="false" customHeight="false" outlineLevel="0" collapsed="false">
      <c r="A471" s="2" t="s">
        <v>555</v>
      </c>
      <c r="B471" s="27" t="s">
        <v>579</v>
      </c>
      <c r="C471" s="28" t="n">
        <v>0</v>
      </c>
      <c r="D471" s="28" t="n">
        <f aca="false">'〇総括　6～7（メモなし）'!S7</f>
        <v>0</v>
      </c>
      <c r="E471" s="28" t="n">
        <f aca="false">D471-N(C471)</f>
        <v>0</v>
      </c>
      <c r="F471" s="2" t="str">
        <f aca="false">IF(AND(C471&lt;&gt;"",ROUND(E471,2)=0),"一致",IF(G471&lt;&gt;"","変更（意図的）","★相違"))</f>
        <v>一致</v>
      </c>
      <c r="G471" s="2"/>
    </row>
    <row r="472" customFormat="false" ht="15" hidden="false" customHeight="false" outlineLevel="0" collapsed="false">
      <c r="A472" s="2" t="s">
        <v>555</v>
      </c>
      <c r="B472" s="27" t="s">
        <v>580</v>
      </c>
      <c r="C472" s="28" t="n">
        <v>5945270515</v>
      </c>
      <c r="D472" s="28" t="n">
        <f aca="false">'〇総括　6～7（メモなし）'!F8</f>
        <v>5945270515</v>
      </c>
      <c r="E472" s="28" t="n">
        <f aca="false">D472-N(C472)</f>
        <v>0</v>
      </c>
      <c r="F472" s="2" t="str">
        <f aca="false">IF(AND(C472&lt;&gt;"",ROUND(E472,2)=0),"一致",IF(G472&lt;&gt;"","変更（意図的）","★相違"))</f>
        <v>一致</v>
      </c>
      <c r="G472" s="2"/>
    </row>
    <row r="473" customFormat="false" ht="15" hidden="false" customHeight="false" outlineLevel="0" collapsed="false">
      <c r="A473" s="2" t="s">
        <v>555</v>
      </c>
      <c r="B473" s="27" t="s">
        <v>253</v>
      </c>
      <c r="C473" s="28" t="n">
        <v>-5945270515</v>
      </c>
      <c r="D473" s="28" t="n">
        <f aca="false">'〇総括　6～7（メモなし）'!G8</f>
        <v>-5945270515</v>
      </c>
      <c r="E473" s="28" t="n">
        <f aca="false">D473-N(C473)</f>
        <v>0</v>
      </c>
      <c r="F473" s="2" t="str">
        <f aca="false">IF(AND(C473&lt;&gt;"",ROUND(E473,2)=0),"一致",IF(G473&lt;&gt;"","変更（意図的）","★相違"))</f>
        <v>一致</v>
      </c>
      <c r="G473" s="2"/>
    </row>
    <row r="474" customFormat="false" ht="15" hidden="false" customHeight="false" outlineLevel="0" collapsed="false">
      <c r="A474" s="2" t="s">
        <v>555</v>
      </c>
      <c r="B474" s="27" t="s">
        <v>581</v>
      </c>
      <c r="C474" s="28" t="n">
        <v>2964516955</v>
      </c>
      <c r="D474" s="28" t="n">
        <f aca="false">'〇総括　6～7（メモなし）'!H8</f>
        <v>2964516955</v>
      </c>
      <c r="E474" s="28" t="n">
        <f aca="false">D474-N(C474)</f>
        <v>0</v>
      </c>
      <c r="F474" s="2" t="str">
        <f aca="false">IF(AND(C474&lt;&gt;"",ROUND(E474,2)=0),"一致",IF(G474&lt;&gt;"","変更（意図的）","★相違"))</f>
        <v>一致</v>
      </c>
      <c r="G474" s="2"/>
    </row>
    <row r="475" customFormat="false" ht="15" hidden="false" customHeight="false" outlineLevel="0" collapsed="false">
      <c r="A475" s="2" t="s">
        <v>555</v>
      </c>
      <c r="B475" s="27" t="s">
        <v>582</v>
      </c>
      <c r="C475" s="28" t="n">
        <v>6009799333</v>
      </c>
      <c r="D475" s="28" t="n">
        <f aca="false">'〇総括　6～7（メモなし）'!I8</f>
        <v>6009799333</v>
      </c>
      <c r="E475" s="28" t="n">
        <f aca="false">D475-N(C475)</f>
        <v>0</v>
      </c>
      <c r="F475" s="2" t="str">
        <f aca="false">IF(AND(C475&lt;&gt;"",ROUND(E475,2)=0),"一致",IF(G475&lt;&gt;"","変更（意図的）","★相違"))</f>
        <v>一致</v>
      </c>
      <c r="G475" s="2"/>
    </row>
    <row r="476" customFormat="false" ht="15" hidden="false" customHeight="false" outlineLevel="0" collapsed="false">
      <c r="A476" s="2" t="s">
        <v>555</v>
      </c>
      <c r="B476" s="27" t="s">
        <v>583</v>
      </c>
      <c r="C476" s="28" t="n">
        <v>-3045282378</v>
      </c>
      <c r="D476" s="28" t="n">
        <f aca="false">'〇総括　6～7（メモなし）'!J8</f>
        <v>-3045282378</v>
      </c>
      <c r="E476" s="28" t="n">
        <f aca="false">D476-N(C476)</f>
        <v>0</v>
      </c>
      <c r="F476" s="2" t="str">
        <f aca="false">IF(AND(C476&lt;&gt;"",ROUND(E476,2)=0),"一致",IF(G476&lt;&gt;"","変更（意図的）","★相違"))</f>
        <v>一致</v>
      </c>
      <c r="G476" s="2"/>
    </row>
    <row r="477" customFormat="false" ht="15" hidden="false" customHeight="false" outlineLevel="0" collapsed="false">
      <c r="A477" s="2" t="s">
        <v>555</v>
      </c>
      <c r="B477" s="27" t="s">
        <v>466</v>
      </c>
      <c r="C477" s="28" t="n">
        <v>0</v>
      </c>
      <c r="D477" s="28" t="n">
        <f aca="false">'〇総括　6～7（メモなし）'!M8</f>
        <v>0</v>
      </c>
      <c r="E477" s="28" t="n">
        <f aca="false">D477-N(C477)</f>
        <v>0</v>
      </c>
      <c r="F477" s="2" t="str">
        <f aca="false">IF(AND(C477&lt;&gt;"",ROUND(E477,2)=0),"一致",IF(G477&lt;&gt;"","変更（意図的）","★相違"))</f>
        <v>一致</v>
      </c>
      <c r="G477" s="2"/>
    </row>
    <row r="478" customFormat="false" ht="15" hidden="false" customHeight="false" outlineLevel="0" collapsed="false">
      <c r="A478" s="2" t="s">
        <v>555</v>
      </c>
      <c r="B478" s="27" t="s">
        <v>584</v>
      </c>
      <c r="C478" s="28" t="n">
        <v>215569947</v>
      </c>
      <c r="D478" s="28" t="n">
        <f aca="false">'〇総括　6～7（メモなし）'!O8</f>
        <v>215569947</v>
      </c>
      <c r="E478" s="28" t="n">
        <f aca="false">D478-N(C478)</f>
        <v>0</v>
      </c>
      <c r="F478" s="2" t="str">
        <f aca="false">IF(AND(C478&lt;&gt;"",ROUND(E478,2)=0),"一致",IF(G478&lt;&gt;"","変更（意図的）","★相違"))</f>
        <v>一致</v>
      </c>
      <c r="G478" s="2"/>
    </row>
    <row r="479" customFormat="false" ht="15" hidden="false" customHeight="false" outlineLevel="0" collapsed="false">
      <c r="A479" s="2" t="s">
        <v>555</v>
      </c>
      <c r="B479" s="27" t="s">
        <v>585</v>
      </c>
      <c r="C479" s="28" t="n">
        <v>-215569947</v>
      </c>
      <c r="D479" s="28" t="n">
        <f aca="false">'〇総括　6～7（メモなし）'!P8</f>
        <v>-215569947</v>
      </c>
      <c r="E479" s="28" t="n">
        <f aca="false">D479-N(C479)</f>
        <v>0</v>
      </c>
      <c r="F479" s="2" t="str">
        <f aca="false">IF(AND(C479&lt;&gt;"",ROUND(E479,2)=0),"一致",IF(G479&lt;&gt;"","変更（意図的）","★相違"))</f>
        <v>一致</v>
      </c>
      <c r="G479" s="2"/>
    </row>
    <row r="480" customFormat="false" ht="15" hidden="false" customHeight="false" outlineLevel="0" collapsed="false">
      <c r="A480" s="2" t="s">
        <v>555</v>
      </c>
      <c r="B480" s="27" t="s">
        <v>586</v>
      </c>
      <c r="C480" s="28" t="n">
        <v>0</v>
      </c>
      <c r="D480" s="28" t="n">
        <f aca="false">'〇総括　6～7（メモなし）'!S8</f>
        <v>0</v>
      </c>
      <c r="E480" s="28" t="n">
        <f aca="false">D480-N(C480)</f>
        <v>0</v>
      </c>
      <c r="F480" s="2" t="str">
        <f aca="false">IF(AND(C480&lt;&gt;"",ROUND(E480,2)=0),"一致",IF(G480&lt;&gt;"","変更（意図的）","★相違"))</f>
        <v>一致</v>
      </c>
      <c r="G480" s="2"/>
    </row>
    <row r="481" customFormat="false" ht="15" hidden="false" customHeight="false" outlineLevel="0" collapsed="false">
      <c r="A481" s="2" t="s">
        <v>555</v>
      </c>
      <c r="B481" s="27" t="s">
        <v>587</v>
      </c>
      <c r="C481" s="28" t="n">
        <v>0</v>
      </c>
      <c r="D481" s="28" t="n">
        <f aca="false">'〇総括　6～7（メモなし）'!F9</f>
        <v>0</v>
      </c>
      <c r="E481" s="28" t="n">
        <f aca="false">D481-N(C481)</f>
        <v>0</v>
      </c>
      <c r="F481" s="2" t="str">
        <f aca="false">IF(AND(C481&lt;&gt;"",ROUND(E481,2)=0),"一致",IF(G481&lt;&gt;"","変更（意図的）","★相違"))</f>
        <v>一致</v>
      </c>
      <c r="G481" s="2"/>
    </row>
    <row r="482" customFormat="false" ht="15" hidden="false" customHeight="false" outlineLevel="0" collapsed="false">
      <c r="A482" s="2" t="s">
        <v>555</v>
      </c>
      <c r="B482" s="27" t="s">
        <v>254</v>
      </c>
      <c r="C482" s="28" t="n">
        <v>0</v>
      </c>
      <c r="D482" s="28" t="n">
        <f aca="false">'〇総括　6～7（メモなし）'!G9</f>
        <v>0</v>
      </c>
      <c r="E482" s="28" t="n">
        <f aca="false">D482-N(C482)</f>
        <v>0</v>
      </c>
      <c r="F482" s="2" t="str">
        <f aca="false">IF(AND(C482&lt;&gt;"",ROUND(E482,2)=0),"一致",IF(G482&lt;&gt;"","変更（意図的）","★相違"))</f>
        <v>一致</v>
      </c>
      <c r="G482" s="2"/>
    </row>
    <row r="483" customFormat="false" ht="15" hidden="false" customHeight="false" outlineLevel="0" collapsed="false">
      <c r="A483" s="2" t="s">
        <v>555</v>
      </c>
      <c r="B483" s="27" t="s">
        <v>588</v>
      </c>
      <c r="C483" s="28" t="n">
        <v>1204704253</v>
      </c>
      <c r="D483" s="28" t="n">
        <f aca="false">'〇総括　6～7（メモなし）'!H9</f>
        <v>1204704253</v>
      </c>
      <c r="E483" s="28" t="n">
        <f aca="false">D483-N(C483)</f>
        <v>0</v>
      </c>
      <c r="F483" s="2" t="str">
        <f aca="false">IF(AND(C483&lt;&gt;"",ROUND(E483,2)=0),"一致",IF(G483&lt;&gt;"","変更（意図的）","★相違"))</f>
        <v>一致</v>
      </c>
      <c r="G483" s="2"/>
    </row>
    <row r="484" customFormat="false" ht="15" hidden="false" customHeight="false" outlineLevel="0" collapsed="false">
      <c r="A484" s="2" t="s">
        <v>555</v>
      </c>
      <c r="B484" s="27" t="s">
        <v>589</v>
      </c>
      <c r="C484" s="28" t="n">
        <v>2333415822</v>
      </c>
      <c r="D484" s="28" t="n">
        <f aca="false">'〇総括　6～7（メモなし）'!I9</f>
        <v>2333415822</v>
      </c>
      <c r="E484" s="28" t="n">
        <f aca="false">D484-N(C484)</f>
        <v>0</v>
      </c>
      <c r="F484" s="2" t="str">
        <f aca="false">IF(AND(C484&lt;&gt;"",ROUND(E484,2)=0),"一致",IF(G484&lt;&gt;"","変更（意図的）","★相違"))</f>
        <v>一致</v>
      </c>
      <c r="G484" s="2"/>
    </row>
    <row r="485" customFormat="false" ht="15" hidden="false" customHeight="false" outlineLevel="0" collapsed="false">
      <c r="A485" s="2" t="s">
        <v>555</v>
      </c>
      <c r="B485" s="27" t="s">
        <v>590</v>
      </c>
      <c r="C485" s="28" t="n">
        <v>-1128711569</v>
      </c>
      <c r="D485" s="28" t="n">
        <f aca="false">'〇総括　6～7（メモなし）'!J9</f>
        <v>-1128711569</v>
      </c>
      <c r="E485" s="28" t="n">
        <f aca="false">D485-N(C485)</f>
        <v>0</v>
      </c>
      <c r="F485" s="2" t="str">
        <f aca="false">IF(AND(C485&lt;&gt;"",ROUND(E485,2)=0),"一致",IF(G485&lt;&gt;"","変更（意図的）","★相違"))</f>
        <v>一致</v>
      </c>
      <c r="G485" s="2"/>
    </row>
    <row r="486" customFormat="false" ht="15" hidden="false" customHeight="false" outlineLevel="0" collapsed="false">
      <c r="A486" s="2" t="s">
        <v>555</v>
      </c>
      <c r="B486" s="27" t="s">
        <v>591</v>
      </c>
      <c r="C486" s="28"/>
      <c r="D486" s="28" t="n">
        <f aca="false">'〇総括　6～7（メモなし）'!K9</f>
        <v>0</v>
      </c>
      <c r="E486" s="28" t="n">
        <f aca="false">D486-N(C486)</f>
        <v>0</v>
      </c>
      <c r="F486" s="2" t="str">
        <f aca="false">IF(AND(C486&lt;&gt;"",ROUND(E486,2)=0),"一致",IF(G486&lt;&gt;"","変更（意図的）","★相違"))</f>
        <v>変更（意図的）</v>
      </c>
      <c r="G486" s="2" t="s">
        <v>142</v>
      </c>
    </row>
    <row r="487" customFormat="false" ht="15" hidden="false" customHeight="false" outlineLevel="0" collapsed="false">
      <c r="A487" s="2" t="s">
        <v>555</v>
      </c>
      <c r="B487" s="27" t="s">
        <v>471</v>
      </c>
      <c r="C487" s="28" t="n">
        <v>0</v>
      </c>
      <c r="D487" s="28" t="n">
        <f aca="false">'〇総括　6～7（メモなし）'!M9</f>
        <v>0</v>
      </c>
      <c r="E487" s="28" t="n">
        <f aca="false">D487-N(C487)</f>
        <v>0</v>
      </c>
      <c r="F487" s="2" t="str">
        <f aca="false">IF(AND(C487&lt;&gt;"",ROUND(E487,2)=0),"一致",IF(G487&lt;&gt;"","変更（意図的）","★相違"))</f>
        <v>一致</v>
      </c>
      <c r="G487" s="2"/>
    </row>
    <row r="488" customFormat="false" ht="15" hidden="false" customHeight="false" outlineLevel="0" collapsed="false">
      <c r="A488" s="2" t="s">
        <v>555</v>
      </c>
      <c r="B488" s="27" t="s">
        <v>592</v>
      </c>
      <c r="C488" s="28" t="n">
        <v>0</v>
      </c>
      <c r="D488" s="28" t="n">
        <f aca="false">'〇総括　6～7（メモなし）'!O9</f>
        <v>0</v>
      </c>
      <c r="E488" s="28" t="n">
        <f aca="false">D488-N(C488)</f>
        <v>0</v>
      </c>
      <c r="F488" s="2" t="str">
        <f aca="false">IF(AND(C488&lt;&gt;"",ROUND(E488,2)=0),"一致",IF(G488&lt;&gt;"","変更（意図的）","★相違"))</f>
        <v>一致</v>
      </c>
      <c r="G488" s="2"/>
    </row>
    <row r="489" customFormat="false" ht="15" hidden="false" customHeight="false" outlineLevel="0" collapsed="false">
      <c r="A489" s="2" t="s">
        <v>555</v>
      </c>
      <c r="B489" s="27" t="s">
        <v>593</v>
      </c>
      <c r="C489" s="28" t="n">
        <v>0</v>
      </c>
      <c r="D489" s="28" t="n">
        <f aca="false">'〇総括　6～7（メモなし）'!P9</f>
        <v>0</v>
      </c>
      <c r="E489" s="28" t="n">
        <f aca="false">D489-N(C489)</f>
        <v>0</v>
      </c>
      <c r="F489" s="2" t="str">
        <f aca="false">IF(AND(C489&lt;&gt;"",ROUND(E489,2)=0),"一致",IF(G489&lt;&gt;"","変更（意図的）","★相違"))</f>
        <v>一致</v>
      </c>
      <c r="G489" s="2"/>
    </row>
    <row r="490" customFormat="false" ht="15" hidden="false" customHeight="false" outlineLevel="0" collapsed="false">
      <c r="A490" s="2" t="s">
        <v>555</v>
      </c>
      <c r="B490" s="27" t="s">
        <v>594</v>
      </c>
      <c r="C490" s="28" t="n">
        <v>0</v>
      </c>
      <c r="D490" s="28" t="n">
        <f aca="false">'〇総括　6～7（メモなし）'!S9</f>
        <v>0</v>
      </c>
      <c r="E490" s="28" t="n">
        <f aca="false">D490-N(C490)</f>
        <v>0</v>
      </c>
      <c r="F490" s="2" t="str">
        <f aca="false">IF(AND(C490&lt;&gt;"",ROUND(E490,2)=0),"一致",IF(G490&lt;&gt;"","変更（意図的）","★相違"))</f>
        <v>一致</v>
      </c>
      <c r="G490" s="2"/>
    </row>
    <row r="491" customFormat="false" ht="15" hidden="false" customHeight="false" outlineLevel="0" collapsed="false">
      <c r="A491" s="2" t="s">
        <v>555</v>
      </c>
      <c r="B491" s="27" t="s">
        <v>255</v>
      </c>
      <c r="C491" s="28" t="n">
        <v>0</v>
      </c>
      <c r="D491" s="28" t="n">
        <f aca="false">'〇総括　6～7（メモなし）'!G10</f>
        <v>0</v>
      </c>
      <c r="E491" s="28" t="n">
        <f aca="false">D491-N(C491)</f>
        <v>0</v>
      </c>
      <c r="F491" s="2" t="str">
        <f aca="false">IF(AND(C491&lt;&gt;"",ROUND(E491,2)=0),"一致",IF(G491&lt;&gt;"","変更（意図的）","★相違"))</f>
        <v>一致</v>
      </c>
      <c r="G491" s="2"/>
    </row>
    <row r="492" customFormat="false" ht="15" hidden="false" customHeight="false" outlineLevel="0" collapsed="false">
      <c r="A492" s="2" t="s">
        <v>555</v>
      </c>
      <c r="B492" s="27" t="s">
        <v>595</v>
      </c>
      <c r="C492" s="28" t="n">
        <v>3820000</v>
      </c>
      <c r="D492" s="28" t="n">
        <f aca="false">'〇総括　6～7（メモなし）'!H10</f>
        <v>3820000</v>
      </c>
      <c r="E492" s="28" t="n">
        <f aca="false">D492-N(C492)</f>
        <v>0</v>
      </c>
      <c r="F492" s="2" t="str">
        <f aca="false">IF(AND(C492&lt;&gt;"",ROUND(E492,2)=0),"一致",IF(G492&lt;&gt;"","変更（意図的）","★相違"))</f>
        <v>一致</v>
      </c>
      <c r="G492" s="2"/>
    </row>
    <row r="493" customFormat="false" ht="15" hidden="false" customHeight="false" outlineLevel="0" collapsed="false">
      <c r="A493" s="2" t="s">
        <v>555</v>
      </c>
      <c r="B493" s="27" t="s">
        <v>596</v>
      </c>
      <c r="C493" s="28" t="n">
        <v>14466000</v>
      </c>
      <c r="D493" s="28" t="n">
        <f aca="false">'〇総括　6～7（メモなし）'!I10</f>
        <v>14466000</v>
      </c>
      <c r="E493" s="28" t="n">
        <f aca="false">D493-N(C493)</f>
        <v>0</v>
      </c>
      <c r="F493" s="2" t="str">
        <f aca="false">IF(AND(C493&lt;&gt;"",ROUND(E493,2)=0),"一致",IF(G493&lt;&gt;"","変更（意図的）","★相違"))</f>
        <v>一致</v>
      </c>
      <c r="G493" s="2"/>
    </row>
    <row r="494" customFormat="false" ht="15" hidden="false" customHeight="false" outlineLevel="0" collapsed="false">
      <c r="A494" s="2" t="s">
        <v>555</v>
      </c>
      <c r="B494" s="27" t="s">
        <v>597</v>
      </c>
      <c r="C494" s="28" t="n">
        <v>-10646000</v>
      </c>
      <c r="D494" s="28" t="n">
        <f aca="false">'〇総括　6～7（メモなし）'!J10</f>
        <v>-10646000</v>
      </c>
      <c r="E494" s="28" t="n">
        <f aca="false">D494-N(C494)</f>
        <v>0</v>
      </c>
      <c r="F494" s="2" t="str">
        <f aca="false">IF(AND(C494&lt;&gt;"",ROUND(E494,2)=0),"一致",IF(G494&lt;&gt;"","変更（意図的）","★相違"))</f>
        <v>一致</v>
      </c>
      <c r="G494" s="2"/>
    </row>
    <row r="495" customFormat="false" ht="15" hidden="false" customHeight="false" outlineLevel="0" collapsed="false">
      <c r="A495" s="2" t="s">
        <v>555</v>
      </c>
      <c r="B495" s="27" t="s">
        <v>476</v>
      </c>
      <c r="C495" s="28" t="n">
        <v>0</v>
      </c>
      <c r="D495" s="28" t="n">
        <f aca="false">'〇総括　6～7（メモなし）'!M10</f>
        <v>0</v>
      </c>
      <c r="E495" s="28" t="n">
        <f aca="false">D495-N(C495)</f>
        <v>0</v>
      </c>
      <c r="F495" s="2" t="str">
        <f aca="false">IF(AND(C495&lt;&gt;"",ROUND(E495,2)=0),"一致",IF(G495&lt;&gt;"","変更（意図的）","★相違"))</f>
        <v>一致</v>
      </c>
      <c r="G495" s="2"/>
    </row>
    <row r="496" customFormat="false" ht="15" hidden="false" customHeight="false" outlineLevel="0" collapsed="false">
      <c r="A496" s="2" t="s">
        <v>555</v>
      </c>
      <c r="B496" s="27" t="s">
        <v>598</v>
      </c>
      <c r="C496" s="28" t="n">
        <v>0</v>
      </c>
      <c r="D496" s="28" t="n">
        <f aca="false">'〇総括　6～7（メモなし）'!P10</f>
        <v>0</v>
      </c>
      <c r="E496" s="28" t="n">
        <f aca="false">D496-N(C496)</f>
        <v>0</v>
      </c>
      <c r="F496" s="2" t="str">
        <f aca="false">IF(AND(C496&lt;&gt;"",ROUND(E496,2)=0),"一致",IF(G496&lt;&gt;"","変更（意図的）","★相違"))</f>
        <v>一致</v>
      </c>
      <c r="G496" s="2"/>
    </row>
    <row r="497" customFormat="false" ht="15" hidden="false" customHeight="false" outlineLevel="0" collapsed="false">
      <c r="A497" s="2" t="s">
        <v>555</v>
      </c>
      <c r="B497" s="27" t="s">
        <v>599</v>
      </c>
      <c r="C497" s="28" t="n">
        <v>0</v>
      </c>
      <c r="D497" s="28" t="n">
        <f aca="false">'〇総括　6～7（メモなし）'!S10</f>
        <v>0</v>
      </c>
      <c r="E497" s="28" t="n">
        <f aca="false">D497-N(C497)</f>
        <v>0</v>
      </c>
      <c r="F497" s="2" t="str">
        <f aca="false">IF(AND(C497&lt;&gt;"",ROUND(E497,2)=0),"一致",IF(G497&lt;&gt;"","変更（意図的）","★相違"))</f>
        <v>一致</v>
      </c>
      <c r="G497" s="2"/>
    </row>
    <row r="498" customFormat="false" ht="15" hidden="false" customHeight="false" outlineLevel="0" collapsed="false">
      <c r="A498" s="2" t="s">
        <v>555</v>
      </c>
      <c r="B498" s="27" t="s">
        <v>600</v>
      </c>
      <c r="C498" s="28" t="n">
        <v>512653248</v>
      </c>
      <c r="D498" s="28" t="n">
        <f aca="false">'〇総括　6～7（メモなし）'!F11</f>
        <v>512653248</v>
      </c>
      <c r="E498" s="28" t="n">
        <f aca="false">D498-N(C498)</f>
        <v>0</v>
      </c>
      <c r="F498" s="2" t="str">
        <f aca="false">IF(AND(C498&lt;&gt;"",ROUND(E498,2)=0),"一致",IF(G498&lt;&gt;"","変更（意図的）","★相違"))</f>
        <v>一致</v>
      </c>
      <c r="G498" s="2"/>
    </row>
    <row r="499" customFormat="false" ht="15" hidden="false" customHeight="false" outlineLevel="0" collapsed="false">
      <c r="A499" s="2" t="s">
        <v>555</v>
      </c>
      <c r="B499" s="27" t="s">
        <v>601</v>
      </c>
      <c r="C499" s="28" t="n">
        <v>-512653248</v>
      </c>
      <c r="D499" s="28" t="n">
        <f aca="false">'〇総括　6～7（メモなし）'!G11</f>
        <v>-512653248</v>
      </c>
      <c r="E499" s="28" t="n">
        <f aca="false">D499-N(C499)</f>
        <v>0</v>
      </c>
      <c r="F499" s="2" t="str">
        <f aca="false">IF(AND(C499&lt;&gt;"",ROUND(E499,2)=0),"一致",IF(G499&lt;&gt;"","変更（意図的）","★相違"))</f>
        <v>一致</v>
      </c>
      <c r="G499" s="2"/>
    </row>
    <row r="500" customFormat="false" ht="15" hidden="false" customHeight="false" outlineLevel="0" collapsed="false">
      <c r="A500" s="2" t="s">
        <v>555</v>
      </c>
      <c r="B500" s="27" t="s">
        <v>481</v>
      </c>
      <c r="C500" s="28" t="n">
        <v>0</v>
      </c>
      <c r="D500" s="28" t="n">
        <f aca="false">'〇総括　6～7（メモなし）'!M11</f>
        <v>0</v>
      </c>
      <c r="E500" s="28" t="n">
        <f aca="false">D500-N(C500)</f>
        <v>0</v>
      </c>
      <c r="F500" s="2" t="str">
        <f aca="false">IF(AND(C500&lt;&gt;"",ROUND(E500,2)=0),"一致",IF(G500&lt;&gt;"","変更（意図的）","★相違"))</f>
        <v>一致</v>
      </c>
      <c r="G500" s="2"/>
    </row>
    <row r="501" customFormat="false" ht="15" hidden="false" customHeight="false" outlineLevel="0" collapsed="false">
      <c r="A501" s="2" t="s">
        <v>555</v>
      </c>
      <c r="B501" s="27" t="s">
        <v>602</v>
      </c>
      <c r="C501" s="28" t="n">
        <v>0</v>
      </c>
      <c r="D501" s="28" t="n">
        <f aca="false">'〇総括　6～7（メモなし）'!P11</f>
        <v>0</v>
      </c>
      <c r="E501" s="28" t="n">
        <f aca="false">D501-N(C501)</f>
        <v>0</v>
      </c>
      <c r="F501" s="2" t="str">
        <f aca="false">IF(AND(C501&lt;&gt;"",ROUND(E501,2)=0),"一致",IF(G501&lt;&gt;"","変更（意図的）","★相違"))</f>
        <v>一致</v>
      </c>
      <c r="G501" s="2"/>
    </row>
    <row r="502" customFormat="false" ht="15" hidden="false" customHeight="false" outlineLevel="0" collapsed="false">
      <c r="A502" s="2" t="s">
        <v>555</v>
      </c>
      <c r="B502" s="27" t="s">
        <v>603</v>
      </c>
      <c r="C502" s="28" t="n">
        <v>0</v>
      </c>
      <c r="D502" s="28" t="n">
        <f aca="false">'〇総括　6～7（メモなし）'!S11</f>
        <v>0</v>
      </c>
      <c r="E502" s="28" t="n">
        <f aca="false">D502-N(C502)</f>
        <v>0</v>
      </c>
      <c r="F502" s="2" t="str">
        <f aca="false">IF(AND(C502&lt;&gt;"",ROUND(E502,2)=0),"一致",IF(G502&lt;&gt;"","変更（意図的）","★相違"))</f>
        <v>一致</v>
      </c>
      <c r="G502" s="2"/>
    </row>
    <row r="503" customFormat="false" ht="15" hidden="false" customHeight="false" outlineLevel="0" collapsed="false">
      <c r="A503" s="2" t="s">
        <v>555</v>
      </c>
      <c r="B503" s="27" t="s">
        <v>604</v>
      </c>
      <c r="C503" s="28" t="n">
        <v>98548000</v>
      </c>
      <c r="D503" s="28" t="n">
        <f aca="false">'〇総括　6～7（メモなし）'!F12</f>
        <v>98548000</v>
      </c>
      <c r="E503" s="28" t="n">
        <f aca="false">D503-N(C503)</f>
        <v>0</v>
      </c>
      <c r="F503" s="2" t="str">
        <f aca="false">IF(AND(C503&lt;&gt;"",ROUND(E503,2)=0),"一致",IF(G503&lt;&gt;"","変更（意図的）","★相違"))</f>
        <v>一致</v>
      </c>
      <c r="G503" s="2"/>
    </row>
    <row r="504" customFormat="false" ht="15" hidden="false" customHeight="false" outlineLevel="0" collapsed="false">
      <c r="A504" s="2" t="s">
        <v>555</v>
      </c>
      <c r="B504" s="27" t="s">
        <v>295</v>
      </c>
      <c r="C504" s="28" t="n">
        <v>-98548000</v>
      </c>
      <c r="D504" s="28" t="n">
        <f aca="false">'〇総括　6～7（メモなし）'!G12</f>
        <v>-98548000</v>
      </c>
      <c r="E504" s="28" t="n">
        <f aca="false">D504-N(C504)</f>
        <v>0</v>
      </c>
      <c r="F504" s="2" t="str">
        <f aca="false">IF(AND(C504&lt;&gt;"",ROUND(E504,2)=0),"一致",IF(G504&lt;&gt;"","変更（意図的）","★相違"))</f>
        <v>一致</v>
      </c>
      <c r="G504" s="2"/>
    </row>
    <row r="505" customFormat="false" ht="15" hidden="false" customHeight="false" outlineLevel="0" collapsed="false">
      <c r="A505" s="2" t="s">
        <v>555</v>
      </c>
      <c r="B505" s="27" t="s">
        <v>148</v>
      </c>
      <c r="C505" s="28" t="n">
        <v>0</v>
      </c>
      <c r="D505" s="28" t="n">
        <f aca="false">'〇総括　6～7（メモなし）'!F13</f>
        <v>0</v>
      </c>
      <c r="E505" s="28" t="n">
        <f aca="false">D505-N(C505)</f>
        <v>0</v>
      </c>
      <c r="F505" s="2" t="str">
        <f aca="false">IF(AND(C505&lt;&gt;"",ROUND(E505,2)=0),"一致",IF(G505&lt;&gt;"","変更（意図的）","★相違"))</f>
        <v>一致</v>
      </c>
      <c r="G505" s="2"/>
    </row>
    <row r="506" customFormat="false" ht="15" hidden="false" customHeight="false" outlineLevel="0" collapsed="false">
      <c r="A506" s="2" t="s">
        <v>555</v>
      </c>
      <c r="B506" s="27" t="s">
        <v>605</v>
      </c>
      <c r="C506" s="28" t="n">
        <v>0</v>
      </c>
      <c r="D506" s="28" t="n">
        <f aca="false">'〇総括　6～7（メモなし）'!G13</f>
        <v>0</v>
      </c>
      <c r="E506" s="28" t="n">
        <f aca="false">D506-N(C506)</f>
        <v>0</v>
      </c>
      <c r="F506" s="2" t="str">
        <f aca="false">IF(AND(C506&lt;&gt;"",ROUND(E506,2)=0),"一致",IF(G506&lt;&gt;"","変更（意図的）","★相違"))</f>
        <v>一致</v>
      </c>
      <c r="G506" s="2"/>
    </row>
    <row r="507" customFormat="false" ht="15" hidden="false" customHeight="false" outlineLevel="0" collapsed="false">
      <c r="A507" s="2" t="s">
        <v>555</v>
      </c>
      <c r="B507" s="27" t="s">
        <v>491</v>
      </c>
      <c r="C507" s="28" t="n">
        <v>0</v>
      </c>
      <c r="D507" s="28" t="n">
        <f aca="false">'〇総括　6～7（メモなし）'!M13</f>
        <v>0</v>
      </c>
      <c r="E507" s="28" t="n">
        <f aca="false">D507-N(C507)</f>
        <v>0</v>
      </c>
      <c r="F507" s="2" t="str">
        <f aca="false">IF(AND(C507&lt;&gt;"",ROUND(E507,2)=0),"一致",IF(G507&lt;&gt;"","変更（意図的）","★相違"))</f>
        <v>一致</v>
      </c>
      <c r="G507" s="2"/>
    </row>
    <row r="508" customFormat="false" ht="15" hidden="false" customHeight="false" outlineLevel="0" collapsed="false">
      <c r="A508" s="2" t="s">
        <v>555</v>
      </c>
      <c r="B508" s="27" t="s">
        <v>606</v>
      </c>
      <c r="C508" s="28" t="n">
        <v>0</v>
      </c>
      <c r="D508" s="28" t="n">
        <f aca="false">'〇総括　6～7（メモなし）'!P13</f>
        <v>0</v>
      </c>
      <c r="E508" s="28" t="n">
        <f aca="false">D508-N(C508)</f>
        <v>0</v>
      </c>
      <c r="F508" s="2" t="str">
        <f aca="false">IF(AND(C508&lt;&gt;"",ROUND(E508,2)=0),"一致",IF(G508&lt;&gt;"","変更（意図的）","★相違"))</f>
        <v>一致</v>
      </c>
      <c r="G508" s="2"/>
    </row>
    <row r="509" customFormat="false" ht="15" hidden="false" customHeight="false" outlineLevel="0" collapsed="false">
      <c r="A509" s="2" t="s">
        <v>555</v>
      </c>
      <c r="B509" s="27" t="s">
        <v>150</v>
      </c>
      <c r="C509" s="28" t="n">
        <v>2621295</v>
      </c>
      <c r="D509" s="28" t="n">
        <f aca="false">'〇総括　6～7（メモなし）'!F14</f>
        <v>2621295</v>
      </c>
      <c r="E509" s="28" t="n">
        <f aca="false">D509-N(C509)</f>
        <v>0</v>
      </c>
      <c r="F509" s="2" t="str">
        <f aca="false">IF(AND(C509&lt;&gt;"",ROUND(E509,2)=0),"一致",IF(G509&lt;&gt;"","変更（意図的）","★相違"))</f>
        <v>一致</v>
      </c>
      <c r="G509" s="2"/>
    </row>
    <row r="510" customFormat="false" ht="15" hidden="false" customHeight="false" outlineLevel="0" collapsed="false">
      <c r="A510" s="2" t="s">
        <v>555</v>
      </c>
      <c r="B510" s="27" t="s">
        <v>151</v>
      </c>
      <c r="C510" s="28" t="n">
        <v>-2621295</v>
      </c>
      <c r="D510" s="28" t="n">
        <f aca="false">'〇総括　6～7（メモなし）'!G14</f>
        <v>-2621295</v>
      </c>
      <c r="E510" s="28" t="n">
        <f aca="false">D510-N(C510)</f>
        <v>0</v>
      </c>
      <c r="F510" s="2" t="str">
        <f aca="false">IF(AND(C510&lt;&gt;"",ROUND(E510,2)=0),"一致",IF(G510&lt;&gt;"","変更（意図的）","★相違"))</f>
        <v>一致</v>
      </c>
      <c r="G510" s="2"/>
    </row>
    <row r="511" customFormat="false" ht="15" hidden="false" customHeight="false" outlineLevel="0" collapsed="false">
      <c r="A511" s="2" t="s">
        <v>555</v>
      </c>
      <c r="B511" s="27" t="s">
        <v>496</v>
      </c>
      <c r="C511" s="28" t="n">
        <v>0</v>
      </c>
      <c r="D511" s="28" t="n">
        <f aca="false">'〇総括　6～7（メモなし）'!M14</f>
        <v>0</v>
      </c>
      <c r="E511" s="28" t="n">
        <f aca="false">D511-N(C511)</f>
        <v>0</v>
      </c>
      <c r="F511" s="2" t="str">
        <f aca="false">IF(AND(C511&lt;&gt;"",ROUND(E511,2)=0),"一致",IF(G511&lt;&gt;"","変更（意図的）","★相違"))</f>
        <v>一致</v>
      </c>
      <c r="G511" s="2"/>
    </row>
    <row r="512" customFormat="false" ht="15" hidden="false" customHeight="false" outlineLevel="0" collapsed="false">
      <c r="A512" s="2" t="s">
        <v>555</v>
      </c>
      <c r="B512" s="27" t="s">
        <v>607</v>
      </c>
      <c r="C512" s="28" t="n">
        <v>0</v>
      </c>
      <c r="D512" s="28" t="n">
        <f aca="false">'〇総括　6～7（メモなし）'!P14</f>
        <v>0</v>
      </c>
      <c r="E512" s="28" t="n">
        <f aca="false">D512-N(C512)</f>
        <v>0</v>
      </c>
      <c r="F512" s="2" t="str">
        <f aca="false">IF(AND(C512&lt;&gt;"",ROUND(E512,2)=0),"一致",IF(G512&lt;&gt;"","変更（意図的）","★相違"))</f>
        <v>一致</v>
      </c>
      <c r="G512" s="2"/>
    </row>
    <row r="513" customFormat="false" ht="15" hidden="false" customHeight="false" outlineLevel="0" collapsed="false">
      <c r="A513" s="2" t="s">
        <v>555</v>
      </c>
      <c r="B513" s="27" t="s">
        <v>608</v>
      </c>
      <c r="C513" s="28" t="n">
        <v>0</v>
      </c>
      <c r="D513" s="28" t="n">
        <f aca="false">'〇総括　6～7（メモなし）'!S14</f>
        <v>0</v>
      </c>
      <c r="E513" s="28" t="n">
        <f aca="false">D513-N(C513)</f>
        <v>0</v>
      </c>
      <c r="F513" s="2" t="str">
        <f aca="false">IF(AND(C513&lt;&gt;"",ROUND(E513,2)=0),"一致",IF(G513&lt;&gt;"","変更（意図的）","★相違"))</f>
        <v>一致</v>
      </c>
      <c r="G513" s="2"/>
    </row>
    <row r="514" customFormat="false" ht="15" hidden="false" customHeight="false" outlineLevel="0" collapsed="false">
      <c r="A514" s="2" t="s">
        <v>555</v>
      </c>
      <c r="B514" s="27" t="s">
        <v>154</v>
      </c>
      <c r="C514" s="28" t="n">
        <v>0</v>
      </c>
      <c r="D514" s="28" t="n">
        <f aca="false">'〇総括　6～7（メモなし）'!G15</f>
        <v>0</v>
      </c>
      <c r="E514" s="28" t="n">
        <f aca="false">D514-N(C514)</f>
        <v>0</v>
      </c>
      <c r="F514" s="2" t="str">
        <f aca="false">IF(AND(C514&lt;&gt;"",ROUND(E514,2)=0),"一致",IF(G514&lt;&gt;"","変更（意図的）","★相違"))</f>
        <v>一致</v>
      </c>
      <c r="G514" s="2"/>
    </row>
    <row r="515" customFormat="false" ht="15" hidden="false" customHeight="false" outlineLevel="0" collapsed="false">
      <c r="A515" s="2" t="s">
        <v>555</v>
      </c>
      <c r="B515" s="27" t="s">
        <v>609</v>
      </c>
      <c r="C515" s="28" t="n">
        <v>5464540</v>
      </c>
      <c r="D515" s="28" t="n">
        <f aca="false">'〇総括　6～7（メモなし）'!H15</f>
        <v>5464540</v>
      </c>
      <c r="E515" s="28" t="n">
        <f aca="false">D515-N(C515)</f>
        <v>0</v>
      </c>
      <c r="F515" s="2" t="str">
        <f aca="false">IF(AND(C515&lt;&gt;"",ROUND(E515,2)=0),"一致",IF(G515&lt;&gt;"","変更（意図的）","★相違"))</f>
        <v>一致</v>
      </c>
      <c r="G515" s="2"/>
    </row>
    <row r="516" customFormat="false" ht="15" hidden="false" customHeight="false" outlineLevel="0" collapsed="false">
      <c r="A516" s="2" t="s">
        <v>555</v>
      </c>
      <c r="B516" s="27" t="s">
        <v>610</v>
      </c>
      <c r="C516" s="28" t="n">
        <v>11601546</v>
      </c>
      <c r="D516" s="28" t="n">
        <f aca="false">'〇総括　6～7（メモなし）'!I15</f>
        <v>11601546</v>
      </c>
      <c r="E516" s="28" t="n">
        <f aca="false">D516-N(C516)</f>
        <v>0</v>
      </c>
      <c r="F516" s="2" t="str">
        <f aca="false">IF(AND(C516&lt;&gt;"",ROUND(E516,2)=0),"一致",IF(G516&lt;&gt;"","変更（意図的）","★相違"))</f>
        <v>一致</v>
      </c>
      <c r="G516" s="2"/>
    </row>
    <row r="517" customFormat="false" ht="15" hidden="false" customHeight="false" outlineLevel="0" collapsed="false">
      <c r="A517" s="2" t="s">
        <v>555</v>
      </c>
      <c r="B517" s="27" t="s">
        <v>611</v>
      </c>
      <c r="C517" s="28" t="n">
        <v>-6137006</v>
      </c>
      <c r="D517" s="28" t="n">
        <f aca="false">'〇総括　6～7（メモなし）'!J15</f>
        <v>-6137006</v>
      </c>
      <c r="E517" s="28" t="n">
        <f aca="false">D517-N(C517)</f>
        <v>0</v>
      </c>
      <c r="F517" s="2" t="str">
        <f aca="false">IF(AND(C517&lt;&gt;"",ROUND(E517,2)=0),"一致",IF(G517&lt;&gt;"","変更（意図的）","★相違"))</f>
        <v>一致</v>
      </c>
      <c r="G517" s="2"/>
    </row>
    <row r="518" customFormat="false" ht="15" hidden="false" customHeight="false" outlineLevel="0" collapsed="false">
      <c r="A518" s="2" t="s">
        <v>555</v>
      </c>
      <c r="B518" s="27" t="s">
        <v>501</v>
      </c>
      <c r="C518" s="28" t="n">
        <v>0</v>
      </c>
      <c r="D518" s="28" t="n">
        <f aca="false">'〇総括　6～7（メモなし）'!M15</f>
        <v>0</v>
      </c>
      <c r="E518" s="28" t="n">
        <f aca="false">D518-N(C518)</f>
        <v>0</v>
      </c>
      <c r="F518" s="2" t="str">
        <f aca="false">IF(AND(C518&lt;&gt;"",ROUND(E518,2)=0),"一致",IF(G518&lt;&gt;"","変更（意図的）","★相違"))</f>
        <v>一致</v>
      </c>
      <c r="G518" s="2"/>
    </row>
    <row r="519" customFormat="false" ht="15" hidden="false" customHeight="false" outlineLevel="0" collapsed="false">
      <c r="A519" s="2" t="s">
        <v>555</v>
      </c>
      <c r="B519" s="27" t="s">
        <v>612</v>
      </c>
      <c r="C519" s="28" t="n">
        <v>0</v>
      </c>
      <c r="D519" s="28" t="n">
        <f aca="false">'〇総括　6～7（メモなし）'!P15</f>
        <v>0</v>
      </c>
      <c r="E519" s="28" t="n">
        <f aca="false">D519-N(C519)</f>
        <v>0</v>
      </c>
      <c r="F519" s="2" t="str">
        <f aca="false">IF(AND(C519&lt;&gt;"",ROUND(E519,2)=0),"一致",IF(G519&lt;&gt;"","変更（意図的）","★相違"))</f>
        <v>一致</v>
      </c>
      <c r="G519" s="2"/>
    </row>
    <row r="520" customFormat="false" ht="15" hidden="false" customHeight="false" outlineLevel="0" collapsed="false">
      <c r="A520" s="2" t="s">
        <v>555</v>
      </c>
      <c r="B520" s="27" t="s">
        <v>613</v>
      </c>
      <c r="C520" s="28" t="n">
        <v>0</v>
      </c>
      <c r="D520" s="28" t="n">
        <f aca="false">'〇総括　6～7（メモなし）'!S15</f>
        <v>0</v>
      </c>
      <c r="E520" s="28" t="n">
        <f aca="false">D520-N(C520)</f>
        <v>0</v>
      </c>
      <c r="F520" s="2" t="str">
        <f aca="false">IF(AND(C520&lt;&gt;"",ROUND(E520,2)=0),"一致",IF(G520&lt;&gt;"","変更（意図的）","★相違"))</f>
        <v>一致</v>
      </c>
      <c r="G520" s="2"/>
    </row>
    <row r="521" customFormat="false" ht="15" hidden="false" customHeight="false" outlineLevel="0" collapsed="false">
      <c r="A521" s="2" t="s">
        <v>555</v>
      </c>
      <c r="B521" s="27" t="s">
        <v>260</v>
      </c>
      <c r="C521" s="28" t="n">
        <v>7979689</v>
      </c>
      <c r="D521" s="28" t="n">
        <f aca="false">'〇総括　6～7（メモなし）'!F16</f>
        <v>7979689</v>
      </c>
      <c r="E521" s="28" t="n">
        <f aca="false">D521-N(C521)</f>
        <v>0</v>
      </c>
      <c r="F521" s="2" t="str">
        <f aca="false">IF(AND(C521&lt;&gt;"",ROUND(E521,2)=0),"一致",IF(G521&lt;&gt;"","変更（意図的）","★相違"))</f>
        <v>一致</v>
      </c>
      <c r="G521" s="2"/>
    </row>
    <row r="522" customFormat="false" ht="15" hidden="false" customHeight="false" outlineLevel="0" collapsed="false">
      <c r="A522" s="2" t="s">
        <v>555</v>
      </c>
      <c r="B522" s="27" t="s">
        <v>156</v>
      </c>
      <c r="C522" s="28" t="n">
        <v>-7979689</v>
      </c>
      <c r="D522" s="28" t="n">
        <f aca="false">'〇総括　6～7（メモなし）'!G16</f>
        <v>-7979689</v>
      </c>
      <c r="E522" s="28" t="n">
        <f aca="false">D522-N(C522)</f>
        <v>0</v>
      </c>
      <c r="F522" s="2" t="str">
        <f aca="false">IF(AND(C522&lt;&gt;"",ROUND(E522,2)=0),"一致",IF(G522&lt;&gt;"","変更（意図的）","★相違"))</f>
        <v>一致</v>
      </c>
      <c r="G522" s="2"/>
    </row>
    <row r="523" customFormat="false" ht="15" hidden="false" customHeight="false" outlineLevel="0" collapsed="false">
      <c r="A523" s="2" t="s">
        <v>555</v>
      </c>
      <c r="B523" s="27" t="s">
        <v>614</v>
      </c>
      <c r="C523" s="28" t="n">
        <v>289600155</v>
      </c>
      <c r="D523" s="28" t="n">
        <f aca="false">'〇総括　6～7（メモなし）'!H16</f>
        <v>289600155</v>
      </c>
      <c r="E523" s="28" t="n">
        <f aca="false">D523-N(C523)</f>
        <v>0</v>
      </c>
      <c r="F523" s="2" t="str">
        <f aca="false">IF(AND(C523&lt;&gt;"",ROUND(E523,2)=0),"一致",IF(G523&lt;&gt;"","変更（意図的）","★相違"))</f>
        <v>一致</v>
      </c>
      <c r="G523" s="2"/>
    </row>
    <row r="524" customFormat="false" ht="15" hidden="false" customHeight="false" outlineLevel="0" collapsed="false">
      <c r="A524" s="2" t="s">
        <v>555</v>
      </c>
      <c r="B524" s="27" t="s">
        <v>615</v>
      </c>
      <c r="C524" s="28" t="n">
        <v>639077000</v>
      </c>
      <c r="D524" s="28" t="n">
        <f aca="false">'〇総括　6～7（メモなし）'!I16</f>
        <v>639077000</v>
      </c>
      <c r="E524" s="28" t="n">
        <f aca="false">D524-N(C524)</f>
        <v>0</v>
      </c>
      <c r="F524" s="2" t="str">
        <f aca="false">IF(AND(C524&lt;&gt;"",ROUND(E524,2)=0),"一致",IF(G524&lt;&gt;"","変更（意図的）","★相違"))</f>
        <v>一致</v>
      </c>
      <c r="G524" s="2"/>
    </row>
    <row r="525" customFormat="false" ht="15" hidden="false" customHeight="false" outlineLevel="0" collapsed="false">
      <c r="A525" s="2" t="s">
        <v>555</v>
      </c>
      <c r="B525" s="27" t="s">
        <v>616</v>
      </c>
      <c r="C525" s="28" t="n">
        <v>-349476845</v>
      </c>
      <c r="D525" s="28" t="n">
        <f aca="false">'〇総括　6～7（メモなし）'!J16</f>
        <v>-349476845</v>
      </c>
      <c r="E525" s="28" t="n">
        <f aca="false">D525-N(C525)</f>
        <v>0</v>
      </c>
      <c r="F525" s="2" t="str">
        <f aca="false">IF(AND(C525&lt;&gt;"",ROUND(E525,2)=0),"一致",IF(G525&lt;&gt;"","変更（意図的）","★相違"))</f>
        <v>一致</v>
      </c>
      <c r="G525" s="2"/>
    </row>
    <row r="526" customFormat="false" ht="15" hidden="false" customHeight="false" outlineLevel="0" collapsed="false">
      <c r="A526" s="2" t="s">
        <v>555</v>
      </c>
      <c r="B526" s="27" t="s">
        <v>506</v>
      </c>
      <c r="C526" s="28" t="n">
        <v>0</v>
      </c>
      <c r="D526" s="28" t="n">
        <f aca="false">'〇総括　6～7（メモなし）'!M16</f>
        <v>0</v>
      </c>
      <c r="E526" s="28" t="n">
        <f aca="false">D526-N(C526)</f>
        <v>0</v>
      </c>
      <c r="F526" s="2" t="str">
        <f aca="false">IF(AND(C526&lt;&gt;"",ROUND(E526,2)=0),"一致",IF(G526&lt;&gt;"","変更（意図的）","★相違"))</f>
        <v>一致</v>
      </c>
      <c r="G526" s="2"/>
    </row>
    <row r="527" customFormat="false" ht="15" hidden="false" customHeight="false" outlineLevel="0" collapsed="false">
      <c r="A527" s="2" t="s">
        <v>555</v>
      </c>
      <c r="B527" s="27" t="s">
        <v>617</v>
      </c>
      <c r="C527" s="28" t="n">
        <v>0</v>
      </c>
      <c r="D527" s="28" t="n">
        <f aca="false">'〇総括　6～7（メモなし）'!P16</f>
        <v>0</v>
      </c>
      <c r="E527" s="28" t="n">
        <f aca="false">D527-N(C527)</f>
        <v>0</v>
      </c>
      <c r="F527" s="2" t="str">
        <f aca="false">IF(AND(C527&lt;&gt;"",ROUND(E527,2)=0),"一致",IF(G527&lt;&gt;"","変更（意図的）","★相違"))</f>
        <v>一致</v>
      </c>
      <c r="G527" s="2"/>
    </row>
    <row r="528" customFormat="false" ht="15" hidden="false" customHeight="false" outlineLevel="0" collapsed="false">
      <c r="A528" s="2" t="s">
        <v>555</v>
      </c>
      <c r="B528" s="27" t="s">
        <v>618</v>
      </c>
      <c r="C528" s="28" t="n">
        <v>0</v>
      </c>
      <c r="D528" s="28" t="n">
        <f aca="false">'〇総括　6～7（メモなし）'!S16</f>
        <v>0</v>
      </c>
      <c r="E528" s="28" t="n">
        <f aca="false">D528-N(C528)</f>
        <v>0</v>
      </c>
      <c r="F528" s="2" t="str">
        <f aca="false">IF(AND(C528&lt;&gt;"",ROUND(E528,2)=0),"一致",IF(G528&lt;&gt;"","変更（意図的）","★相違"))</f>
        <v>一致</v>
      </c>
      <c r="G528" s="2"/>
    </row>
    <row r="529" customFormat="false" ht="15" hidden="false" customHeight="false" outlineLevel="0" collapsed="false">
      <c r="A529" s="2" t="s">
        <v>555</v>
      </c>
      <c r="B529" s="27" t="s">
        <v>158</v>
      </c>
      <c r="C529" s="28" t="n">
        <v>0</v>
      </c>
      <c r="D529" s="28" t="n">
        <f aca="false">'〇総括　6～7（メモなし）'!G17</f>
        <v>0</v>
      </c>
      <c r="E529" s="28" t="n">
        <f aca="false">D529-N(C529)</f>
        <v>0</v>
      </c>
      <c r="F529" s="2" t="str">
        <f aca="false">IF(AND(C529&lt;&gt;"",ROUND(E529,2)=0),"一致",IF(G529&lt;&gt;"","変更（意図的）","★相違"))</f>
        <v>一致</v>
      </c>
      <c r="G529" s="2"/>
    </row>
    <row r="530" customFormat="false" ht="15" hidden="false" customHeight="false" outlineLevel="0" collapsed="false">
      <c r="A530" s="2" t="s">
        <v>555</v>
      </c>
      <c r="B530" s="27" t="s">
        <v>511</v>
      </c>
      <c r="C530" s="28" t="n">
        <v>0</v>
      </c>
      <c r="D530" s="28" t="n">
        <f aca="false">'〇総括　6～7（メモなし）'!M17</f>
        <v>0</v>
      </c>
      <c r="E530" s="28" t="n">
        <f aca="false">D530-N(C530)</f>
        <v>0</v>
      </c>
      <c r="F530" s="2" t="str">
        <f aca="false">IF(AND(C530&lt;&gt;"",ROUND(E530,2)=0),"一致",IF(G530&lt;&gt;"","変更（意図的）","★相違"))</f>
        <v>一致</v>
      </c>
      <c r="G530" s="2"/>
    </row>
    <row r="531" customFormat="false" ht="15" hidden="false" customHeight="false" outlineLevel="0" collapsed="false">
      <c r="A531" s="2" t="s">
        <v>555</v>
      </c>
      <c r="B531" s="27" t="s">
        <v>619</v>
      </c>
      <c r="C531" s="28" t="n">
        <v>0</v>
      </c>
      <c r="D531" s="28" t="n">
        <f aca="false">'〇総括　6～7（メモなし）'!N17</f>
        <v>0</v>
      </c>
      <c r="E531" s="28" t="n">
        <f aca="false">D531-N(C531)</f>
        <v>0</v>
      </c>
      <c r="F531" s="2" t="str">
        <f aca="false">IF(AND(C531&lt;&gt;"",ROUND(E531,2)=0),"一致",IF(G531&lt;&gt;"","変更（意図的）","★相違"))</f>
        <v>一致</v>
      </c>
      <c r="G531" s="2"/>
    </row>
    <row r="532" customFormat="false" ht="15" hidden="false" customHeight="false" outlineLevel="0" collapsed="false">
      <c r="A532" s="2" t="s">
        <v>555</v>
      </c>
      <c r="B532" s="27" t="s">
        <v>620</v>
      </c>
      <c r="C532" s="28" t="n">
        <v>0</v>
      </c>
      <c r="D532" s="28" t="n">
        <f aca="false">'〇総括　6～7（メモなし）'!O17</f>
        <v>0</v>
      </c>
      <c r="E532" s="28" t="n">
        <f aca="false">D532-N(C532)</f>
        <v>0</v>
      </c>
      <c r="F532" s="2" t="str">
        <f aca="false">IF(AND(C532&lt;&gt;"",ROUND(E532,2)=0),"一致",IF(G532&lt;&gt;"","変更（意図的）","★相違"))</f>
        <v>一致</v>
      </c>
      <c r="G532" s="2"/>
    </row>
    <row r="533" customFormat="false" ht="15" hidden="false" customHeight="false" outlineLevel="0" collapsed="false">
      <c r="A533" s="2" t="s">
        <v>555</v>
      </c>
      <c r="B533" s="27" t="s">
        <v>621</v>
      </c>
      <c r="C533" s="28" t="n">
        <v>0</v>
      </c>
      <c r="D533" s="28" t="n">
        <f aca="false">'〇総括　6～7（メモなし）'!P17</f>
        <v>0</v>
      </c>
      <c r="E533" s="28" t="n">
        <f aca="false">D533-N(C533)</f>
        <v>0</v>
      </c>
      <c r="F533" s="2" t="str">
        <f aca="false">IF(AND(C533&lt;&gt;"",ROUND(E533,2)=0),"一致",IF(G533&lt;&gt;"","変更（意図的）","★相違"))</f>
        <v>一致</v>
      </c>
      <c r="G533" s="2"/>
    </row>
    <row r="534" customFormat="false" ht="15" hidden="false" customHeight="false" outlineLevel="0" collapsed="false">
      <c r="A534" s="2" t="s">
        <v>555</v>
      </c>
      <c r="B534" s="27" t="s">
        <v>622</v>
      </c>
      <c r="C534" s="28" t="n">
        <v>0</v>
      </c>
      <c r="D534" s="28" t="n">
        <f aca="false">'〇総括　6～7（メモなし）'!S17</f>
        <v>0</v>
      </c>
      <c r="E534" s="28" t="n">
        <f aca="false">D534-N(C534)</f>
        <v>0</v>
      </c>
      <c r="F534" s="2" t="str">
        <f aca="false">IF(AND(C534&lt;&gt;"",ROUND(E534,2)=0),"一致",IF(G534&lt;&gt;"","変更（意図的）","★相違"))</f>
        <v>一致</v>
      </c>
      <c r="G534" s="2"/>
    </row>
    <row r="535" customFormat="false" ht="15" hidden="false" customHeight="false" outlineLevel="0" collapsed="false">
      <c r="A535" s="2" t="s">
        <v>555</v>
      </c>
      <c r="B535" s="27" t="s">
        <v>623</v>
      </c>
      <c r="C535" s="28" t="n">
        <v>211390</v>
      </c>
      <c r="D535" s="28" t="n">
        <f aca="false">'〇総括　6～7（メモなし）'!F18</f>
        <v>211390</v>
      </c>
      <c r="E535" s="28" t="n">
        <f aca="false">D535-N(C535)</f>
        <v>0</v>
      </c>
      <c r="F535" s="2" t="str">
        <f aca="false">IF(AND(C535&lt;&gt;"",ROUND(E535,2)=0),"一致",IF(G535&lt;&gt;"","変更（意図的）","★相違"))</f>
        <v>一致</v>
      </c>
      <c r="G535" s="2"/>
    </row>
    <row r="536" customFormat="false" ht="15" hidden="false" customHeight="false" outlineLevel="0" collapsed="false">
      <c r="A536" s="2" t="s">
        <v>555</v>
      </c>
      <c r="B536" s="27" t="s">
        <v>624</v>
      </c>
      <c r="C536" s="28" t="n">
        <v>-211390</v>
      </c>
      <c r="D536" s="28" t="n">
        <f aca="false">'〇総括　6～7（メモなし）'!G18</f>
        <v>-211390</v>
      </c>
      <c r="E536" s="28" t="n">
        <f aca="false">D536-N(C536)</f>
        <v>0</v>
      </c>
      <c r="F536" s="2" t="str">
        <f aca="false">IF(AND(C536&lt;&gt;"",ROUND(E536,2)=0),"一致",IF(G536&lt;&gt;"","変更（意図的）","★相違"))</f>
        <v>一致</v>
      </c>
      <c r="G536" s="2"/>
    </row>
    <row r="537" customFormat="false" ht="15" hidden="false" customHeight="false" outlineLevel="0" collapsed="false">
      <c r="A537" s="2" t="s">
        <v>555</v>
      </c>
      <c r="B537" s="27" t="s">
        <v>625</v>
      </c>
      <c r="C537" s="28"/>
      <c r="D537" s="28" t="n">
        <f aca="false">'〇総括　6～7（メモなし）'!K18</f>
        <v>77607</v>
      </c>
      <c r="E537" s="28" t="n">
        <f aca="false">D537-N(C537)</f>
        <v>77607</v>
      </c>
      <c r="F537" s="2" t="str">
        <f aca="false">IF(AND(C537&lt;&gt;"",ROUND(E537,2)=0),"一致",IF(G537&lt;&gt;"","変更（意図的）","★相違"))</f>
        <v>変更（意図的）</v>
      </c>
      <c r="G537" s="2" t="s">
        <v>574</v>
      </c>
    </row>
    <row r="538" customFormat="false" ht="15" hidden="false" customHeight="false" outlineLevel="0" collapsed="false">
      <c r="A538" s="2" t="s">
        <v>555</v>
      </c>
      <c r="B538" s="27" t="s">
        <v>626</v>
      </c>
      <c r="C538" s="28" t="n">
        <v>69345</v>
      </c>
      <c r="D538" s="28" t="n">
        <f aca="false">'〇総括　6～7（メモなし）'!L18</f>
        <v>69345</v>
      </c>
      <c r="E538" s="28" t="n">
        <f aca="false">D538-N(C538)</f>
        <v>0</v>
      </c>
      <c r="F538" s="2" t="str">
        <f aca="false">IF(AND(C538&lt;&gt;"",ROUND(E538,2)=0),"一致",IF(G538&lt;&gt;"","変更（意図的）","★相違"))</f>
        <v>一致</v>
      </c>
      <c r="G538" s="2"/>
    </row>
    <row r="539" customFormat="false" ht="15" hidden="false" customHeight="false" outlineLevel="0" collapsed="false">
      <c r="A539" s="2" t="s">
        <v>555</v>
      </c>
      <c r="B539" s="27" t="s">
        <v>627</v>
      </c>
      <c r="C539" s="28" t="n">
        <v>-69345</v>
      </c>
      <c r="D539" s="28" t="n">
        <f aca="false">'〇総括　6～7（メモなし）'!M18</f>
        <v>8262</v>
      </c>
      <c r="E539" s="28" t="n">
        <f aca="false">D539-N(C539)</f>
        <v>77607</v>
      </c>
      <c r="F539" s="2" t="str">
        <f aca="false">IF(AND(C539&lt;&gt;"",ROUND(E539,2)=0),"一致",IF(G539&lt;&gt;"","変更（意図的）","★相違"))</f>
        <v>変更（意図的）</v>
      </c>
      <c r="G539" s="27" t="s">
        <v>576</v>
      </c>
    </row>
    <row r="540" customFormat="false" ht="15" hidden="false" customHeight="false" outlineLevel="0" collapsed="false">
      <c r="A540" s="2" t="s">
        <v>555</v>
      </c>
      <c r="B540" s="27" t="s">
        <v>628</v>
      </c>
      <c r="C540" s="28" t="n">
        <v>0</v>
      </c>
      <c r="D540" s="28" t="n">
        <f aca="false">'〇総括　6～7（メモなし）'!P18</f>
        <v>0</v>
      </c>
      <c r="E540" s="28" t="n">
        <f aca="false">D540-N(C540)</f>
        <v>0</v>
      </c>
      <c r="F540" s="2" t="str">
        <f aca="false">IF(AND(C540&lt;&gt;"",ROUND(E540,2)=0),"一致",IF(G540&lt;&gt;"","変更（意図的）","★相違"))</f>
        <v>一致</v>
      </c>
      <c r="G540" s="2"/>
    </row>
    <row r="541" customFormat="false" ht="15" hidden="false" customHeight="false" outlineLevel="0" collapsed="false">
      <c r="A541" s="2" t="s">
        <v>555</v>
      </c>
      <c r="B541" s="27" t="s">
        <v>629</v>
      </c>
      <c r="C541" s="28" t="n">
        <v>0</v>
      </c>
      <c r="D541" s="28" t="n">
        <f aca="false">'〇総括　6～7（メモなし）'!S18</f>
        <v>0</v>
      </c>
      <c r="E541" s="28" t="n">
        <f aca="false">D541-N(C541)</f>
        <v>0</v>
      </c>
      <c r="F541" s="2" t="str">
        <f aca="false">IF(AND(C541&lt;&gt;"",ROUND(E541,2)=0),"一致",IF(G541&lt;&gt;"","変更（意図的）","★相違"))</f>
        <v>一致</v>
      </c>
      <c r="G541" s="2"/>
    </row>
    <row r="542" customFormat="false" ht="15" hidden="false" customHeight="false" outlineLevel="0" collapsed="false">
      <c r="A542" s="2" t="s">
        <v>555</v>
      </c>
      <c r="B542" s="27" t="s">
        <v>163</v>
      </c>
      <c r="C542" s="28" t="n">
        <v>0</v>
      </c>
      <c r="D542" s="28" t="n">
        <f aca="false">'〇総括　6～7（メモなし）'!G19</f>
        <v>0</v>
      </c>
      <c r="E542" s="28" t="n">
        <f aca="false">D542-N(C542)</f>
        <v>0</v>
      </c>
      <c r="F542" s="2" t="str">
        <f aca="false">IF(AND(C542&lt;&gt;"",ROUND(E542,2)=0),"一致",IF(G542&lt;&gt;"","変更（意図的）","★相違"))</f>
        <v>一致</v>
      </c>
      <c r="G542" s="2"/>
    </row>
    <row r="543" customFormat="false" ht="15" hidden="false" customHeight="false" outlineLevel="0" collapsed="false">
      <c r="A543" s="2" t="s">
        <v>555</v>
      </c>
      <c r="B543" s="27" t="s">
        <v>630</v>
      </c>
      <c r="C543" s="28"/>
      <c r="D543" s="28" t="n">
        <f aca="false">'〇総括　6～7（メモなし）'!K19</f>
        <v>23159738</v>
      </c>
      <c r="E543" s="28" t="n">
        <f aca="false">D543-N(C543)</f>
        <v>23159738</v>
      </c>
      <c r="F543" s="2" t="str">
        <f aca="false">IF(AND(C543&lt;&gt;"",ROUND(E543,2)=0),"一致",IF(G543&lt;&gt;"","変更（意図的）","★相違"))</f>
        <v>変更（意図的）</v>
      </c>
      <c r="G543" s="2" t="s">
        <v>574</v>
      </c>
    </row>
    <row r="544" customFormat="false" ht="15" hidden="false" customHeight="false" outlineLevel="0" collapsed="false">
      <c r="A544" s="2" t="s">
        <v>555</v>
      </c>
      <c r="B544" s="27" t="s">
        <v>631</v>
      </c>
      <c r="C544" s="28" t="n">
        <v>20856594</v>
      </c>
      <c r="D544" s="28" t="n">
        <f aca="false">'〇総括　6～7（メモなし）'!L19</f>
        <v>20856594</v>
      </c>
      <c r="E544" s="28" t="n">
        <f aca="false">D544-N(C544)</f>
        <v>0</v>
      </c>
      <c r="F544" s="2" t="str">
        <f aca="false">IF(AND(C544&lt;&gt;"",ROUND(E544,2)=0),"一致",IF(G544&lt;&gt;"","変更（意図的）","★相違"))</f>
        <v>一致</v>
      </c>
      <c r="G544" s="2"/>
    </row>
    <row r="545" customFormat="false" ht="15" hidden="false" customHeight="false" outlineLevel="0" collapsed="false">
      <c r="A545" s="2" t="s">
        <v>555</v>
      </c>
      <c r="B545" s="27" t="s">
        <v>518</v>
      </c>
      <c r="C545" s="28" t="n">
        <v>-20856594</v>
      </c>
      <c r="D545" s="28" t="n">
        <f aca="false">'〇総括　6～7（メモなし）'!M19</f>
        <v>2303144</v>
      </c>
      <c r="E545" s="28" t="n">
        <f aca="false">D545-N(C545)</f>
        <v>23159738</v>
      </c>
      <c r="F545" s="2" t="str">
        <f aca="false">IF(AND(C545&lt;&gt;"",ROUND(E545,2)=0),"一致",IF(G545&lt;&gt;"","変更（意図的）","★相違"))</f>
        <v>変更（意図的）</v>
      </c>
      <c r="G545" s="27" t="s">
        <v>576</v>
      </c>
    </row>
    <row r="546" customFormat="false" ht="15" hidden="false" customHeight="false" outlineLevel="0" collapsed="false">
      <c r="A546" s="2" t="s">
        <v>555</v>
      </c>
      <c r="B546" s="27" t="s">
        <v>632</v>
      </c>
      <c r="C546" s="28" t="n">
        <v>0</v>
      </c>
      <c r="D546" s="28" t="n">
        <f aca="false">'〇総括　6～7（メモなし）'!P19</f>
        <v>0</v>
      </c>
      <c r="E546" s="28" t="n">
        <f aca="false">D546-N(C546)</f>
        <v>0</v>
      </c>
      <c r="F546" s="2" t="str">
        <f aca="false">IF(AND(C546&lt;&gt;"",ROUND(E546,2)=0),"一致",IF(G546&lt;&gt;"","変更（意図的）","★相違"))</f>
        <v>一致</v>
      </c>
      <c r="G546" s="2"/>
    </row>
    <row r="547" customFormat="false" ht="15" hidden="false" customHeight="false" outlineLevel="0" collapsed="false">
      <c r="A547" s="2" t="s">
        <v>555</v>
      </c>
      <c r="B547" s="27" t="s">
        <v>633</v>
      </c>
      <c r="C547" s="28" t="n">
        <v>44000</v>
      </c>
      <c r="D547" s="28" t="n">
        <f aca="false">'〇総括　6～7（メモなし）'!R19</f>
        <v>44000</v>
      </c>
      <c r="E547" s="28" t="n">
        <f aca="false">D547-N(C547)</f>
        <v>0</v>
      </c>
      <c r="F547" s="2" t="str">
        <f aca="false">IF(AND(C547&lt;&gt;"",ROUND(E547,2)=0),"一致",IF(G547&lt;&gt;"","変更（意図的）","★相違"))</f>
        <v>一致</v>
      </c>
      <c r="G547" s="2"/>
    </row>
    <row r="548" customFormat="false" ht="15" hidden="false" customHeight="false" outlineLevel="0" collapsed="false">
      <c r="A548" s="2" t="s">
        <v>555</v>
      </c>
      <c r="B548" s="27" t="s">
        <v>634</v>
      </c>
      <c r="C548" s="28" t="n">
        <v>-44000</v>
      </c>
      <c r="D548" s="28" t="n">
        <f aca="false">'〇総括　6～7（メモなし）'!S19</f>
        <v>-44000</v>
      </c>
      <c r="E548" s="28" t="n">
        <f aca="false">D548-N(C548)</f>
        <v>0</v>
      </c>
      <c r="F548" s="2" t="str">
        <f aca="false">IF(AND(C548&lt;&gt;"",ROUND(E548,2)=0),"一致",IF(G548&lt;&gt;"","変更（意図的）","★相違"))</f>
        <v>一致</v>
      </c>
      <c r="G548" s="2"/>
    </row>
    <row r="549" customFormat="false" ht="15" hidden="false" customHeight="false" outlineLevel="0" collapsed="false">
      <c r="A549" s="2" t="s">
        <v>555</v>
      </c>
      <c r="B549" s="27" t="s">
        <v>169</v>
      </c>
      <c r="C549" s="28" t="n">
        <v>0</v>
      </c>
      <c r="D549" s="28" t="n">
        <f aca="false">'〇総括　6～7（メモなし）'!G20</f>
        <v>0</v>
      </c>
      <c r="E549" s="28" t="n">
        <f aca="false">D549-N(C549)</f>
        <v>0</v>
      </c>
      <c r="F549" s="2" t="str">
        <f aca="false">IF(AND(C549&lt;&gt;"",ROUND(E549,2)=0),"一致",IF(G549&lt;&gt;"","変更（意図的）","★相違"))</f>
        <v>一致</v>
      </c>
      <c r="G549" s="2"/>
    </row>
    <row r="550" customFormat="false" ht="15" hidden="false" customHeight="false" outlineLevel="0" collapsed="false">
      <c r="A550" s="2" t="s">
        <v>555</v>
      </c>
      <c r="B550" s="27" t="s">
        <v>635</v>
      </c>
      <c r="C550" s="28"/>
      <c r="D550" s="28" t="n">
        <f aca="false">'〇総括　6～7（メモなし）'!K20</f>
        <v>11834281</v>
      </c>
      <c r="E550" s="28" t="n">
        <f aca="false">D550-N(C550)</f>
        <v>11834281</v>
      </c>
      <c r="F550" s="2" t="str">
        <f aca="false">IF(AND(C550&lt;&gt;"",ROUND(E550,2)=0),"一致",IF(G550&lt;&gt;"","変更（意図的）","★相違"))</f>
        <v>変更（意図的）</v>
      </c>
      <c r="G550" s="2" t="s">
        <v>574</v>
      </c>
    </row>
    <row r="551" customFormat="false" ht="15" hidden="false" customHeight="false" outlineLevel="0" collapsed="false">
      <c r="A551" s="2" t="s">
        <v>555</v>
      </c>
      <c r="B551" s="27" t="s">
        <v>636</v>
      </c>
      <c r="C551" s="28" t="n">
        <v>11648520</v>
      </c>
      <c r="D551" s="28" t="n">
        <f aca="false">'〇総括　6～7（メモなし）'!L20</f>
        <v>11648520</v>
      </c>
      <c r="E551" s="28" t="n">
        <f aca="false">D551-N(C551)</f>
        <v>0</v>
      </c>
      <c r="F551" s="2" t="str">
        <f aca="false">IF(AND(C551&lt;&gt;"",ROUND(E551,2)=0),"一致",IF(G551&lt;&gt;"","変更（意図的）","★相違"))</f>
        <v>一致</v>
      </c>
      <c r="G551" s="2"/>
    </row>
    <row r="552" customFormat="false" ht="15" hidden="false" customHeight="false" outlineLevel="0" collapsed="false">
      <c r="A552" s="2" t="s">
        <v>555</v>
      </c>
      <c r="B552" s="27" t="s">
        <v>523</v>
      </c>
      <c r="C552" s="28" t="n">
        <v>-11648520</v>
      </c>
      <c r="D552" s="28" t="n">
        <f aca="false">'〇総括　6～7（メモなし）'!M20</f>
        <v>185761</v>
      </c>
      <c r="E552" s="28" t="n">
        <f aca="false">D552-N(C552)</f>
        <v>11834281</v>
      </c>
      <c r="F552" s="2" t="str">
        <f aca="false">IF(AND(C552&lt;&gt;"",ROUND(E552,2)=0),"一致",IF(G552&lt;&gt;"","変更（意図的）","★相違"))</f>
        <v>変更（意図的）</v>
      </c>
      <c r="G552" s="27" t="s">
        <v>576</v>
      </c>
    </row>
    <row r="553" customFormat="false" ht="15" hidden="false" customHeight="false" outlineLevel="0" collapsed="false">
      <c r="A553" s="2" t="s">
        <v>555</v>
      </c>
      <c r="B553" s="27" t="s">
        <v>637</v>
      </c>
      <c r="C553" s="28" t="n">
        <v>0</v>
      </c>
      <c r="D553" s="28" t="n">
        <f aca="false">'〇総括　6～7（メモなし）'!P20</f>
        <v>0</v>
      </c>
      <c r="E553" s="28" t="n">
        <f aca="false">D553-N(C553)</f>
        <v>0</v>
      </c>
      <c r="F553" s="2" t="str">
        <f aca="false">IF(AND(C553&lt;&gt;"",ROUND(E553,2)=0),"一致",IF(G553&lt;&gt;"","変更（意図的）","★相違"))</f>
        <v>一致</v>
      </c>
      <c r="G553" s="2"/>
    </row>
    <row r="554" customFormat="false" ht="15" hidden="false" customHeight="false" outlineLevel="0" collapsed="false">
      <c r="A554" s="2" t="s">
        <v>555</v>
      </c>
      <c r="B554" s="27" t="s">
        <v>638</v>
      </c>
      <c r="C554" s="28" t="n">
        <v>0</v>
      </c>
      <c r="D554" s="28" t="n">
        <f aca="false">'〇総括　6～7（メモなし）'!S20</f>
        <v>0</v>
      </c>
      <c r="E554" s="28" t="n">
        <f aca="false">D554-N(C554)</f>
        <v>0</v>
      </c>
      <c r="F554" s="2" t="str">
        <f aca="false">IF(AND(C554&lt;&gt;"",ROUND(E554,2)=0),"一致",IF(G554&lt;&gt;"","変更（意図的）","★相違"))</f>
        <v>一致</v>
      </c>
      <c r="G554" s="2"/>
    </row>
    <row r="555" customFormat="false" ht="15" hidden="false" customHeight="false" outlineLevel="0" collapsed="false">
      <c r="A555" s="2" t="s">
        <v>555</v>
      </c>
      <c r="B555" s="27" t="s">
        <v>639</v>
      </c>
      <c r="C555" s="28" t="n">
        <v>0</v>
      </c>
      <c r="D555" s="28" t="n">
        <f aca="false">'〇総括　6～7（メモなし）'!G21</f>
        <v>0</v>
      </c>
      <c r="E555" s="28" t="n">
        <f aca="false">D555-N(C555)</f>
        <v>0</v>
      </c>
      <c r="F555" s="2" t="str">
        <f aca="false">IF(AND(C555&lt;&gt;"",ROUND(E555,2)=0),"一致",IF(G555&lt;&gt;"","変更（意図的）","★相違"))</f>
        <v>一致</v>
      </c>
      <c r="G555" s="2"/>
    </row>
    <row r="556" customFormat="false" ht="15" hidden="false" customHeight="false" outlineLevel="0" collapsed="false">
      <c r="A556" s="2" t="s">
        <v>555</v>
      </c>
      <c r="B556" s="27" t="s">
        <v>528</v>
      </c>
      <c r="C556" s="28" t="n">
        <v>0</v>
      </c>
      <c r="D556" s="28" t="n">
        <f aca="false">'〇総括　6～7（メモなし）'!M21</f>
        <v>0</v>
      </c>
      <c r="E556" s="28" t="n">
        <f aca="false">D556-N(C556)</f>
        <v>0</v>
      </c>
      <c r="F556" s="2" t="str">
        <f aca="false">IF(AND(C556&lt;&gt;"",ROUND(E556,2)=0),"一致",IF(G556&lt;&gt;"","変更（意図的）","★相違"))</f>
        <v>一致</v>
      </c>
      <c r="G556" s="2"/>
    </row>
    <row r="557" customFormat="false" ht="15" hidden="false" customHeight="false" outlineLevel="0" collapsed="false">
      <c r="A557" s="2" t="s">
        <v>555</v>
      </c>
      <c r="B557" s="27" t="s">
        <v>640</v>
      </c>
      <c r="C557" s="28" t="n">
        <v>0</v>
      </c>
      <c r="D557" s="28" t="n">
        <f aca="false">'〇総括　6～7（メモなし）'!P21</f>
        <v>0</v>
      </c>
      <c r="E557" s="28" t="n">
        <f aca="false">D557-N(C557)</f>
        <v>0</v>
      </c>
      <c r="F557" s="2" t="str">
        <f aca="false">IF(AND(C557&lt;&gt;"",ROUND(E557,2)=0),"一致",IF(G557&lt;&gt;"","変更（意図的）","★相違"))</f>
        <v>一致</v>
      </c>
      <c r="G557" s="2"/>
    </row>
    <row r="558" customFormat="false" ht="15" hidden="false" customHeight="false" outlineLevel="0" collapsed="false">
      <c r="A558" s="2" t="s">
        <v>555</v>
      </c>
      <c r="B558" s="27" t="s">
        <v>641</v>
      </c>
      <c r="C558" s="28" t="n">
        <v>0</v>
      </c>
      <c r="D558" s="28" t="n">
        <f aca="false">'〇総括　6～7（メモなし）'!S21</f>
        <v>0</v>
      </c>
      <c r="E558" s="28" t="n">
        <f aca="false">D558-N(C558)</f>
        <v>0</v>
      </c>
      <c r="F558" s="2" t="str">
        <f aca="false">IF(AND(C558&lt;&gt;"",ROUND(E558,2)=0),"一致",IF(G558&lt;&gt;"","変更（意図的）","★相違"))</f>
        <v>一致</v>
      </c>
      <c r="G558" s="2"/>
    </row>
    <row r="559" customFormat="false" ht="15" hidden="false" customHeight="false" outlineLevel="0" collapsed="false">
      <c r="A559" s="2" t="s">
        <v>555</v>
      </c>
      <c r="B559" s="27" t="s">
        <v>642</v>
      </c>
      <c r="C559" s="28" t="n">
        <v>0</v>
      </c>
      <c r="D559" s="28" t="n">
        <f aca="false">'〇総括　6～7（メモなし）'!G22</f>
        <v>0</v>
      </c>
      <c r="E559" s="28" t="n">
        <f aca="false">D559-N(C559)</f>
        <v>0</v>
      </c>
      <c r="F559" s="2" t="str">
        <f aca="false">IF(AND(C559&lt;&gt;"",ROUND(E559,2)=0),"一致",IF(G559&lt;&gt;"","変更（意図的）","★相違"))</f>
        <v>一致</v>
      </c>
      <c r="G559" s="2"/>
    </row>
    <row r="560" customFormat="false" ht="15" hidden="false" customHeight="false" outlineLevel="0" collapsed="false">
      <c r="A560" s="2" t="s">
        <v>555</v>
      </c>
      <c r="B560" s="27" t="s">
        <v>643</v>
      </c>
      <c r="C560" s="28" t="n">
        <v>0</v>
      </c>
      <c r="D560" s="28" t="n">
        <f aca="false">'〇総括　6～7（メモなし）'!M22</f>
        <v>0</v>
      </c>
      <c r="E560" s="28" t="n">
        <f aca="false">D560-N(C560)</f>
        <v>0</v>
      </c>
      <c r="F560" s="2" t="str">
        <f aca="false">IF(AND(C560&lt;&gt;"",ROUND(E560,2)=0),"一致",IF(G560&lt;&gt;"","変更（意図的）","★相違"))</f>
        <v>一致</v>
      </c>
      <c r="G560" s="2"/>
    </row>
    <row r="561" customFormat="false" ht="15" hidden="false" customHeight="false" outlineLevel="0" collapsed="false">
      <c r="A561" s="2" t="s">
        <v>555</v>
      </c>
      <c r="B561" s="27" t="s">
        <v>644</v>
      </c>
      <c r="C561" s="28" t="n">
        <v>0</v>
      </c>
      <c r="D561" s="28" t="n">
        <f aca="false">'〇総括　6～7（メモなし）'!P22</f>
        <v>0</v>
      </c>
      <c r="E561" s="28" t="n">
        <f aca="false">D561-N(C561)</f>
        <v>0</v>
      </c>
      <c r="F561" s="2" t="str">
        <f aca="false">IF(AND(C561&lt;&gt;"",ROUND(E561,2)=0),"一致",IF(G561&lt;&gt;"","変更（意図的）","★相違"))</f>
        <v>一致</v>
      </c>
      <c r="G561" s="2"/>
    </row>
    <row r="562" customFormat="false" ht="15" hidden="false" customHeight="false" outlineLevel="0" collapsed="false">
      <c r="A562" s="2" t="s">
        <v>555</v>
      </c>
      <c r="B562" s="27" t="s">
        <v>645</v>
      </c>
      <c r="C562" s="28" t="n">
        <v>12712000</v>
      </c>
      <c r="D562" s="28" t="n">
        <f aca="false">'〇総括　6～7（メモなし）'!R22</f>
        <v>12712000</v>
      </c>
      <c r="E562" s="28" t="n">
        <f aca="false">D562-N(C562)</f>
        <v>0</v>
      </c>
      <c r="F562" s="2" t="str">
        <f aca="false">IF(AND(C562&lt;&gt;"",ROUND(E562,2)=0),"一致",IF(G562&lt;&gt;"","変更（意図的）","★相違"))</f>
        <v>一致</v>
      </c>
      <c r="G562" s="2"/>
    </row>
    <row r="563" customFormat="false" ht="15" hidden="false" customHeight="false" outlineLevel="0" collapsed="false">
      <c r="A563" s="2" t="s">
        <v>555</v>
      </c>
      <c r="B563" s="27" t="s">
        <v>646</v>
      </c>
      <c r="C563" s="28" t="n">
        <v>-12712000</v>
      </c>
      <c r="D563" s="28" t="n">
        <f aca="false">'〇総括　6～7（メモなし）'!S22</f>
        <v>-12712000</v>
      </c>
      <c r="E563" s="28" t="n">
        <f aca="false">D563-N(C563)</f>
        <v>0</v>
      </c>
      <c r="F563" s="2" t="str">
        <f aca="false">IF(AND(C563&lt;&gt;"",ROUND(E563,2)=0),"一致",IF(G563&lt;&gt;"","変更（意図的）","★相違"))</f>
        <v>一致</v>
      </c>
      <c r="G563" s="2"/>
    </row>
    <row r="564" customFormat="false" ht="15" hidden="false" customHeight="false" outlineLevel="0" collapsed="false">
      <c r="A564" s="2" t="s">
        <v>555</v>
      </c>
      <c r="B564" s="27" t="s">
        <v>647</v>
      </c>
      <c r="C564" s="28" t="n">
        <v>0</v>
      </c>
      <c r="D564" s="28" t="n">
        <f aca="false">'〇総括　6～7（メモなし）'!F23</f>
        <v>0</v>
      </c>
      <c r="E564" s="28" t="n">
        <f aca="false">D564-N(C564)</f>
        <v>0</v>
      </c>
      <c r="F564" s="2" t="str">
        <f aca="false">IF(AND(C564&lt;&gt;"",ROUND(E564,2)=0),"一致",IF(G564&lt;&gt;"","変更（意図的）","★相違"))</f>
        <v>一致</v>
      </c>
      <c r="G564" s="2"/>
    </row>
    <row r="565" customFormat="false" ht="15" hidden="false" customHeight="false" outlineLevel="0" collapsed="false">
      <c r="A565" s="2" t="s">
        <v>555</v>
      </c>
      <c r="B565" s="27" t="s">
        <v>648</v>
      </c>
      <c r="C565" s="28" t="n">
        <v>0</v>
      </c>
      <c r="D565" s="28" t="n">
        <f aca="false">'〇総括　6～7（メモなし）'!G23</f>
        <v>0</v>
      </c>
      <c r="E565" s="28" t="n">
        <f aca="false">D565-N(C565)</f>
        <v>0</v>
      </c>
      <c r="F565" s="2" t="str">
        <f aca="false">IF(AND(C565&lt;&gt;"",ROUND(E565,2)=0),"一致",IF(G565&lt;&gt;"","変更（意図的）","★相違"))</f>
        <v>一致</v>
      </c>
      <c r="G565" s="2"/>
    </row>
    <row r="566" customFormat="false" ht="15" hidden="false" customHeight="false" outlineLevel="0" collapsed="false">
      <c r="A566" s="2" t="s">
        <v>555</v>
      </c>
      <c r="B566" s="27" t="s">
        <v>649</v>
      </c>
      <c r="C566" s="28"/>
      <c r="D566" s="28" t="n">
        <f aca="false">'〇総括　6～7（メモなし）'!K23</f>
        <v>0</v>
      </c>
      <c r="E566" s="28" t="n">
        <f aca="false">D566-N(C566)</f>
        <v>0</v>
      </c>
      <c r="F566" s="2" t="str">
        <f aca="false">IF(AND(C566&lt;&gt;"",ROUND(E566,2)=0),"一致",IF(G566&lt;&gt;"","変更（意図的）","★相違"))</f>
        <v>変更（意図的）</v>
      </c>
      <c r="G566" s="2" t="s">
        <v>142</v>
      </c>
    </row>
    <row r="567" customFormat="false" ht="15" hidden="false" customHeight="false" outlineLevel="0" collapsed="false">
      <c r="A567" s="2" t="s">
        <v>555</v>
      </c>
      <c r="B567" s="27" t="s">
        <v>650</v>
      </c>
      <c r="C567" s="28" t="n">
        <v>1206000</v>
      </c>
      <c r="D567" s="28" t="n">
        <f aca="false">'〇総括　6～7（メモなし）'!L23</f>
        <v>1206000</v>
      </c>
      <c r="E567" s="28" t="n">
        <f aca="false">D567-N(C567)</f>
        <v>0</v>
      </c>
      <c r="F567" s="2" t="str">
        <f aca="false">IF(AND(C567&lt;&gt;"",ROUND(E567,2)=0),"一致",IF(G567&lt;&gt;"","変更（意図的）","★相違"))</f>
        <v>一致</v>
      </c>
      <c r="G567" s="2"/>
    </row>
    <row r="568" customFormat="false" ht="15" hidden="false" customHeight="false" outlineLevel="0" collapsed="false">
      <c r="A568" s="2" t="s">
        <v>555</v>
      </c>
      <c r="B568" s="27" t="s">
        <v>535</v>
      </c>
      <c r="C568" s="28" t="n">
        <v>-1206000</v>
      </c>
      <c r="D568" s="28" t="n">
        <f aca="false">'〇総括　6～7（メモなし）'!M23</f>
        <v>-1206000</v>
      </c>
      <c r="E568" s="28" t="n">
        <f aca="false">D568-N(C568)</f>
        <v>0</v>
      </c>
      <c r="F568" s="2" t="str">
        <f aca="false">IF(AND(C568&lt;&gt;"",ROUND(E568,2)=0),"一致",IF(G568&lt;&gt;"","変更（意図的）","★相違"))</f>
        <v>一致</v>
      </c>
      <c r="G568" s="2"/>
    </row>
    <row r="569" customFormat="false" ht="15" hidden="false" customHeight="false" outlineLevel="0" collapsed="false">
      <c r="A569" s="2" t="s">
        <v>555</v>
      </c>
      <c r="B569" s="27" t="s">
        <v>296</v>
      </c>
      <c r="C569" s="28" t="n">
        <v>0</v>
      </c>
      <c r="D569" s="28" t="n">
        <f aca="false">'〇総括　6～7（メモなし）'!P23</f>
        <v>0</v>
      </c>
      <c r="E569" s="28" t="n">
        <f aca="false">D569-N(C569)</f>
        <v>0</v>
      </c>
      <c r="F569" s="2" t="str">
        <f aca="false">IF(AND(C569&lt;&gt;"",ROUND(E569,2)=0),"一致",IF(G569&lt;&gt;"","変更（意図的）","★相違"))</f>
        <v>一致</v>
      </c>
      <c r="G569" s="2"/>
    </row>
    <row r="570" customFormat="false" ht="15" hidden="false" customHeight="false" outlineLevel="0" collapsed="false">
      <c r="A570" s="2" t="s">
        <v>555</v>
      </c>
      <c r="B570" s="27" t="s">
        <v>297</v>
      </c>
      <c r="C570" s="28" t="n">
        <v>0</v>
      </c>
      <c r="D570" s="28" t="n">
        <f aca="false">'〇総括　6～7（メモなし）'!S23</f>
        <v>0</v>
      </c>
      <c r="E570" s="28" t="n">
        <f aca="false">D570-N(C570)</f>
        <v>0</v>
      </c>
      <c r="F570" s="2" t="str">
        <f aca="false">IF(AND(C570&lt;&gt;"",ROUND(E570,2)=0),"一致",IF(G570&lt;&gt;"","変更（意図的）","★相違"))</f>
        <v>一致</v>
      </c>
      <c r="G570" s="2"/>
    </row>
    <row r="571" customFormat="false" ht="15" hidden="false" customHeight="false" outlineLevel="0" collapsed="false">
      <c r="A571" s="2" t="s">
        <v>555</v>
      </c>
      <c r="B571" s="27" t="s">
        <v>651</v>
      </c>
      <c r="C571" s="28" t="n">
        <v>0</v>
      </c>
      <c r="D571" s="28" t="n">
        <f aca="false">'〇総括　6～7（メモなし）'!G24</f>
        <v>0</v>
      </c>
      <c r="E571" s="28" t="n">
        <f aca="false">D571-N(C571)</f>
        <v>0</v>
      </c>
      <c r="F571" s="2" t="str">
        <f aca="false">IF(AND(C571&lt;&gt;"",ROUND(E571,2)=0),"一致",IF(G571&lt;&gt;"","変更（意図的）","★相違"))</f>
        <v>一致</v>
      </c>
      <c r="G571" s="2"/>
    </row>
    <row r="572" customFormat="false" ht="15" hidden="false" customHeight="false" outlineLevel="0" collapsed="false">
      <c r="A572" s="2" t="s">
        <v>555</v>
      </c>
      <c r="B572" s="27" t="s">
        <v>540</v>
      </c>
      <c r="C572" s="28" t="n">
        <v>0</v>
      </c>
      <c r="D572" s="28" t="n">
        <f aca="false">'〇総括　6～7（メモなし）'!M24</f>
        <v>0</v>
      </c>
      <c r="E572" s="28" t="n">
        <f aca="false">D572-N(C572)</f>
        <v>0</v>
      </c>
      <c r="F572" s="2" t="str">
        <f aca="false">IF(AND(C572&lt;&gt;"",ROUND(E572,2)=0),"一致",IF(G572&lt;&gt;"","変更（意図的）","★相違"))</f>
        <v>一致</v>
      </c>
      <c r="G572" s="2"/>
    </row>
    <row r="573" customFormat="false" ht="15" hidden="false" customHeight="false" outlineLevel="0" collapsed="false">
      <c r="A573" s="2" t="s">
        <v>555</v>
      </c>
      <c r="B573" s="27" t="s">
        <v>652</v>
      </c>
      <c r="C573" s="28" t="n">
        <v>0</v>
      </c>
      <c r="D573" s="28" t="n">
        <f aca="false">'〇総括　6～7（メモなし）'!P24</f>
        <v>0</v>
      </c>
      <c r="E573" s="28" t="n">
        <f aca="false">D573-N(C573)</f>
        <v>0</v>
      </c>
      <c r="F573" s="2" t="str">
        <f aca="false">IF(AND(C573&lt;&gt;"",ROUND(E573,2)=0),"一致",IF(G573&lt;&gt;"","変更（意図的）","★相違"))</f>
        <v>一致</v>
      </c>
      <c r="G573" s="2"/>
    </row>
    <row r="574" customFormat="false" ht="15" hidden="false" customHeight="false" outlineLevel="0" collapsed="false">
      <c r="A574" s="2" t="s">
        <v>555</v>
      </c>
      <c r="B574" s="27" t="s">
        <v>653</v>
      </c>
      <c r="C574" s="28" t="n">
        <v>0</v>
      </c>
      <c r="D574" s="28" t="n">
        <f aca="false">'〇総括　6～7（メモなし）'!G25</f>
        <v>0</v>
      </c>
      <c r="E574" s="28" t="n">
        <f aca="false">D574-N(C574)</f>
        <v>0</v>
      </c>
      <c r="F574" s="2" t="str">
        <f aca="false">IF(AND(C574&lt;&gt;"",ROUND(E574,2)=0),"一致",IF(G574&lt;&gt;"","変更（意図的）","★相違"))</f>
        <v>一致</v>
      </c>
      <c r="G574" s="2"/>
    </row>
    <row r="575" customFormat="false" ht="15" hidden="false" customHeight="false" outlineLevel="0" collapsed="false">
      <c r="A575" s="2" t="s">
        <v>555</v>
      </c>
      <c r="B575" s="27" t="s">
        <v>545</v>
      </c>
      <c r="C575" s="28" t="n">
        <v>0</v>
      </c>
      <c r="D575" s="28" t="n">
        <f aca="false">'〇総括　6～7（メモなし）'!M25</f>
        <v>0</v>
      </c>
      <c r="E575" s="28" t="n">
        <f aca="false">D575-N(C575)</f>
        <v>0</v>
      </c>
      <c r="F575" s="2" t="str">
        <f aca="false">IF(AND(C575&lt;&gt;"",ROUND(E575,2)=0),"一致",IF(G575&lt;&gt;"","変更（意図的）","★相違"))</f>
        <v>一致</v>
      </c>
      <c r="G575" s="2"/>
    </row>
    <row r="576" customFormat="false" ht="15" hidden="false" customHeight="false" outlineLevel="0" collapsed="false">
      <c r="A576" s="2" t="s">
        <v>555</v>
      </c>
      <c r="B576" s="27" t="s">
        <v>654</v>
      </c>
      <c r="C576" s="28" t="n">
        <v>0</v>
      </c>
      <c r="D576" s="28" t="n">
        <f aca="false">'〇総括　6～7（メモなし）'!P25</f>
        <v>0</v>
      </c>
      <c r="E576" s="28" t="n">
        <f aca="false">D576-N(C576)</f>
        <v>0</v>
      </c>
      <c r="F576" s="2" t="str">
        <f aca="false">IF(AND(C576&lt;&gt;"",ROUND(E576,2)=0),"一致",IF(G576&lt;&gt;"","変更（意図的）","★相違"))</f>
        <v>一致</v>
      </c>
      <c r="G576" s="2"/>
    </row>
    <row r="577" customFormat="false" ht="15" hidden="false" customHeight="false" outlineLevel="0" collapsed="false">
      <c r="A577" s="2" t="s">
        <v>555</v>
      </c>
      <c r="B577" s="27" t="s">
        <v>655</v>
      </c>
      <c r="C577" s="28" t="n">
        <v>0</v>
      </c>
      <c r="D577" s="28" t="n">
        <f aca="false">'〇総括　6～7（メモなし）'!S25</f>
        <v>0</v>
      </c>
      <c r="E577" s="28" t="n">
        <f aca="false">D577-N(C577)</f>
        <v>0</v>
      </c>
      <c r="F577" s="2" t="str">
        <f aca="false">IF(AND(C577&lt;&gt;"",ROUND(E577,2)=0),"一致",IF(G577&lt;&gt;"","変更（意図的）","★相違"))</f>
        <v>一致</v>
      </c>
      <c r="G577" s="2"/>
    </row>
    <row r="578" customFormat="false" ht="15" hidden="false" customHeight="false" outlineLevel="0" collapsed="false">
      <c r="A578" s="2" t="s">
        <v>555</v>
      </c>
      <c r="B578" s="27" t="s">
        <v>656</v>
      </c>
      <c r="C578" s="28" t="n">
        <v>2100931</v>
      </c>
      <c r="D578" s="28" t="n">
        <f aca="false">'〇総括　6～7（メモなし）'!F26</f>
        <v>2100931</v>
      </c>
      <c r="E578" s="28" t="n">
        <f aca="false">D578-N(C578)</f>
        <v>0</v>
      </c>
      <c r="F578" s="2" t="str">
        <f aca="false">IF(AND(C578&lt;&gt;"",ROUND(E578,2)=0),"一致",IF(G578&lt;&gt;"","変更（意図的）","★相違"))</f>
        <v>一致</v>
      </c>
      <c r="G578" s="2"/>
    </row>
    <row r="579" customFormat="false" ht="15" hidden="false" customHeight="false" outlineLevel="0" collapsed="false">
      <c r="A579" s="2" t="s">
        <v>555</v>
      </c>
      <c r="B579" s="27" t="s">
        <v>657</v>
      </c>
      <c r="C579" s="28" t="n">
        <v>-2100931</v>
      </c>
      <c r="D579" s="28" t="n">
        <f aca="false">'〇総括　6～7（メモなし）'!G26</f>
        <v>-2100931</v>
      </c>
      <c r="E579" s="28" t="n">
        <f aca="false">D579-N(C579)</f>
        <v>0</v>
      </c>
      <c r="F579" s="2" t="str">
        <f aca="false">IF(AND(C579&lt;&gt;"",ROUND(E579,2)=0),"一致",IF(G579&lt;&gt;"","変更（意図的）","★相違"))</f>
        <v>一致</v>
      </c>
      <c r="G579" s="2"/>
    </row>
    <row r="580" customFormat="false" ht="15" hidden="false" customHeight="false" outlineLevel="0" collapsed="false">
      <c r="A580" s="2" t="s">
        <v>555</v>
      </c>
      <c r="B580" s="27" t="s">
        <v>658</v>
      </c>
      <c r="C580" s="28"/>
      <c r="D580" s="28" t="n">
        <f aca="false">'〇総括　6～7（メモなし）'!K26</f>
        <v>0</v>
      </c>
      <c r="E580" s="28" t="n">
        <f aca="false">D580-N(C580)</f>
        <v>0</v>
      </c>
      <c r="F580" s="2" t="str">
        <f aca="false">IF(AND(C580&lt;&gt;"",ROUND(E580,2)=0),"一致",IF(G580&lt;&gt;"","変更（意図的）","★相違"))</f>
        <v>変更（意図的）</v>
      </c>
      <c r="G580" s="2" t="s">
        <v>142</v>
      </c>
    </row>
    <row r="581" customFormat="false" ht="15" hidden="false" customHeight="false" outlineLevel="0" collapsed="false">
      <c r="A581" s="2" t="s">
        <v>555</v>
      </c>
      <c r="B581" s="27" t="s">
        <v>550</v>
      </c>
      <c r="C581" s="28" t="n">
        <v>0</v>
      </c>
      <c r="D581" s="28" t="n">
        <f aca="false">'〇総括　6～7（メモなし）'!M26</f>
        <v>0</v>
      </c>
      <c r="E581" s="28" t="n">
        <f aca="false">D581-N(C581)</f>
        <v>0</v>
      </c>
      <c r="F581" s="2" t="str">
        <f aca="false">IF(AND(C581&lt;&gt;"",ROUND(E581,2)=0),"一致",IF(G581&lt;&gt;"","変更（意図的）","★相違"))</f>
        <v>一致</v>
      </c>
      <c r="G581" s="2"/>
    </row>
    <row r="582" customFormat="false" ht="15" hidden="false" customHeight="false" outlineLevel="0" collapsed="false">
      <c r="A582" s="2" t="s">
        <v>555</v>
      </c>
      <c r="B582" s="27" t="s">
        <v>659</v>
      </c>
      <c r="C582" s="28" t="n">
        <v>0</v>
      </c>
      <c r="D582" s="28" t="n">
        <f aca="false">'〇総括　6～7（メモなし）'!N26</f>
        <v>0</v>
      </c>
      <c r="E582" s="28" t="n">
        <f aca="false">D582-N(C582)</f>
        <v>0</v>
      </c>
      <c r="F582" s="2" t="str">
        <f aca="false">IF(AND(C582&lt;&gt;"",ROUND(E582,2)=0),"一致",IF(G582&lt;&gt;"","変更（意図的）","★相違"))</f>
        <v>一致</v>
      </c>
      <c r="G582" s="2"/>
    </row>
    <row r="583" customFormat="false" ht="15" hidden="false" customHeight="false" outlineLevel="0" collapsed="false">
      <c r="A583" s="2" t="s">
        <v>555</v>
      </c>
      <c r="B583" s="27" t="s">
        <v>660</v>
      </c>
      <c r="C583" s="28" t="n">
        <v>0</v>
      </c>
      <c r="D583" s="28" t="n">
        <f aca="false">'〇総括　6～7（メモなし）'!O26</f>
        <v>0</v>
      </c>
      <c r="E583" s="28" t="n">
        <f aca="false">D583-N(C583)</f>
        <v>0</v>
      </c>
      <c r="F583" s="2" t="str">
        <f aca="false">IF(AND(C583&lt;&gt;"",ROUND(E583,2)=0),"一致",IF(G583&lt;&gt;"","変更（意図的）","★相違"))</f>
        <v>一致</v>
      </c>
      <c r="G583" s="2"/>
    </row>
    <row r="584" customFormat="false" ht="15" hidden="false" customHeight="false" outlineLevel="0" collapsed="false">
      <c r="A584" s="2" t="s">
        <v>555</v>
      </c>
      <c r="B584" s="27" t="s">
        <v>661</v>
      </c>
      <c r="C584" s="28" t="n">
        <v>0</v>
      </c>
      <c r="D584" s="28" t="n">
        <f aca="false">'〇総括　6～7（メモなし）'!P26</f>
        <v>0</v>
      </c>
      <c r="E584" s="28" t="n">
        <f aca="false">D584-N(C584)</f>
        <v>0</v>
      </c>
      <c r="F584" s="2" t="str">
        <f aca="false">IF(AND(C584&lt;&gt;"",ROUND(E584,2)=0),"一致",IF(G584&lt;&gt;"","変更（意図的）","★相違"))</f>
        <v>一致</v>
      </c>
      <c r="G584" s="2"/>
    </row>
    <row r="585" customFormat="false" ht="15" hidden="false" customHeight="false" outlineLevel="0" collapsed="false">
      <c r="A585" s="2" t="s">
        <v>555</v>
      </c>
      <c r="B585" s="27" t="s">
        <v>662</v>
      </c>
      <c r="C585" s="28" t="n">
        <v>0</v>
      </c>
      <c r="D585" s="28" t="n">
        <f aca="false">'〇総括　6～7（メモなし）'!S26</f>
        <v>0</v>
      </c>
      <c r="E585" s="28" t="n">
        <f aca="false">D585-N(C585)</f>
        <v>0</v>
      </c>
      <c r="F585" s="2" t="str">
        <f aca="false">IF(AND(C585&lt;&gt;"",ROUND(E585,2)=0),"一致",IF(G585&lt;&gt;"","変更（意図的）","★相違"))</f>
        <v>一致</v>
      </c>
      <c r="G585" s="2"/>
    </row>
    <row r="586" customFormat="false" ht="15" hidden="false" customHeight="false" outlineLevel="0" collapsed="false">
      <c r="A586" s="2" t="s">
        <v>555</v>
      </c>
      <c r="B586" s="27" t="s">
        <v>663</v>
      </c>
      <c r="C586" s="28" t="n">
        <v>883951850</v>
      </c>
      <c r="D586" s="28" t="n">
        <f aca="false">'〇総括　6～7（メモなし）'!F27</f>
        <v>883951850</v>
      </c>
      <c r="E586" s="28" t="n">
        <f aca="false">D586-N(C586)</f>
        <v>0</v>
      </c>
      <c r="F586" s="2" t="str">
        <f aca="false">IF(AND(C586&lt;&gt;"",ROUND(E586,2)=0),"一致",IF(G586&lt;&gt;"","変更（意図的）","★相違"))</f>
        <v>一致</v>
      </c>
      <c r="G586" s="2"/>
    </row>
    <row r="587" customFormat="false" ht="15" hidden="false" customHeight="false" outlineLevel="0" collapsed="false">
      <c r="A587" s="2" t="s">
        <v>555</v>
      </c>
      <c r="B587" s="27" t="s">
        <v>664</v>
      </c>
      <c r="C587" s="28" t="n">
        <v>-883951850</v>
      </c>
      <c r="D587" s="28" t="n">
        <f aca="false">'〇総括　6～7（メモなし）'!G27</f>
        <v>-883951850</v>
      </c>
      <c r="E587" s="28" t="n">
        <f aca="false">D587-N(C587)</f>
        <v>0</v>
      </c>
      <c r="F587" s="2" t="str">
        <f aca="false">IF(AND(C587&lt;&gt;"",ROUND(E587,2)=0),"一致",IF(G587&lt;&gt;"","変更（意図的）","★相違"))</f>
        <v>一致</v>
      </c>
      <c r="G587" s="2"/>
    </row>
    <row r="588" customFormat="false" ht="15" hidden="false" customHeight="false" outlineLevel="0" collapsed="false">
      <c r="A588" s="2" t="s">
        <v>555</v>
      </c>
      <c r="B588" s="27" t="s">
        <v>422</v>
      </c>
      <c r="C588" s="28" t="n">
        <v>0</v>
      </c>
      <c r="D588" s="28" t="n">
        <f aca="false">'〇総括　6～7（メモなし）'!M27</f>
        <v>0</v>
      </c>
      <c r="E588" s="28" t="n">
        <f aca="false">D588-N(C588)</f>
        <v>0</v>
      </c>
      <c r="F588" s="2" t="str">
        <f aca="false">IF(AND(C588&lt;&gt;"",ROUND(E588,2)=0),"一致",IF(G588&lt;&gt;"","変更（意図的）","★相違"))</f>
        <v>一致</v>
      </c>
      <c r="G588" s="2"/>
    </row>
    <row r="589" customFormat="false" ht="15" hidden="false" customHeight="false" outlineLevel="0" collapsed="false">
      <c r="A589" s="2" t="s">
        <v>555</v>
      </c>
      <c r="B589" s="27" t="s">
        <v>665</v>
      </c>
      <c r="C589" s="28" t="n">
        <v>0</v>
      </c>
      <c r="D589" s="28" t="n">
        <f aca="false">'〇総括　6～7（メモなし）'!P27</f>
        <v>0</v>
      </c>
      <c r="E589" s="28" t="n">
        <f aca="false">D589-N(C589)</f>
        <v>0</v>
      </c>
      <c r="F589" s="2" t="str">
        <f aca="false">IF(AND(C589&lt;&gt;"",ROUND(E589,2)=0),"一致",IF(G589&lt;&gt;"","変更（意図的）","★相違"))</f>
        <v>一致</v>
      </c>
      <c r="G589" s="2"/>
    </row>
    <row r="590" customFormat="false" ht="15" hidden="false" customHeight="false" outlineLevel="0" collapsed="false">
      <c r="A590" s="2" t="s">
        <v>555</v>
      </c>
      <c r="B590" s="27" t="s">
        <v>666</v>
      </c>
      <c r="C590" s="28" t="n">
        <v>0</v>
      </c>
      <c r="D590" s="28" t="n">
        <f aca="false">'〇総括　6～7（メモなし）'!S27</f>
        <v>0</v>
      </c>
      <c r="E590" s="28" t="n">
        <f aca="false">D590-N(C590)</f>
        <v>0</v>
      </c>
      <c r="F590" s="2" t="str">
        <f aca="false">IF(AND(C590&lt;&gt;"",ROUND(E590,2)=0),"一致",IF(G590&lt;&gt;"","変更（意図的）","★相違"))</f>
        <v>一致</v>
      </c>
      <c r="G590" s="2"/>
    </row>
    <row r="591" customFormat="false" ht="15" hidden="false" customHeight="false" outlineLevel="0" collapsed="false">
      <c r="A591" s="2" t="s">
        <v>555</v>
      </c>
      <c r="B591" s="27" t="s">
        <v>667</v>
      </c>
      <c r="C591" s="28" t="n">
        <v>0</v>
      </c>
      <c r="D591" s="28" t="n">
        <f aca="false">'〇総括　6～7（メモなし）'!E28</f>
        <v>0</v>
      </c>
      <c r="E591" s="28" t="n">
        <f aca="false">D591-N(C591)</f>
        <v>0</v>
      </c>
      <c r="F591" s="2" t="str">
        <f aca="false">IF(AND(C591&lt;&gt;"",ROUND(E591,2)=0),"一致",IF(G591&lt;&gt;"","変更（意図的）","★相違"))</f>
        <v>一致</v>
      </c>
      <c r="G591" s="2"/>
    </row>
    <row r="592" customFormat="false" ht="15" hidden="false" customHeight="false" outlineLevel="0" collapsed="false">
      <c r="A592" s="2" t="s">
        <v>555</v>
      </c>
      <c r="B592" s="27" t="s">
        <v>668</v>
      </c>
      <c r="C592" s="28" t="n">
        <v>13363345222</v>
      </c>
      <c r="D592" s="28" t="n">
        <f aca="false">'〇総括　6～7（メモなし）'!F28</f>
        <v>13363345222</v>
      </c>
      <c r="E592" s="28" t="n">
        <f aca="false">D592-N(C592)</f>
        <v>0</v>
      </c>
      <c r="F592" s="2" t="str">
        <f aca="false">IF(AND(C592&lt;&gt;"",ROUND(E592,2)=0),"一致",IF(G592&lt;&gt;"","変更（意図的）","★相違"))</f>
        <v>一致</v>
      </c>
      <c r="G592" s="2"/>
    </row>
    <row r="593" customFormat="false" ht="15" hidden="false" customHeight="false" outlineLevel="0" collapsed="false">
      <c r="A593" s="2" t="s">
        <v>555</v>
      </c>
      <c r="B593" s="27" t="s">
        <v>669</v>
      </c>
      <c r="C593" s="28" t="n">
        <v>-13363345222</v>
      </c>
      <c r="D593" s="28" t="n">
        <f aca="false">'〇総括　6～7（メモなし）'!G28</f>
        <v>-13363345222</v>
      </c>
      <c r="E593" s="28" t="n">
        <f aca="false">D593-N(C593)</f>
        <v>0</v>
      </c>
      <c r="F593" s="2" t="str">
        <f aca="false">IF(AND(C593&lt;&gt;"",ROUND(E593,2)=0),"一致",IF(G593&lt;&gt;"","変更（意図的）","★相違"))</f>
        <v>一致</v>
      </c>
      <c r="G593" s="2"/>
    </row>
    <row r="594" customFormat="false" ht="15" hidden="false" customHeight="false" outlineLevel="0" collapsed="false">
      <c r="A594" s="2" t="s">
        <v>555</v>
      </c>
      <c r="B594" s="27" t="s">
        <v>670</v>
      </c>
      <c r="C594" s="28" t="n">
        <v>10342735989</v>
      </c>
      <c r="D594" s="28" t="n">
        <f aca="false">'〇総括　6～7（メモなし）'!H28</f>
        <v>10342735989</v>
      </c>
      <c r="E594" s="28" t="n">
        <f aca="false">D594-N(C594)</f>
        <v>0</v>
      </c>
      <c r="F594" s="2" t="str">
        <f aca="false">IF(AND(C594&lt;&gt;"",ROUND(E594,2)=0),"一致",IF(G594&lt;&gt;"","変更（意図的）","★相違"))</f>
        <v>一致</v>
      </c>
      <c r="G594" s="2"/>
    </row>
    <row r="595" customFormat="false" ht="15" hidden="false" customHeight="false" outlineLevel="0" collapsed="false">
      <c r="A595" s="2" t="s">
        <v>555</v>
      </c>
      <c r="B595" s="27" t="s">
        <v>671</v>
      </c>
      <c r="C595" s="28" t="n">
        <v>19217782897</v>
      </c>
      <c r="D595" s="28" t="n">
        <f aca="false">'〇総括　6～7（メモなし）'!I28</f>
        <v>19217782897</v>
      </c>
      <c r="E595" s="28" t="n">
        <f aca="false">D595-N(C595)</f>
        <v>0</v>
      </c>
      <c r="F595" s="2" t="str">
        <f aca="false">IF(AND(C595&lt;&gt;"",ROUND(E595,2)=0),"一致",IF(G595&lt;&gt;"","変更（意図的）","★相違"))</f>
        <v>一致</v>
      </c>
      <c r="G595" s="2"/>
    </row>
    <row r="596" customFormat="false" ht="15" hidden="false" customHeight="false" outlineLevel="0" collapsed="false">
      <c r="A596" s="2" t="s">
        <v>555</v>
      </c>
      <c r="B596" s="27" t="s">
        <v>672</v>
      </c>
      <c r="C596" s="28" t="n">
        <v>-8875046908</v>
      </c>
      <c r="D596" s="28" t="n">
        <f aca="false">'〇総括　6～7（メモなし）'!J28</f>
        <v>-8875046908</v>
      </c>
      <c r="E596" s="28" t="n">
        <f aca="false">D596-N(C596)</f>
        <v>0</v>
      </c>
      <c r="F596" s="2" t="str">
        <f aca="false">IF(AND(C596&lt;&gt;"",ROUND(E596,2)=0),"一致",IF(G596&lt;&gt;"","変更（意図的）","★相違"))</f>
        <v>一致</v>
      </c>
      <c r="G596" s="2"/>
    </row>
    <row r="597" customFormat="false" ht="15" hidden="false" customHeight="false" outlineLevel="0" collapsed="false">
      <c r="A597" s="2" t="s">
        <v>555</v>
      </c>
      <c r="B597" s="27" t="s">
        <v>673</v>
      </c>
      <c r="C597" s="28" t="n">
        <v>0</v>
      </c>
      <c r="D597" s="28" t="n">
        <f aca="false">'〇総括　6～7（メモなし）'!K28</f>
        <v>124727469</v>
      </c>
      <c r="E597" s="28" t="n">
        <f aca="false">D597-N(C597)</f>
        <v>124727469</v>
      </c>
      <c r="F597" s="2" t="str">
        <f aca="false">IF(AND(C597&lt;&gt;"",ROUND(E597,2)=0),"一致",IF(G597&lt;&gt;"","変更（意図的）","★相違"))</f>
        <v>変更（意図的）</v>
      </c>
      <c r="G597" s="2" t="s">
        <v>674</v>
      </c>
    </row>
    <row r="598" customFormat="false" ht="15" hidden="false" customHeight="false" outlineLevel="0" collapsed="false">
      <c r="A598" s="2" t="s">
        <v>555</v>
      </c>
      <c r="B598" s="27" t="s">
        <v>675</v>
      </c>
      <c r="C598" s="28" t="n">
        <v>115948018</v>
      </c>
      <c r="D598" s="28" t="n">
        <f aca="false">'〇総括　6～7（メモなし）'!L28</f>
        <v>115948018</v>
      </c>
      <c r="E598" s="28" t="n">
        <f aca="false">D598-N(C598)</f>
        <v>0</v>
      </c>
      <c r="F598" s="2" t="str">
        <f aca="false">IF(AND(C598&lt;&gt;"",ROUND(E598,2)=0),"一致",IF(G598&lt;&gt;"","変更（意図的）","★相違"))</f>
        <v>一致</v>
      </c>
      <c r="G598" s="2"/>
    </row>
    <row r="599" customFormat="false" ht="15" hidden="false" customHeight="false" outlineLevel="0" collapsed="false">
      <c r="A599" s="2" t="s">
        <v>555</v>
      </c>
      <c r="B599" s="27" t="s">
        <v>427</v>
      </c>
      <c r="C599" s="28" t="n">
        <v>-115948018</v>
      </c>
      <c r="D599" s="28" t="n">
        <f aca="false">'〇総括　6～7（メモなし）'!M28</f>
        <v>8779451</v>
      </c>
      <c r="E599" s="28" t="n">
        <f aca="false">D599-N(C599)</f>
        <v>124727469</v>
      </c>
      <c r="F599" s="2" t="str">
        <f aca="false">IF(AND(C599&lt;&gt;"",ROUND(E599,2)=0),"一致",IF(G599&lt;&gt;"","変更（意図的）","★相違"))</f>
        <v>変更（意図的）</v>
      </c>
      <c r="G599" s="27" t="s">
        <v>576</v>
      </c>
    </row>
    <row r="600" customFormat="false" ht="15" hidden="false" customHeight="false" outlineLevel="0" collapsed="false">
      <c r="A600" s="2" t="s">
        <v>555</v>
      </c>
      <c r="B600" s="27" t="s">
        <v>676</v>
      </c>
      <c r="C600" s="28" t="n">
        <v>0</v>
      </c>
      <c r="D600" s="28" t="n">
        <f aca="false">'〇総括　6～7（メモなし）'!N28</f>
        <v>0</v>
      </c>
      <c r="E600" s="28" t="n">
        <f aca="false">D600-N(C600)</f>
        <v>0</v>
      </c>
      <c r="F600" s="2" t="str">
        <f aca="false">IF(AND(C600&lt;&gt;"",ROUND(E600,2)=0),"一致",IF(G600&lt;&gt;"","変更（意図的）","★相違"))</f>
        <v>一致</v>
      </c>
      <c r="G600" s="2"/>
    </row>
    <row r="601" customFormat="false" ht="15" hidden="false" customHeight="false" outlineLevel="0" collapsed="false">
      <c r="A601" s="2" t="s">
        <v>555</v>
      </c>
      <c r="B601" s="27" t="s">
        <v>677</v>
      </c>
      <c r="C601" s="28" t="n">
        <v>608914362</v>
      </c>
      <c r="D601" s="28" t="n">
        <f aca="false">'〇総括　6～7（メモなし）'!O28</f>
        <v>608914362</v>
      </c>
      <c r="E601" s="28" t="n">
        <f aca="false">D601-N(C601)</f>
        <v>0</v>
      </c>
      <c r="F601" s="2" t="str">
        <f aca="false">IF(AND(C601&lt;&gt;"",ROUND(E601,2)=0),"一致",IF(G601&lt;&gt;"","変更（意図的）","★相違"))</f>
        <v>一致</v>
      </c>
      <c r="G601" s="2"/>
    </row>
    <row r="602" customFormat="false" ht="15" hidden="false" customHeight="false" outlineLevel="0" collapsed="false">
      <c r="A602" s="2" t="s">
        <v>555</v>
      </c>
      <c r="B602" s="27" t="s">
        <v>678</v>
      </c>
      <c r="C602" s="28" t="n">
        <v>-608914362</v>
      </c>
      <c r="D602" s="28" t="n">
        <f aca="false">'〇総括　6～7（メモなし）'!P28</f>
        <v>-608914362</v>
      </c>
      <c r="E602" s="28" t="n">
        <f aca="false">D602-N(C602)</f>
        <v>0</v>
      </c>
      <c r="F602" s="2" t="str">
        <f aca="false">IF(AND(C602&lt;&gt;"",ROUND(E602,2)=0),"一致",IF(G602&lt;&gt;"","変更（意図的）","★相違"))</f>
        <v>一致</v>
      </c>
      <c r="G602" s="2"/>
    </row>
    <row r="603" customFormat="false" ht="15" hidden="false" customHeight="false" outlineLevel="0" collapsed="false">
      <c r="A603" s="2" t="s">
        <v>555</v>
      </c>
      <c r="B603" s="27" t="s">
        <v>679</v>
      </c>
      <c r="C603" s="28" t="n">
        <v>0</v>
      </c>
      <c r="D603" s="28" t="n">
        <f aca="false">'〇総括　6～7（メモなし）'!Q28</f>
        <v>0</v>
      </c>
      <c r="E603" s="28" t="n">
        <f aca="false">D603-N(C603)</f>
        <v>0</v>
      </c>
      <c r="F603" s="2" t="str">
        <f aca="false">IF(AND(C603&lt;&gt;"",ROUND(E603,2)=0),"一致",IF(G603&lt;&gt;"","変更（意図的）","★相違"))</f>
        <v>一致</v>
      </c>
      <c r="G603" s="2"/>
    </row>
    <row r="604" customFormat="false" ht="15" hidden="false" customHeight="false" outlineLevel="0" collapsed="false">
      <c r="A604" s="2" t="s">
        <v>555</v>
      </c>
      <c r="B604" s="27" t="s">
        <v>680</v>
      </c>
      <c r="C604" s="28" t="n">
        <v>12756000</v>
      </c>
      <c r="D604" s="28" t="n">
        <f aca="false">'〇総括　6～7（メモなし）'!R28</f>
        <v>12756000</v>
      </c>
      <c r="E604" s="28" t="n">
        <f aca="false">D604-N(C604)</f>
        <v>0</v>
      </c>
      <c r="F604" s="2" t="str">
        <f aca="false">IF(AND(C604&lt;&gt;"",ROUND(E604,2)=0),"一致",IF(G604&lt;&gt;"","変更（意図的）","★相違"))</f>
        <v>一致</v>
      </c>
      <c r="G604" s="2"/>
    </row>
    <row r="605" customFormat="false" ht="15" hidden="false" customHeight="false" outlineLevel="0" collapsed="false">
      <c r="A605" s="2" t="s">
        <v>555</v>
      </c>
      <c r="B605" s="27" t="s">
        <v>681</v>
      </c>
      <c r="C605" s="28" t="n">
        <v>-12756000</v>
      </c>
      <c r="D605" s="28" t="n">
        <f aca="false">'〇総括　6～7（メモなし）'!S28</f>
        <v>-12756000</v>
      </c>
      <c r="E605" s="28" t="n">
        <f aca="false">D605-N(C605)</f>
        <v>0</v>
      </c>
      <c r="F605" s="2" t="str">
        <f aca="false">IF(AND(C605&lt;&gt;"",ROUND(E605,2)=0),"一致",IF(G605&lt;&gt;"","変更（意図的）","★相違"))</f>
        <v>一致</v>
      </c>
      <c r="G605" s="2"/>
    </row>
    <row r="606" customFormat="false" ht="15" hidden="false" customHeight="false" outlineLevel="0" collapsed="false">
      <c r="A606" s="2" t="s">
        <v>555</v>
      </c>
      <c r="B606" s="27" t="s">
        <v>682</v>
      </c>
      <c r="C606" s="28" t="n">
        <v>5062957780</v>
      </c>
      <c r="D606" s="28" t="n">
        <f aca="false">'〇総括　6～7（メモなし）'!F29</f>
        <v>5062957780</v>
      </c>
      <c r="E606" s="28" t="n">
        <f aca="false">D606-N(C606)</f>
        <v>0</v>
      </c>
      <c r="F606" s="2" t="str">
        <f aca="false">IF(AND(C606&lt;&gt;"",ROUND(E606,2)=0),"一致",IF(G606&lt;&gt;"","変更（意図的）","★相違"))</f>
        <v>一致</v>
      </c>
      <c r="G606" s="2"/>
    </row>
    <row r="607" customFormat="false" ht="15" hidden="false" customHeight="false" outlineLevel="0" collapsed="false">
      <c r="A607" s="2" t="s">
        <v>555</v>
      </c>
      <c r="B607" s="27" t="s">
        <v>683</v>
      </c>
      <c r="C607" s="28" t="n">
        <v>-5062957780</v>
      </c>
      <c r="D607" s="28" t="n">
        <f aca="false">'〇総括　6～7（メモなし）'!G29</f>
        <v>-5062957780</v>
      </c>
      <c r="E607" s="28" t="n">
        <f aca="false">D607-N(C607)</f>
        <v>0</v>
      </c>
      <c r="F607" s="2" t="str">
        <f aca="false">IF(AND(C607&lt;&gt;"",ROUND(E607,2)=0),"一致",IF(G607&lt;&gt;"","変更（意図的）","★相違"))</f>
        <v>一致</v>
      </c>
      <c r="G607" s="2"/>
    </row>
    <row r="608" customFormat="false" ht="15" hidden="false" customHeight="false" outlineLevel="0" collapsed="false">
      <c r="A608" s="2" t="s">
        <v>555</v>
      </c>
      <c r="B608" s="27" t="s">
        <v>432</v>
      </c>
      <c r="C608" s="28" t="n">
        <v>0</v>
      </c>
      <c r="D608" s="28" t="n">
        <f aca="false">'〇総括　6～7（メモなし）'!M29</f>
        <v>0</v>
      </c>
      <c r="E608" s="28" t="n">
        <f aca="false">D608-N(C608)</f>
        <v>0</v>
      </c>
      <c r="F608" s="2" t="str">
        <f aca="false">IF(AND(C608&lt;&gt;"",ROUND(E608,2)=0),"一致",IF(G608&lt;&gt;"","変更（意図的）","★相違"))</f>
        <v>一致</v>
      </c>
      <c r="G608" s="2"/>
    </row>
    <row r="609" customFormat="false" ht="15" hidden="false" customHeight="false" outlineLevel="0" collapsed="false">
      <c r="A609" s="2" t="s">
        <v>555</v>
      </c>
      <c r="B609" s="27" t="s">
        <v>684</v>
      </c>
      <c r="C609" s="28" t="n">
        <v>0</v>
      </c>
      <c r="D609" s="28" t="n">
        <f aca="false">'〇総括　6～7（メモなし）'!P29</f>
        <v>0</v>
      </c>
      <c r="E609" s="28" t="n">
        <f aca="false">D609-N(C609)</f>
        <v>0</v>
      </c>
      <c r="F609" s="2" t="str">
        <f aca="false">IF(AND(C609&lt;&gt;"",ROUND(E609,2)=0),"一致",IF(G609&lt;&gt;"","変更（意図的）","★相違"))</f>
        <v>一致</v>
      </c>
      <c r="G609" s="2"/>
    </row>
    <row r="610" customFormat="false" ht="15" hidden="false" customHeight="false" outlineLevel="0" collapsed="false">
      <c r="A610" s="2" t="s">
        <v>555</v>
      </c>
      <c r="B610" s="27" t="s">
        <v>685</v>
      </c>
      <c r="C610" s="28" t="n">
        <v>0</v>
      </c>
      <c r="D610" s="28" t="n">
        <f aca="false">'〇総括　6～7（メモなし）'!S29</f>
        <v>0</v>
      </c>
      <c r="E610" s="28" t="n">
        <f aca="false">D610-N(C610)</f>
        <v>0</v>
      </c>
      <c r="F610" s="2" t="str">
        <f aca="false">IF(AND(C610&lt;&gt;"",ROUND(E610,2)=0),"一致",IF(G610&lt;&gt;"","変更（意図的）","★相違"))</f>
        <v>一致</v>
      </c>
      <c r="G610" s="2"/>
    </row>
    <row r="611" customFormat="false" ht="15" hidden="false" customHeight="false" outlineLevel="0" collapsed="false">
      <c r="A611" s="2" t="s">
        <v>555</v>
      </c>
      <c r="B611" s="27" t="s">
        <v>686</v>
      </c>
      <c r="C611" s="28" t="n">
        <v>596910377</v>
      </c>
      <c r="D611" s="28" t="n">
        <f aca="false">'〇総括　6～7（メモなし）'!F30</f>
        <v>596910377</v>
      </c>
      <c r="E611" s="28" t="n">
        <f aca="false">D611-N(C611)</f>
        <v>0</v>
      </c>
      <c r="F611" s="2" t="str">
        <f aca="false">IF(AND(C611&lt;&gt;"",ROUND(E611,2)=0),"一致",IF(G611&lt;&gt;"","変更（意図的）","★相違"))</f>
        <v>一致</v>
      </c>
      <c r="G611" s="2"/>
    </row>
    <row r="612" customFormat="false" ht="15" hidden="false" customHeight="false" outlineLevel="0" collapsed="false">
      <c r="A612" s="2" t="s">
        <v>555</v>
      </c>
      <c r="B612" s="27" t="s">
        <v>687</v>
      </c>
      <c r="C612" s="28" t="n">
        <v>-596910377</v>
      </c>
      <c r="D612" s="28" t="n">
        <f aca="false">'〇総括　6～7（メモなし）'!G30</f>
        <v>-596910377</v>
      </c>
      <c r="E612" s="28" t="n">
        <f aca="false">D612-N(C612)</f>
        <v>0</v>
      </c>
      <c r="F612" s="2" t="str">
        <f aca="false">IF(AND(C612&lt;&gt;"",ROUND(E612,2)=0),"一致",IF(G612&lt;&gt;"","変更（意図的）","★相違"))</f>
        <v>一致</v>
      </c>
      <c r="G612" s="2"/>
    </row>
    <row r="613" customFormat="false" ht="15" hidden="false" customHeight="false" outlineLevel="0" collapsed="false">
      <c r="A613" s="2" t="s">
        <v>555</v>
      </c>
      <c r="B613" s="27" t="s">
        <v>437</v>
      </c>
      <c r="C613" s="28" t="n">
        <v>0</v>
      </c>
      <c r="D613" s="28" t="n">
        <f aca="false">'〇総括　6～7（メモなし）'!M30</f>
        <v>0</v>
      </c>
      <c r="E613" s="28" t="n">
        <f aca="false">D613-N(C613)</f>
        <v>0</v>
      </c>
      <c r="F613" s="2" t="str">
        <f aca="false">IF(AND(C613&lt;&gt;"",ROUND(E613,2)=0),"一致",IF(G613&lt;&gt;"","変更（意図的）","★相違"))</f>
        <v>一致</v>
      </c>
      <c r="G613" s="2"/>
    </row>
    <row r="614" customFormat="false" ht="15" hidden="false" customHeight="false" outlineLevel="0" collapsed="false">
      <c r="A614" s="2" t="s">
        <v>555</v>
      </c>
      <c r="B614" s="27" t="s">
        <v>688</v>
      </c>
      <c r="C614" s="28" t="n">
        <v>0</v>
      </c>
      <c r="D614" s="28" t="n">
        <f aca="false">'〇総括　6～7（メモなし）'!P30</f>
        <v>0</v>
      </c>
      <c r="E614" s="28" t="n">
        <f aca="false">D614-N(C614)</f>
        <v>0</v>
      </c>
      <c r="F614" s="2" t="str">
        <f aca="false">IF(AND(C614&lt;&gt;"",ROUND(E614,2)=0),"一致",IF(G614&lt;&gt;"","変更（意図的）","★相違"))</f>
        <v>一致</v>
      </c>
      <c r="G614" s="2"/>
    </row>
    <row r="615" customFormat="false" ht="15" hidden="false" customHeight="false" outlineLevel="0" collapsed="false">
      <c r="A615" s="2" t="s">
        <v>555</v>
      </c>
      <c r="B615" s="27" t="s">
        <v>689</v>
      </c>
      <c r="C615" s="28" t="n">
        <v>0</v>
      </c>
      <c r="D615" s="28" t="n">
        <f aca="false">'〇総括　6～7（メモなし）'!S30</f>
        <v>0</v>
      </c>
      <c r="E615" s="28" t="n">
        <f aca="false">D615-N(C615)</f>
        <v>0</v>
      </c>
      <c r="F615" s="2" t="str">
        <f aca="false">IF(AND(C615&lt;&gt;"",ROUND(E615,2)=0),"一致",IF(G615&lt;&gt;"","変更（意図的）","★相違"))</f>
        <v>一致</v>
      </c>
      <c r="G615" s="2"/>
    </row>
    <row r="616" customFormat="false" ht="15" hidden="false" customHeight="false" outlineLevel="0" collapsed="false">
      <c r="A616" s="2" t="s">
        <v>555</v>
      </c>
      <c r="B616" s="27" t="s">
        <v>690</v>
      </c>
      <c r="C616" s="28" t="n">
        <v>0</v>
      </c>
      <c r="D616" s="28" t="n">
        <f aca="false">'〇総括　6～7（メモなし）'!F31</f>
        <v>0</v>
      </c>
      <c r="E616" s="28" t="n">
        <f aca="false">D616-N(C616)</f>
        <v>0</v>
      </c>
      <c r="F616" s="2" t="str">
        <f aca="false">IF(AND(C616&lt;&gt;"",ROUND(E616,2)=0),"一致",IF(G616&lt;&gt;"","変更（意図的）","★相違"))</f>
        <v>一致</v>
      </c>
      <c r="G616" s="2"/>
    </row>
    <row r="617" customFormat="false" ht="15" hidden="false" customHeight="false" outlineLevel="0" collapsed="false">
      <c r="A617" s="2" t="s">
        <v>555</v>
      </c>
      <c r="B617" s="27" t="s">
        <v>298</v>
      </c>
      <c r="C617" s="28" t="n">
        <v>0</v>
      </c>
      <c r="D617" s="28" t="n">
        <f aca="false">'〇総括　6～7（メモなし）'!G31</f>
        <v>0</v>
      </c>
      <c r="E617" s="28" t="n">
        <f aca="false">D617-N(C617)</f>
        <v>0</v>
      </c>
      <c r="F617" s="2" t="str">
        <f aca="false">IF(AND(C617&lt;&gt;"",ROUND(E617,2)=0),"一致",IF(G617&lt;&gt;"","変更（意図的）","★相違"))</f>
        <v>一致</v>
      </c>
      <c r="G617" s="2"/>
    </row>
    <row r="618" customFormat="false" ht="15" hidden="false" customHeight="false" outlineLevel="0" collapsed="false">
      <c r="A618" s="2" t="s">
        <v>555</v>
      </c>
      <c r="B618" s="27" t="s">
        <v>442</v>
      </c>
      <c r="C618" s="28" t="n">
        <v>0</v>
      </c>
      <c r="D618" s="28" t="n">
        <f aca="false">'〇総括　6～7（メモなし）'!M31</f>
        <v>0</v>
      </c>
      <c r="E618" s="28" t="n">
        <f aca="false">D618-N(C618)</f>
        <v>0</v>
      </c>
      <c r="F618" s="2" t="str">
        <f aca="false">IF(AND(C618&lt;&gt;"",ROUND(E618,2)=0),"一致",IF(G618&lt;&gt;"","変更（意図的）","★相違"))</f>
        <v>一致</v>
      </c>
      <c r="G618" s="2"/>
    </row>
    <row r="619" customFormat="false" ht="15" hidden="false" customHeight="false" outlineLevel="0" collapsed="false">
      <c r="A619" s="2" t="s">
        <v>555</v>
      </c>
      <c r="B619" s="27" t="s">
        <v>691</v>
      </c>
      <c r="C619" s="28" t="n">
        <v>0</v>
      </c>
      <c r="D619" s="28" t="n">
        <f aca="false">'〇総括　6～7（メモなし）'!P31</f>
        <v>0</v>
      </c>
      <c r="E619" s="28" t="n">
        <f aca="false">D619-N(C619)</f>
        <v>0</v>
      </c>
      <c r="F619" s="2" t="str">
        <f aca="false">IF(AND(C619&lt;&gt;"",ROUND(E619,2)=0),"一致",IF(G619&lt;&gt;"","変更（意図的）","★相違"))</f>
        <v>一致</v>
      </c>
      <c r="G619" s="2"/>
    </row>
    <row r="620" customFormat="false" ht="15" hidden="false" customHeight="false" outlineLevel="0" collapsed="false">
      <c r="A620" s="2" t="s">
        <v>555</v>
      </c>
      <c r="B620" s="27" t="s">
        <v>692</v>
      </c>
      <c r="C620" s="28" t="n">
        <v>0</v>
      </c>
      <c r="D620" s="28" t="n">
        <f aca="false">'〇総括　6～7（メモなし）'!S31</f>
        <v>0</v>
      </c>
      <c r="E620" s="28" t="n">
        <f aca="false">D620-N(C620)</f>
        <v>0</v>
      </c>
      <c r="F620" s="2" t="str">
        <f aca="false">IF(AND(C620&lt;&gt;"",ROUND(E620,2)=0),"一致",IF(G620&lt;&gt;"","変更（意図的）","★相違"))</f>
        <v>一致</v>
      </c>
      <c r="G620" s="2"/>
    </row>
    <row r="621" customFormat="false" ht="15" hidden="false" customHeight="false" outlineLevel="0" collapsed="false">
      <c r="A621" s="2" t="s">
        <v>555</v>
      </c>
      <c r="B621" s="27" t="s">
        <v>693</v>
      </c>
      <c r="C621" s="28" t="n">
        <v>36121513</v>
      </c>
      <c r="D621" s="28" t="n">
        <f aca="false">'〇総括　6～7（メモなし）'!F32</f>
        <v>36121513</v>
      </c>
      <c r="E621" s="28" t="n">
        <f aca="false">D621-N(C621)</f>
        <v>0</v>
      </c>
      <c r="F621" s="2" t="str">
        <f aca="false">IF(AND(C621&lt;&gt;"",ROUND(E621,2)=0),"一致",IF(G621&lt;&gt;"","変更（意図的）","★相違"))</f>
        <v>一致</v>
      </c>
      <c r="G621" s="2"/>
    </row>
    <row r="622" customFormat="false" ht="15" hidden="false" customHeight="false" outlineLevel="0" collapsed="false">
      <c r="A622" s="2" t="s">
        <v>555</v>
      </c>
      <c r="B622" s="27" t="s">
        <v>299</v>
      </c>
      <c r="C622" s="28" t="n">
        <v>-36121513</v>
      </c>
      <c r="D622" s="28" t="n">
        <f aca="false">'〇総括　6～7（メモなし）'!G32</f>
        <v>-36121513</v>
      </c>
      <c r="E622" s="28" t="n">
        <f aca="false">D622-N(C622)</f>
        <v>0</v>
      </c>
      <c r="F622" s="2" t="str">
        <f aca="false">IF(AND(C622&lt;&gt;"",ROUND(E622,2)=0),"一致",IF(G622&lt;&gt;"","変更（意図的）","★相違"))</f>
        <v>一致</v>
      </c>
      <c r="G622" s="2"/>
    </row>
    <row r="623" customFormat="false" ht="15" hidden="false" customHeight="false" outlineLevel="0" collapsed="false">
      <c r="A623" s="2" t="s">
        <v>555</v>
      </c>
      <c r="B623" s="27" t="s">
        <v>447</v>
      </c>
      <c r="C623" s="28" t="n">
        <v>0</v>
      </c>
      <c r="D623" s="28" t="n">
        <f aca="false">'〇総括　6～7（メモなし）'!M32</f>
        <v>0</v>
      </c>
      <c r="E623" s="28" t="n">
        <f aca="false">D623-N(C623)</f>
        <v>0</v>
      </c>
      <c r="F623" s="2" t="str">
        <f aca="false">IF(AND(C623&lt;&gt;"",ROUND(E623,2)=0),"一致",IF(G623&lt;&gt;"","変更（意図的）","★相違"))</f>
        <v>一致</v>
      </c>
      <c r="G623" s="2"/>
    </row>
    <row r="624" customFormat="false" ht="15" hidden="false" customHeight="false" outlineLevel="0" collapsed="false">
      <c r="A624" s="2" t="s">
        <v>555</v>
      </c>
      <c r="B624" s="27" t="s">
        <v>694</v>
      </c>
      <c r="C624" s="28" t="n">
        <v>0</v>
      </c>
      <c r="D624" s="28" t="n">
        <f aca="false">'〇総括　6～7（メモなし）'!P32</f>
        <v>0</v>
      </c>
      <c r="E624" s="28" t="n">
        <f aca="false">D624-N(C624)</f>
        <v>0</v>
      </c>
      <c r="F624" s="2" t="str">
        <f aca="false">IF(AND(C624&lt;&gt;"",ROUND(E624,2)=0),"一致",IF(G624&lt;&gt;"","変更（意図的）","★相違"))</f>
        <v>一致</v>
      </c>
      <c r="G624" s="2"/>
    </row>
    <row r="625" customFormat="false" ht="15" hidden="false" customHeight="false" outlineLevel="0" collapsed="false">
      <c r="A625" s="2" t="s">
        <v>555</v>
      </c>
      <c r="B625" s="27" t="s">
        <v>695</v>
      </c>
      <c r="C625" s="28" t="n">
        <v>0</v>
      </c>
      <c r="D625" s="28" t="n">
        <f aca="false">'〇総括　6～7（メモなし）'!S32</f>
        <v>0</v>
      </c>
      <c r="E625" s="28" t="n">
        <f aca="false">D625-N(C625)</f>
        <v>0</v>
      </c>
      <c r="F625" s="2" t="str">
        <f aca="false">IF(AND(C625&lt;&gt;"",ROUND(E625,2)=0),"一致",IF(G625&lt;&gt;"","変更（意図的）","★相違"))</f>
        <v>一致</v>
      </c>
      <c r="G625" s="2"/>
    </row>
    <row r="626" customFormat="false" ht="15" hidden="false" customHeight="false" outlineLevel="0" collapsed="false">
      <c r="A626" s="2" t="s">
        <v>555</v>
      </c>
      <c r="B626" s="27" t="s">
        <v>696</v>
      </c>
      <c r="C626" s="28" t="n">
        <v>74042318</v>
      </c>
      <c r="D626" s="28" t="n">
        <f aca="false">'〇総括　6～7（メモなし）'!F33</f>
        <v>74042318</v>
      </c>
      <c r="E626" s="28" t="n">
        <f aca="false">D626-N(C626)</f>
        <v>0</v>
      </c>
      <c r="F626" s="2" t="str">
        <f aca="false">IF(AND(C626&lt;&gt;"",ROUND(E626,2)=0),"一致",IF(G626&lt;&gt;"","変更（意図的）","★相違"))</f>
        <v>一致</v>
      </c>
      <c r="G626" s="2"/>
    </row>
    <row r="627" customFormat="false" ht="15" hidden="false" customHeight="false" outlineLevel="0" collapsed="false">
      <c r="A627" s="2" t="s">
        <v>555</v>
      </c>
      <c r="B627" s="27" t="s">
        <v>697</v>
      </c>
      <c r="C627" s="28" t="n">
        <v>-74042318</v>
      </c>
      <c r="D627" s="28" t="n">
        <f aca="false">'〇総括　6～7（メモなし）'!G33</f>
        <v>-74042318</v>
      </c>
      <c r="E627" s="28" t="n">
        <f aca="false">D627-N(C627)</f>
        <v>0</v>
      </c>
      <c r="F627" s="2" t="str">
        <f aca="false">IF(AND(C627&lt;&gt;"",ROUND(E627,2)=0),"一致",IF(G627&lt;&gt;"","変更（意図的）","★相違"))</f>
        <v>一致</v>
      </c>
      <c r="G627" s="2"/>
    </row>
    <row r="628" customFormat="false" ht="15" hidden="false" customHeight="false" outlineLevel="0" collapsed="false">
      <c r="A628" s="2" t="s">
        <v>555</v>
      </c>
      <c r="B628" s="27" t="s">
        <v>698</v>
      </c>
      <c r="C628" s="28" t="n">
        <v>0</v>
      </c>
      <c r="D628" s="28" t="n">
        <f aca="false">'〇総括　6～7（メモなし）'!M33</f>
        <v>0</v>
      </c>
      <c r="E628" s="28" t="n">
        <f aca="false">D628-N(C628)</f>
        <v>0</v>
      </c>
      <c r="F628" s="2" t="str">
        <f aca="false">IF(AND(C628&lt;&gt;"",ROUND(E628,2)=0),"一致",IF(G628&lt;&gt;"","変更（意図的）","★相違"))</f>
        <v>一致</v>
      </c>
      <c r="G628" s="2"/>
    </row>
    <row r="629" customFormat="false" ht="15" hidden="false" customHeight="false" outlineLevel="0" collapsed="false">
      <c r="A629" s="2" t="s">
        <v>555</v>
      </c>
      <c r="B629" s="27" t="s">
        <v>699</v>
      </c>
      <c r="C629" s="28" t="n">
        <v>0</v>
      </c>
      <c r="D629" s="28" t="n">
        <f aca="false">'〇総括　6～7（メモなし）'!P33</f>
        <v>0</v>
      </c>
      <c r="E629" s="28" t="n">
        <f aca="false">D629-N(C629)</f>
        <v>0</v>
      </c>
      <c r="F629" s="2" t="str">
        <f aca="false">IF(AND(C629&lt;&gt;"",ROUND(E629,2)=0),"一致",IF(G629&lt;&gt;"","変更（意図的）","★相違"))</f>
        <v>一致</v>
      </c>
      <c r="G629" s="2"/>
    </row>
    <row r="630" customFormat="false" ht="15" hidden="false" customHeight="false" outlineLevel="0" collapsed="false">
      <c r="A630" s="2" t="s">
        <v>555</v>
      </c>
      <c r="B630" s="27" t="s">
        <v>700</v>
      </c>
      <c r="C630" s="28" t="n">
        <v>0</v>
      </c>
      <c r="D630" s="28" t="n">
        <f aca="false">'〇総括　6～7（メモなし）'!S33</f>
        <v>0</v>
      </c>
      <c r="E630" s="28" t="n">
        <f aca="false">D630-N(C630)</f>
        <v>0</v>
      </c>
      <c r="F630" s="2" t="str">
        <f aca="false">IF(AND(C630&lt;&gt;"",ROUND(E630,2)=0),"一致",IF(G630&lt;&gt;"","変更（意図的）","★相違"))</f>
        <v>一致</v>
      </c>
      <c r="G630" s="2"/>
    </row>
    <row r="631" customFormat="false" ht="15" hidden="false" customHeight="false" outlineLevel="0" collapsed="false">
      <c r="A631" s="2" t="s">
        <v>555</v>
      </c>
      <c r="B631" s="27" t="s">
        <v>701</v>
      </c>
      <c r="C631" s="28" t="n">
        <v>5748963367</v>
      </c>
      <c r="D631" s="28" t="n">
        <f aca="false">'〇総括　6～7（メモなし）'!F34</f>
        <v>5748963367</v>
      </c>
      <c r="E631" s="28" t="n">
        <f aca="false">D631-N(C631)</f>
        <v>0</v>
      </c>
      <c r="F631" s="2" t="str">
        <f aca="false">IF(AND(C631&lt;&gt;"",ROUND(E631,2)=0),"一致",IF(G631&lt;&gt;"","変更（意図的）","★相違"))</f>
        <v>一致</v>
      </c>
      <c r="G631" s="2"/>
    </row>
    <row r="632" customFormat="false" ht="15" hidden="false" customHeight="false" outlineLevel="0" collapsed="false">
      <c r="A632" s="2" t="s">
        <v>555</v>
      </c>
      <c r="B632" s="27" t="s">
        <v>702</v>
      </c>
      <c r="C632" s="28" t="n">
        <v>-5748963367</v>
      </c>
      <c r="D632" s="28" t="n">
        <f aca="false">'〇総括　6～7（メモなし）'!G34</f>
        <v>-5748963367</v>
      </c>
      <c r="E632" s="28" t="n">
        <f aca="false">D632-N(C632)</f>
        <v>0</v>
      </c>
      <c r="F632" s="2" t="str">
        <f aca="false">IF(AND(C632&lt;&gt;"",ROUND(E632,2)=0),"一致",IF(G632&lt;&gt;"","変更（意図的）","★相違"))</f>
        <v>一致</v>
      </c>
      <c r="G632" s="2"/>
    </row>
    <row r="633" customFormat="false" ht="15" hidden="false" customHeight="false" outlineLevel="0" collapsed="false">
      <c r="A633" s="2" t="s">
        <v>555</v>
      </c>
      <c r="B633" s="27" t="s">
        <v>703</v>
      </c>
      <c r="C633" s="28" t="n">
        <v>0</v>
      </c>
      <c r="D633" s="28" t="n">
        <f aca="false">'〇総括　6～7（メモなし）'!M34</f>
        <v>0</v>
      </c>
      <c r="E633" s="28" t="n">
        <f aca="false">D633-N(C633)</f>
        <v>0</v>
      </c>
      <c r="F633" s="2" t="str">
        <f aca="false">IF(AND(C633&lt;&gt;"",ROUND(E633,2)=0),"一致",IF(G633&lt;&gt;"","変更（意図的）","★相違"))</f>
        <v>一致</v>
      </c>
      <c r="G633" s="2"/>
    </row>
    <row r="634" customFormat="false" ht="15" hidden="false" customHeight="false" outlineLevel="0" collapsed="false">
      <c r="A634" s="2" t="s">
        <v>555</v>
      </c>
      <c r="B634" s="27" t="s">
        <v>704</v>
      </c>
      <c r="C634" s="28" t="n">
        <v>0</v>
      </c>
      <c r="D634" s="28" t="n">
        <f aca="false">'〇総括　6～7（メモなし）'!P34</f>
        <v>0</v>
      </c>
      <c r="E634" s="28" t="n">
        <f aca="false">D634-N(C634)</f>
        <v>0</v>
      </c>
      <c r="F634" s="2" t="str">
        <f aca="false">IF(AND(C634&lt;&gt;"",ROUND(E634,2)=0),"一致",IF(G634&lt;&gt;"","変更（意図的）","★相違"))</f>
        <v>一致</v>
      </c>
      <c r="G634" s="2"/>
    </row>
    <row r="635" customFormat="false" ht="15" hidden="false" customHeight="false" outlineLevel="0" collapsed="false">
      <c r="A635" s="2" t="s">
        <v>555</v>
      </c>
      <c r="B635" s="27" t="s">
        <v>705</v>
      </c>
      <c r="C635" s="28" t="n">
        <v>0</v>
      </c>
      <c r="D635" s="28" t="n">
        <f aca="false">'〇総括　6～7（メモなし）'!S34</f>
        <v>0</v>
      </c>
      <c r="E635" s="28" t="n">
        <f aca="false">D635-N(C635)</f>
        <v>0</v>
      </c>
      <c r="F635" s="2" t="str">
        <f aca="false">IF(AND(C635&lt;&gt;"",ROUND(E635,2)=0),"一致",IF(G635&lt;&gt;"","変更（意図的）","★相違"))</f>
        <v>一致</v>
      </c>
      <c r="G635" s="2"/>
    </row>
    <row r="636" customFormat="false" ht="15" hidden="false" customHeight="false" outlineLevel="0" collapsed="false">
      <c r="A636" s="2" t="s">
        <v>555</v>
      </c>
      <c r="B636" s="27" t="s">
        <v>706</v>
      </c>
      <c r="C636" s="28" t="n">
        <v>0</v>
      </c>
      <c r="D636" s="28" t="n">
        <f aca="false">'〇総括　6～7（メモなし）'!G35</f>
        <v>0</v>
      </c>
      <c r="E636" s="28" t="n">
        <f aca="false">D636-N(C636)</f>
        <v>0</v>
      </c>
      <c r="F636" s="2" t="str">
        <f aca="false">IF(AND(C636&lt;&gt;"",ROUND(E636,2)=0),"一致",IF(G636&lt;&gt;"","変更（意図的）","★相違"))</f>
        <v>一致</v>
      </c>
      <c r="G636" s="2"/>
    </row>
    <row r="637" customFormat="false" ht="15" hidden="false" customHeight="false" outlineLevel="0" collapsed="false">
      <c r="A637" s="2" t="s">
        <v>555</v>
      </c>
      <c r="B637" s="27" t="s">
        <v>707</v>
      </c>
      <c r="C637" s="28" t="n">
        <v>0</v>
      </c>
      <c r="D637" s="28" t="n">
        <f aca="false">'〇総括　6～7（メモなし）'!M35</f>
        <v>0</v>
      </c>
      <c r="E637" s="28" t="n">
        <f aca="false">D637-N(C637)</f>
        <v>0</v>
      </c>
      <c r="F637" s="2" t="str">
        <f aca="false">IF(AND(C637&lt;&gt;"",ROUND(E637,2)=0),"一致",IF(G637&lt;&gt;"","変更（意図的）","★相違"))</f>
        <v>一致</v>
      </c>
      <c r="G637" s="2"/>
    </row>
    <row r="638" customFormat="false" ht="15" hidden="false" customHeight="false" outlineLevel="0" collapsed="false">
      <c r="A638" s="2" t="s">
        <v>555</v>
      </c>
      <c r="B638" s="27" t="s">
        <v>708</v>
      </c>
      <c r="C638" s="28" t="n">
        <v>0</v>
      </c>
      <c r="D638" s="28" t="n">
        <f aca="false">'〇総括　6～7（メモなし）'!P35</f>
        <v>0</v>
      </c>
      <c r="E638" s="28" t="n">
        <f aca="false">D638-N(C638)</f>
        <v>0</v>
      </c>
      <c r="F638" s="2" t="str">
        <f aca="false">IF(AND(C638&lt;&gt;"",ROUND(E638,2)=0),"一致",IF(G638&lt;&gt;"","変更（意図的）","★相違"))</f>
        <v>一致</v>
      </c>
      <c r="G638" s="2"/>
    </row>
    <row r="639" customFormat="false" ht="15" hidden="false" customHeight="false" outlineLevel="0" collapsed="false">
      <c r="A639" s="2" t="s">
        <v>555</v>
      </c>
      <c r="B639" s="27" t="s">
        <v>709</v>
      </c>
      <c r="C639" s="28" t="n">
        <v>0</v>
      </c>
      <c r="D639" s="28" t="n">
        <f aca="false">'〇総括　6～7（メモなし）'!S35</f>
        <v>0</v>
      </c>
      <c r="E639" s="28" t="n">
        <f aca="false">D639-N(C639)</f>
        <v>0</v>
      </c>
      <c r="F639" s="2" t="str">
        <f aca="false">IF(AND(C639&lt;&gt;"",ROUND(E639,2)=0),"一致",IF(G639&lt;&gt;"","変更（意図的）","★相違"))</f>
        <v>一致</v>
      </c>
      <c r="G639" s="2"/>
    </row>
    <row r="640" customFormat="false" ht="15" hidden="false" customHeight="false" outlineLevel="0" collapsed="false">
      <c r="A640" s="2" t="s">
        <v>555</v>
      </c>
      <c r="B640" s="27" t="s">
        <v>710</v>
      </c>
      <c r="C640" s="28" t="n">
        <v>0</v>
      </c>
      <c r="D640" s="28" t="n">
        <f aca="false">'〇総括　6～7（メモなし）'!G36</f>
        <v>0</v>
      </c>
      <c r="E640" s="28" t="n">
        <f aca="false">D640-N(C640)</f>
        <v>0</v>
      </c>
      <c r="F640" s="2" t="str">
        <f aca="false">IF(AND(C640&lt;&gt;"",ROUND(E640,2)=0),"一致",IF(G640&lt;&gt;"","変更（意図的）","★相違"))</f>
        <v>一致</v>
      </c>
      <c r="G640" s="2"/>
    </row>
    <row r="641" customFormat="false" ht="15" hidden="false" customHeight="false" outlineLevel="0" collapsed="false">
      <c r="A641" s="2" t="s">
        <v>555</v>
      </c>
      <c r="B641" s="27" t="s">
        <v>265</v>
      </c>
      <c r="C641" s="28" t="n">
        <v>5516016459</v>
      </c>
      <c r="D641" s="28" t="n">
        <f aca="false">'〇総括　6～7（メモなし）'!H36</f>
        <v>5516016459</v>
      </c>
      <c r="E641" s="28" t="n">
        <f aca="false">D641-N(C641)</f>
        <v>0</v>
      </c>
      <c r="F641" s="2" t="str">
        <f aca="false">IF(AND(C641&lt;&gt;"",ROUND(E641,2)=0),"一致",IF(G641&lt;&gt;"","変更（意図的）","★相違"))</f>
        <v>一致</v>
      </c>
      <c r="G641" s="2"/>
    </row>
    <row r="642" customFormat="false" ht="15" hidden="false" customHeight="false" outlineLevel="0" collapsed="false">
      <c r="A642" s="2" t="s">
        <v>555</v>
      </c>
      <c r="B642" s="27" t="s">
        <v>711</v>
      </c>
      <c r="C642" s="28" t="n">
        <v>10787321768</v>
      </c>
      <c r="D642" s="28" t="n">
        <f aca="false">'〇総括　6～7（メモなし）'!I36</f>
        <v>10787321768</v>
      </c>
      <c r="E642" s="28" t="n">
        <f aca="false">D642-N(C642)</f>
        <v>0</v>
      </c>
      <c r="F642" s="2" t="str">
        <f aca="false">IF(AND(C642&lt;&gt;"",ROUND(E642,2)=0),"一致",IF(G642&lt;&gt;"","変更（意図的）","★相違"))</f>
        <v>一致</v>
      </c>
      <c r="G642" s="2"/>
    </row>
    <row r="643" customFormat="false" ht="15" hidden="false" customHeight="false" outlineLevel="0" collapsed="false">
      <c r="A643" s="2" t="s">
        <v>555</v>
      </c>
      <c r="B643" s="27" t="s">
        <v>712</v>
      </c>
      <c r="C643" s="28" t="n">
        <v>-5271305309</v>
      </c>
      <c r="D643" s="28" t="n">
        <f aca="false">'〇総括　6～7（メモなし）'!J36</f>
        <v>-5271305309</v>
      </c>
      <c r="E643" s="28" t="n">
        <f aca="false">D643-N(C643)</f>
        <v>0</v>
      </c>
      <c r="F643" s="2" t="str">
        <f aca="false">IF(AND(C643&lt;&gt;"",ROUND(E643,2)=0),"一致",IF(G643&lt;&gt;"","変更（意図的）","★相違"))</f>
        <v>一致</v>
      </c>
      <c r="G643" s="2"/>
    </row>
    <row r="644" customFormat="false" ht="15" hidden="false" customHeight="false" outlineLevel="0" collapsed="false">
      <c r="A644" s="2" t="s">
        <v>555</v>
      </c>
      <c r="B644" s="27" t="s">
        <v>713</v>
      </c>
      <c r="C644" s="28" t="n">
        <v>0</v>
      </c>
      <c r="D644" s="28" t="n">
        <f aca="false">'〇総括　6～7（メモなし）'!M36</f>
        <v>0</v>
      </c>
      <c r="E644" s="28" t="n">
        <f aca="false">D644-N(C644)</f>
        <v>0</v>
      </c>
      <c r="F644" s="2" t="str">
        <f aca="false">IF(AND(C644&lt;&gt;"",ROUND(E644,2)=0),"一致",IF(G644&lt;&gt;"","変更（意図的）","★相違"))</f>
        <v>一致</v>
      </c>
      <c r="G644" s="2"/>
    </row>
    <row r="645" customFormat="false" ht="15" hidden="false" customHeight="false" outlineLevel="0" collapsed="false">
      <c r="A645" s="2" t="s">
        <v>555</v>
      </c>
      <c r="B645" s="27" t="s">
        <v>714</v>
      </c>
      <c r="C645" s="28" t="n">
        <v>0</v>
      </c>
      <c r="D645" s="28" t="n">
        <f aca="false">'〇総括　6～7（メモなし）'!P36</f>
        <v>0</v>
      </c>
      <c r="E645" s="28" t="n">
        <f aca="false">D645-N(C645)</f>
        <v>0</v>
      </c>
      <c r="F645" s="2" t="str">
        <f aca="false">IF(AND(C645&lt;&gt;"",ROUND(E645,2)=0),"一致",IF(G645&lt;&gt;"","変更（意図的）","★相違"))</f>
        <v>一致</v>
      </c>
      <c r="G645" s="2"/>
    </row>
    <row r="646" customFormat="false" ht="15" hidden="false" customHeight="false" outlineLevel="0" collapsed="false">
      <c r="A646" s="2" t="s">
        <v>555</v>
      </c>
      <c r="B646" s="27" t="s">
        <v>715</v>
      </c>
      <c r="C646" s="28" t="n">
        <v>0</v>
      </c>
      <c r="D646" s="28" t="n">
        <f aca="false">'〇総括　6～7（メモなし）'!S36</f>
        <v>0</v>
      </c>
      <c r="E646" s="28" t="n">
        <f aca="false">D646-N(C646)</f>
        <v>0</v>
      </c>
      <c r="F646" s="2" t="str">
        <f aca="false">IF(AND(C646&lt;&gt;"",ROUND(E646,2)=0),"一致",IF(G646&lt;&gt;"","変更（意図的）","★相違"))</f>
        <v>一致</v>
      </c>
      <c r="G646" s="2"/>
    </row>
    <row r="647" customFormat="false" ht="15" hidden="false" customHeight="false" outlineLevel="0" collapsed="false">
      <c r="A647" s="2" t="s">
        <v>555</v>
      </c>
      <c r="B647" s="27" t="s">
        <v>266</v>
      </c>
      <c r="C647" s="28" t="n">
        <v>0</v>
      </c>
      <c r="D647" s="28" t="n">
        <f aca="false">'〇総括　6～7（メモなし）'!G37</f>
        <v>0</v>
      </c>
      <c r="E647" s="28" t="n">
        <f aca="false">D647-N(C647)</f>
        <v>0</v>
      </c>
      <c r="F647" s="2" t="str">
        <f aca="false">IF(AND(C647&lt;&gt;"",ROUND(E647,2)=0),"一致",IF(G647&lt;&gt;"","変更（意図的）","★相違"))</f>
        <v>一致</v>
      </c>
      <c r="G647" s="2"/>
    </row>
    <row r="648" customFormat="false" ht="15" hidden="false" customHeight="false" outlineLevel="0" collapsed="false">
      <c r="A648" s="2" t="s">
        <v>555</v>
      </c>
      <c r="B648" s="27" t="s">
        <v>716</v>
      </c>
      <c r="C648" s="28" t="n">
        <v>45220684</v>
      </c>
      <c r="D648" s="28" t="n">
        <f aca="false">'〇総括　6～7（メモなし）'!H37</f>
        <v>45220684</v>
      </c>
      <c r="E648" s="28" t="n">
        <f aca="false">D648-N(C648)</f>
        <v>0</v>
      </c>
      <c r="F648" s="2" t="str">
        <f aca="false">IF(AND(C648&lt;&gt;"",ROUND(E648,2)=0),"一致",IF(G648&lt;&gt;"","変更（意図的）","★相違"))</f>
        <v>一致</v>
      </c>
      <c r="G648" s="2"/>
    </row>
    <row r="649" customFormat="false" ht="15" hidden="false" customHeight="false" outlineLevel="0" collapsed="false">
      <c r="A649" s="2" t="s">
        <v>555</v>
      </c>
      <c r="B649" s="27" t="s">
        <v>717</v>
      </c>
      <c r="C649" s="28" t="n">
        <v>87548431</v>
      </c>
      <c r="D649" s="28" t="n">
        <f aca="false">'〇総括　6～7（メモなし）'!I37</f>
        <v>87548431</v>
      </c>
      <c r="E649" s="28" t="n">
        <f aca="false">D649-N(C649)</f>
        <v>0</v>
      </c>
      <c r="F649" s="2" t="str">
        <f aca="false">IF(AND(C649&lt;&gt;"",ROUND(E649,2)=0),"一致",IF(G649&lt;&gt;"","変更（意図的）","★相違"))</f>
        <v>一致</v>
      </c>
      <c r="G649" s="2"/>
    </row>
    <row r="650" customFormat="false" ht="15" hidden="false" customHeight="false" outlineLevel="0" collapsed="false">
      <c r="A650" s="2" t="s">
        <v>555</v>
      </c>
      <c r="B650" s="27" t="s">
        <v>718</v>
      </c>
      <c r="C650" s="28" t="n">
        <v>-42327747</v>
      </c>
      <c r="D650" s="28" t="n">
        <f aca="false">'〇総括　6～7（メモなし）'!J37</f>
        <v>-42327747</v>
      </c>
      <c r="E650" s="28" t="n">
        <f aca="false">D650-N(C650)</f>
        <v>0</v>
      </c>
      <c r="F650" s="2" t="str">
        <f aca="false">IF(AND(C650&lt;&gt;"",ROUND(E650,2)=0),"一致",IF(G650&lt;&gt;"","変更（意図的）","★相違"))</f>
        <v>一致</v>
      </c>
      <c r="G650" s="2"/>
    </row>
    <row r="651" customFormat="false" ht="15" hidden="false" customHeight="false" outlineLevel="0" collapsed="false">
      <c r="A651" s="2" t="s">
        <v>555</v>
      </c>
      <c r="B651" s="27" t="s">
        <v>719</v>
      </c>
      <c r="C651" s="28" t="n">
        <v>0</v>
      </c>
      <c r="D651" s="28" t="n">
        <f aca="false">'〇総括　6～7（メモなし）'!M37</f>
        <v>0</v>
      </c>
      <c r="E651" s="28" t="n">
        <f aca="false">D651-N(C651)</f>
        <v>0</v>
      </c>
      <c r="F651" s="2" t="str">
        <f aca="false">IF(AND(C651&lt;&gt;"",ROUND(E651,2)=0),"一致",IF(G651&lt;&gt;"","変更（意図的）","★相違"))</f>
        <v>一致</v>
      </c>
      <c r="G651" s="2"/>
    </row>
    <row r="652" customFormat="false" ht="15" hidden="false" customHeight="false" outlineLevel="0" collapsed="false">
      <c r="A652" s="2" t="s">
        <v>555</v>
      </c>
      <c r="B652" s="27" t="s">
        <v>720</v>
      </c>
      <c r="C652" s="28" t="n">
        <v>0</v>
      </c>
      <c r="D652" s="28" t="n">
        <f aca="false">'〇総括　6～7（メモなし）'!P37</f>
        <v>0</v>
      </c>
      <c r="E652" s="28" t="n">
        <f aca="false">D652-N(C652)</f>
        <v>0</v>
      </c>
      <c r="F652" s="2" t="str">
        <f aca="false">IF(AND(C652&lt;&gt;"",ROUND(E652,2)=0),"一致",IF(G652&lt;&gt;"","変更（意図的）","★相違"))</f>
        <v>一致</v>
      </c>
      <c r="G652" s="2"/>
    </row>
    <row r="653" customFormat="false" ht="15" hidden="false" customHeight="false" outlineLevel="0" collapsed="false">
      <c r="A653" s="2" t="s">
        <v>555</v>
      </c>
      <c r="B653" s="27" t="s">
        <v>721</v>
      </c>
      <c r="C653" s="28" t="n">
        <v>0</v>
      </c>
      <c r="D653" s="28" t="n">
        <f aca="false">'〇総括　6～7（メモなし）'!S37</f>
        <v>0</v>
      </c>
      <c r="E653" s="28" t="n">
        <f aca="false">D653-N(C653)</f>
        <v>0</v>
      </c>
      <c r="F653" s="2" t="str">
        <f aca="false">IF(AND(C653&lt;&gt;"",ROUND(E653,2)=0),"一致",IF(G653&lt;&gt;"","変更（意図的）","★相違"))</f>
        <v>一致</v>
      </c>
      <c r="G653" s="2"/>
    </row>
    <row r="654" customFormat="false" ht="15" hidden="false" customHeight="false" outlineLevel="0" collapsed="false">
      <c r="A654" s="2" t="s">
        <v>555</v>
      </c>
      <c r="B654" s="27" t="s">
        <v>300</v>
      </c>
      <c r="C654" s="28" t="n">
        <v>0</v>
      </c>
      <c r="D654" s="28" t="n">
        <f aca="false">'〇総括　6～7（メモなし）'!G38</f>
        <v>0</v>
      </c>
      <c r="E654" s="28" t="n">
        <f aca="false">D654-N(C654)</f>
        <v>0</v>
      </c>
      <c r="F654" s="2" t="str">
        <f aca="false">IF(AND(C654&lt;&gt;"",ROUND(E654,2)=0),"一致",IF(G654&lt;&gt;"","変更（意図的）","★相違"))</f>
        <v>一致</v>
      </c>
      <c r="G654" s="2"/>
    </row>
    <row r="655" customFormat="false" ht="15" hidden="false" customHeight="false" outlineLevel="0" collapsed="false">
      <c r="A655" s="2" t="s">
        <v>555</v>
      </c>
      <c r="B655" s="27" t="s">
        <v>722</v>
      </c>
      <c r="C655" s="28" t="n">
        <v>995045755</v>
      </c>
      <c r="D655" s="28" t="n">
        <f aca="false">'〇総括　6～7（メモなし）'!H38</f>
        <v>995045755</v>
      </c>
      <c r="E655" s="28" t="n">
        <f aca="false">D655-N(C655)</f>
        <v>0</v>
      </c>
      <c r="F655" s="2" t="str">
        <f aca="false">IF(AND(C655&lt;&gt;"",ROUND(E655,2)=0),"一致",IF(G655&lt;&gt;"","変更（意図的）","★相違"))</f>
        <v>一致</v>
      </c>
      <c r="G655" s="2"/>
    </row>
    <row r="656" customFormat="false" ht="15" hidden="false" customHeight="false" outlineLevel="0" collapsed="false">
      <c r="A656" s="2" t="s">
        <v>555</v>
      </c>
      <c r="B656" s="27" t="s">
        <v>723</v>
      </c>
      <c r="C656" s="28" t="n">
        <v>2016533515</v>
      </c>
      <c r="D656" s="28" t="n">
        <f aca="false">'〇総括　6～7（メモなし）'!I38</f>
        <v>2016533515</v>
      </c>
      <c r="E656" s="28" t="n">
        <f aca="false">D656-N(C656)</f>
        <v>0</v>
      </c>
      <c r="F656" s="2" t="str">
        <f aca="false">IF(AND(C656&lt;&gt;"",ROUND(E656,2)=0),"一致",IF(G656&lt;&gt;"","変更（意図的）","★相違"))</f>
        <v>一致</v>
      </c>
      <c r="G656" s="2"/>
    </row>
    <row r="657" customFormat="false" ht="15" hidden="false" customHeight="false" outlineLevel="0" collapsed="false">
      <c r="A657" s="2" t="s">
        <v>555</v>
      </c>
      <c r="B657" s="27" t="s">
        <v>724</v>
      </c>
      <c r="C657" s="28" t="n">
        <v>-1021487760</v>
      </c>
      <c r="D657" s="28" t="n">
        <f aca="false">'〇総括　6～7（メモなし）'!J38</f>
        <v>-1021487760</v>
      </c>
      <c r="E657" s="28" t="n">
        <f aca="false">D657-N(C657)</f>
        <v>0</v>
      </c>
      <c r="F657" s="2" t="str">
        <f aca="false">IF(AND(C657&lt;&gt;"",ROUND(E657,2)=0),"一致",IF(G657&lt;&gt;"","変更（意図的）","★相違"))</f>
        <v>一致</v>
      </c>
      <c r="G657" s="2"/>
    </row>
    <row r="658" customFormat="false" ht="15" hidden="false" customHeight="false" outlineLevel="0" collapsed="false">
      <c r="A658" s="2" t="s">
        <v>555</v>
      </c>
      <c r="B658" s="27" t="s">
        <v>725</v>
      </c>
      <c r="C658" s="28" t="n">
        <v>0</v>
      </c>
      <c r="D658" s="28" t="n">
        <f aca="false">'〇総括　6～7（メモなし）'!M38</f>
        <v>0</v>
      </c>
      <c r="E658" s="28" t="n">
        <f aca="false">D658-N(C658)</f>
        <v>0</v>
      </c>
      <c r="F658" s="2" t="str">
        <f aca="false">IF(AND(C658&lt;&gt;"",ROUND(E658,2)=0),"一致",IF(G658&lt;&gt;"","変更（意図的）","★相違"))</f>
        <v>一致</v>
      </c>
      <c r="G658" s="2"/>
    </row>
    <row r="659" customFormat="false" ht="15" hidden="false" customHeight="false" outlineLevel="0" collapsed="false">
      <c r="A659" s="2" t="s">
        <v>555</v>
      </c>
      <c r="B659" s="27" t="s">
        <v>726</v>
      </c>
      <c r="C659" s="28" t="n">
        <v>0</v>
      </c>
      <c r="D659" s="28" t="n">
        <f aca="false">'〇総括　6～7（メモなし）'!P38</f>
        <v>0</v>
      </c>
      <c r="E659" s="28" t="n">
        <f aca="false">D659-N(C659)</f>
        <v>0</v>
      </c>
      <c r="F659" s="2" t="str">
        <f aca="false">IF(AND(C659&lt;&gt;"",ROUND(E659,2)=0),"一致",IF(G659&lt;&gt;"","変更（意図的）","★相違"))</f>
        <v>一致</v>
      </c>
      <c r="G659" s="2"/>
    </row>
    <row r="660" customFormat="false" ht="15" hidden="false" customHeight="false" outlineLevel="0" collapsed="false">
      <c r="A660" s="2" t="s">
        <v>555</v>
      </c>
      <c r="B660" s="27" t="s">
        <v>727</v>
      </c>
      <c r="C660" s="28" t="n">
        <v>0</v>
      </c>
      <c r="D660" s="28" t="n">
        <f aca="false">'〇総括　6～7（メモなし）'!S38</f>
        <v>0</v>
      </c>
      <c r="E660" s="28" t="n">
        <f aca="false">D660-N(C660)</f>
        <v>0</v>
      </c>
      <c r="F660" s="2" t="str">
        <f aca="false">IF(AND(C660&lt;&gt;"",ROUND(E660,2)=0),"一致",IF(G660&lt;&gt;"","変更（意図的）","★相違"))</f>
        <v>一致</v>
      </c>
      <c r="G660" s="2"/>
    </row>
    <row r="661" customFormat="false" ht="15" hidden="false" customHeight="false" outlineLevel="0" collapsed="false">
      <c r="A661" s="2" t="s">
        <v>555</v>
      </c>
      <c r="B661" s="27" t="s">
        <v>218</v>
      </c>
      <c r="C661" s="28" t="n">
        <v>0</v>
      </c>
      <c r="D661" s="28" t="n">
        <f aca="false">'〇総括　6～7（メモなし）'!G39</f>
        <v>0</v>
      </c>
      <c r="E661" s="28" t="n">
        <f aca="false">D661-N(C661)</f>
        <v>0</v>
      </c>
      <c r="F661" s="2" t="str">
        <f aca="false">IF(AND(C661&lt;&gt;"",ROUND(E661,2)=0),"一致",IF(G661&lt;&gt;"","変更（意図的）","★相違"))</f>
        <v>一致</v>
      </c>
      <c r="G661" s="2"/>
    </row>
    <row r="662" customFormat="false" ht="15" hidden="false" customHeight="false" outlineLevel="0" collapsed="false">
      <c r="A662" s="2" t="s">
        <v>555</v>
      </c>
      <c r="B662" s="27" t="s">
        <v>728</v>
      </c>
      <c r="C662" s="28" t="n">
        <v>2802837274</v>
      </c>
      <c r="D662" s="28" t="n">
        <f aca="false">'〇総括　6～7（メモなし）'!H39</f>
        <v>2802837274</v>
      </c>
      <c r="E662" s="28" t="n">
        <f aca="false">D662-N(C662)</f>
        <v>0</v>
      </c>
      <c r="F662" s="2" t="str">
        <f aca="false">IF(AND(C662&lt;&gt;"",ROUND(E662,2)=0),"一致",IF(G662&lt;&gt;"","変更（意図的）","★相違"))</f>
        <v>一致</v>
      </c>
      <c r="G662" s="2"/>
    </row>
    <row r="663" customFormat="false" ht="15" hidden="false" customHeight="false" outlineLevel="0" collapsed="false">
      <c r="A663" s="2" t="s">
        <v>555</v>
      </c>
      <c r="B663" s="27" t="s">
        <v>729</v>
      </c>
      <c r="C663" s="28" t="n">
        <v>5376398659</v>
      </c>
      <c r="D663" s="28" t="n">
        <f aca="false">'〇総括　6～7（メモなし）'!I39</f>
        <v>5376398659</v>
      </c>
      <c r="E663" s="28" t="n">
        <f aca="false">D663-N(C663)</f>
        <v>0</v>
      </c>
      <c r="F663" s="2" t="str">
        <f aca="false">IF(AND(C663&lt;&gt;"",ROUND(E663,2)=0),"一致",IF(G663&lt;&gt;"","変更（意図的）","★相違"))</f>
        <v>一致</v>
      </c>
      <c r="G663" s="2"/>
    </row>
    <row r="664" customFormat="false" ht="15" hidden="false" customHeight="false" outlineLevel="0" collapsed="false">
      <c r="A664" s="2" t="s">
        <v>555</v>
      </c>
      <c r="B664" s="27" t="s">
        <v>730</v>
      </c>
      <c r="C664" s="28" t="n">
        <v>-2573561385</v>
      </c>
      <c r="D664" s="28" t="n">
        <f aca="false">'〇総括　6～7（メモなし）'!J39</f>
        <v>-2573561385</v>
      </c>
      <c r="E664" s="28" t="n">
        <f aca="false">D664-N(C664)</f>
        <v>0</v>
      </c>
      <c r="F664" s="2" t="str">
        <f aca="false">IF(AND(C664&lt;&gt;"",ROUND(E664,2)=0),"一致",IF(G664&lt;&gt;"","変更（意図的）","★相違"))</f>
        <v>一致</v>
      </c>
      <c r="G664" s="2"/>
    </row>
    <row r="665" customFormat="false" ht="15" hidden="false" customHeight="false" outlineLevel="0" collapsed="false">
      <c r="A665" s="2" t="s">
        <v>555</v>
      </c>
      <c r="B665" s="27" t="s">
        <v>731</v>
      </c>
      <c r="C665" s="28" t="n">
        <v>0</v>
      </c>
      <c r="D665" s="28" t="n">
        <f aca="false">'〇総括　6～7（メモなし）'!M39</f>
        <v>0</v>
      </c>
      <c r="E665" s="28" t="n">
        <f aca="false">D665-N(C665)</f>
        <v>0</v>
      </c>
      <c r="F665" s="2" t="str">
        <f aca="false">IF(AND(C665&lt;&gt;"",ROUND(E665,2)=0),"一致",IF(G665&lt;&gt;"","変更（意図的）","★相違"))</f>
        <v>一致</v>
      </c>
      <c r="G665" s="2"/>
    </row>
    <row r="666" customFormat="false" ht="15" hidden="false" customHeight="false" outlineLevel="0" collapsed="false">
      <c r="A666" s="2" t="s">
        <v>555</v>
      </c>
      <c r="B666" s="27" t="s">
        <v>732</v>
      </c>
      <c r="C666" s="28" t="n">
        <v>0</v>
      </c>
      <c r="D666" s="28" t="n">
        <f aca="false">'〇総括　6～7（メモなし）'!P39</f>
        <v>0</v>
      </c>
      <c r="E666" s="28" t="n">
        <f aca="false">D666-N(C666)</f>
        <v>0</v>
      </c>
      <c r="F666" s="2" t="str">
        <f aca="false">IF(AND(C666&lt;&gt;"",ROUND(E666,2)=0),"一致",IF(G666&lt;&gt;"","変更（意図的）","★相違"))</f>
        <v>一致</v>
      </c>
      <c r="G666" s="2"/>
    </row>
    <row r="667" customFormat="false" ht="15" hidden="false" customHeight="false" outlineLevel="0" collapsed="false">
      <c r="A667" s="2" t="s">
        <v>555</v>
      </c>
      <c r="B667" s="27" t="s">
        <v>733</v>
      </c>
      <c r="C667" s="28" t="n">
        <v>0</v>
      </c>
      <c r="D667" s="28" t="n">
        <f aca="false">'〇総括　6～7（メモなし）'!S39</f>
        <v>0</v>
      </c>
      <c r="E667" s="28" t="n">
        <f aca="false">D667-N(C667)</f>
        <v>0</v>
      </c>
      <c r="F667" s="2" t="str">
        <f aca="false">IF(AND(C667&lt;&gt;"",ROUND(E667,2)=0),"一致",IF(G667&lt;&gt;"","変更（意図的）","★相違"))</f>
        <v>一致</v>
      </c>
      <c r="G667" s="2"/>
    </row>
    <row r="668" customFormat="false" ht="15" hidden="false" customHeight="false" outlineLevel="0" collapsed="false">
      <c r="A668" s="2" t="s">
        <v>555</v>
      </c>
      <c r="B668" s="27" t="s">
        <v>220</v>
      </c>
      <c r="C668" s="28" t="n">
        <v>0</v>
      </c>
      <c r="D668" s="28" t="n">
        <f aca="false">'〇総括　6～7（メモなし）'!G40</f>
        <v>0</v>
      </c>
      <c r="E668" s="28" t="n">
        <f aca="false">D668-N(C668)</f>
        <v>0</v>
      </c>
      <c r="F668" s="2" t="str">
        <f aca="false">IF(AND(C668&lt;&gt;"",ROUND(E668,2)=0),"一致",IF(G668&lt;&gt;"","変更（意図的）","★相違"))</f>
        <v>一致</v>
      </c>
      <c r="G668" s="2"/>
    </row>
    <row r="669" customFormat="false" ht="15" hidden="false" customHeight="false" outlineLevel="0" collapsed="false">
      <c r="A669" s="2" t="s">
        <v>555</v>
      </c>
      <c r="B669" s="27" t="s">
        <v>734</v>
      </c>
      <c r="C669" s="28" t="n">
        <v>0</v>
      </c>
      <c r="D669" s="28" t="n">
        <f aca="false">'〇総括　6～7（メモなし）'!M40</f>
        <v>0</v>
      </c>
      <c r="E669" s="28" t="n">
        <f aca="false">D669-N(C669)</f>
        <v>0</v>
      </c>
      <c r="F669" s="2" t="str">
        <f aca="false">IF(AND(C669&lt;&gt;"",ROUND(E669,2)=0),"一致",IF(G669&lt;&gt;"","変更（意図的）","★相違"))</f>
        <v>一致</v>
      </c>
      <c r="G669" s="2"/>
    </row>
    <row r="670" customFormat="false" ht="15" hidden="false" customHeight="false" outlineLevel="0" collapsed="false">
      <c r="A670" s="2" t="s">
        <v>555</v>
      </c>
      <c r="B670" s="27" t="s">
        <v>735</v>
      </c>
      <c r="C670" s="28" t="n">
        <v>0</v>
      </c>
      <c r="D670" s="28" t="n">
        <f aca="false">'〇総括　6～7（メモなし）'!P40</f>
        <v>0</v>
      </c>
      <c r="E670" s="28" t="n">
        <f aca="false">D670-N(C670)</f>
        <v>0</v>
      </c>
      <c r="F670" s="2" t="str">
        <f aca="false">IF(AND(C670&lt;&gt;"",ROUND(E670,2)=0),"一致",IF(G670&lt;&gt;"","変更（意図的）","★相違"))</f>
        <v>一致</v>
      </c>
      <c r="G670" s="2"/>
    </row>
    <row r="671" customFormat="false" ht="15" hidden="false" customHeight="false" outlineLevel="0" collapsed="false">
      <c r="A671" s="2" t="s">
        <v>555</v>
      </c>
      <c r="B671" s="27" t="s">
        <v>736</v>
      </c>
      <c r="C671" s="28" t="n">
        <v>0</v>
      </c>
      <c r="D671" s="28" t="n">
        <f aca="false">'〇総括　6～7（メモなし）'!S40</f>
        <v>0</v>
      </c>
      <c r="E671" s="28" t="n">
        <f aca="false">D671-N(C671)</f>
        <v>0</v>
      </c>
      <c r="F671" s="2" t="str">
        <f aca="false">IF(AND(C671&lt;&gt;"",ROUND(E671,2)=0),"一致",IF(G671&lt;&gt;"","変更（意図的）","★相違"))</f>
        <v>一致</v>
      </c>
      <c r="G671" s="2"/>
    </row>
    <row r="672" customFormat="false" ht="15" hidden="false" customHeight="false" outlineLevel="0" collapsed="false">
      <c r="A672" s="2" t="s">
        <v>555</v>
      </c>
      <c r="B672" s="27" t="s">
        <v>737</v>
      </c>
      <c r="C672" s="28" t="n">
        <v>132291047</v>
      </c>
      <c r="D672" s="28" t="n">
        <f aca="false">'〇総括　6～7（メモなし）'!F41</f>
        <v>132291047</v>
      </c>
      <c r="E672" s="28" t="n">
        <f aca="false">D672-N(C672)</f>
        <v>0</v>
      </c>
      <c r="F672" s="2" t="str">
        <f aca="false">IF(AND(C672&lt;&gt;"",ROUND(E672,2)=0),"一致",IF(G672&lt;&gt;"","変更（意図的）","★相違"))</f>
        <v>一致</v>
      </c>
      <c r="G672" s="2"/>
    </row>
    <row r="673" customFormat="false" ht="15" hidden="false" customHeight="false" outlineLevel="0" collapsed="false">
      <c r="A673" s="2" t="s">
        <v>555</v>
      </c>
      <c r="B673" s="27" t="s">
        <v>222</v>
      </c>
      <c r="C673" s="28" t="n">
        <v>-132291047</v>
      </c>
      <c r="D673" s="28" t="n">
        <f aca="false">'〇総括　6～7（メモなし）'!G41</f>
        <v>-132291047</v>
      </c>
      <c r="E673" s="28" t="n">
        <f aca="false">D673-N(C673)</f>
        <v>0</v>
      </c>
      <c r="F673" s="2" t="str">
        <f aca="false">IF(AND(C673&lt;&gt;"",ROUND(E673,2)=0),"一致",IF(G673&lt;&gt;"","変更（意図的）","★相違"))</f>
        <v>一致</v>
      </c>
      <c r="G673" s="2"/>
    </row>
    <row r="674" customFormat="false" ht="15" hidden="false" customHeight="false" outlineLevel="0" collapsed="false">
      <c r="A674" s="2" t="s">
        <v>555</v>
      </c>
      <c r="B674" s="27" t="s">
        <v>738</v>
      </c>
      <c r="C674" s="28" t="n">
        <v>26027000</v>
      </c>
      <c r="D674" s="28" t="n">
        <f aca="false">'〇総括　6～7（メモなし）'!H41</f>
        <v>26027000</v>
      </c>
      <c r="E674" s="28" t="n">
        <f aca="false">D674-N(C674)</f>
        <v>0</v>
      </c>
      <c r="F674" s="2" t="str">
        <f aca="false">IF(AND(C674&lt;&gt;"",ROUND(E674,2)=0),"一致",IF(G674&lt;&gt;"","変更（意図的）","★相違"))</f>
        <v>一致</v>
      </c>
      <c r="G674" s="2"/>
    </row>
    <row r="675" customFormat="false" ht="15" hidden="false" customHeight="false" outlineLevel="0" collapsed="false">
      <c r="A675" s="2" t="s">
        <v>555</v>
      </c>
      <c r="B675" s="27" t="s">
        <v>739</v>
      </c>
      <c r="C675" s="28" t="n">
        <v>249923000</v>
      </c>
      <c r="D675" s="28" t="n">
        <f aca="false">'〇総括　6～7（メモなし）'!I41</f>
        <v>249923000</v>
      </c>
      <c r="E675" s="28" t="n">
        <f aca="false">D675-N(C675)</f>
        <v>0</v>
      </c>
      <c r="F675" s="2" t="str">
        <f aca="false">IF(AND(C675&lt;&gt;"",ROUND(E675,2)=0),"一致",IF(G675&lt;&gt;"","変更（意図的）","★相違"))</f>
        <v>一致</v>
      </c>
      <c r="G675" s="2"/>
    </row>
    <row r="676" customFormat="false" ht="15" hidden="false" customHeight="false" outlineLevel="0" collapsed="false">
      <c r="A676" s="2" t="s">
        <v>555</v>
      </c>
      <c r="B676" s="27" t="s">
        <v>740</v>
      </c>
      <c r="C676" s="28" t="n">
        <v>-223896000</v>
      </c>
      <c r="D676" s="28" t="n">
        <f aca="false">'〇総括　6～7（メモなし）'!J41</f>
        <v>-223896000</v>
      </c>
      <c r="E676" s="28" t="n">
        <f aca="false">D676-N(C676)</f>
        <v>0</v>
      </c>
      <c r="F676" s="2" t="str">
        <f aca="false">IF(AND(C676&lt;&gt;"",ROUND(E676,2)=0),"一致",IF(G676&lt;&gt;"","変更（意図的）","★相違"))</f>
        <v>一致</v>
      </c>
      <c r="G676" s="2"/>
    </row>
    <row r="677" customFormat="false" ht="15" hidden="false" customHeight="false" outlineLevel="0" collapsed="false">
      <c r="A677" s="2" t="s">
        <v>555</v>
      </c>
      <c r="B677" s="27" t="s">
        <v>741</v>
      </c>
      <c r="C677" s="28" t="n">
        <v>0</v>
      </c>
      <c r="D677" s="28" t="n">
        <f aca="false">'〇総括　6～7（メモなし）'!M41</f>
        <v>0</v>
      </c>
      <c r="E677" s="28" t="n">
        <f aca="false">D677-N(C677)</f>
        <v>0</v>
      </c>
      <c r="F677" s="2" t="str">
        <f aca="false">IF(AND(C677&lt;&gt;"",ROUND(E677,2)=0),"一致",IF(G677&lt;&gt;"","変更（意図的）","★相違"))</f>
        <v>一致</v>
      </c>
      <c r="G677" s="2"/>
    </row>
    <row r="678" customFormat="false" ht="15" hidden="false" customHeight="false" outlineLevel="0" collapsed="false">
      <c r="A678" s="2" t="s">
        <v>555</v>
      </c>
      <c r="B678" s="27" t="s">
        <v>742</v>
      </c>
      <c r="C678" s="28" t="n">
        <v>0</v>
      </c>
      <c r="D678" s="28" t="n">
        <f aca="false">'〇総括　6～7（メモなし）'!P41</f>
        <v>0</v>
      </c>
      <c r="E678" s="28" t="n">
        <f aca="false">D678-N(C678)</f>
        <v>0</v>
      </c>
      <c r="F678" s="2" t="str">
        <f aca="false">IF(AND(C678&lt;&gt;"",ROUND(E678,2)=0),"一致",IF(G678&lt;&gt;"","変更（意図的）","★相違"))</f>
        <v>一致</v>
      </c>
      <c r="G678" s="2"/>
    </row>
    <row r="679" customFormat="false" ht="15" hidden="false" customHeight="false" outlineLevel="0" collapsed="false">
      <c r="A679" s="2" t="s">
        <v>555</v>
      </c>
      <c r="B679" s="27" t="s">
        <v>743</v>
      </c>
      <c r="C679" s="28" t="n">
        <v>0</v>
      </c>
      <c r="D679" s="28" t="n">
        <f aca="false">'〇総括　6～7（メモなし）'!S41</f>
        <v>0</v>
      </c>
      <c r="E679" s="28" t="n">
        <f aca="false">D679-N(C679)</f>
        <v>0</v>
      </c>
      <c r="F679" s="2" t="str">
        <f aca="false">IF(AND(C679&lt;&gt;"",ROUND(E679,2)=0),"一致",IF(G679&lt;&gt;"","変更（意図的）","★相違"))</f>
        <v>一致</v>
      </c>
      <c r="G679" s="2"/>
    </row>
    <row r="680" customFormat="false" ht="15" hidden="false" customHeight="false" outlineLevel="0" collapsed="false">
      <c r="A680" s="2" t="s">
        <v>555</v>
      </c>
      <c r="B680" s="27" t="s">
        <v>272</v>
      </c>
      <c r="C680" s="28" t="n">
        <v>11648520</v>
      </c>
      <c r="D680" s="28" t="n">
        <f aca="false">'〇総括　6～7（メモなし）'!F42</f>
        <v>11648520</v>
      </c>
      <c r="E680" s="28" t="n">
        <f aca="false">D680-N(C680)</f>
        <v>0</v>
      </c>
      <c r="F680" s="2" t="str">
        <f aca="false">IF(AND(C680&lt;&gt;"",ROUND(E680,2)=0),"一致",IF(G680&lt;&gt;"","変更（意図的）","★相違"))</f>
        <v>一致</v>
      </c>
      <c r="G680" s="2"/>
    </row>
    <row r="681" customFormat="false" ht="15" hidden="false" customHeight="false" outlineLevel="0" collapsed="false">
      <c r="A681" s="2" t="s">
        <v>555</v>
      </c>
      <c r="B681" s="27" t="s">
        <v>224</v>
      </c>
      <c r="C681" s="28" t="n">
        <v>-11648520</v>
      </c>
      <c r="D681" s="28" t="n">
        <f aca="false">'〇総括　6～7（メモなし）'!G42</f>
        <v>-11648520</v>
      </c>
      <c r="E681" s="28" t="n">
        <f aca="false">D681-N(C681)</f>
        <v>0</v>
      </c>
      <c r="F681" s="2" t="str">
        <f aca="false">IF(AND(C681&lt;&gt;"",ROUND(E681,2)=0),"一致",IF(G681&lt;&gt;"","変更（意図的）","★相違"))</f>
        <v>一致</v>
      </c>
      <c r="G681" s="2"/>
    </row>
    <row r="682" customFormat="false" ht="15" hidden="false" customHeight="false" outlineLevel="0" collapsed="false">
      <c r="A682" s="2" t="s">
        <v>555</v>
      </c>
      <c r="B682" s="27" t="s">
        <v>744</v>
      </c>
      <c r="C682" s="28" t="n">
        <v>13252000</v>
      </c>
      <c r="D682" s="28" t="n">
        <f aca="false">'〇総括　6～7（メモなし）'!H42</f>
        <v>13252000</v>
      </c>
      <c r="E682" s="28" t="n">
        <f aca="false">D682-N(C682)</f>
        <v>0</v>
      </c>
      <c r="F682" s="2" t="str">
        <f aca="false">IF(AND(C682&lt;&gt;"",ROUND(E682,2)=0),"一致",IF(G682&lt;&gt;"","変更（意図的）","★相違"))</f>
        <v>一致</v>
      </c>
      <c r="G682" s="2"/>
    </row>
    <row r="683" customFormat="false" ht="15" hidden="false" customHeight="false" outlineLevel="0" collapsed="false">
      <c r="A683" s="2" t="s">
        <v>555</v>
      </c>
      <c r="B683" s="27" t="s">
        <v>745</v>
      </c>
      <c r="C683" s="28" t="n">
        <v>30145946</v>
      </c>
      <c r="D683" s="28" t="n">
        <f aca="false">'〇総括　6～7（メモなし）'!I42</f>
        <v>30145946</v>
      </c>
      <c r="E683" s="28" t="n">
        <f aca="false">D683-N(C683)</f>
        <v>0</v>
      </c>
      <c r="F683" s="2" t="str">
        <f aca="false">IF(AND(C683&lt;&gt;"",ROUND(E683,2)=0),"一致",IF(G683&lt;&gt;"","変更（意図的）","★相違"))</f>
        <v>一致</v>
      </c>
      <c r="G683" s="2"/>
    </row>
    <row r="684" customFormat="false" ht="15" hidden="false" customHeight="false" outlineLevel="0" collapsed="false">
      <c r="A684" s="2" t="s">
        <v>555</v>
      </c>
      <c r="B684" s="27" t="s">
        <v>746</v>
      </c>
      <c r="C684" s="28" t="n">
        <v>-16893946</v>
      </c>
      <c r="D684" s="28" t="n">
        <f aca="false">'〇総括　6～7（メモなし）'!J42</f>
        <v>-16893946</v>
      </c>
      <c r="E684" s="28" t="n">
        <f aca="false">D684-N(C684)</f>
        <v>0</v>
      </c>
      <c r="F684" s="2" t="str">
        <f aca="false">IF(AND(C684&lt;&gt;"",ROUND(E684,2)=0),"一致",IF(G684&lt;&gt;"","変更（意図的）","★相違"))</f>
        <v>一致</v>
      </c>
      <c r="G684" s="2"/>
    </row>
    <row r="685" customFormat="false" ht="15" hidden="false" customHeight="false" outlineLevel="0" collapsed="false">
      <c r="A685" s="2" t="s">
        <v>555</v>
      </c>
      <c r="B685" s="27" t="s">
        <v>747</v>
      </c>
      <c r="C685" s="28" t="n">
        <v>0</v>
      </c>
      <c r="D685" s="28" t="n">
        <f aca="false">'〇総括　6～7（メモなし）'!M42</f>
        <v>0</v>
      </c>
      <c r="E685" s="28" t="n">
        <f aca="false">D685-N(C685)</f>
        <v>0</v>
      </c>
      <c r="F685" s="2" t="str">
        <f aca="false">IF(AND(C685&lt;&gt;"",ROUND(E685,2)=0),"一致",IF(G685&lt;&gt;"","変更（意図的）","★相違"))</f>
        <v>一致</v>
      </c>
      <c r="G685" s="2"/>
    </row>
    <row r="686" customFormat="false" ht="15" hidden="false" customHeight="false" outlineLevel="0" collapsed="false">
      <c r="A686" s="2" t="s">
        <v>555</v>
      </c>
      <c r="B686" s="27" t="s">
        <v>748</v>
      </c>
      <c r="C686" s="28" t="n">
        <v>0</v>
      </c>
      <c r="D686" s="28" t="n">
        <f aca="false">'〇総括　6～7（メモなし）'!P42</f>
        <v>0</v>
      </c>
      <c r="E686" s="28" t="n">
        <f aca="false">D686-N(C686)</f>
        <v>0</v>
      </c>
      <c r="F686" s="2" t="str">
        <f aca="false">IF(AND(C686&lt;&gt;"",ROUND(E686,2)=0),"一致",IF(G686&lt;&gt;"","変更（意図的）","★相違"))</f>
        <v>一致</v>
      </c>
      <c r="G686" s="2"/>
    </row>
    <row r="687" customFormat="false" ht="15" hidden="false" customHeight="false" outlineLevel="0" collapsed="false">
      <c r="A687" s="2" t="s">
        <v>555</v>
      </c>
      <c r="B687" s="27" t="s">
        <v>749</v>
      </c>
      <c r="C687" s="28" t="n">
        <v>0</v>
      </c>
      <c r="D687" s="28" t="n">
        <f aca="false">'〇総括　6～7（メモなし）'!S42</f>
        <v>0</v>
      </c>
      <c r="E687" s="28" t="n">
        <f aca="false">D687-N(C687)</f>
        <v>0</v>
      </c>
      <c r="F687" s="2" t="str">
        <f aca="false">IF(AND(C687&lt;&gt;"",ROUND(E687,2)=0),"一致",IF(G687&lt;&gt;"","変更（意図的）","★相違"))</f>
        <v>一致</v>
      </c>
      <c r="G687" s="2"/>
    </row>
    <row r="688" customFormat="false" ht="15" hidden="false" customHeight="false" outlineLevel="0" collapsed="false">
      <c r="A688" s="2" t="s">
        <v>555</v>
      </c>
      <c r="B688" s="27" t="s">
        <v>226</v>
      </c>
      <c r="C688" s="28" t="n">
        <v>0</v>
      </c>
      <c r="D688" s="28" t="n">
        <f aca="false">'〇総括　6～7（メモなし）'!G43</f>
        <v>0</v>
      </c>
      <c r="E688" s="28" t="n">
        <f aca="false">D688-N(C688)</f>
        <v>0</v>
      </c>
      <c r="F688" s="2" t="str">
        <f aca="false">IF(AND(C688&lt;&gt;"",ROUND(E688,2)=0),"一致",IF(G688&lt;&gt;"","変更（意図的）","★相違"))</f>
        <v>一致</v>
      </c>
      <c r="G688" s="2"/>
    </row>
    <row r="689" customFormat="false" ht="15" hidden="false" customHeight="false" outlineLevel="0" collapsed="false">
      <c r="A689" s="2" t="s">
        <v>555</v>
      </c>
      <c r="B689" s="27" t="s">
        <v>750</v>
      </c>
      <c r="C689" s="28"/>
      <c r="D689" s="28" t="n">
        <f aca="false">'〇総括　6～7（メモなし）'!K43</f>
        <v>10141337</v>
      </c>
      <c r="E689" s="28" t="n">
        <f aca="false">D689-N(C689)</f>
        <v>10141337</v>
      </c>
      <c r="F689" s="2" t="str">
        <f aca="false">IF(AND(C689&lt;&gt;"",ROUND(E689,2)=0),"一致",IF(G689&lt;&gt;"","変更（意図的）","★相違"))</f>
        <v>変更（意図的）</v>
      </c>
      <c r="G689" s="2" t="s">
        <v>574</v>
      </c>
    </row>
    <row r="690" customFormat="false" ht="15" hidden="false" customHeight="false" outlineLevel="0" collapsed="false">
      <c r="A690" s="2" t="s">
        <v>555</v>
      </c>
      <c r="B690" s="27" t="s">
        <v>751</v>
      </c>
      <c r="C690" s="28" t="n">
        <v>9574938</v>
      </c>
      <c r="D690" s="28" t="n">
        <f aca="false">'〇総括　6～7（メモなし）'!L43</f>
        <v>9574938</v>
      </c>
      <c r="E690" s="28" t="n">
        <f aca="false">D690-N(C690)</f>
        <v>0</v>
      </c>
      <c r="F690" s="2" t="str">
        <f aca="false">IF(AND(C690&lt;&gt;"",ROUND(E690,2)=0),"一致",IF(G690&lt;&gt;"","変更（意図的）","★相違"))</f>
        <v>一致</v>
      </c>
      <c r="G690" s="2"/>
    </row>
    <row r="691" customFormat="false" ht="15" hidden="false" customHeight="false" outlineLevel="0" collapsed="false">
      <c r="A691" s="2" t="s">
        <v>555</v>
      </c>
      <c r="B691" s="27" t="s">
        <v>752</v>
      </c>
      <c r="C691" s="28" t="n">
        <v>-9574938</v>
      </c>
      <c r="D691" s="28" t="n">
        <f aca="false">'〇総括　6～7（メモなし）'!M43</f>
        <v>566399</v>
      </c>
      <c r="E691" s="28" t="n">
        <f aca="false">D691-N(C691)</f>
        <v>10141337</v>
      </c>
      <c r="F691" s="2" t="str">
        <f aca="false">IF(AND(C691&lt;&gt;"",ROUND(E691,2)=0),"一致",IF(G691&lt;&gt;"","変更（意図的）","★相違"))</f>
        <v>変更（意図的）</v>
      </c>
      <c r="G691" s="27" t="s">
        <v>576</v>
      </c>
    </row>
    <row r="692" customFormat="false" ht="15" hidden="false" customHeight="false" outlineLevel="0" collapsed="false">
      <c r="A692" s="2" t="s">
        <v>555</v>
      </c>
      <c r="B692" s="27" t="s">
        <v>753</v>
      </c>
      <c r="C692" s="28" t="n">
        <v>6040584</v>
      </c>
      <c r="D692" s="28" t="n">
        <f aca="false">'〇総括　6～7（メモなし）'!O43</f>
        <v>6040584</v>
      </c>
      <c r="E692" s="28" t="n">
        <f aca="false">D692-N(C692)</f>
        <v>0</v>
      </c>
      <c r="F692" s="2" t="str">
        <f aca="false">IF(AND(C692&lt;&gt;"",ROUND(E692,2)=0),"一致",IF(G692&lt;&gt;"","変更（意図的）","★相違"))</f>
        <v>一致</v>
      </c>
      <c r="G692" s="2"/>
    </row>
    <row r="693" customFormat="false" ht="15" hidden="false" customHeight="false" outlineLevel="0" collapsed="false">
      <c r="A693" s="2" t="s">
        <v>555</v>
      </c>
      <c r="B693" s="27" t="s">
        <v>754</v>
      </c>
      <c r="C693" s="28" t="n">
        <v>-6040584</v>
      </c>
      <c r="D693" s="28" t="n">
        <f aca="false">'〇総括　6～7（メモなし）'!P43</f>
        <v>-6040584</v>
      </c>
      <c r="E693" s="28" t="n">
        <f aca="false">D693-N(C693)</f>
        <v>0</v>
      </c>
      <c r="F693" s="2" t="str">
        <f aca="false">IF(AND(C693&lt;&gt;"",ROUND(E693,2)=0),"一致",IF(G693&lt;&gt;"","変更（意図的）","★相違"))</f>
        <v>一致</v>
      </c>
      <c r="G693" s="2"/>
    </row>
    <row r="694" customFormat="false" ht="15" hidden="false" customHeight="false" outlineLevel="0" collapsed="false">
      <c r="A694" s="2" t="s">
        <v>555</v>
      </c>
      <c r="B694" s="27" t="s">
        <v>755</v>
      </c>
      <c r="C694" s="28" t="n">
        <v>6160420</v>
      </c>
      <c r="D694" s="28" t="n">
        <f aca="false">'〇総括　6～7（メモなし）'!R43</f>
        <v>6160420</v>
      </c>
      <c r="E694" s="28" t="n">
        <f aca="false">D694-N(C694)</f>
        <v>0</v>
      </c>
      <c r="F694" s="2" t="str">
        <f aca="false">IF(AND(C694&lt;&gt;"",ROUND(E694,2)=0),"一致",IF(G694&lt;&gt;"","変更（意図的）","★相違"))</f>
        <v>一致</v>
      </c>
      <c r="G694" s="2"/>
    </row>
    <row r="695" customFormat="false" ht="15" hidden="false" customHeight="false" outlineLevel="0" collapsed="false">
      <c r="A695" s="2" t="s">
        <v>555</v>
      </c>
      <c r="B695" s="27" t="s">
        <v>756</v>
      </c>
      <c r="C695" s="28" t="n">
        <v>-6160420</v>
      </c>
      <c r="D695" s="28" t="n">
        <f aca="false">'〇総括　6～7（メモなし）'!S43</f>
        <v>-6160420</v>
      </c>
      <c r="E695" s="28" t="n">
        <f aca="false">D695-N(C695)</f>
        <v>0</v>
      </c>
      <c r="F695" s="2" t="str">
        <f aca="false">IF(AND(C695&lt;&gt;"",ROUND(E695,2)=0),"一致",IF(G695&lt;&gt;"","変更（意図的）","★相違"))</f>
        <v>一致</v>
      </c>
      <c r="G695" s="2"/>
    </row>
    <row r="696" customFormat="false" ht="15" hidden="false" customHeight="false" outlineLevel="0" collapsed="false">
      <c r="A696" s="2" t="s">
        <v>555</v>
      </c>
      <c r="B696" s="27" t="s">
        <v>229</v>
      </c>
      <c r="C696" s="28" t="n">
        <v>0</v>
      </c>
      <c r="D696" s="28" t="n">
        <f aca="false">'〇総括　6～7（メモなし）'!G44</f>
        <v>0</v>
      </c>
      <c r="E696" s="28" t="n">
        <f aca="false">D696-N(C696)</f>
        <v>0</v>
      </c>
      <c r="F696" s="2" t="str">
        <f aca="false">IF(AND(C696&lt;&gt;"",ROUND(E696,2)=0),"一致",IF(G696&lt;&gt;"","変更（意図的）","★相違"))</f>
        <v>一致</v>
      </c>
      <c r="G696" s="2"/>
    </row>
    <row r="697" customFormat="false" ht="15" hidden="false" customHeight="false" outlineLevel="0" collapsed="false">
      <c r="A697" s="2" t="s">
        <v>555</v>
      </c>
      <c r="B697" s="27" t="s">
        <v>757</v>
      </c>
      <c r="C697" s="28"/>
      <c r="D697" s="28" t="n">
        <f aca="false">'〇総括　6～7（メモなし）'!K44</f>
        <v>110982622</v>
      </c>
      <c r="E697" s="28" t="n">
        <f aca="false">D697-N(C697)</f>
        <v>110982622</v>
      </c>
      <c r="F697" s="2" t="str">
        <f aca="false">IF(AND(C697&lt;&gt;"",ROUND(E697,2)=0),"一致",IF(G697&lt;&gt;"","変更（意図的）","★相違"))</f>
        <v>変更（意図的）</v>
      </c>
      <c r="G697" s="2" t="s">
        <v>574</v>
      </c>
    </row>
    <row r="698" customFormat="false" ht="15" hidden="false" customHeight="false" outlineLevel="0" collapsed="false">
      <c r="A698" s="2" t="s">
        <v>555</v>
      </c>
      <c r="B698" s="27" t="s">
        <v>758</v>
      </c>
      <c r="C698" s="28" t="n">
        <v>101872292</v>
      </c>
      <c r="D698" s="28" t="n">
        <f aca="false">'〇総括　6～7（メモなし）'!L44</f>
        <v>101872292</v>
      </c>
      <c r="E698" s="28" t="n">
        <f aca="false">D698-N(C698)</f>
        <v>0</v>
      </c>
      <c r="F698" s="2" t="str">
        <f aca="false">IF(AND(C698&lt;&gt;"",ROUND(E698,2)=0),"一致",IF(G698&lt;&gt;"","変更（意図的）","★相違"))</f>
        <v>一致</v>
      </c>
      <c r="G698" s="2"/>
    </row>
    <row r="699" customFormat="false" ht="15" hidden="false" customHeight="false" outlineLevel="0" collapsed="false">
      <c r="A699" s="2" t="s">
        <v>555</v>
      </c>
      <c r="B699" s="27" t="s">
        <v>759</v>
      </c>
      <c r="C699" s="28" t="n">
        <v>-101872292</v>
      </c>
      <c r="D699" s="28" t="n">
        <f aca="false">'〇総括　6～7（メモなし）'!M44</f>
        <v>9110330</v>
      </c>
      <c r="E699" s="28" t="n">
        <f aca="false">D699-N(C699)</f>
        <v>110982622</v>
      </c>
      <c r="F699" s="2" t="str">
        <f aca="false">IF(AND(C699&lt;&gt;"",ROUND(E699,2)=0),"一致",IF(G699&lt;&gt;"","変更（意図的）","★相違"))</f>
        <v>変更（意図的）</v>
      </c>
      <c r="G699" s="27" t="s">
        <v>576</v>
      </c>
    </row>
    <row r="700" customFormat="false" ht="15" hidden="false" customHeight="false" outlineLevel="0" collapsed="false">
      <c r="A700" s="2" t="s">
        <v>555</v>
      </c>
      <c r="B700" s="27" t="s">
        <v>760</v>
      </c>
      <c r="C700" s="28" t="n">
        <v>608161999</v>
      </c>
      <c r="D700" s="28" t="n">
        <f aca="false">'〇総括　6～7（メモなし）'!O44</f>
        <v>608161999</v>
      </c>
      <c r="E700" s="28" t="n">
        <f aca="false">D700-N(C700)</f>
        <v>0</v>
      </c>
      <c r="F700" s="2" t="str">
        <f aca="false">IF(AND(C700&lt;&gt;"",ROUND(E700,2)=0),"一致",IF(G700&lt;&gt;"","変更（意図的）","★相違"))</f>
        <v>一致</v>
      </c>
      <c r="G700" s="2"/>
    </row>
    <row r="701" customFormat="false" ht="15" hidden="false" customHeight="false" outlineLevel="0" collapsed="false">
      <c r="A701" s="2" t="s">
        <v>555</v>
      </c>
      <c r="B701" s="27" t="s">
        <v>761</v>
      </c>
      <c r="C701" s="28" t="n">
        <v>-608161999</v>
      </c>
      <c r="D701" s="28" t="n">
        <f aca="false">'〇総括　6～7（メモなし）'!P44</f>
        <v>-608161999</v>
      </c>
      <c r="E701" s="28" t="n">
        <f aca="false">D701-N(C701)</f>
        <v>0</v>
      </c>
      <c r="F701" s="2" t="str">
        <f aca="false">IF(AND(C701&lt;&gt;"",ROUND(E701,2)=0),"一致",IF(G701&lt;&gt;"","変更（意図的）","★相違"))</f>
        <v>一致</v>
      </c>
      <c r="G701" s="2"/>
    </row>
    <row r="702" customFormat="false" ht="15" hidden="false" customHeight="false" outlineLevel="0" collapsed="false">
      <c r="A702" s="2" t="s">
        <v>555</v>
      </c>
      <c r="B702" s="27" t="s">
        <v>762</v>
      </c>
      <c r="C702" s="28" t="n">
        <v>11949705</v>
      </c>
      <c r="D702" s="28" t="n">
        <f aca="false">'〇総括　6～7（メモなし）'!R44</f>
        <v>11949705</v>
      </c>
      <c r="E702" s="28" t="n">
        <f aca="false">D702-N(C702)</f>
        <v>0</v>
      </c>
      <c r="F702" s="2" t="str">
        <f aca="false">IF(AND(C702&lt;&gt;"",ROUND(E702,2)=0),"一致",IF(G702&lt;&gt;"","変更（意図的）","★相違"))</f>
        <v>一致</v>
      </c>
      <c r="G702" s="2"/>
    </row>
    <row r="703" customFormat="false" ht="15" hidden="false" customHeight="false" outlineLevel="0" collapsed="false">
      <c r="A703" s="2" t="s">
        <v>555</v>
      </c>
      <c r="B703" s="27" t="s">
        <v>763</v>
      </c>
      <c r="C703" s="28" t="n">
        <v>-11949705</v>
      </c>
      <c r="D703" s="28" t="n">
        <f aca="false">'〇総括　6～7（メモなし）'!S44</f>
        <v>-11949705</v>
      </c>
      <c r="E703" s="28" t="n">
        <f aca="false">D703-N(C703)</f>
        <v>0</v>
      </c>
      <c r="F703" s="2" t="str">
        <f aca="false">IF(AND(C703&lt;&gt;"",ROUND(E703,2)=0),"一致",IF(G703&lt;&gt;"","変更（意図的）","★相違"))</f>
        <v>一致</v>
      </c>
      <c r="G703" s="2"/>
    </row>
    <row r="704" customFormat="false" ht="15" hidden="false" customHeight="false" outlineLevel="0" collapsed="false">
      <c r="A704" s="2" t="s">
        <v>555</v>
      </c>
      <c r="B704" s="27" t="s">
        <v>231</v>
      </c>
      <c r="C704" s="28" t="n">
        <v>0</v>
      </c>
      <c r="D704" s="28" t="n">
        <f aca="false">'〇総括　6～7（メモなし）'!G45</f>
        <v>0</v>
      </c>
      <c r="E704" s="28" t="n">
        <f aca="false">D704-N(C704)</f>
        <v>0</v>
      </c>
      <c r="F704" s="2" t="str">
        <f aca="false">IF(AND(C704&lt;&gt;"",ROUND(E704,2)=0),"一致",IF(G704&lt;&gt;"","変更（意図的）","★相違"))</f>
        <v>一致</v>
      </c>
      <c r="G704" s="2"/>
    </row>
    <row r="705" customFormat="false" ht="15" hidden="false" customHeight="false" outlineLevel="0" collapsed="false">
      <c r="A705" s="2" t="s">
        <v>555</v>
      </c>
      <c r="B705" s="27" t="s">
        <v>764</v>
      </c>
      <c r="C705" s="28" t="n">
        <v>0</v>
      </c>
      <c r="D705" s="28" t="n">
        <f aca="false">'〇総括　6～7（メモなし）'!M45</f>
        <v>0</v>
      </c>
      <c r="E705" s="28" t="n">
        <f aca="false">D705-N(C705)</f>
        <v>0</v>
      </c>
      <c r="F705" s="2" t="str">
        <f aca="false">IF(AND(C705&lt;&gt;"",ROUND(E705,2)=0),"一致",IF(G705&lt;&gt;"","変更（意図的）","★相違"))</f>
        <v>一致</v>
      </c>
      <c r="G705" s="2"/>
    </row>
    <row r="706" customFormat="false" ht="15" hidden="false" customHeight="false" outlineLevel="0" collapsed="false">
      <c r="A706" s="2" t="s">
        <v>555</v>
      </c>
      <c r="B706" s="27" t="s">
        <v>765</v>
      </c>
      <c r="C706" s="28" t="n">
        <v>0</v>
      </c>
      <c r="D706" s="28" t="n">
        <f aca="false">'〇総括　6～7（メモなし）'!P45</f>
        <v>0</v>
      </c>
      <c r="E706" s="28" t="n">
        <f aca="false">D706-N(C706)</f>
        <v>0</v>
      </c>
      <c r="F706" s="2" t="str">
        <f aca="false">IF(AND(C706&lt;&gt;"",ROUND(E706,2)=0),"一致",IF(G706&lt;&gt;"","変更（意図的）","★相違"))</f>
        <v>一致</v>
      </c>
      <c r="G706" s="2"/>
    </row>
    <row r="707" customFormat="false" ht="15" hidden="false" customHeight="false" outlineLevel="0" collapsed="false">
      <c r="A707" s="2" t="s">
        <v>555</v>
      </c>
      <c r="B707" s="27" t="s">
        <v>766</v>
      </c>
      <c r="C707" s="28" t="n">
        <v>0</v>
      </c>
      <c r="D707" s="28" t="n">
        <f aca="false">'〇総括　6～7（メモなし）'!S45</f>
        <v>0</v>
      </c>
      <c r="E707" s="28" t="n">
        <f aca="false">D707-N(C707)</f>
        <v>0</v>
      </c>
      <c r="F707" s="2" t="str">
        <f aca="false">IF(AND(C707&lt;&gt;"",ROUND(E707,2)=0),"一致",IF(G707&lt;&gt;"","変更（意図的）","★相違"))</f>
        <v>一致</v>
      </c>
      <c r="G707" s="2"/>
    </row>
    <row r="708" customFormat="false" ht="15" hidden="false" customHeight="false" outlineLevel="0" collapsed="false">
      <c r="A708" s="2" t="s">
        <v>555</v>
      </c>
      <c r="B708" s="27" t="s">
        <v>234</v>
      </c>
      <c r="C708" s="28" t="n">
        <v>0</v>
      </c>
      <c r="D708" s="28" t="n">
        <f aca="false">'〇総括　6～7（メモなし）'!G46</f>
        <v>0</v>
      </c>
      <c r="E708" s="28" t="n">
        <f aca="false">D708-N(C708)</f>
        <v>0</v>
      </c>
      <c r="F708" s="2" t="str">
        <f aca="false">IF(AND(C708&lt;&gt;"",ROUND(E708,2)=0),"一致",IF(G708&lt;&gt;"","変更（意図的）","★相違"))</f>
        <v>一致</v>
      </c>
      <c r="G708" s="2"/>
    </row>
    <row r="709" customFormat="false" ht="15" hidden="false" customHeight="false" outlineLevel="0" collapsed="false">
      <c r="A709" s="2" t="s">
        <v>555</v>
      </c>
      <c r="B709" s="27" t="s">
        <v>767</v>
      </c>
      <c r="C709" s="28" t="n">
        <v>0</v>
      </c>
      <c r="D709" s="28" t="n">
        <f aca="false">'〇総括　6～7（メモなし）'!M46</f>
        <v>0</v>
      </c>
      <c r="E709" s="28" t="n">
        <f aca="false">D709-N(C709)</f>
        <v>0</v>
      </c>
      <c r="F709" s="2" t="str">
        <f aca="false">IF(AND(C709&lt;&gt;"",ROUND(E709,2)=0),"一致",IF(G709&lt;&gt;"","変更（意図的）","★相違"))</f>
        <v>一致</v>
      </c>
      <c r="G709" s="2"/>
    </row>
    <row r="710" customFormat="false" ht="15" hidden="false" customHeight="false" outlineLevel="0" collapsed="false">
      <c r="A710" s="2" t="s">
        <v>555</v>
      </c>
      <c r="B710" s="27" t="s">
        <v>768</v>
      </c>
      <c r="C710" s="28" t="n">
        <v>0</v>
      </c>
      <c r="D710" s="28" t="n">
        <f aca="false">'〇総括　6～7（メモなし）'!P46</f>
        <v>0</v>
      </c>
      <c r="E710" s="28" t="n">
        <f aca="false">D710-N(C710)</f>
        <v>0</v>
      </c>
      <c r="F710" s="2" t="str">
        <f aca="false">IF(AND(C710&lt;&gt;"",ROUND(E710,2)=0),"一致",IF(G710&lt;&gt;"","変更（意図的）","★相違"))</f>
        <v>一致</v>
      </c>
      <c r="G710" s="2"/>
    </row>
    <row r="711" customFormat="false" ht="15" hidden="false" customHeight="false" outlineLevel="0" collapsed="false">
      <c r="A711" s="2" t="s">
        <v>555</v>
      </c>
      <c r="B711" s="27" t="s">
        <v>769</v>
      </c>
      <c r="C711" s="28" t="n">
        <v>0</v>
      </c>
      <c r="D711" s="28" t="n">
        <f aca="false">'〇総括　6～7（メモなし）'!S46</f>
        <v>0</v>
      </c>
      <c r="E711" s="28" t="n">
        <f aca="false">D711-N(C711)</f>
        <v>0</v>
      </c>
      <c r="F711" s="2" t="str">
        <f aca="false">IF(AND(C711&lt;&gt;"",ROUND(E711,2)=0),"一致",IF(G711&lt;&gt;"","変更（意図的）","★相違"))</f>
        <v>一致</v>
      </c>
      <c r="G711" s="2"/>
    </row>
    <row r="712" customFormat="false" ht="15" hidden="false" customHeight="false" outlineLevel="0" collapsed="false">
      <c r="A712" s="2" t="s">
        <v>555</v>
      </c>
      <c r="B712" s="27" t="s">
        <v>239</v>
      </c>
      <c r="C712" s="28" t="n">
        <v>0</v>
      </c>
      <c r="D712" s="28" t="n">
        <f aca="false">'〇総括　6～7（メモなし）'!F47</f>
        <v>0</v>
      </c>
      <c r="E712" s="28" t="n">
        <f aca="false">D712-N(C712)</f>
        <v>0</v>
      </c>
      <c r="F712" s="2" t="str">
        <f aca="false">IF(AND(C712&lt;&gt;"",ROUND(E712,2)=0),"一致",IF(G712&lt;&gt;"","変更（意図的）","★相違"))</f>
        <v>一致</v>
      </c>
      <c r="G712" s="2"/>
    </row>
    <row r="713" customFormat="false" ht="15" hidden="false" customHeight="false" outlineLevel="0" collapsed="false">
      <c r="A713" s="2" t="s">
        <v>555</v>
      </c>
      <c r="B713" s="27" t="s">
        <v>240</v>
      </c>
      <c r="C713" s="28" t="n">
        <v>0</v>
      </c>
      <c r="D713" s="28" t="n">
        <f aca="false">'〇総括　6～7（メモなし）'!G47</f>
        <v>0</v>
      </c>
      <c r="E713" s="28" t="n">
        <f aca="false">D713-N(C713)</f>
        <v>0</v>
      </c>
      <c r="F713" s="2" t="str">
        <f aca="false">IF(AND(C713&lt;&gt;"",ROUND(E713,2)=0),"一致",IF(G713&lt;&gt;"","変更（意図的）","★相違"))</f>
        <v>一致</v>
      </c>
      <c r="G713" s="2"/>
    </row>
    <row r="714" customFormat="false" ht="15" hidden="false" customHeight="false" outlineLevel="0" collapsed="false">
      <c r="A714" s="2" t="s">
        <v>555</v>
      </c>
      <c r="B714" s="27" t="s">
        <v>770</v>
      </c>
      <c r="C714" s="28"/>
      <c r="D714" s="28" t="n">
        <f aca="false">'〇総括　6～7（メモなし）'!K47</f>
        <v>0</v>
      </c>
      <c r="E714" s="28" t="n">
        <f aca="false">D714-N(C714)</f>
        <v>0</v>
      </c>
      <c r="F714" s="2" t="str">
        <f aca="false">IF(AND(C714&lt;&gt;"",ROUND(E714,2)=0),"一致",IF(G714&lt;&gt;"","変更（意図的）","★相違"))</f>
        <v>変更（意図的）</v>
      </c>
      <c r="G714" s="2" t="s">
        <v>142</v>
      </c>
    </row>
    <row r="715" customFormat="false" ht="15" hidden="false" customHeight="false" outlineLevel="0" collapsed="false">
      <c r="A715" s="2" t="s">
        <v>555</v>
      </c>
      <c r="B715" s="27" t="s">
        <v>771</v>
      </c>
      <c r="C715" s="28" t="n">
        <v>0</v>
      </c>
      <c r="D715" s="28" t="n">
        <f aca="false">'〇総括　6～7（メモなし）'!M47</f>
        <v>0</v>
      </c>
      <c r="E715" s="28" t="n">
        <f aca="false">D715-N(C715)</f>
        <v>0</v>
      </c>
      <c r="F715" s="2" t="str">
        <f aca="false">IF(AND(C715&lt;&gt;"",ROUND(E715,2)=0),"一致",IF(G715&lt;&gt;"","変更（意図的）","★相違"))</f>
        <v>一致</v>
      </c>
      <c r="G715" s="2"/>
    </row>
    <row r="716" customFormat="false" ht="15" hidden="false" customHeight="false" outlineLevel="0" collapsed="false">
      <c r="A716" s="2" t="s">
        <v>555</v>
      </c>
      <c r="B716" s="27" t="s">
        <v>772</v>
      </c>
      <c r="C716" s="28" t="n">
        <v>0</v>
      </c>
      <c r="D716" s="28" t="n">
        <f aca="false">'〇総括　6～7（メモなし）'!O47</f>
        <v>0</v>
      </c>
      <c r="E716" s="28" t="n">
        <f aca="false">D716-N(C716)</f>
        <v>0</v>
      </c>
      <c r="F716" s="2" t="str">
        <f aca="false">IF(AND(C716&lt;&gt;"",ROUND(E716,2)=0),"一致",IF(G716&lt;&gt;"","変更（意図的）","★相違"))</f>
        <v>一致</v>
      </c>
      <c r="G716" s="2"/>
    </row>
    <row r="717" customFormat="false" ht="15" hidden="false" customHeight="false" outlineLevel="0" collapsed="false">
      <c r="A717" s="2" t="s">
        <v>555</v>
      </c>
      <c r="B717" s="27" t="s">
        <v>773</v>
      </c>
      <c r="C717" s="28" t="n">
        <v>0</v>
      </c>
      <c r="D717" s="28" t="n">
        <f aca="false">'〇総括　6～7（メモなし）'!P47</f>
        <v>0</v>
      </c>
      <c r="E717" s="28" t="n">
        <f aca="false">D717-N(C717)</f>
        <v>0</v>
      </c>
      <c r="F717" s="2" t="str">
        <f aca="false">IF(AND(C717&lt;&gt;"",ROUND(E717,2)=0),"一致",IF(G717&lt;&gt;"","変更（意図的）","★相違"))</f>
        <v>一致</v>
      </c>
      <c r="G717" s="2"/>
    </row>
    <row r="718" customFormat="false" ht="15" hidden="false" customHeight="false" outlineLevel="0" collapsed="false">
      <c r="A718" s="2" t="s">
        <v>555</v>
      </c>
      <c r="B718" s="27" t="s">
        <v>774</v>
      </c>
      <c r="C718" s="28" t="n">
        <v>0</v>
      </c>
      <c r="D718" s="28" t="n">
        <f aca="false">'〇総括　6～7（メモなし）'!S47</f>
        <v>0</v>
      </c>
      <c r="E718" s="28" t="n">
        <f aca="false">D718-N(C718)</f>
        <v>0</v>
      </c>
      <c r="F718" s="2" t="str">
        <f aca="false">IF(AND(C718&lt;&gt;"",ROUND(E718,2)=0),"一致",IF(G718&lt;&gt;"","変更（意図的）","★相違"))</f>
        <v>一致</v>
      </c>
      <c r="G718" s="2"/>
    </row>
    <row r="719" customFormat="false" ht="15" hidden="false" customHeight="false" outlineLevel="0" collapsed="false">
      <c r="A719" s="2" t="s">
        <v>555</v>
      </c>
      <c r="B719" s="27" t="s">
        <v>245</v>
      </c>
      <c r="C719" s="28" t="n">
        <v>876229790</v>
      </c>
      <c r="D719" s="28" t="n">
        <f aca="false">'〇総括　6～7（メモなし）'!F48</f>
        <v>876229790</v>
      </c>
      <c r="E719" s="28" t="n">
        <f aca="false">D719-N(C719)</f>
        <v>0</v>
      </c>
      <c r="F719" s="2" t="str">
        <f aca="false">IF(AND(C719&lt;&gt;"",ROUND(E719,2)=0),"一致",IF(G719&lt;&gt;"","変更（意図的）","★相違"))</f>
        <v>一致</v>
      </c>
      <c r="G719" s="2"/>
    </row>
    <row r="720" customFormat="false" ht="15" hidden="false" customHeight="false" outlineLevel="0" collapsed="false">
      <c r="A720" s="2" t="s">
        <v>555</v>
      </c>
      <c r="B720" s="27" t="s">
        <v>246</v>
      </c>
      <c r="C720" s="28" t="n">
        <v>-876229790</v>
      </c>
      <c r="D720" s="28" t="n">
        <f aca="false">'〇総括　6～7（メモなし）'!G48</f>
        <v>-876229790</v>
      </c>
      <c r="E720" s="28" t="n">
        <f aca="false">D720-N(C720)</f>
        <v>0</v>
      </c>
      <c r="F720" s="2" t="str">
        <f aca="false">IF(AND(C720&lt;&gt;"",ROUND(E720,2)=0),"一致",IF(G720&lt;&gt;"","変更（意図的）","★相違"))</f>
        <v>一致</v>
      </c>
      <c r="G720" s="2"/>
    </row>
    <row r="721" customFormat="false" ht="15" hidden="false" customHeight="false" outlineLevel="0" collapsed="false">
      <c r="A721" s="2" t="s">
        <v>555</v>
      </c>
      <c r="B721" s="27" t="s">
        <v>775</v>
      </c>
      <c r="C721" s="28" t="n">
        <v>0</v>
      </c>
      <c r="D721" s="28" t="n">
        <f aca="false">'〇総括　6～7（メモなし）'!M48</f>
        <v>0</v>
      </c>
      <c r="E721" s="28" t="n">
        <f aca="false">D721-N(C721)</f>
        <v>0</v>
      </c>
      <c r="F721" s="2" t="str">
        <f aca="false">IF(AND(C721&lt;&gt;"",ROUND(E721,2)=0),"一致",IF(G721&lt;&gt;"","変更（意図的）","★相違"))</f>
        <v>一致</v>
      </c>
      <c r="G721" s="2"/>
    </row>
    <row r="722" customFormat="false" ht="15" hidden="false" customHeight="false" outlineLevel="0" collapsed="false">
      <c r="A722" s="2" t="s">
        <v>555</v>
      </c>
      <c r="B722" s="27" t="s">
        <v>776</v>
      </c>
      <c r="C722" s="28" t="n">
        <v>0</v>
      </c>
      <c r="D722" s="28" t="n">
        <f aca="false">'〇総括　6～7（メモなし）'!P48</f>
        <v>0</v>
      </c>
      <c r="E722" s="28" t="n">
        <f aca="false">D722-N(C722)</f>
        <v>0</v>
      </c>
      <c r="F722" s="2" t="str">
        <f aca="false">IF(AND(C722&lt;&gt;"",ROUND(E722,2)=0),"一致",IF(G722&lt;&gt;"","変更（意図的）","★相違"))</f>
        <v>一致</v>
      </c>
      <c r="G722" s="2"/>
    </row>
    <row r="723" customFormat="false" ht="15" hidden="false" customHeight="false" outlineLevel="0" collapsed="false">
      <c r="A723" s="2" t="s">
        <v>555</v>
      </c>
      <c r="B723" s="27" t="s">
        <v>777</v>
      </c>
      <c r="C723" s="28" t="n">
        <v>0</v>
      </c>
      <c r="D723" s="28" t="n">
        <f aca="false">'〇総括　6～7（メモなし）'!S48</f>
        <v>0</v>
      </c>
      <c r="E723" s="28" t="n">
        <f aca="false">D723-N(C723)</f>
        <v>0</v>
      </c>
      <c r="F723" s="2" t="str">
        <f aca="false">IF(AND(C723&lt;&gt;"",ROUND(E723,2)=0),"一致",IF(G723&lt;&gt;"","変更（意図的）","★相違"))</f>
        <v>一致</v>
      </c>
      <c r="G723" s="2"/>
    </row>
    <row r="724" customFormat="false" ht="15" hidden="false" customHeight="false" outlineLevel="0" collapsed="false">
      <c r="A724" s="2" t="s">
        <v>555</v>
      </c>
      <c r="B724" s="27" t="s">
        <v>778</v>
      </c>
      <c r="C724" s="28" t="n">
        <v>0</v>
      </c>
      <c r="D724" s="28" t="n">
        <f aca="false">'〇総括　6～7（メモなし）'!E49</f>
        <v>0</v>
      </c>
      <c r="E724" s="28" t="n">
        <f aca="false">D724-N(C724)</f>
        <v>0</v>
      </c>
      <c r="F724" s="2" t="str">
        <f aca="false">IF(AND(C724&lt;&gt;"",ROUND(E724,2)=0),"一致",IF(G724&lt;&gt;"","変更（意図的）","★相違"))</f>
        <v>一致</v>
      </c>
      <c r="G724" s="2"/>
    </row>
    <row r="725" customFormat="false" ht="15" hidden="false" customHeight="false" outlineLevel="0" collapsed="false">
      <c r="A725" s="2" t="s">
        <v>555</v>
      </c>
      <c r="B725" s="27" t="s">
        <v>779</v>
      </c>
      <c r="C725" s="28" t="n">
        <v>12539164712</v>
      </c>
      <c r="D725" s="28" t="n">
        <f aca="false">'〇総括　6～7（メモなし）'!F49</f>
        <v>12539164712</v>
      </c>
      <c r="E725" s="28" t="n">
        <f aca="false">D725-N(C725)</f>
        <v>0</v>
      </c>
      <c r="F725" s="2" t="str">
        <f aca="false">IF(AND(C725&lt;&gt;"",ROUND(E725,2)=0),"一致",IF(G725&lt;&gt;"","変更（意図的）","★相違"))</f>
        <v>一致</v>
      </c>
      <c r="G725" s="2"/>
    </row>
    <row r="726" customFormat="false" ht="15" hidden="false" customHeight="false" outlineLevel="0" collapsed="false">
      <c r="A726" s="2" t="s">
        <v>555</v>
      </c>
      <c r="B726" s="27" t="s">
        <v>780</v>
      </c>
      <c r="C726" s="28" t="n">
        <v>-12539164712</v>
      </c>
      <c r="D726" s="28" t="n">
        <f aca="false">'〇総括　6～7（メモなし）'!G49</f>
        <v>-12539164712</v>
      </c>
      <c r="E726" s="28" t="n">
        <f aca="false">D726-N(C726)</f>
        <v>0</v>
      </c>
      <c r="F726" s="2" t="str">
        <f aca="false">IF(AND(C726&lt;&gt;"",ROUND(E726,2)=0),"一致",IF(G726&lt;&gt;"","変更（意図的）","★相違"))</f>
        <v>一致</v>
      </c>
      <c r="G726" s="2"/>
    </row>
    <row r="727" customFormat="false" ht="15" hidden="false" customHeight="false" outlineLevel="0" collapsed="false">
      <c r="A727" s="2" t="s">
        <v>555</v>
      </c>
      <c r="B727" s="27" t="s">
        <v>279</v>
      </c>
      <c r="C727" s="28" t="n">
        <v>9398399172</v>
      </c>
      <c r="D727" s="28" t="n">
        <f aca="false">'〇総括　6～7（メモなし）'!H49</f>
        <v>9398399172</v>
      </c>
      <c r="E727" s="28" t="n">
        <f aca="false">D727-N(C727)</f>
        <v>0</v>
      </c>
      <c r="F727" s="2" t="str">
        <f aca="false">IF(AND(C727&lt;&gt;"",ROUND(E727,2)=0),"一致",IF(G727&lt;&gt;"","変更（意図的）","★相違"))</f>
        <v>一致</v>
      </c>
      <c r="G727" s="2"/>
    </row>
    <row r="728" customFormat="false" ht="15" hidden="false" customHeight="false" outlineLevel="0" collapsed="false">
      <c r="A728" s="2" t="s">
        <v>555</v>
      </c>
      <c r="B728" s="27" t="s">
        <v>781</v>
      </c>
      <c r="C728" s="28" t="n">
        <v>18547871319</v>
      </c>
      <c r="D728" s="28" t="n">
        <f aca="false">'〇総括　6～7（メモなし）'!I49</f>
        <v>18547871319</v>
      </c>
      <c r="E728" s="28" t="n">
        <f aca="false">D728-N(C728)</f>
        <v>0</v>
      </c>
      <c r="F728" s="2" t="str">
        <f aca="false">IF(AND(C728&lt;&gt;"",ROUND(E728,2)=0),"一致",IF(G728&lt;&gt;"","変更（意図的）","★相違"))</f>
        <v>一致</v>
      </c>
      <c r="G728" s="2"/>
    </row>
    <row r="729" customFormat="false" ht="15" hidden="false" customHeight="false" outlineLevel="0" collapsed="false">
      <c r="A729" s="2" t="s">
        <v>555</v>
      </c>
      <c r="B729" s="27" t="s">
        <v>782</v>
      </c>
      <c r="C729" s="28" t="n">
        <v>-9149472147</v>
      </c>
      <c r="D729" s="28" t="n">
        <f aca="false">'〇総括　6～7（メモなし）'!J49</f>
        <v>-9149472147</v>
      </c>
      <c r="E729" s="28" t="n">
        <f aca="false">D729-N(C729)</f>
        <v>0</v>
      </c>
      <c r="F729" s="2" t="str">
        <f aca="false">IF(AND(C729&lt;&gt;"",ROUND(E729,2)=0),"一致",IF(G729&lt;&gt;"","変更（意図的）","★相違"))</f>
        <v>一致</v>
      </c>
      <c r="G729" s="2"/>
    </row>
    <row r="730" customFormat="false" ht="15" hidden="false" customHeight="false" outlineLevel="0" collapsed="false">
      <c r="A730" s="2" t="s">
        <v>555</v>
      </c>
      <c r="B730" s="27" t="s">
        <v>783</v>
      </c>
      <c r="C730" s="28" t="n">
        <v>0</v>
      </c>
      <c r="D730" s="28" t="n">
        <f aca="false">'〇総括　6～7（メモなし）'!K49</f>
        <v>121123959</v>
      </c>
      <c r="E730" s="28" t="n">
        <f aca="false">D730-N(C730)</f>
        <v>121123959</v>
      </c>
      <c r="F730" s="2" t="str">
        <f aca="false">IF(AND(C730&lt;&gt;"",ROUND(E730,2)=0),"一致",IF(G730&lt;&gt;"","変更（意図的）","★相違"))</f>
        <v>変更（意図的）</v>
      </c>
      <c r="G730" s="2" t="s">
        <v>674</v>
      </c>
    </row>
    <row r="731" customFormat="false" ht="15" hidden="false" customHeight="false" outlineLevel="0" collapsed="false">
      <c r="A731" s="2" t="s">
        <v>555</v>
      </c>
      <c r="B731" s="27" t="s">
        <v>784</v>
      </c>
      <c r="C731" s="28" t="n">
        <v>111447230</v>
      </c>
      <c r="D731" s="28" t="n">
        <f aca="false">'〇総括　6～7（メモなし）'!L49</f>
        <v>111447230</v>
      </c>
      <c r="E731" s="28" t="n">
        <f aca="false">D731-N(C731)</f>
        <v>0</v>
      </c>
      <c r="F731" s="2" t="str">
        <f aca="false">IF(AND(C731&lt;&gt;"",ROUND(E731,2)=0),"一致",IF(G731&lt;&gt;"","変更（意図的）","★相違"))</f>
        <v>一致</v>
      </c>
      <c r="G731" s="2"/>
    </row>
    <row r="732" customFormat="false" ht="15" hidden="false" customHeight="false" outlineLevel="0" collapsed="false">
      <c r="A732" s="2" t="s">
        <v>555</v>
      </c>
      <c r="B732" s="27" t="s">
        <v>785</v>
      </c>
      <c r="C732" s="28" t="n">
        <v>-111447230</v>
      </c>
      <c r="D732" s="28" t="n">
        <f aca="false">'〇総括　6～7（メモなし）'!M49</f>
        <v>9676729</v>
      </c>
      <c r="E732" s="28" t="n">
        <f aca="false">D732-N(C732)</f>
        <v>121123959</v>
      </c>
      <c r="F732" s="2" t="str">
        <f aca="false">IF(AND(C732&lt;&gt;"",ROUND(E732,2)=0),"一致",IF(G732&lt;&gt;"","変更（意図的）","★相違"))</f>
        <v>変更（意図的）</v>
      </c>
      <c r="G732" s="27" t="s">
        <v>576</v>
      </c>
    </row>
    <row r="733" customFormat="false" ht="15" hidden="false" customHeight="false" outlineLevel="0" collapsed="false">
      <c r="A733" s="2" t="s">
        <v>555</v>
      </c>
      <c r="B733" s="27" t="s">
        <v>786</v>
      </c>
      <c r="C733" s="28" t="n">
        <v>0</v>
      </c>
      <c r="D733" s="28" t="n">
        <f aca="false">'〇総括　6～7（メモなし）'!N49</f>
        <v>0</v>
      </c>
      <c r="E733" s="28" t="n">
        <f aca="false">D733-N(C733)</f>
        <v>0</v>
      </c>
      <c r="F733" s="2" t="str">
        <f aca="false">IF(AND(C733&lt;&gt;"",ROUND(E733,2)=0),"一致",IF(G733&lt;&gt;"","変更（意図的）","★相違"))</f>
        <v>一致</v>
      </c>
      <c r="G733" s="2"/>
    </row>
    <row r="734" customFormat="false" ht="15" hidden="false" customHeight="false" outlineLevel="0" collapsed="false">
      <c r="A734" s="2" t="s">
        <v>555</v>
      </c>
      <c r="B734" s="27" t="s">
        <v>787</v>
      </c>
      <c r="C734" s="28" t="n">
        <v>614202583</v>
      </c>
      <c r="D734" s="28" t="n">
        <f aca="false">'〇総括　6～7（メモなし）'!O49</f>
        <v>614202583</v>
      </c>
      <c r="E734" s="28" t="n">
        <f aca="false">D734-N(C734)</f>
        <v>0</v>
      </c>
      <c r="F734" s="2" t="str">
        <f aca="false">IF(AND(C734&lt;&gt;"",ROUND(E734,2)=0),"一致",IF(G734&lt;&gt;"","変更（意図的）","★相違"))</f>
        <v>一致</v>
      </c>
      <c r="G734" s="2"/>
    </row>
    <row r="735" customFormat="false" ht="15" hidden="false" customHeight="false" outlineLevel="0" collapsed="false">
      <c r="A735" s="2" t="s">
        <v>555</v>
      </c>
      <c r="B735" s="27" t="s">
        <v>788</v>
      </c>
      <c r="C735" s="28" t="n">
        <v>-614202583</v>
      </c>
      <c r="D735" s="28" t="n">
        <f aca="false">'〇総括　6～7（メモなし）'!P49</f>
        <v>-614202583</v>
      </c>
      <c r="E735" s="28" t="n">
        <f aca="false">D735-N(C735)</f>
        <v>0</v>
      </c>
      <c r="F735" s="2" t="str">
        <f aca="false">IF(AND(C735&lt;&gt;"",ROUND(E735,2)=0),"一致",IF(G735&lt;&gt;"","変更（意図的）","★相違"))</f>
        <v>一致</v>
      </c>
      <c r="G735" s="2"/>
    </row>
    <row r="736" customFormat="false" ht="15" hidden="false" customHeight="false" outlineLevel="0" collapsed="false">
      <c r="A736" s="2" t="s">
        <v>555</v>
      </c>
      <c r="B736" s="27" t="s">
        <v>789</v>
      </c>
      <c r="C736" s="28" t="n">
        <v>0</v>
      </c>
      <c r="D736" s="28" t="n">
        <f aca="false">'〇総括　6～7（メモなし）'!Q49</f>
        <v>0</v>
      </c>
      <c r="E736" s="28" t="n">
        <f aca="false">D736-N(C736)</f>
        <v>0</v>
      </c>
      <c r="F736" s="2" t="str">
        <f aca="false">IF(AND(C736&lt;&gt;"",ROUND(E736,2)=0),"一致",IF(G736&lt;&gt;"","変更（意図的）","★相違"))</f>
        <v>一致</v>
      </c>
      <c r="G736" s="2"/>
    </row>
    <row r="737" customFormat="false" ht="15" hidden="false" customHeight="false" outlineLevel="0" collapsed="false">
      <c r="A737" s="2" t="s">
        <v>555</v>
      </c>
      <c r="B737" s="27" t="s">
        <v>790</v>
      </c>
      <c r="C737" s="28" t="n">
        <v>18110125</v>
      </c>
      <c r="D737" s="28" t="n">
        <f aca="false">'〇総括　6～7（メモなし）'!R49</f>
        <v>18110125</v>
      </c>
      <c r="E737" s="28" t="n">
        <f aca="false">D737-N(C737)</f>
        <v>0</v>
      </c>
      <c r="F737" s="2" t="str">
        <f aca="false">IF(AND(C737&lt;&gt;"",ROUND(E737,2)=0),"一致",IF(G737&lt;&gt;"","変更（意図的）","★相違"))</f>
        <v>一致</v>
      </c>
      <c r="G737" s="2"/>
    </row>
    <row r="738" customFormat="false" ht="15" hidden="false" customHeight="false" outlineLevel="0" collapsed="false">
      <c r="A738" s="2" t="s">
        <v>555</v>
      </c>
      <c r="B738" s="27" t="s">
        <v>791</v>
      </c>
      <c r="C738" s="28" t="n">
        <v>-18110125</v>
      </c>
      <c r="D738" s="28" t="n">
        <f aca="false">'〇総括　6～7（メモなし）'!S49</f>
        <v>-18110125</v>
      </c>
      <c r="E738" s="28" t="n">
        <f aca="false">D738-N(C738)</f>
        <v>0</v>
      </c>
      <c r="F738" s="2" t="str">
        <f aca="false">IF(AND(C738&lt;&gt;"",ROUND(E738,2)=0),"一致",IF(G738&lt;&gt;"","変更（意図的）","★相違"))</f>
        <v>一致</v>
      </c>
      <c r="G738" s="2"/>
    </row>
    <row r="739" customFormat="false" ht="15" hidden="false" customHeight="false" outlineLevel="0" collapsed="false">
      <c r="A739" s="2" t="s">
        <v>555</v>
      </c>
      <c r="B739" s="27" t="s">
        <v>792</v>
      </c>
      <c r="C739" s="28" t="n">
        <v>0</v>
      </c>
      <c r="D739" s="28" t="n">
        <f aca="false">'〇総括　6～7（メモなし）'!E50</f>
        <v>0</v>
      </c>
      <c r="E739" s="28" t="n">
        <f aca="false">D739-N(C739)</f>
        <v>0</v>
      </c>
      <c r="F739" s="2" t="str">
        <f aca="false">IF(AND(C739&lt;&gt;"",ROUND(E739,2)=0),"一致",IF(G739&lt;&gt;"","変更（意図的）","★相違"))</f>
        <v>一致</v>
      </c>
      <c r="G739" s="2"/>
    </row>
    <row r="740" customFormat="false" ht="15" hidden="false" customHeight="false" outlineLevel="0" collapsed="false">
      <c r="A740" s="2" t="s">
        <v>555</v>
      </c>
      <c r="B740" s="27" t="s">
        <v>793</v>
      </c>
      <c r="C740" s="28" t="n">
        <v>824180510</v>
      </c>
      <c r="D740" s="28" t="n">
        <f aca="false">'〇総括　6～7（メモなし）'!F50</f>
        <v>824180510</v>
      </c>
      <c r="E740" s="28" t="n">
        <f aca="false">D740-N(C740)</f>
        <v>0</v>
      </c>
      <c r="F740" s="2" t="str">
        <f aca="false">IF(AND(C740&lt;&gt;"",ROUND(E740,2)=0),"一致",IF(G740&lt;&gt;"","変更（意図的）","★相違"))</f>
        <v>一致</v>
      </c>
      <c r="G740" s="2"/>
    </row>
    <row r="741" customFormat="false" ht="15" hidden="false" customHeight="false" outlineLevel="0" collapsed="false">
      <c r="A741" s="2" t="s">
        <v>555</v>
      </c>
      <c r="B741" s="27" t="s">
        <v>281</v>
      </c>
      <c r="C741" s="28" t="n">
        <v>-824180510</v>
      </c>
      <c r="D741" s="28" t="n">
        <f aca="false">'〇総括　6～7（メモなし）'!G50</f>
        <v>-824180510</v>
      </c>
      <c r="E741" s="28" t="n">
        <f aca="false">D741-N(C741)</f>
        <v>0</v>
      </c>
      <c r="F741" s="2" t="str">
        <f aca="false">IF(AND(C741&lt;&gt;"",ROUND(E741,2)=0),"一致",IF(G741&lt;&gt;"","変更（意図的）","★相違"))</f>
        <v>一致</v>
      </c>
      <c r="G741" s="2"/>
    </row>
    <row r="742" customFormat="false" ht="15" hidden="false" customHeight="false" outlineLevel="0" collapsed="false">
      <c r="A742" s="2" t="s">
        <v>555</v>
      </c>
      <c r="B742" s="27" t="s">
        <v>794</v>
      </c>
      <c r="C742" s="28" t="n">
        <v>944336817</v>
      </c>
      <c r="D742" s="28" t="n">
        <f aca="false">'〇総括　6～7（メモなし）'!H50</f>
        <v>944336817</v>
      </c>
      <c r="E742" s="28" t="n">
        <f aca="false">D742-N(C742)</f>
        <v>0</v>
      </c>
      <c r="F742" s="2" t="str">
        <f aca="false">IF(AND(C742&lt;&gt;"",ROUND(E742,2)=0),"一致",IF(G742&lt;&gt;"","変更（意図的）","★相違"))</f>
        <v>一致</v>
      </c>
      <c r="G742" s="2"/>
    </row>
    <row r="743" customFormat="false" ht="15" hidden="false" customHeight="false" outlineLevel="0" collapsed="false">
      <c r="A743" s="2" t="s">
        <v>555</v>
      </c>
      <c r="B743" s="27" t="s">
        <v>795</v>
      </c>
      <c r="C743" s="28" t="n">
        <v>669911578</v>
      </c>
      <c r="D743" s="28" t="n">
        <f aca="false">'〇総括　6～7（メモなし）'!I50</f>
        <v>669911578</v>
      </c>
      <c r="E743" s="28" t="n">
        <f aca="false">D743-N(C743)</f>
        <v>0</v>
      </c>
      <c r="F743" s="2" t="str">
        <f aca="false">IF(AND(C743&lt;&gt;"",ROUND(E743,2)=0),"一致",IF(G743&lt;&gt;"","変更（意図的）","★相違"))</f>
        <v>一致</v>
      </c>
      <c r="G743" s="2"/>
    </row>
    <row r="744" customFormat="false" ht="15" hidden="false" customHeight="false" outlineLevel="0" collapsed="false">
      <c r="A744" s="2" t="s">
        <v>555</v>
      </c>
      <c r="B744" s="27" t="s">
        <v>796</v>
      </c>
      <c r="C744" s="28" t="n">
        <v>274425239</v>
      </c>
      <c r="D744" s="28" t="n">
        <f aca="false">'〇総括　6～7（メモなし）'!J50</f>
        <v>274425239</v>
      </c>
      <c r="E744" s="28" t="n">
        <f aca="false">D744-N(C744)</f>
        <v>0</v>
      </c>
      <c r="F744" s="2" t="str">
        <f aca="false">IF(AND(C744&lt;&gt;"",ROUND(E744,2)=0),"一致",IF(G744&lt;&gt;"","変更（意図的）","★相違"))</f>
        <v>一致</v>
      </c>
      <c r="G744" s="2"/>
    </row>
    <row r="745" customFormat="false" ht="15" hidden="false" customHeight="false" outlineLevel="0" collapsed="false">
      <c r="A745" s="2" t="s">
        <v>555</v>
      </c>
      <c r="B745" s="27" t="s">
        <v>797</v>
      </c>
      <c r="C745" s="28" t="n">
        <v>0</v>
      </c>
      <c r="D745" s="28" t="n">
        <f aca="false">'〇総括　6～7（メモなし）'!K50</f>
        <v>3603510</v>
      </c>
      <c r="E745" s="28" t="n">
        <f aca="false">D745-N(C745)</f>
        <v>3603510</v>
      </c>
      <c r="F745" s="2" t="str">
        <f aca="false">IF(AND(C745&lt;&gt;"",ROUND(E745,2)=0),"一致",IF(G745&lt;&gt;"","変更（意図的）","★相違"))</f>
        <v>変更（意図的）</v>
      </c>
      <c r="G745" s="2" t="s">
        <v>674</v>
      </c>
    </row>
    <row r="746" customFormat="false" ht="15" hidden="false" customHeight="false" outlineLevel="0" collapsed="false">
      <c r="A746" s="2" t="s">
        <v>555</v>
      </c>
      <c r="B746" s="27" t="s">
        <v>798</v>
      </c>
      <c r="C746" s="28" t="n">
        <v>4500788</v>
      </c>
      <c r="D746" s="28" t="n">
        <f aca="false">'〇総括　6～7（メモなし）'!L50</f>
        <v>4500788</v>
      </c>
      <c r="E746" s="28" t="n">
        <f aca="false">D746-N(C746)</f>
        <v>0</v>
      </c>
      <c r="F746" s="2" t="str">
        <f aca="false">IF(AND(C746&lt;&gt;"",ROUND(E746,2)=0),"一致",IF(G746&lt;&gt;"","変更（意図的）","★相違"))</f>
        <v>一致</v>
      </c>
      <c r="G746" s="2"/>
    </row>
    <row r="747" customFormat="false" ht="15" hidden="false" customHeight="false" outlineLevel="0" collapsed="false">
      <c r="A747" s="2" t="s">
        <v>555</v>
      </c>
      <c r="B747" s="27" t="s">
        <v>799</v>
      </c>
      <c r="C747" s="28" t="n">
        <v>-4500788</v>
      </c>
      <c r="D747" s="28" t="n">
        <f aca="false">'〇総括　6～7（メモなし）'!M50</f>
        <v>-897278</v>
      </c>
      <c r="E747" s="28" t="n">
        <f aca="false">D747-N(C747)</f>
        <v>3603510</v>
      </c>
      <c r="F747" s="2" t="str">
        <f aca="false">IF(AND(C747&lt;&gt;"",ROUND(E747,2)=0),"一致",IF(G747&lt;&gt;"","変更（意図的）","★相違"))</f>
        <v>変更（意図的）</v>
      </c>
      <c r="G747" s="27" t="s">
        <v>576</v>
      </c>
    </row>
    <row r="748" customFormat="false" ht="15" hidden="false" customHeight="false" outlineLevel="0" collapsed="false">
      <c r="A748" s="2" t="s">
        <v>555</v>
      </c>
      <c r="B748" s="27" t="s">
        <v>800</v>
      </c>
      <c r="C748" s="28" t="n">
        <v>0</v>
      </c>
      <c r="D748" s="28" t="n">
        <f aca="false">'〇総括　6～7（メモなし）'!N50</f>
        <v>0</v>
      </c>
      <c r="E748" s="28" t="n">
        <f aca="false">D748-N(C748)</f>
        <v>0</v>
      </c>
      <c r="F748" s="2" t="str">
        <f aca="false">IF(AND(C748&lt;&gt;"",ROUND(E748,2)=0),"一致",IF(G748&lt;&gt;"","変更（意図的）","★相違"))</f>
        <v>一致</v>
      </c>
      <c r="G748" s="2"/>
    </row>
    <row r="749" customFormat="false" ht="15" hidden="false" customHeight="false" outlineLevel="0" collapsed="false">
      <c r="A749" s="2" t="s">
        <v>555</v>
      </c>
      <c r="B749" s="27" t="s">
        <v>801</v>
      </c>
      <c r="C749" s="28" t="n">
        <v>-5288221</v>
      </c>
      <c r="D749" s="28" t="n">
        <f aca="false">'〇総括　6～7（メモなし）'!O50</f>
        <v>-5288221</v>
      </c>
      <c r="E749" s="28" t="n">
        <f aca="false">D749-N(C749)</f>
        <v>0</v>
      </c>
      <c r="F749" s="2" t="str">
        <f aca="false">IF(AND(C749&lt;&gt;"",ROUND(E749,2)=0),"一致",IF(G749&lt;&gt;"","変更（意図的）","★相違"))</f>
        <v>一致</v>
      </c>
      <c r="G749" s="2"/>
    </row>
    <row r="750" customFormat="false" ht="15" hidden="false" customHeight="false" outlineLevel="0" collapsed="false">
      <c r="A750" s="2" t="s">
        <v>555</v>
      </c>
      <c r="B750" s="27" t="s">
        <v>802</v>
      </c>
      <c r="C750" s="28" t="n">
        <v>5288221</v>
      </c>
      <c r="D750" s="28" t="n">
        <f aca="false">'〇総括　6～7（メモなし）'!P50</f>
        <v>5288221</v>
      </c>
      <c r="E750" s="28" t="n">
        <f aca="false">D750-N(C750)</f>
        <v>0</v>
      </c>
      <c r="F750" s="2" t="str">
        <f aca="false">IF(AND(C750&lt;&gt;"",ROUND(E750,2)=0),"一致",IF(G750&lt;&gt;"","変更（意図的）","★相違"))</f>
        <v>一致</v>
      </c>
      <c r="G750" s="2"/>
    </row>
    <row r="751" customFormat="false" ht="15" hidden="false" customHeight="false" outlineLevel="0" collapsed="false">
      <c r="A751" s="2" t="s">
        <v>555</v>
      </c>
      <c r="B751" s="27" t="s">
        <v>803</v>
      </c>
      <c r="C751" s="28" t="n">
        <v>0</v>
      </c>
      <c r="D751" s="28" t="n">
        <f aca="false">'〇総括　6～7（メモなし）'!Q50</f>
        <v>0</v>
      </c>
      <c r="E751" s="28" t="n">
        <f aca="false">D751-N(C751)</f>
        <v>0</v>
      </c>
      <c r="F751" s="2" t="str">
        <f aca="false">IF(AND(C751&lt;&gt;"",ROUND(E751,2)=0),"一致",IF(G751&lt;&gt;"","変更（意図的）","★相違"))</f>
        <v>一致</v>
      </c>
      <c r="G751" s="2"/>
    </row>
    <row r="752" customFormat="false" ht="15" hidden="false" customHeight="false" outlineLevel="0" collapsed="false">
      <c r="A752" s="2" t="s">
        <v>555</v>
      </c>
      <c r="B752" s="27" t="s">
        <v>804</v>
      </c>
      <c r="C752" s="28" t="n">
        <v>-5354125</v>
      </c>
      <c r="D752" s="28" t="n">
        <f aca="false">'〇総括　6～7（メモなし）'!R50</f>
        <v>-5354125</v>
      </c>
      <c r="E752" s="28" t="n">
        <f aca="false">D752-N(C752)</f>
        <v>0</v>
      </c>
      <c r="F752" s="2" t="str">
        <f aca="false">IF(AND(C752&lt;&gt;"",ROUND(E752,2)=0),"一致",IF(G752&lt;&gt;"","変更（意図的）","★相違"))</f>
        <v>一致</v>
      </c>
      <c r="G752" s="2"/>
    </row>
    <row r="753" customFormat="false" ht="15" hidden="false" customHeight="false" outlineLevel="0" collapsed="false">
      <c r="A753" s="2" t="s">
        <v>555</v>
      </c>
      <c r="B753" s="27" t="s">
        <v>805</v>
      </c>
      <c r="C753" s="28" t="n">
        <v>5354125</v>
      </c>
      <c r="D753" s="28" t="n">
        <f aca="false">'〇総括　6～7（メモなし）'!S50</f>
        <v>5354125</v>
      </c>
      <c r="E753" s="28" t="n">
        <f aca="false">D753-N(C753)</f>
        <v>0</v>
      </c>
      <c r="F753" s="2" t="str">
        <f aca="false">IF(AND(C753&lt;&gt;"",ROUND(E753,2)=0),"一致",IF(G753&lt;&gt;"","変更（意図的）","★相違"))</f>
        <v>一致</v>
      </c>
      <c r="G753" s="2"/>
    </row>
    <row r="754" customFormat="false" ht="15" hidden="false" customHeight="false" outlineLevel="0" collapsed="false">
      <c r="A754" s="2" t="s">
        <v>555</v>
      </c>
      <c r="B754" s="27" t="s">
        <v>806</v>
      </c>
      <c r="C754" s="28" t="n">
        <v>2237365593</v>
      </c>
      <c r="D754" s="28" t="n">
        <f aca="false">'〇総括　6～7（メモなし）'!E51</f>
        <v>2237365593</v>
      </c>
      <c r="E754" s="28" t="n">
        <f aca="false">D754-N(C754)</f>
        <v>0</v>
      </c>
      <c r="F754" s="2" t="str">
        <f aca="false">IF(AND(C754&lt;&gt;"",ROUND(E754,2)=0),"一致",IF(G754&lt;&gt;"","変更（意図的）","★相違"))</f>
        <v>一致</v>
      </c>
      <c r="G754" s="2"/>
    </row>
    <row r="755" customFormat="false" ht="15" hidden="false" customHeight="false" outlineLevel="0" collapsed="false">
      <c r="A755" s="2" t="s">
        <v>555</v>
      </c>
      <c r="B755" s="27" t="s">
        <v>807</v>
      </c>
      <c r="C755" s="28" t="n">
        <v>2237365593</v>
      </c>
      <c r="D755" s="28" t="n">
        <f aca="false">'〇総括　6～7（メモなし）'!F51</f>
        <v>2237365593</v>
      </c>
      <c r="E755" s="28" t="n">
        <f aca="false">D755-N(C755)</f>
        <v>0</v>
      </c>
      <c r="F755" s="2" t="str">
        <f aca="false">IF(AND(C755&lt;&gt;"",ROUND(E755,2)=0),"一致",IF(G755&lt;&gt;"","変更（意図的）","★相違"))</f>
        <v>一致</v>
      </c>
      <c r="G755" s="2"/>
    </row>
    <row r="756" customFormat="false" ht="15" hidden="false" customHeight="false" outlineLevel="0" collapsed="false">
      <c r="A756" s="2" t="s">
        <v>555</v>
      </c>
      <c r="B756" s="27" t="s">
        <v>808</v>
      </c>
      <c r="C756" s="28" t="n">
        <v>0</v>
      </c>
      <c r="D756" s="28" t="n">
        <f aca="false">'〇総括　6～7（メモなし）'!G51</f>
        <v>0</v>
      </c>
      <c r="E756" s="28" t="n">
        <f aca="false">D756-N(C756)</f>
        <v>0</v>
      </c>
      <c r="F756" s="2" t="str">
        <f aca="false">IF(AND(C756&lt;&gt;"",ROUND(E756,2)=0),"一致",IF(G756&lt;&gt;"","変更（意図的）","★相違"))</f>
        <v>一致</v>
      </c>
      <c r="G756" s="2"/>
    </row>
    <row r="757" customFormat="false" ht="15" hidden="false" customHeight="false" outlineLevel="0" collapsed="false">
      <c r="A757" s="2" t="s">
        <v>555</v>
      </c>
      <c r="B757" s="27" t="s">
        <v>809</v>
      </c>
      <c r="C757" s="28" t="n">
        <v>116214028015</v>
      </c>
      <c r="D757" s="28" t="n">
        <f aca="false">'〇総括　6～7（メモなし）'!H51</f>
        <v>116214028015</v>
      </c>
      <c r="E757" s="28" t="n">
        <f aca="false">D757-N(C757)</f>
        <v>0</v>
      </c>
      <c r="F757" s="2" t="str">
        <f aca="false">IF(AND(C757&lt;&gt;"",ROUND(E757,2)=0),"一致",IF(G757&lt;&gt;"","変更（意図的）","★相違"))</f>
        <v>一致</v>
      </c>
      <c r="G757" s="2"/>
    </row>
    <row r="758" customFormat="false" ht="15" hidden="false" customHeight="false" outlineLevel="0" collapsed="false">
      <c r="A758" s="2" t="s">
        <v>555</v>
      </c>
      <c r="B758" s="27" t="s">
        <v>810</v>
      </c>
      <c r="C758" s="28" t="n">
        <v>115269691198</v>
      </c>
      <c r="D758" s="28" t="n">
        <f aca="false">'〇総括　6～7（メモなし）'!I51</f>
        <v>115269691198</v>
      </c>
      <c r="E758" s="28" t="n">
        <f aca="false">D758-N(C758)</f>
        <v>0</v>
      </c>
      <c r="F758" s="2" t="str">
        <f aca="false">IF(AND(C758&lt;&gt;"",ROUND(E758,2)=0),"一致",IF(G758&lt;&gt;"","変更（意図的）","★相違"))</f>
        <v>一致</v>
      </c>
      <c r="G758" s="2"/>
    </row>
    <row r="759" customFormat="false" ht="15" hidden="false" customHeight="false" outlineLevel="0" collapsed="false">
      <c r="A759" s="2" t="s">
        <v>555</v>
      </c>
      <c r="B759" s="27" t="s">
        <v>811</v>
      </c>
      <c r="C759" s="28" t="n">
        <v>944336817</v>
      </c>
      <c r="D759" s="28" t="n">
        <f aca="false">'〇総括　6～7（メモなし）'!J51</f>
        <v>944336817</v>
      </c>
      <c r="E759" s="28" t="n">
        <f aca="false">D759-N(C759)</f>
        <v>0</v>
      </c>
      <c r="F759" s="2" t="str">
        <f aca="false">IF(AND(C759&lt;&gt;"",ROUND(E759,2)=0),"一致",IF(G759&lt;&gt;"","変更（意図的）","★相違"))</f>
        <v>一致</v>
      </c>
      <c r="G759" s="2"/>
    </row>
    <row r="760" customFormat="false" ht="15" hidden="false" customHeight="false" outlineLevel="0" collapsed="false">
      <c r="A760" s="2" t="s">
        <v>555</v>
      </c>
      <c r="B760" s="27" t="s">
        <v>812</v>
      </c>
      <c r="C760" s="28" t="n">
        <v>71093911</v>
      </c>
      <c r="D760" s="28" t="n">
        <f aca="false">'〇総括　6～7（メモなし）'!K51</f>
        <v>74697421</v>
      </c>
      <c r="E760" s="28" t="n">
        <f aca="false">D760-N(C760)</f>
        <v>3603510</v>
      </c>
      <c r="F760" s="2" t="str">
        <f aca="false">IF(AND(C760&lt;&gt;"",ROUND(E760,2)=0),"一致",IF(G760&lt;&gt;"","変更（意図的）","★相違"))</f>
        <v>変更（意図的）</v>
      </c>
      <c r="G760" s="2" t="s">
        <v>674</v>
      </c>
    </row>
    <row r="761" customFormat="false" ht="15" hidden="false" customHeight="false" outlineLevel="0" collapsed="false">
      <c r="A761" s="2" t="s">
        <v>555</v>
      </c>
      <c r="B761" s="27" t="s">
        <v>813</v>
      </c>
      <c r="C761" s="28" t="n">
        <v>71093911</v>
      </c>
      <c r="D761" s="28" t="n">
        <f aca="false">'〇総括　6～7（メモなし）'!L51</f>
        <v>71093911</v>
      </c>
      <c r="E761" s="28" t="n">
        <f aca="false">D761-N(C761)</f>
        <v>0</v>
      </c>
      <c r="F761" s="2" t="str">
        <f aca="false">IF(AND(C761&lt;&gt;"",ROUND(E761,2)=0),"一致",IF(G761&lt;&gt;"","変更（意図的）","★相違"))</f>
        <v>一致</v>
      </c>
      <c r="G761" s="2"/>
    </row>
    <row r="762" customFormat="false" ht="15" hidden="false" customHeight="false" outlineLevel="0" collapsed="false">
      <c r="A762" s="2" t="s">
        <v>555</v>
      </c>
      <c r="B762" s="27" t="s">
        <v>814</v>
      </c>
      <c r="C762" s="28" t="n">
        <v>0</v>
      </c>
      <c r="D762" s="28" t="n">
        <f aca="false">'〇総括　6～7（メモなし）'!M51</f>
        <v>3603510</v>
      </c>
      <c r="E762" s="28" t="n">
        <f aca="false">D762-N(C762)</f>
        <v>3603510</v>
      </c>
      <c r="F762" s="2" t="str">
        <f aca="false">IF(AND(C762&lt;&gt;"",ROUND(E762,2)=0),"一致",IF(G762&lt;&gt;"","変更（意図的）","★相違"))</f>
        <v>変更（意図的）</v>
      </c>
      <c r="G762" s="27" t="s">
        <v>576</v>
      </c>
    </row>
    <row r="763" customFormat="false" ht="15" hidden="false" customHeight="false" outlineLevel="0" collapsed="false">
      <c r="A763" s="2" t="s">
        <v>555</v>
      </c>
      <c r="B763" s="27" t="s">
        <v>815</v>
      </c>
      <c r="C763" s="28" t="n">
        <v>270947604</v>
      </c>
      <c r="D763" s="28" t="n">
        <f aca="false">'〇総括　6～7（メモなし）'!N51</f>
        <v>270947604</v>
      </c>
      <c r="E763" s="28" t="n">
        <f aca="false">D763-N(C763)</f>
        <v>0</v>
      </c>
      <c r="F763" s="2" t="str">
        <f aca="false">IF(AND(C763&lt;&gt;"",ROUND(E763,2)=0),"一致",IF(G763&lt;&gt;"","変更（意図的）","★相違"))</f>
        <v>一致</v>
      </c>
      <c r="G763" s="2"/>
    </row>
    <row r="764" customFormat="false" ht="15" hidden="false" customHeight="false" outlineLevel="0" collapsed="false">
      <c r="A764" s="2" t="s">
        <v>555</v>
      </c>
      <c r="B764" s="27" t="s">
        <v>816</v>
      </c>
      <c r="C764" s="28" t="n">
        <v>270947604</v>
      </c>
      <c r="D764" s="28" t="n">
        <f aca="false">'〇総括　6～7（メモなし）'!O51</f>
        <v>270947604</v>
      </c>
      <c r="E764" s="28" t="n">
        <f aca="false">D764-N(C764)</f>
        <v>0</v>
      </c>
      <c r="F764" s="2" t="str">
        <f aca="false">IF(AND(C764&lt;&gt;"",ROUND(E764,2)=0),"一致",IF(G764&lt;&gt;"","変更（意図的）","★相違"))</f>
        <v>一致</v>
      </c>
      <c r="G764" s="2"/>
    </row>
    <row r="765" customFormat="false" ht="15" hidden="false" customHeight="false" outlineLevel="0" collapsed="false">
      <c r="A765" s="2" t="s">
        <v>555</v>
      </c>
      <c r="B765" s="27" t="s">
        <v>817</v>
      </c>
      <c r="C765" s="28" t="n">
        <v>0</v>
      </c>
      <c r="D765" s="28" t="n">
        <f aca="false">'〇総括　6～7（メモなし）'!P51</f>
        <v>0</v>
      </c>
      <c r="E765" s="28" t="n">
        <f aca="false">D765-N(C765)</f>
        <v>0</v>
      </c>
      <c r="F765" s="2" t="str">
        <f aca="false">IF(AND(C765&lt;&gt;"",ROUND(E765,2)=0),"一致",IF(G765&lt;&gt;"","変更（意図的）","★相違"))</f>
        <v>一致</v>
      </c>
      <c r="G765" s="2"/>
    </row>
    <row r="766" customFormat="false" ht="15" hidden="false" customHeight="false" outlineLevel="0" collapsed="false">
      <c r="A766" s="2" t="s">
        <v>555</v>
      </c>
      <c r="B766" s="27" t="s">
        <v>818</v>
      </c>
      <c r="C766" s="28" t="n">
        <v>1961052168</v>
      </c>
      <c r="D766" s="28" t="n">
        <f aca="false">'〇総括　6～7（メモなし）'!Q51</f>
        <v>1961052168</v>
      </c>
      <c r="E766" s="28" t="n">
        <f aca="false">D766-N(C766)</f>
        <v>0</v>
      </c>
      <c r="F766" s="2" t="str">
        <f aca="false">IF(AND(C766&lt;&gt;"",ROUND(E766,2)=0),"一致",IF(G766&lt;&gt;"","変更（意図的）","★相違"))</f>
        <v>一致</v>
      </c>
      <c r="G766" s="2"/>
    </row>
    <row r="767" customFormat="false" ht="15" hidden="false" customHeight="false" outlineLevel="0" collapsed="false">
      <c r="A767" s="2" t="s">
        <v>555</v>
      </c>
      <c r="B767" s="27" t="s">
        <v>819</v>
      </c>
      <c r="C767" s="28" t="n">
        <v>1961052168</v>
      </c>
      <c r="D767" s="28" t="n">
        <f aca="false">'〇総括　6～7（メモなし）'!R51</f>
        <v>1961052168</v>
      </c>
      <c r="E767" s="28" t="n">
        <f aca="false">D767-N(C767)</f>
        <v>0</v>
      </c>
      <c r="F767" s="2" t="str">
        <f aca="false">IF(AND(C767&lt;&gt;"",ROUND(E767,2)=0),"一致",IF(G767&lt;&gt;"","変更（意図的）","★相違"))</f>
        <v>一致</v>
      </c>
      <c r="G767" s="2"/>
    </row>
    <row r="768" customFormat="false" ht="15" hidden="false" customHeight="false" outlineLevel="0" collapsed="false">
      <c r="A768" s="2" t="s">
        <v>555</v>
      </c>
      <c r="B768" s="27" t="s">
        <v>820</v>
      </c>
      <c r="C768" s="28" t="n">
        <v>0</v>
      </c>
      <c r="D768" s="28" t="n">
        <f aca="false">'〇総括　6～7（メモなし）'!S51</f>
        <v>0</v>
      </c>
      <c r="E768" s="28" t="n">
        <f aca="false">D768-N(C768)</f>
        <v>0</v>
      </c>
      <c r="F768" s="2" t="str">
        <f aca="false">IF(AND(C768&lt;&gt;"",ROUND(E768,2)=0),"一致",IF(G768&lt;&gt;"","変更（意図的）","★相違"))</f>
        <v>一致</v>
      </c>
      <c r="G768" s="2"/>
    </row>
    <row r="769" customFormat="false" ht="15" hidden="false" customHeight="false" outlineLevel="0" collapsed="false">
      <c r="A769" s="2" t="s">
        <v>555</v>
      </c>
      <c r="B769" s="27" t="s">
        <v>821</v>
      </c>
      <c r="C769" s="28" t="n">
        <v>2569892204</v>
      </c>
      <c r="D769" s="28" t="n">
        <f aca="false">'〇総括　6～7（メモなし）'!E53</f>
        <v>2569892204</v>
      </c>
      <c r="E769" s="28" t="n">
        <f aca="false">D769-N(C769)</f>
        <v>0</v>
      </c>
      <c r="F769" s="2" t="str">
        <f aca="false">IF(AND(C769&lt;&gt;"",ROUND(E769,2)=0),"一致",IF(G769&lt;&gt;"","変更（意図的）","★相違"))</f>
        <v>一致</v>
      </c>
      <c r="G769" s="2"/>
    </row>
    <row r="770" customFormat="false" ht="15" hidden="false" customHeight="false" outlineLevel="0" collapsed="false">
      <c r="A770" s="2" t="s">
        <v>555</v>
      </c>
      <c r="B770" s="27" t="s">
        <v>822</v>
      </c>
      <c r="C770" s="28" t="n">
        <v>521829447</v>
      </c>
      <c r="D770" s="28" t="n">
        <f aca="false">'〇総括　6～7（メモなし）'!N53</f>
        <v>521829447</v>
      </c>
      <c r="E770" s="28" t="n">
        <f aca="false">D770-N(C770)</f>
        <v>0</v>
      </c>
      <c r="F770" s="2" t="str">
        <f aca="false">IF(AND(C770&lt;&gt;"",ROUND(E770,2)=0),"一致",IF(G770&lt;&gt;"","変更（意図的）","★相違"))</f>
        <v>一致</v>
      </c>
      <c r="G770" s="2"/>
    </row>
    <row r="771" customFormat="false" ht="15" hidden="false" customHeight="false" outlineLevel="0" collapsed="false">
      <c r="A771" s="2" t="s">
        <v>555</v>
      </c>
      <c r="B771" s="27" t="s">
        <v>823</v>
      </c>
      <c r="C771" s="28" t="n">
        <v>0</v>
      </c>
      <c r="D771" s="28" t="n">
        <f aca="false">'〇総括　6～7（メモなし）'!E54</f>
        <v>0</v>
      </c>
      <c r="E771" s="28" t="n">
        <f aca="false">D771-N(C771)</f>
        <v>0</v>
      </c>
      <c r="F771" s="2" t="str">
        <f aca="false">IF(AND(C771&lt;&gt;"",ROUND(E771,2)=0),"一致",IF(G771&lt;&gt;"","変更（意図的）","★相違"))</f>
        <v>一致</v>
      </c>
      <c r="G771" s="2"/>
    </row>
    <row r="772" customFormat="false" ht="15" hidden="false" customHeight="false" outlineLevel="0" collapsed="false">
      <c r="A772" s="2" t="s">
        <v>824</v>
      </c>
      <c r="B772" s="27" t="s">
        <v>556</v>
      </c>
      <c r="C772" s="28" t="n">
        <v>1413185083</v>
      </c>
      <c r="D772" s="28" t="n">
        <f aca="false">'総括　6～7（メモあり）'!E6</f>
        <v>1413185083</v>
      </c>
      <c r="E772" s="28" t="n">
        <f aca="false">D772-N(C772)</f>
        <v>0</v>
      </c>
      <c r="F772" s="2" t="str">
        <f aca="false">IF(AND(C772&lt;&gt;"",ROUND(E772,2)=0),"一致",IF(G772&lt;&gt;"","変更（意図的）","★相違"))</f>
        <v>一致</v>
      </c>
      <c r="G772" s="2"/>
    </row>
    <row r="773" customFormat="false" ht="15" hidden="false" customHeight="false" outlineLevel="0" collapsed="false">
      <c r="A773" s="2" t="s">
        <v>824</v>
      </c>
      <c r="B773" s="27" t="s">
        <v>557</v>
      </c>
      <c r="C773" s="28" t="n">
        <v>1981222650</v>
      </c>
      <c r="D773" s="28" t="n">
        <f aca="false">'総括　6～7（メモあり）'!F6</f>
        <v>1981222650</v>
      </c>
      <c r="E773" s="28" t="n">
        <f aca="false">D773-N(C773)</f>
        <v>0</v>
      </c>
      <c r="F773" s="2" t="str">
        <f aca="false">IF(AND(C773&lt;&gt;"",ROUND(E773,2)=0),"一致",IF(G773&lt;&gt;"","変更（意図的）","★相違"))</f>
        <v>一致</v>
      </c>
      <c r="G773" s="2"/>
    </row>
    <row r="774" customFormat="false" ht="15" hidden="false" customHeight="false" outlineLevel="0" collapsed="false">
      <c r="A774" s="2" t="s">
        <v>824</v>
      </c>
      <c r="B774" s="27" t="s">
        <v>558</v>
      </c>
      <c r="C774" s="28" t="n">
        <v>-568037567</v>
      </c>
      <c r="D774" s="28" t="n">
        <f aca="false">'総括　6～7（メモあり）'!G6</f>
        <v>-568037567</v>
      </c>
      <c r="E774" s="28" t="n">
        <f aca="false">D774-N(C774)</f>
        <v>0</v>
      </c>
      <c r="F774" s="2" t="str">
        <f aca="false">IF(AND(C774&lt;&gt;"",ROUND(E774,2)=0),"一致",IF(G774&lt;&gt;"","変更（意図的）","★相違"))</f>
        <v>一致</v>
      </c>
      <c r="G774" s="2"/>
    </row>
    <row r="775" customFormat="false" ht="15" hidden="false" customHeight="false" outlineLevel="0" collapsed="false">
      <c r="A775" s="2" t="s">
        <v>824</v>
      </c>
      <c r="B775" s="27" t="s">
        <v>249</v>
      </c>
      <c r="C775" s="28" t="n">
        <v>115269691198</v>
      </c>
      <c r="D775" s="28" t="n">
        <f aca="false">'総括　6～7（メモあり）'!H6</f>
        <v>115269691198</v>
      </c>
      <c r="E775" s="28" t="n">
        <f aca="false">D775-N(C775)</f>
        <v>0</v>
      </c>
      <c r="F775" s="2" t="str">
        <f aca="false">IF(AND(C775&lt;&gt;"",ROUND(E775,2)=0),"一致",IF(G775&lt;&gt;"","変更（意図的）","★相違"))</f>
        <v>一致</v>
      </c>
      <c r="G775" s="2"/>
    </row>
    <row r="776" customFormat="false" ht="15" hidden="false" customHeight="false" outlineLevel="0" collapsed="false">
      <c r="A776" s="2" t="s">
        <v>824</v>
      </c>
      <c r="B776" s="27" t="s">
        <v>559</v>
      </c>
      <c r="C776" s="28" t="n">
        <v>114599779620</v>
      </c>
      <c r="D776" s="28" t="n">
        <f aca="false">'総括　6～7（メモあり）'!I6</f>
        <v>114599779620</v>
      </c>
      <c r="E776" s="28" t="n">
        <f aca="false">D776-N(C776)</f>
        <v>0</v>
      </c>
      <c r="F776" s="2" t="str">
        <f aca="false">IF(AND(C776&lt;&gt;"",ROUND(E776,2)=0),"一致",IF(G776&lt;&gt;"","変更（意図的）","★相違"))</f>
        <v>一致</v>
      </c>
      <c r="G776" s="2"/>
    </row>
    <row r="777" customFormat="false" ht="15" hidden="false" customHeight="false" outlineLevel="0" collapsed="false">
      <c r="A777" s="2" t="s">
        <v>824</v>
      </c>
      <c r="B777" s="27" t="s">
        <v>560</v>
      </c>
      <c r="C777" s="28" t="n">
        <v>669911578</v>
      </c>
      <c r="D777" s="28" t="n">
        <f aca="false">'総括　6～7（メモあり）'!J6</f>
        <v>669911578</v>
      </c>
      <c r="E777" s="28" t="n">
        <f aca="false">D777-N(C777)</f>
        <v>0</v>
      </c>
      <c r="F777" s="2" t="str">
        <f aca="false">IF(AND(C777&lt;&gt;"",ROUND(E777,2)=0),"一致",IF(G777&lt;&gt;"","変更（意図的）","★相違"))</f>
        <v>一致</v>
      </c>
      <c r="G777" s="2"/>
    </row>
    <row r="778" customFormat="false" ht="15" hidden="false" customHeight="false" outlineLevel="0" collapsed="false">
      <c r="A778" s="2" t="s">
        <v>824</v>
      </c>
      <c r="B778" s="27" t="s">
        <v>561</v>
      </c>
      <c r="C778" s="28" t="n">
        <v>66593123</v>
      </c>
      <c r="D778" s="28" t="n">
        <f aca="false">'総括　6～7（メモあり）'!K6</f>
        <v>66593123</v>
      </c>
      <c r="E778" s="28" t="n">
        <f aca="false">D778-N(C778)</f>
        <v>0</v>
      </c>
      <c r="F778" s="2" t="str">
        <f aca="false">IF(AND(C778&lt;&gt;"",ROUND(E778,2)=0),"一致",IF(G778&lt;&gt;"","変更（意図的）","★相違"))</f>
        <v>一致</v>
      </c>
      <c r="G778" s="2"/>
    </row>
    <row r="779" customFormat="false" ht="15" hidden="false" customHeight="false" outlineLevel="0" collapsed="false">
      <c r="A779" s="2" t="s">
        <v>824</v>
      </c>
      <c r="B779" s="27" t="s">
        <v>562</v>
      </c>
      <c r="C779" s="28" t="n">
        <v>60989730</v>
      </c>
      <c r="D779" s="28" t="n">
        <f aca="false">'総括　6～7（メモあり）'!L6</f>
        <v>60989730</v>
      </c>
      <c r="E779" s="28" t="n">
        <f aca="false">D779-N(C779)</f>
        <v>0</v>
      </c>
      <c r="F779" s="2" t="str">
        <f aca="false">IF(AND(C779&lt;&gt;"",ROUND(E779,2)=0),"一致",IF(G779&lt;&gt;"","変更（意図的）","★相違"))</f>
        <v>一致</v>
      </c>
      <c r="G779" s="2"/>
    </row>
    <row r="780" customFormat="false" ht="15" hidden="false" customHeight="false" outlineLevel="0" collapsed="false">
      <c r="A780" s="2" t="s">
        <v>824</v>
      </c>
      <c r="B780" s="27" t="s">
        <v>294</v>
      </c>
      <c r="C780" s="28" t="n">
        <v>5603393</v>
      </c>
      <c r="D780" s="28" t="n">
        <f aca="false">'総括　6～7（メモあり）'!M6</f>
        <v>5603393</v>
      </c>
      <c r="E780" s="28" t="n">
        <f aca="false">D780-N(C780)</f>
        <v>0</v>
      </c>
      <c r="F780" s="2" t="str">
        <f aca="false">IF(AND(C780&lt;&gt;"",ROUND(E780,2)=0),"一致",IF(G780&lt;&gt;"","変更（意図的）","★相違"))</f>
        <v>一致</v>
      </c>
      <c r="G780" s="2"/>
    </row>
    <row r="781" customFormat="false" ht="15" hidden="false" customHeight="false" outlineLevel="0" collapsed="false">
      <c r="A781" s="2" t="s">
        <v>824</v>
      </c>
      <c r="B781" s="27" t="s">
        <v>563</v>
      </c>
      <c r="C781" s="28" t="n">
        <v>276235825</v>
      </c>
      <c r="D781" s="28" t="n">
        <f aca="false">'総括　6～7（メモあり）'!N6</f>
        <v>276235825</v>
      </c>
      <c r="E781" s="28" t="n">
        <f aca="false">D781-N(C781)</f>
        <v>0</v>
      </c>
      <c r="F781" s="2" t="str">
        <f aca="false">IF(AND(C781&lt;&gt;"",ROUND(E781,2)=0),"一致",IF(G781&lt;&gt;"","変更（意図的）","★相違"))</f>
        <v>一致</v>
      </c>
      <c r="G781" s="2"/>
    </row>
    <row r="782" customFormat="false" ht="15" hidden="false" customHeight="false" outlineLevel="0" collapsed="false">
      <c r="A782" s="2" t="s">
        <v>824</v>
      </c>
      <c r="B782" s="27" t="s">
        <v>564</v>
      </c>
      <c r="C782" s="28" t="n">
        <v>366055505</v>
      </c>
      <c r="D782" s="28" t="n">
        <f aca="false">'総括　6～7（メモあり）'!O6</f>
        <v>366055505</v>
      </c>
      <c r="E782" s="28" t="n">
        <f aca="false">D782-N(C782)</f>
        <v>0</v>
      </c>
      <c r="F782" s="2" t="str">
        <f aca="false">IF(AND(C782&lt;&gt;"",ROUND(E782,2)=0),"一致",IF(G782&lt;&gt;"","変更（意図的）","★相違"))</f>
        <v>一致</v>
      </c>
      <c r="G782" s="2"/>
    </row>
    <row r="783" customFormat="false" ht="15" hidden="false" customHeight="false" outlineLevel="0" collapsed="false">
      <c r="A783" s="2" t="s">
        <v>824</v>
      </c>
      <c r="B783" s="27" t="s">
        <v>565</v>
      </c>
      <c r="C783" s="28" t="n">
        <v>-89819680</v>
      </c>
      <c r="D783" s="28" t="n">
        <f aca="false">'総括　6～7（メモあり）'!P6</f>
        <v>-89819680</v>
      </c>
      <c r="E783" s="28" t="n">
        <f aca="false">D783-N(C783)</f>
        <v>0</v>
      </c>
      <c r="F783" s="2" t="str">
        <f aca="false">IF(AND(C783&lt;&gt;"",ROUND(E783,2)=0),"一致",IF(G783&lt;&gt;"","変更（意図的）","★相違"))</f>
        <v>一致</v>
      </c>
      <c r="G783" s="2"/>
    </row>
    <row r="784" customFormat="false" ht="15" hidden="false" customHeight="false" outlineLevel="0" collapsed="false">
      <c r="A784" s="2" t="s">
        <v>824</v>
      </c>
      <c r="B784" s="27" t="s">
        <v>566</v>
      </c>
      <c r="C784" s="28" t="n">
        <v>1966406293</v>
      </c>
      <c r="D784" s="28" t="n">
        <f aca="false">'総括　6～7（メモあり）'!Q6</f>
        <v>1966406293</v>
      </c>
      <c r="E784" s="28" t="n">
        <f aca="false">D784-N(C784)</f>
        <v>0</v>
      </c>
      <c r="F784" s="2" t="str">
        <f aca="false">IF(AND(C784&lt;&gt;"",ROUND(E784,2)=0),"一致",IF(G784&lt;&gt;"","変更（意図的）","★相違"))</f>
        <v>一致</v>
      </c>
      <c r="G784" s="2"/>
    </row>
    <row r="785" customFormat="false" ht="15" hidden="false" customHeight="false" outlineLevel="0" collapsed="false">
      <c r="A785" s="2" t="s">
        <v>824</v>
      </c>
      <c r="B785" s="27" t="s">
        <v>567</v>
      </c>
      <c r="C785" s="28" t="n">
        <v>1965597915</v>
      </c>
      <c r="D785" s="28" t="n">
        <f aca="false">'総括　6～7（メモあり）'!R6</f>
        <v>1965597915</v>
      </c>
      <c r="E785" s="28" t="n">
        <f aca="false">D785-N(C785)</f>
        <v>0</v>
      </c>
      <c r="F785" s="2" t="str">
        <f aca="false">IF(AND(C785&lt;&gt;"",ROUND(E785,2)=0),"一致",IF(G785&lt;&gt;"","変更（意図的）","★相違"))</f>
        <v>一致</v>
      </c>
      <c r="G785" s="2"/>
    </row>
    <row r="786" customFormat="false" ht="15" hidden="false" customHeight="false" outlineLevel="0" collapsed="false">
      <c r="A786" s="2" t="s">
        <v>824</v>
      </c>
      <c r="B786" s="27" t="s">
        <v>568</v>
      </c>
      <c r="C786" s="28" t="n">
        <v>808378</v>
      </c>
      <c r="D786" s="28" t="n">
        <f aca="false">'総括　6～7（メモあり）'!S6</f>
        <v>808378</v>
      </c>
      <c r="E786" s="28" t="n">
        <f aca="false">D786-N(C786)</f>
        <v>0</v>
      </c>
      <c r="F786" s="2" t="str">
        <f aca="false">IF(AND(C786&lt;&gt;"",ROUND(E786,2)=0),"一致",IF(G786&lt;&gt;"","変更（意図的）","★相違"))</f>
        <v>一致</v>
      </c>
      <c r="G786" s="2"/>
    </row>
    <row r="787" customFormat="false" ht="15" hidden="false" customHeight="false" outlineLevel="0" collapsed="false">
      <c r="A787" s="2" t="s">
        <v>824</v>
      </c>
      <c r="B787" s="27" t="s">
        <v>825</v>
      </c>
      <c r="C787" s="28" t="n">
        <v>5910008304</v>
      </c>
      <c r="D787" s="28" t="n">
        <f aca="false">'総括　6～7（メモあり）'!E7</f>
        <v>5910008304</v>
      </c>
      <c r="E787" s="28" t="n">
        <f aca="false">D787-N(C787)</f>
        <v>0</v>
      </c>
      <c r="F787" s="2" t="str">
        <f aca="false">IF(AND(C787&lt;&gt;"",ROUND(E787,2)=0),"一致",IF(G787&lt;&gt;"","変更（意図的）","★相違"))</f>
        <v>一致</v>
      </c>
      <c r="G787" s="2"/>
    </row>
    <row r="788" customFormat="false" ht="15" hidden="false" customHeight="false" outlineLevel="0" collapsed="false">
      <c r="A788" s="2" t="s">
        <v>824</v>
      </c>
      <c r="B788" s="27" t="s">
        <v>569</v>
      </c>
      <c r="C788" s="28" t="n">
        <v>4825002280</v>
      </c>
      <c r="D788" s="28" t="n">
        <f aca="false">'総括　6～7（メモあり）'!F7</f>
        <v>4825002280</v>
      </c>
      <c r="E788" s="28" t="n">
        <f aca="false">D788-N(C788)</f>
        <v>0</v>
      </c>
      <c r="F788" s="2" t="str">
        <f aca="false">IF(AND(C788&lt;&gt;"",ROUND(E788,2)=0),"一致",IF(G788&lt;&gt;"","変更（意図的）","★相違"))</f>
        <v>一致</v>
      </c>
      <c r="G788" s="2"/>
    </row>
    <row r="789" customFormat="false" ht="15" hidden="false" customHeight="false" outlineLevel="0" collapsed="false">
      <c r="A789" s="2" t="s">
        <v>824</v>
      </c>
      <c r="B789" s="27" t="s">
        <v>251</v>
      </c>
      <c r="C789" s="28" t="n">
        <v>1085006024</v>
      </c>
      <c r="D789" s="28" t="n">
        <f aca="false">'総括　6～7（メモあり）'!G7</f>
        <v>1085006024</v>
      </c>
      <c r="E789" s="28" t="n">
        <f aca="false">D789-N(C789)</f>
        <v>0</v>
      </c>
      <c r="F789" s="2" t="str">
        <f aca="false">IF(AND(C789&lt;&gt;"",ROUND(E789,2)=0),"一致",IF(G789&lt;&gt;"","変更（意図的）","★相違"))</f>
        <v>一致</v>
      </c>
      <c r="G789" s="2"/>
    </row>
    <row r="790" customFormat="false" ht="15" hidden="false" customHeight="false" outlineLevel="0" collapsed="false">
      <c r="A790" s="2" t="s">
        <v>824</v>
      </c>
      <c r="B790" s="27" t="s">
        <v>570</v>
      </c>
      <c r="C790" s="28" t="n">
        <v>5874630086</v>
      </c>
      <c r="D790" s="28" t="n">
        <f aca="false">'総括　6～7（メモあり）'!H7</f>
        <v>5874630086</v>
      </c>
      <c r="E790" s="28" t="n">
        <f aca="false">D790-N(C790)</f>
        <v>0</v>
      </c>
      <c r="F790" s="2" t="str">
        <f aca="false">IF(AND(C790&lt;&gt;"",ROUND(E790,2)=0),"一致",IF(G790&lt;&gt;"","変更（意図的）","★相違"))</f>
        <v>一致</v>
      </c>
      <c r="G790" s="2"/>
    </row>
    <row r="791" customFormat="false" ht="15" hidden="false" customHeight="false" outlineLevel="0" collapsed="false">
      <c r="A791" s="2" t="s">
        <v>824</v>
      </c>
      <c r="B791" s="27" t="s">
        <v>571</v>
      </c>
      <c r="C791" s="28" t="n">
        <v>10209423196</v>
      </c>
      <c r="D791" s="28" t="n">
        <f aca="false">'総括　6～7（メモあり）'!I7</f>
        <v>10209423196</v>
      </c>
      <c r="E791" s="28" t="n">
        <f aca="false">D791-N(C791)</f>
        <v>0</v>
      </c>
      <c r="F791" s="2" t="str">
        <f aca="false">IF(AND(C791&lt;&gt;"",ROUND(E791,2)=0),"一致",IF(G791&lt;&gt;"","変更（意図的）","★相違"))</f>
        <v>一致</v>
      </c>
      <c r="G791" s="2"/>
    </row>
    <row r="792" customFormat="false" ht="15" hidden="false" customHeight="false" outlineLevel="0" collapsed="false">
      <c r="A792" s="2" t="s">
        <v>824</v>
      </c>
      <c r="B792" s="27" t="s">
        <v>572</v>
      </c>
      <c r="C792" s="28" t="n">
        <v>-4334793110</v>
      </c>
      <c r="D792" s="28" t="n">
        <f aca="false">'総括　6～7（メモあり）'!J7</f>
        <v>-4334793110</v>
      </c>
      <c r="E792" s="28" t="n">
        <f aca="false">D792-N(C792)</f>
        <v>0</v>
      </c>
      <c r="F792" s="2" t="str">
        <f aca="false">IF(AND(C792&lt;&gt;"",ROUND(E792,2)=0),"一致",IF(G792&lt;&gt;"","変更（意図的）","★相違"))</f>
        <v>一致</v>
      </c>
      <c r="G792" s="2"/>
    </row>
    <row r="793" customFormat="false" ht="15" hidden="false" customHeight="false" outlineLevel="0" collapsed="false">
      <c r="A793" s="2" t="s">
        <v>824</v>
      </c>
      <c r="B793" s="27" t="s">
        <v>573</v>
      </c>
      <c r="C793" s="28" t="n">
        <v>82167559</v>
      </c>
      <c r="D793" s="28" t="n">
        <f aca="false">'総括　6～7（メモあり）'!K7</f>
        <v>82167559</v>
      </c>
      <c r="E793" s="28" t="n">
        <f aca="false">D793-N(C793)</f>
        <v>0</v>
      </c>
      <c r="F793" s="2" t="str">
        <f aca="false">IF(AND(C793&lt;&gt;"",ROUND(E793,2)=0),"一致",IF(G793&lt;&gt;"","変更（意図的）","★相違"))</f>
        <v>一致</v>
      </c>
      <c r="G793" s="2"/>
    </row>
    <row r="794" customFormat="false" ht="15" hidden="false" customHeight="false" outlineLevel="0" collapsed="false">
      <c r="A794" s="2" t="s">
        <v>824</v>
      </c>
      <c r="B794" s="27" t="s">
        <v>575</v>
      </c>
      <c r="C794" s="28" t="n">
        <v>67101258</v>
      </c>
      <c r="D794" s="28" t="n">
        <f aca="false">'総括　6～7（メモあり）'!L7</f>
        <v>67101258</v>
      </c>
      <c r="E794" s="28" t="n">
        <f aca="false">D794-N(C794)</f>
        <v>0</v>
      </c>
      <c r="F794" s="2" t="str">
        <f aca="false">IF(AND(C794&lt;&gt;"",ROUND(E794,2)=0),"一致",IF(G794&lt;&gt;"","変更（意図的）","★相違"))</f>
        <v>一致</v>
      </c>
      <c r="G794" s="2"/>
    </row>
    <row r="795" customFormat="false" ht="15" hidden="false" customHeight="false" outlineLevel="0" collapsed="false">
      <c r="A795" s="2" t="s">
        <v>824</v>
      </c>
      <c r="B795" s="27" t="s">
        <v>461</v>
      </c>
      <c r="C795" s="28" t="n">
        <v>15066301</v>
      </c>
      <c r="D795" s="28" t="n">
        <f aca="false">'総括　6～7（メモあり）'!M7</f>
        <v>15066301</v>
      </c>
      <c r="E795" s="28" t="n">
        <f aca="false">D795-N(C795)</f>
        <v>0</v>
      </c>
      <c r="F795" s="2" t="str">
        <f aca="false">IF(AND(C795&lt;&gt;"",ROUND(E795,2)=0),"一致",IF(G795&lt;&gt;"","変更（意図的）","★相違"))</f>
        <v>一致</v>
      </c>
      <c r="G795" s="2"/>
    </row>
    <row r="796" customFormat="false" ht="15" hidden="false" customHeight="false" outlineLevel="0" collapsed="false">
      <c r="A796" s="2" t="s">
        <v>824</v>
      </c>
      <c r="B796" s="27" t="s">
        <v>826</v>
      </c>
      <c r="C796" s="28" t="n">
        <v>393344415</v>
      </c>
      <c r="D796" s="28" t="n">
        <f aca="false">'総括　6～7（メモあり）'!N7</f>
        <v>393344415</v>
      </c>
      <c r="E796" s="28" t="n">
        <f aca="false">D796-N(C796)</f>
        <v>0</v>
      </c>
      <c r="F796" s="2" t="str">
        <f aca="false">IF(AND(C796&lt;&gt;"",ROUND(E796,2)=0),"一致",IF(G796&lt;&gt;"","変更（意図的）","★相違"))</f>
        <v>一致</v>
      </c>
      <c r="G796" s="2"/>
    </row>
    <row r="797" customFormat="false" ht="15" hidden="false" customHeight="false" outlineLevel="0" collapsed="false">
      <c r="A797" s="2" t="s">
        <v>824</v>
      </c>
      <c r="B797" s="27" t="s">
        <v>577</v>
      </c>
      <c r="C797" s="28" t="n">
        <v>327613612</v>
      </c>
      <c r="D797" s="28" t="n">
        <f aca="false">'総括　6～7（メモあり）'!O7</f>
        <v>327613612</v>
      </c>
      <c r="E797" s="28" t="n">
        <f aca="false">D797-N(C797)</f>
        <v>0</v>
      </c>
      <c r="F797" s="2" t="str">
        <f aca="false">IF(AND(C797&lt;&gt;"",ROUND(E797,2)=0),"一致",IF(G797&lt;&gt;"","変更（意図的）","★相違"))</f>
        <v>一致</v>
      </c>
      <c r="G797" s="2"/>
    </row>
    <row r="798" customFormat="false" ht="15" hidden="false" customHeight="false" outlineLevel="0" collapsed="false">
      <c r="A798" s="2" t="s">
        <v>824</v>
      </c>
      <c r="B798" s="27" t="s">
        <v>578</v>
      </c>
      <c r="C798" s="28" t="n">
        <v>65730803</v>
      </c>
      <c r="D798" s="28" t="n">
        <f aca="false">'総括　6～7（メモあり）'!P7</f>
        <v>65730803</v>
      </c>
      <c r="E798" s="28" t="n">
        <f aca="false">D798-N(C798)</f>
        <v>0</v>
      </c>
      <c r="F798" s="2" t="str">
        <f aca="false">IF(AND(C798&lt;&gt;"",ROUND(E798,2)=0),"一致",IF(G798&lt;&gt;"","変更（意図的）","★相違"))</f>
        <v>一致</v>
      </c>
      <c r="G798" s="2"/>
    </row>
    <row r="799" customFormat="false" ht="15" hidden="false" customHeight="false" outlineLevel="0" collapsed="false">
      <c r="A799" s="2" t="s">
        <v>824</v>
      </c>
      <c r="B799" s="27" t="s">
        <v>827</v>
      </c>
      <c r="C799" s="28" t="n">
        <v>0</v>
      </c>
      <c r="D799" s="28" t="n">
        <f aca="false">'総括　6～7（メモあり）'!Q7</f>
        <v>0</v>
      </c>
      <c r="E799" s="28" t="n">
        <f aca="false">D799-N(C799)</f>
        <v>0</v>
      </c>
      <c r="F799" s="2" t="str">
        <f aca="false">IF(AND(C799&lt;&gt;"",ROUND(E799,2)=0),"一致",IF(G799&lt;&gt;"","変更（意図的）","★相違"))</f>
        <v>一致</v>
      </c>
      <c r="G799" s="2"/>
    </row>
    <row r="800" customFormat="false" ht="15" hidden="false" customHeight="false" outlineLevel="0" collapsed="false">
      <c r="A800" s="2" t="s">
        <v>824</v>
      </c>
      <c r="B800" s="27" t="s">
        <v>828</v>
      </c>
      <c r="C800" s="28" t="n">
        <v>0</v>
      </c>
      <c r="D800" s="28" t="n">
        <f aca="false">'総括　6～7（メモあり）'!R7</f>
        <v>0</v>
      </c>
      <c r="E800" s="28" t="n">
        <f aca="false">D800-N(C800)</f>
        <v>0</v>
      </c>
      <c r="F800" s="2" t="str">
        <f aca="false">IF(AND(C800&lt;&gt;"",ROUND(E800,2)=0),"一致",IF(G800&lt;&gt;"","変更（意図的）","★相違"))</f>
        <v>一致</v>
      </c>
      <c r="G800" s="2"/>
    </row>
    <row r="801" customFormat="false" ht="15" hidden="false" customHeight="false" outlineLevel="0" collapsed="false">
      <c r="A801" s="2" t="s">
        <v>824</v>
      </c>
      <c r="B801" s="27" t="s">
        <v>579</v>
      </c>
      <c r="C801" s="28" t="n">
        <v>0</v>
      </c>
      <c r="D801" s="28" t="n">
        <f aca="false">'総括　6～7（メモあり）'!S7</f>
        <v>0</v>
      </c>
      <c r="E801" s="28" t="n">
        <f aca="false">D801-N(C801)</f>
        <v>0</v>
      </c>
      <c r="F801" s="2" t="str">
        <f aca="false">IF(AND(C801&lt;&gt;"",ROUND(E801,2)=0),"一致",IF(G801&lt;&gt;"","変更（意図的）","★相違"))</f>
        <v>一致</v>
      </c>
      <c r="G801" s="2"/>
    </row>
    <row r="802" customFormat="false" ht="15" hidden="false" customHeight="false" outlineLevel="0" collapsed="false">
      <c r="A802" s="2" t="s">
        <v>824</v>
      </c>
      <c r="B802" s="27" t="s">
        <v>829</v>
      </c>
      <c r="C802" s="28" t="n">
        <v>5945270515</v>
      </c>
      <c r="D802" s="28" t="n">
        <f aca="false">'総括　6～7（メモあり）'!E8</f>
        <v>5945270515</v>
      </c>
      <c r="E802" s="28" t="n">
        <f aca="false">D802-N(C802)</f>
        <v>0</v>
      </c>
      <c r="F802" s="2" t="str">
        <f aca="false">IF(AND(C802&lt;&gt;"",ROUND(E802,2)=0),"一致",IF(G802&lt;&gt;"","変更（意図的）","★相違"))</f>
        <v>一致</v>
      </c>
      <c r="G802" s="2"/>
    </row>
    <row r="803" customFormat="false" ht="15" hidden="false" customHeight="false" outlineLevel="0" collapsed="false">
      <c r="A803" s="2" t="s">
        <v>824</v>
      </c>
      <c r="B803" s="27" t="s">
        <v>580</v>
      </c>
      <c r="C803" s="28" t="n">
        <v>4874201257</v>
      </c>
      <c r="D803" s="28" t="n">
        <f aca="false">'総括　6～7（メモあり）'!F8</f>
        <v>4874201257</v>
      </c>
      <c r="E803" s="28" t="n">
        <f aca="false">D803-N(C803)</f>
        <v>0</v>
      </c>
      <c r="F803" s="2" t="str">
        <f aca="false">IF(AND(C803&lt;&gt;"",ROUND(E803,2)=0),"一致",IF(G803&lt;&gt;"","変更（意図的）","★相違"))</f>
        <v>一致</v>
      </c>
      <c r="G803" s="2"/>
    </row>
    <row r="804" customFormat="false" ht="15" hidden="false" customHeight="false" outlineLevel="0" collapsed="false">
      <c r="A804" s="2" t="s">
        <v>824</v>
      </c>
      <c r="B804" s="27" t="s">
        <v>253</v>
      </c>
      <c r="C804" s="28" t="n">
        <v>1071069258</v>
      </c>
      <c r="D804" s="28" t="n">
        <f aca="false">'総括　6～7（メモあり）'!G8</f>
        <v>1071069258</v>
      </c>
      <c r="E804" s="28" t="n">
        <f aca="false">D804-N(C804)</f>
        <v>0</v>
      </c>
      <c r="F804" s="2" t="str">
        <f aca="false">IF(AND(C804&lt;&gt;"",ROUND(E804,2)=0),"一致",IF(G804&lt;&gt;"","変更（意図的）","★相違"))</f>
        <v>一致</v>
      </c>
      <c r="G804" s="2"/>
    </row>
    <row r="805" customFormat="false" ht="15" hidden="false" customHeight="false" outlineLevel="0" collapsed="false">
      <c r="A805" s="2" t="s">
        <v>824</v>
      </c>
      <c r="B805" s="27" t="s">
        <v>581</v>
      </c>
      <c r="C805" s="28" t="n">
        <v>2964516955</v>
      </c>
      <c r="D805" s="28" t="n">
        <f aca="false">'総括　6～7（メモあり）'!H8</f>
        <v>2964516955</v>
      </c>
      <c r="E805" s="28" t="n">
        <f aca="false">D805-N(C805)</f>
        <v>0</v>
      </c>
      <c r="F805" s="2" t="str">
        <f aca="false">IF(AND(C805&lt;&gt;"",ROUND(E805,2)=0),"一致",IF(G805&lt;&gt;"","変更（意図的）","★相違"))</f>
        <v>一致</v>
      </c>
      <c r="G805" s="2"/>
    </row>
    <row r="806" customFormat="false" ht="15" hidden="false" customHeight="false" outlineLevel="0" collapsed="false">
      <c r="A806" s="2" t="s">
        <v>824</v>
      </c>
      <c r="B806" s="27" t="s">
        <v>582</v>
      </c>
      <c r="C806" s="28" t="n">
        <v>6009799333</v>
      </c>
      <c r="D806" s="28" t="n">
        <f aca="false">'総括　6～7（メモあり）'!I8</f>
        <v>6009799333</v>
      </c>
      <c r="E806" s="28" t="n">
        <f aca="false">D806-N(C806)</f>
        <v>0</v>
      </c>
      <c r="F806" s="2" t="str">
        <f aca="false">IF(AND(C806&lt;&gt;"",ROUND(E806,2)=0),"一致",IF(G806&lt;&gt;"","変更（意図的）","★相違"))</f>
        <v>一致</v>
      </c>
      <c r="G806" s="2"/>
    </row>
    <row r="807" customFormat="false" ht="15" hidden="false" customHeight="false" outlineLevel="0" collapsed="false">
      <c r="A807" s="2" t="s">
        <v>824</v>
      </c>
      <c r="B807" s="27" t="s">
        <v>583</v>
      </c>
      <c r="C807" s="28" t="n">
        <v>-3045282378</v>
      </c>
      <c r="D807" s="28" t="n">
        <f aca="false">'総括　6～7（メモあり）'!J8</f>
        <v>-3045282378</v>
      </c>
      <c r="E807" s="28" t="n">
        <f aca="false">D807-N(C807)</f>
        <v>0</v>
      </c>
      <c r="F807" s="2" t="str">
        <f aca="false">IF(AND(C807&lt;&gt;"",ROUND(E807,2)=0),"一致",IF(G807&lt;&gt;"","変更（意図的）","★相違"))</f>
        <v>一致</v>
      </c>
      <c r="G807" s="2"/>
    </row>
    <row r="808" customFormat="false" ht="15" hidden="false" customHeight="false" outlineLevel="0" collapsed="false">
      <c r="A808" s="2" t="s">
        <v>824</v>
      </c>
      <c r="B808" s="27" t="s">
        <v>830</v>
      </c>
      <c r="C808" s="28" t="n">
        <v>0</v>
      </c>
      <c r="D808" s="28" t="n">
        <f aca="false">'総括　6～7（メモあり）'!K8</f>
        <v>0</v>
      </c>
      <c r="E808" s="28" t="n">
        <f aca="false">D808-N(C808)</f>
        <v>0</v>
      </c>
      <c r="F808" s="2" t="str">
        <f aca="false">IF(AND(C808&lt;&gt;"",ROUND(E808,2)=0),"一致",IF(G808&lt;&gt;"","変更（意図的）","★相違"))</f>
        <v>一致</v>
      </c>
      <c r="G808" s="2"/>
    </row>
    <row r="809" customFormat="false" ht="15" hidden="false" customHeight="false" outlineLevel="0" collapsed="false">
      <c r="A809" s="2" t="s">
        <v>824</v>
      </c>
      <c r="B809" s="27" t="s">
        <v>831</v>
      </c>
      <c r="C809" s="28" t="n">
        <v>0</v>
      </c>
      <c r="D809" s="28" t="n">
        <f aca="false">'総括　6～7（メモあり）'!L8</f>
        <v>0</v>
      </c>
      <c r="E809" s="28" t="n">
        <f aca="false">D809-N(C809)</f>
        <v>0</v>
      </c>
      <c r="F809" s="2" t="str">
        <f aca="false">IF(AND(C809&lt;&gt;"",ROUND(E809,2)=0),"一致",IF(G809&lt;&gt;"","変更（意図的）","★相違"))</f>
        <v>一致</v>
      </c>
      <c r="G809" s="2"/>
    </row>
    <row r="810" customFormat="false" ht="15" hidden="false" customHeight="false" outlineLevel="0" collapsed="false">
      <c r="A810" s="2" t="s">
        <v>824</v>
      </c>
      <c r="B810" s="27" t="s">
        <v>466</v>
      </c>
      <c r="C810" s="28" t="n">
        <v>0</v>
      </c>
      <c r="D810" s="28" t="n">
        <f aca="false">'総括　6～7（メモあり）'!M8</f>
        <v>0</v>
      </c>
      <c r="E810" s="28" t="n">
        <f aca="false">D810-N(C810)</f>
        <v>0</v>
      </c>
      <c r="F810" s="2" t="str">
        <f aca="false">IF(AND(C810&lt;&gt;"",ROUND(E810,2)=0),"一致",IF(G810&lt;&gt;"","変更（意図的）","★相違"))</f>
        <v>一致</v>
      </c>
      <c r="G810" s="2"/>
    </row>
    <row r="811" customFormat="false" ht="15" hidden="false" customHeight="false" outlineLevel="0" collapsed="false">
      <c r="A811" s="2" t="s">
        <v>824</v>
      </c>
      <c r="B811" s="27" t="s">
        <v>832</v>
      </c>
      <c r="C811" s="28" t="n">
        <v>215569947</v>
      </c>
      <c r="D811" s="28" t="n">
        <f aca="false">'総括　6～7（メモあり）'!N8</f>
        <v>215569947</v>
      </c>
      <c r="E811" s="28" t="n">
        <f aca="false">D811-N(C811)</f>
        <v>0</v>
      </c>
      <c r="F811" s="2" t="str">
        <f aca="false">IF(AND(C811&lt;&gt;"",ROUND(E811,2)=0),"一致",IF(G811&lt;&gt;"","変更（意図的）","★相違"))</f>
        <v>一致</v>
      </c>
      <c r="G811" s="2"/>
    </row>
    <row r="812" customFormat="false" ht="15" hidden="false" customHeight="false" outlineLevel="0" collapsed="false">
      <c r="A812" s="2" t="s">
        <v>824</v>
      </c>
      <c r="B812" s="27" t="s">
        <v>584</v>
      </c>
      <c r="C812" s="28" t="n">
        <v>166041412</v>
      </c>
      <c r="D812" s="28" t="n">
        <f aca="false">'総括　6～7（メモあり）'!O8</f>
        <v>166041412</v>
      </c>
      <c r="E812" s="28" t="n">
        <f aca="false">D812-N(C812)</f>
        <v>0</v>
      </c>
      <c r="F812" s="2" t="str">
        <f aca="false">IF(AND(C812&lt;&gt;"",ROUND(E812,2)=0),"一致",IF(G812&lt;&gt;"","変更（意図的）","★相違"))</f>
        <v>一致</v>
      </c>
      <c r="G812" s="2"/>
    </row>
    <row r="813" customFormat="false" ht="15" hidden="false" customHeight="false" outlineLevel="0" collapsed="false">
      <c r="A813" s="2" t="s">
        <v>824</v>
      </c>
      <c r="B813" s="27" t="s">
        <v>585</v>
      </c>
      <c r="C813" s="28" t="n">
        <v>49528535</v>
      </c>
      <c r="D813" s="28" t="n">
        <f aca="false">'総括　6～7（メモあり）'!P8</f>
        <v>49528535</v>
      </c>
      <c r="E813" s="28" t="n">
        <f aca="false">D813-N(C813)</f>
        <v>0</v>
      </c>
      <c r="F813" s="2" t="str">
        <f aca="false">IF(AND(C813&lt;&gt;"",ROUND(E813,2)=0),"一致",IF(G813&lt;&gt;"","変更（意図的）","★相違"))</f>
        <v>一致</v>
      </c>
      <c r="G813" s="2"/>
    </row>
    <row r="814" customFormat="false" ht="15" hidden="false" customHeight="false" outlineLevel="0" collapsed="false">
      <c r="A814" s="2" t="s">
        <v>824</v>
      </c>
      <c r="B814" s="27" t="s">
        <v>833</v>
      </c>
      <c r="C814" s="28" t="n">
        <v>0</v>
      </c>
      <c r="D814" s="28" t="n">
        <f aca="false">'総括　6～7（メモあり）'!Q8</f>
        <v>0</v>
      </c>
      <c r="E814" s="28" t="n">
        <f aca="false">D814-N(C814)</f>
        <v>0</v>
      </c>
      <c r="F814" s="2" t="str">
        <f aca="false">IF(AND(C814&lt;&gt;"",ROUND(E814,2)=0),"一致",IF(G814&lt;&gt;"","変更（意図的）","★相違"))</f>
        <v>一致</v>
      </c>
      <c r="G814" s="2"/>
    </row>
    <row r="815" customFormat="false" ht="15" hidden="false" customHeight="false" outlineLevel="0" collapsed="false">
      <c r="A815" s="2" t="s">
        <v>824</v>
      </c>
      <c r="B815" s="27" t="s">
        <v>834</v>
      </c>
      <c r="C815" s="28" t="n">
        <v>0</v>
      </c>
      <c r="D815" s="28" t="n">
        <f aca="false">'総括　6～7（メモあり）'!R8</f>
        <v>0</v>
      </c>
      <c r="E815" s="28" t="n">
        <f aca="false">D815-N(C815)</f>
        <v>0</v>
      </c>
      <c r="F815" s="2" t="str">
        <f aca="false">IF(AND(C815&lt;&gt;"",ROUND(E815,2)=0),"一致",IF(G815&lt;&gt;"","変更（意図的）","★相違"))</f>
        <v>一致</v>
      </c>
      <c r="G815" s="2"/>
    </row>
    <row r="816" customFormat="false" ht="15" hidden="false" customHeight="false" outlineLevel="0" collapsed="false">
      <c r="A816" s="2" t="s">
        <v>824</v>
      </c>
      <c r="B816" s="27" t="s">
        <v>586</v>
      </c>
      <c r="C816" s="28" t="n">
        <v>0</v>
      </c>
      <c r="D816" s="28" t="n">
        <f aca="false">'総括　6～7（メモあり）'!S8</f>
        <v>0</v>
      </c>
      <c r="E816" s="28" t="n">
        <f aca="false">D816-N(C816)</f>
        <v>0</v>
      </c>
      <c r="F816" s="2" t="str">
        <f aca="false">IF(AND(C816&lt;&gt;"",ROUND(E816,2)=0),"一致",IF(G816&lt;&gt;"","変更（意図的）","★相違"))</f>
        <v>一致</v>
      </c>
      <c r="G816" s="2"/>
    </row>
    <row r="817" customFormat="false" ht="15" hidden="false" customHeight="false" outlineLevel="0" collapsed="false">
      <c r="A817" s="2" t="s">
        <v>824</v>
      </c>
      <c r="B817" s="27" t="s">
        <v>835</v>
      </c>
      <c r="C817" s="28" t="n">
        <v>0</v>
      </c>
      <c r="D817" s="28" t="n">
        <f aca="false">'総括　6～7（メモあり）'!E9</f>
        <v>0</v>
      </c>
      <c r="E817" s="28" t="n">
        <f aca="false">D817-N(C817)</f>
        <v>0</v>
      </c>
      <c r="F817" s="2" t="str">
        <f aca="false">IF(AND(C817&lt;&gt;"",ROUND(E817,2)=0),"一致",IF(G817&lt;&gt;"","変更（意図的）","★相違"))</f>
        <v>一致</v>
      </c>
      <c r="G817" s="2"/>
    </row>
    <row r="818" customFormat="false" ht="15" hidden="false" customHeight="false" outlineLevel="0" collapsed="false">
      <c r="A818" s="2" t="s">
        <v>824</v>
      </c>
      <c r="B818" s="27" t="s">
        <v>587</v>
      </c>
      <c r="C818" s="28" t="n">
        <v>0</v>
      </c>
      <c r="D818" s="28" t="n">
        <f aca="false">'総括　6～7（メモあり）'!F9</f>
        <v>0</v>
      </c>
      <c r="E818" s="28" t="n">
        <f aca="false">D818-N(C818)</f>
        <v>0</v>
      </c>
      <c r="F818" s="2" t="str">
        <f aca="false">IF(AND(C818&lt;&gt;"",ROUND(E818,2)=0),"一致",IF(G818&lt;&gt;"","変更（意図的）","★相違"))</f>
        <v>一致</v>
      </c>
      <c r="G818" s="2"/>
    </row>
    <row r="819" customFormat="false" ht="15" hidden="false" customHeight="false" outlineLevel="0" collapsed="false">
      <c r="A819" s="2" t="s">
        <v>824</v>
      </c>
      <c r="B819" s="27" t="s">
        <v>254</v>
      </c>
      <c r="C819" s="28" t="n">
        <v>0</v>
      </c>
      <c r="D819" s="28" t="n">
        <f aca="false">'総括　6～7（メモあり）'!G9</f>
        <v>0</v>
      </c>
      <c r="E819" s="28" t="n">
        <f aca="false">D819-N(C819)</f>
        <v>0</v>
      </c>
      <c r="F819" s="2" t="str">
        <f aca="false">IF(AND(C819&lt;&gt;"",ROUND(E819,2)=0),"一致",IF(G819&lt;&gt;"","変更（意図的）","★相違"))</f>
        <v>一致</v>
      </c>
      <c r="G819" s="2"/>
    </row>
    <row r="820" customFormat="false" ht="15" hidden="false" customHeight="false" outlineLevel="0" collapsed="false">
      <c r="A820" s="2" t="s">
        <v>824</v>
      </c>
      <c r="B820" s="27" t="s">
        <v>588</v>
      </c>
      <c r="C820" s="28" t="n">
        <v>1204704253</v>
      </c>
      <c r="D820" s="28" t="n">
        <f aca="false">'総括　6～7（メモあり）'!H9</f>
        <v>1204704253</v>
      </c>
      <c r="E820" s="28" t="n">
        <f aca="false">D820-N(C820)</f>
        <v>0</v>
      </c>
      <c r="F820" s="2" t="str">
        <f aca="false">IF(AND(C820&lt;&gt;"",ROUND(E820,2)=0),"一致",IF(G820&lt;&gt;"","変更（意図的）","★相違"))</f>
        <v>一致</v>
      </c>
      <c r="G820" s="2"/>
    </row>
    <row r="821" customFormat="false" ht="15" hidden="false" customHeight="false" outlineLevel="0" collapsed="false">
      <c r="A821" s="2" t="s">
        <v>824</v>
      </c>
      <c r="B821" s="27" t="s">
        <v>589</v>
      </c>
      <c r="C821" s="28" t="n">
        <v>2333415822</v>
      </c>
      <c r="D821" s="28" t="n">
        <f aca="false">'総括　6～7（メモあり）'!I9</f>
        <v>2333415822</v>
      </c>
      <c r="E821" s="28" t="n">
        <f aca="false">D821-N(C821)</f>
        <v>0</v>
      </c>
      <c r="F821" s="2" t="str">
        <f aca="false">IF(AND(C821&lt;&gt;"",ROUND(E821,2)=0),"一致",IF(G821&lt;&gt;"","変更（意図的）","★相違"))</f>
        <v>一致</v>
      </c>
      <c r="G821" s="2"/>
    </row>
    <row r="822" customFormat="false" ht="15" hidden="false" customHeight="false" outlineLevel="0" collapsed="false">
      <c r="A822" s="2" t="s">
        <v>824</v>
      </c>
      <c r="B822" s="27" t="s">
        <v>590</v>
      </c>
      <c r="C822" s="28" t="n">
        <v>-1128711569</v>
      </c>
      <c r="D822" s="28" t="n">
        <f aca="false">'総括　6～7（メモあり）'!J9</f>
        <v>-1128711569</v>
      </c>
      <c r="E822" s="28" t="n">
        <f aca="false">D822-N(C822)</f>
        <v>0</v>
      </c>
      <c r="F822" s="2" t="str">
        <f aca="false">IF(AND(C822&lt;&gt;"",ROUND(E822,2)=0),"一致",IF(G822&lt;&gt;"","変更（意図的）","★相違"))</f>
        <v>一致</v>
      </c>
      <c r="G822" s="2"/>
    </row>
    <row r="823" customFormat="false" ht="15" hidden="false" customHeight="false" outlineLevel="0" collapsed="false">
      <c r="A823" s="2" t="s">
        <v>824</v>
      </c>
      <c r="B823" s="27" t="s">
        <v>591</v>
      </c>
      <c r="C823" s="28" t="n">
        <v>0</v>
      </c>
      <c r="D823" s="28" t="n">
        <f aca="false">'総括　6～7（メモあり）'!K9</f>
        <v>0</v>
      </c>
      <c r="E823" s="28" t="n">
        <f aca="false">D823-N(C823)</f>
        <v>0</v>
      </c>
      <c r="F823" s="2" t="str">
        <f aca="false">IF(AND(C823&lt;&gt;"",ROUND(E823,2)=0),"一致",IF(G823&lt;&gt;"","変更（意図的）","★相違"))</f>
        <v>一致</v>
      </c>
      <c r="G823" s="2"/>
    </row>
    <row r="824" customFormat="false" ht="15" hidden="false" customHeight="false" outlineLevel="0" collapsed="false">
      <c r="A824" s="2" t="s">
        <v>824</v>
      </c>
      <c r="B824" s="27" t="s">
        <v>836</v>
      </c>
      <c r="C824" s="28" t="n">
        <v>0</v>
      </c>
      <c r="D824" s="28" t="n">
        <f aca="false">'総括　6～7（メモあり）'!L9</f>
        <v>0</v>
      </c>
      <c r="E824" s="28" t="n">
        <f aca="false">D824-N(C824)</f>
        <v>0</v>
      </c>
      <c r="F824" s="2" t="str">
        <f aca="false">IF(AND(C824&lt;&gt;"",ROUND(E824,2)=0),"一致",IF(G824&lt;&gt;"","変更（意図的）","★相違"))</f>
        <v>一致</v>
      </c>
      <c r="G824" s="2"/>
    </row>
    <row r="825" customFormat="false" ht="15" hidden="false" customHeight="false" outlineLevel="0" collapsed="false">
      <c r="A825" s="2" t="s">
        <v>824</v>
      </c>
      <c r="B825" s="27" t="s">
        <v>471</v>
      </c>
      <c r="C825" s="28" t="n">
        <v>0</v>
      </c>
      <c r="D825" s="28" t="n">
        <f aca="false">'総括　6～7（メモあり）'!M9</f>
        <v>0</v>
      </c>
      <c r="E825" s="28" t="n">
        <f aca="false">D825-N(C825)</f>
        <v>0</v>
      </c>
      <c r="F825" s="2" t="str">
        <f aca="false">IF(AND(C825&lt;&gt;"",ROUND(E825,2)=0),"一致",IF(G825&lt;&gt;"","変更（意図的）","★相違"))</f>
        <v>一致</v>
      </c>
      <c r="G825" s="2"/>
    </row>
    <row r="826" customFormat="false" ht="15" hidden="false" customHeight="false" outlineLevel="0" collapsed="false">
      <c r="A826" s="2" t="s">
        <v>824</v>
      </c>
      <c r="B826" s="27" t="s">
        <v>837</v>
      </c>
      <c r="C826" s="28" t="n">
        <v>0</v>
      </c>
      <c r="D826" s="28" t="n">
        <f aca="false">'総括　6～7（メモあり）'!N9</f>
        <v>0</v>
      </c>
      <c r="E826" s="28" t="n">
        <f aca="false">D826-N(C826)</f>
        <v>0</v>
      </c>
      <c r="F826" s="2" t="str">
        <f aca="false">IF(AND(C826&lt;&gt;"",ROUND(E826,2)=0),"一致",IF(G826&lt;&gt;"","変更（意図的）","★相違"))</f>
        <v>一致</v>
      </c>
      <c r="G826" s="2"/>
    </row>
    <row r="827" customFormat="false" ht="15" hidden="false" customHeight="false" outlineLevel="0" collapsed="false">
      <c r="A827" s="2" t="s">
        <v>824</v>
      </c>
      <c r="B827" s="27" t="s">
        <v>592</v>
      </c>
      <c r="C827" s="28" t="n">
        <v>0</v>
      </c>
      <c r="D827" s="28" t="n">
        <f aca="false">'総括　6～7（メモあり）'!O9</f>
        <v>0</v>
      </c>
      <c r="E827" s="28" t="n">
        <f aca="false">D827-N(C827)</f>
        <v>0</v>
      </c>
      <c r="F827" s="2" t="str">
        <f aca="false">IF(AND(C827&lt;&gt;"",ROUND(E827,2)=0),"一致",IF(G827&lt;&gt;"","変更（意図的）","★相違"))</f>
        <v>一致</v>
      </c>
      <c r="G827" s="2"/>
    </row>
    <row r="828" customFormat="false" ht="15" hidden="false" customHeight="false" outlineLevel="0" collapsed="false">
      <c r="A828" s="2" t="s">
        <v>824</v>
      </c>
      <c r="B828" s="27" t="s">
        <v>593</v>
      </c>
      <c r="C828" s="28" t="n">
        <v>0</v>
      </c>
      <c r="D828" s="28" t="n">
        <f aca="false">'総括　6～7（メモあり）'!P9</f>
        <v>0</v>
      </c>
      <c r="E828" s="28" t="n">
        <f aca="false">D828-N(C828)</f>
        <v>0</v>
      </c>
      <c r="F828" s="2" t="str">
        <f aca="false">IF(AND(C828&lt;&gt;"",ROUND(E828,2)=0),"一致",IF(G828&lt;&gt;"","変更（意図的）","★相違"))</f>
        <v>一致</v>
      </c>
      <c r="G828" s="2"/>
    </row>
    <row r="829" customFormat="false" ht="15" hidden="false" customHeight="false" outlineLevel="0" collapsed="false">
      <c r="A829" s="2" t="s">
        <v>824</v>
      </c>
      <c r="B829" s="27" t="s">
        <v>838</v>
      </c>
      <c r="C829" s="28" t="n">
        <v>0</v>
      </c>
      <c r="D829" s="28" t="n">
        <f aca="false">'総括　6～7（メモあり）'!Q9</f>
        <v>0</v>
      </c>
      <c r="E829" s="28" t="n">
        <f aca="false">D829-N(C829)</f>
        <v>0</v>
      </c>
      <c r="F829" s="2" t="str">
        <f aca="false">IF(AND(C829&lt;&gt;"",ROUND(E829,2)=0),"一致",IF(G829&lt;&gt;"","変更（意図的）","★相違"))</f>
        <v>一致</v>
      </c>
      <c r="G829" s="2"/>
    </row>
    <row r="830" customFormat="false" ht="15" hidden="false" customHeight="false" outlineLevel="0" collapsed="false">
      <c r="A830" s="2" t="s">
        <v>824</v>
      </c>
      <c r="B830" s="27" t="s">
        <v>839</v>
      </c>
      <c r="C830" s="28" t="n">
        <v>0</v>
      </c>
      <c r="D830" s="28" t="n">
        <f aca="false">'総括　6～7（メモあり）'!R9</f>
        <v>0</v>
      </c>
      <c r="E830" s="28" t="n">
        <f aca="false">D830-N(C830)</f>
        <v>0</v>
      </c>
      <c r="F830" s="2" t="str">
        <f aca="false">IF(AND(C830&lt;&gt;"",ROUND(E830,2)=0),"一致",IF(G830&lt;&gt;"","変更（意図的）","★相違"))</f>
        <v>一致</v>
      </c>
      <c r="G830" s="2"/>
    </row>
    <row r="831" customFormat="false" ht="15" hidden="false" customHeight="false" outlineLevel="0" collapsed="false">
      <c r="A831" s="2" t="s">
        <v>824</v>
      </c>
      <c r="B831" s="27" t="s">
        <v>594</v>
      </c>
      <c r="C831" s="28" t="n">
        <v>0</v>
      </c>
      <c r="D831" s="28" t="n">
        <f aca="false">'総括　6～7（メモあり）'!S9</f>
        <v>0</v>
      </c>
      <c r="E831" s="28" t="n">
        <f aca="false">D831-N(C831)</f>
        <v>0</v>
      </c>
      <c r="F831" s="2" t="str">
        <f aca="false">IF(AND(C831&lt;&gt;"",ROUND(E831,2)=0),"一致",IF(G831&lt;&gt;"","変更（意図的）","★相違"))</f>
        <v>一致</v>
      </c>
      <c r="G831" s="2"/>
    </row>
    <row r="832" customFormat="false" ht="15" hidden="false" customHeight="false" outlineLevel="0" collapsed="false">
      <c r="A832" s="2" t="s">
        <v>824</v>
      </c>
      <c r="B832" s="27" t="s">
        <v>840</v>
      </c>
      <c r="C832" s="28" t="n">
        <v>0</v>
      </c>
      <c r="D832" s="28" t="n">
        <f aca="false">'総括　6～7（メモあり）'!E10</f>
        <v>0</v>
      </c>
      <c r="E832" s="28" t="n">
        <f aca="false">D832-N(C832)</f>
        <v>0</v>
      </c>
      <c r="F832" s="2" t="str">
        <f aca="false">IF(AND(C832&lt;&gt;"",ROUND(E832,2)=0),"一致",IF(G832&lt;&gt;"","変更（意図的）","★相違"))</f>
        <v>一致</v>
      </c>
      <c r="G832" s="2"/>
    </row>
    <row r="833" customFormat="false" ht="15" hidden="false" customHeight="false" outlineLevel="0" collapsed="false">
      <c r="A833" s="2" t="s">
        <v>824</v>
      </c>
      <c r="B833" s="27" t="s">
        <v>841</v>
      </c>
      <c r="C833" s="28" t="n">
        <v>0</v>
      </c>
      <c r="D833" s="28" t="n">
        <f aca="false">'総括　6～7（メモあり）'!F10</f>
        <v>0</v>
      </c>
      <c r="E833" s="28" t="n">
        <f aca="false">D833-N(C833)</f>
        <v>0</v>
      </c>
      <c r="F833" s="2" t="str">
        <f aca="false">IF(AND(C833&lt;&gt;"",ROUND(E833,2)=0),"一致",IF(G833&lt;&gt;"","変更（意図的）","★相違"))</f>
        <v>一致</v>
      </c>
      <c r="G833" s="2"/>
    </row>
    <row r="834" customFormat="false" ht="15" hidden="false" customHeight="false" outlineLevel="0" collapsed="false">
      <c r="A834" s="2" t="s">
        <v>824</v>
      </c>
      <c r="B834" s="27" t="s">
        <v>255</v>
      </c>
      <c r="C834" s="28" t="n">
        <v>0</v>
      </c>
      <c r="D834" s="28" t="n">
        <f aca="false">'総括　6～7（メモあり）'!G10</f>
        <v>0</v>
      </c>
      <c r="E834" s="28" t="n">
        <f aca="false">D834-N(C834)</f>
        <v>0</v>
      </c>
      <c r="F834" s="2" t="str">
        <f aca="false">IF(AND(C834&lt;&gt;"",ROUND(E834,2)=0),"一致",IF(G834&lt;&gt;"","変更（意図的）","★相違"))</f>
        <v>一致</v>
      </c>
      <c r="G834" s="2"/>
    </row>
    <row r="835" customFormat="false" ht="15" hidden="false" customHeight="false" outlineLevel="0" collapsed="false">
      <c r="A835" s="2" t="s">
        <v>824</v>
      </c>
      <c r="B835" s="27" t="s">
        <v>595</v>
      </c>
      <c r="C835" s="28" t="n">
        <v>3820000</v>
      </c>
      <c r="D835" s="28" t="n">
        <f aca="false">'総括　6～7（メモあり）'!H10</f>
        <v>3820000</v>
      </c>
      <c r="E835" s="28" t="n">
        <f aca="false">D835-N(C835)</f>
        <v>0</v>
      </c>
      <c r="F835" s="2" t="str">
        <f aca="false">IF(AND(C835&lt;&gt;"",ROUND(E835,2)=0),"一致",IF(G835&lt;&gt;"","変更（意図的）","★相違"))</f>
        <v>一致</v>
      </c>
      <c r="G835" s="2"/>
    </row>
    <row r="836" customFormat="false" ht="15" hidden="false" customHeight="false" outlineLevel="0" collapsed="false">
      <c r="A836" s="2" t="s">
        <v>824</v>
      </c>
      <c r="B836" s="27" t="s">
        <v>596</v>
      </c>
      <c r="C836" s="28" t="n">
        <v>14466000</v>
      </c>
      <c r="D836" s="28" t="n">
        <f aca="false">'総括　6～7（メモあり）'!I10</f>
        <v>14466000</v>
      </c>
      <c r="E836" s="28" t="n">
        <f aca="false">D836-N(C836)</f>
        <v>0</v>
      </c>
      <c r="F836" s="2" t="str">
        <f aca="false">IF(AND(C836&lt;&gt;"",ROUND(E836,2)=0),"一致",IF(G836&lt;&gt;"","変更（意図的）","★相違"))</f>
        <v>一致</v>
      </c>
      <c r="G836" s="2"/>
    </row>
    <row r="837" customFormat="false" ht="15" hidden="false" customHeight="false" outlineLevel="0" collapsed="false">
      <c r="A837" s="2" t="s">
        <v>824</v>
      </c>
      <c r="B837" s="27" t="s">
        <v>597</v>
      </c>
      <c r="C837" s="28" t="n">
        <v>-10646000</v>
      </c>
      <c r="D837" s="28" t="n">
        <f aca="false">'総括　6～7（メモあり）'!J10</f>
        <v>-10646000</v>
      </c>
      <c r="E837" s="28" t="n">
        <f aca="false">D837-N(C837)</f>
        <v>0</v>
      </c>
      <c r="F837" s="2" t="str">
        <f aca="false">IF(AND(C837&lt;&gt;"",ROUND(E837,2)=0),"一致",IF(G837&lt;&gt;"","変更（意図的）","★相違"))</f>
        <v>一致</v>
      </c>
      <c r="G837" s="2"/>
    </row>
    <row r="838" customFormat="false" ht="15" hidden="false" customHeight="false" outlineLevel="0" collapsed="false">
      <c r="A838" s="2" t="s">
        <v>824</v>
      </c>
      <c r="B838" s="27" t="s">
        <v>842</v>
      </c>
      <c r="C838" s="28" t="n">
        <v>0</v>
      </c>
      <c r="D838" s="28" t="n">
        <f aca="false">'総括　6～7（メモあり）'!K10</f>
        <v>0</v>
      </c>
      <c r="E838" s="28" t="n">
        <f aca="false">D838-N(C838)</f>
        <v>0</v>
      </c>
      <c r="F838" s="2" t="str">
        <f aca="false">IF(AND(C838&lt;&gt;"",ROUND(E838,2)=0),"一致",IF(G838&lt;&gt;"","変更（意図的）","★相違"))</f>
        <v>一致</v>
      </c>
      <c r="G838" s="2"/>
    </row>
    <row r="839" customFormat="false" ht="15" hidden="false" customHeight="false" outlineLevel="0" collapsed="false">
      <c r="A839" s="2" t="s">
        <v>824</v>
      </c>
      <c r="B839" s="27" t="s">
        <v>843</v>
      </c>
      <c r="C839" s="28" t="n">
        <v>0</v>
      </c>
      <c r="D839" s="28" t="n">
        <f aca="false">'総括　6～7（メモあり）'!L10</f>
        <v>0</v>
      </c>
      <c r="E839" s="28" t="n">
        <f aca="false">D839-N(C839)</f>
        <v>0</v>
      </c>
      <c r="F839" s="2" t="str">
        <f aca="false">IF(AND(C839&lt;&gt;"",ROUND(E839,2)=0),"一致",IF(G839&lt;&gt;"","変更（意図的）","★相違"))</f>
        <v>一致</v>
      </c>
      <c r="G839" s="2"/>
    </row>
    <row r="840" customFormat="false" ht="15" hidden="false" customHeight="false" outlineLevel="0" collapsed="false">
      <c r="A840" s="2" t="s">
        <v>824</v>
      </c>
      <c r="B840" s="27" t="s">
        <v>476</v>
      </c>
      <c r="C840" s="28" t="n">
        <v>0</v>
      </c>
      <c r="D840" s="28" t="n">
        <f aca="false">'総括　6～7（メモあり）'!M10</f>
        <v>0</v>
      </c>
      <c r="E840" s="28" t="n">
        <f aca="false">D840-N(C840)</f>
        <v>0</v>
      </c>
      <c r="F840" s="2" t="str">
        <f aca="false">IF(AND(C840&lt;&gt;"",ROUND(E840,2)=0),"一致",IF(G840&lt;&gt;"","変更（意図的）","★相違"))</f>
        <v>一致</v>
      </c>
      <c r="G840" s="2"/>
    </row>
    <row r="841" customFormat="false" ht="15" hidden="false" customHeight="false" outlineLevel="0" collapsed="false">
      <c r="A841" s="2" t="s">
        <v>824</v>
      </c>
      <c r="B841" s="27" t="s">
        <v>844</v>
      </c>
      <c r="C841" s="28" t="n">
        <v>0</v>
      </c>
      <c r="D841" s="28" t="n">
        <f aca="false">'総括　6～7（メモあり）'!N10</f>
        <v>0</v>
      </c>
      <c r="E841" s="28" t="n">
        <f aca="false">D841-N(C841)</f>
        <v>0</v>
      </c>
      <c r="F841" s="2" t="str">
        <f aca="false">IF(AND(C841&lt;&gt;"",ROUND(E841,2)=0),"一致",IF(G841&lt;&gt;"","変更（意図的）","★相違"))</f>
        <v>一致</v>
      </c>
      <c r="G841" s="2"/>
    </row>
    <row r="842" customFormat="false" ht="15" hidden="false" customHeight="false" outlineLevel="0" collapsed="false">
      <c r="A842" s="2" t="s">
        <v>824</v>
      </c>
      <c r="B842" s="27" t="s">
        <v>845</v>
      </c>
      <c r="C842" s="28" t="n">
        <v>0</v>
      </c>
      <c r="D842" s="28" t="n">
        <f aca="false">'総括　6～7（メモあり）'!O10</f>
        <v>0</v>
      </c>
      <c r="E842" s="28" t="n">
        <f aca="false">D842-N(C842)</f>
        <v>0</v>
      </c>
      <c r="F842" s="2" t="str">
        <f aca="false">IF(AND(C842&lt;&gt;"",ROUND(E842,2)=0),"一致",IF(G842&lt;&gt;"","変更（意図的）","★相違"))</f>
        <v>一致</v>
      </c>
      <c r="G842" s="2"/>
    </row>
    <row r="843" customFormat="false" ht="15" hidden="false" customHeight="false" outlineLevel="0" collapsed="false">
      <c r="A843" s="2" t="s">
        <v>824</v>
      </c>
      <c r="B843" s="27" t="s">
        <v>598</v>
      </c>
      <c r="C843" s="28" t="n">
        <v>0</v>
      </c>
      <c r="D843" s="28" t="n">
        <f aca="false">'総括　6～7（メモあり）'!P10</f>
        <v>0</v>
      </c>
      <c r="E843" s="28" t="n">
        <f aca="false">D843-N(C843)</f>
        <v>0</v>
      </c>
      <c r="F843" s="2" t="str">
        <f aca="false">IF(AND(C843&lt;&gt;"",ROUND(E843,2)=0),"一致",IF(G843&lt;&gt;"","変更（意図的）","★相違"))</f>
        <v>一致</v>
      </c>
      <c r="G843" s="2"/>
    </row>
    <row r="844" customFormat="false" ht="15" hidden="false" customHeight="false" outlineLevel="0" collapsed="false">
      <c r="A844" s="2" t="s">
        <v>824</v>
      </c>
      <c r="B844" s="27" t="s">
        <v>846</v>
      </c>
      <c r="C844" s="28" t="n">
        <v>0</v>
      </c>
      <c r="D844" s="28" t="n">
        <f aca="false">'総括　6～7（メモあり）'!Q10</f>
        <v>0</v>
      </c>
      <c r="E844" s="28" t="n">
        <f aca="false">D844-N(C844)</f>
        <v>0</v>
      </c>
      <c r="F844" s="2" t="str">
        <f aca="false">IF(AND(C844&lt;&gt;"",ROUND(E844,2)=0),"一致",IF(G844&lt;&gt;"","変更（意図的）","★相違"))</f>
        <v>一致</v>
      </c>
      <c r="G844" s="2"/>
    </row>
    <row r="845" customFormat="false" ht="15" hidden="false" customHeight="false" outlineLevel="0" collapsed="false">
      <c r="A845" s="2" t="s">
        <v>824</v>
      </c>
      <c r="B845" s="27" t="s">
        <v>847</v>
      </c>
      <c r="C845" s="28" t="n">
        <v>0</v>
      </c>
      <c r="D845" s="28" t="n">
        <f aca="false">'総括　6～7（メモあり）'!R10</f>
        <v>0</v>
      </c>
      <c r="E845" s="28" t="n">
        <f aca="false">D845-N(C845)</f>
        <v>0</v>
      </c>
      <c r="F845" s="2" t="str">
        <f aca="false">IF(AND(C845&lt;&gt;"",ROUND(E845,2)=0),"一致",IF(G845&lt;&gt;"","変更（意図的）","★相違"))</f>
        <v>一致</v>
      </c>
      <c r="G845" s="2"/>
    </row>
    <row r="846" customFormat="false" ht="15" hidden="false" customHeight="false" outlineLevel="0" collapsed="false">
      <c r="A846" s="2" t="s">
        <v>824</v>
      </c>
      <c r="B846" s="27" t="s">
        <v>599</v>
      </c>
      <c r="C846" s="28" t="n">
        <v>0</v>
      </c>
      <c r="D846" s="28" t="n">
        <f aca="false">'総括　6～7（メモあり）'!S10</f>
        <v>0</v>
      </c>
      <c r="E846" s="28" t="n">
        <f aca="false">D846-N(C846)</f>
        <v>0</v>
      </c>
      <c r="F846" s="2" t="str">
        <f aca="false">IF(AND(C846&lt;&gt;"",ROUND(E846,2)=0),"一致",IF(G846&lt;&gt;"","変更（意図的）","★相違"))</f>
        <v>一致</v>
      </c>
      <c r="G846" s="2"/>
    </row>
    <row r="847" customFormat="false" ht="15" hidden="false" customHeight="false" outlineLevel="0" collapsed="false">
      <c r="A847" s="2" t="s">
        <v>824</v>
      </c>
      <c r="B847" s="27" t="s">
        <v>848</v>
      </c>
      <c r="C847" s="28" t="n">
        <v>512653248</v>
      </c>
      <c r="D847" s="28" t="n">
        <f aca="false">'総括　6～7（メモあり）'!E11</f>
        <v>512653248</v>
      </c>
      <c r="E847" s="28" t="n">
        <f aca="false">D847-N(C847)</f>
        <v>0</v>
      </c>
      <c r="F847" s="2" t="str">
        <f aca="false">IF(AND(C847&lt;&gt;"",ROUND(E847,2)=0),"一致",IF(G847&lt;&gt;"","変更（意図的）","★相違"))</f>
        <v>一致</v>
      </c>
      <c r="G847" s="2"/>
    </row>
    <row r="848" customFormat="false" ht="15" hidden="false" customHeight="false" outlineLevel="0" collapsed="false">
      <c r="A848" s="2" t="s">
        <v>824</v>
      </c>
      <c r="B848" s="27" t="s">
        <v>600</v>
      </c>
      <c r="C848" s="28" t="n">
        <v>498922077</v>
      </c>
      <c r="D848" s="28" t="n">
        <f aca="false">'総括　6～7（メモあり）'!F11</f>
        <v>498922077</v>
      </c>
      <c r="E848" s="28" t="n">
        <f aca="false">D848-N(C848)</f>
        <v>0</v>
      </c>
      <c r="F848" s="2" t="str">
        <f aca="false">IF(AND(C848&lt;&gt;"",ROUND(E848,2)=0),"一致",IF(G848&lt;&gt;"","変更（意図的）","★相違"))</f>
        <v>一致</v>
      </c>
      <c r="G848" s="2"/>
    </row>
    <row r="849" customFormat="false" ht="15" hidden="false" customHeight="false" outlineLevel="0" collapsed="false">
      <c r="A849" s="2" t="s">
        <v>824</v>
      </c>
      <c r="B849" s="27" t="s">
        <v>601</v>
      </c>
      <c r="C849" s="28" t="n">
        <v>13731171</v>
      </c>
      <c r="D849" s="28" t="n">
        <f aca="false">'総括　6～7（メモあり）'!G11</f>
        <v>13731171</v>
      </c>
      <c r="E849" s="28" t="n">
        <f aca="false">D849-N(C849)</f>
        <v>0</v>
      </c>
      <c r="F849" s="2" t="str">
        <f aca="false">IF(AND(C849&lt;&gt;"",ROUND(E849,2)=0),"一致",IF(G849&lt;&gt;"","変更（意図的）","★相違"))</f>
        <v>一致</v>
      </c>
      <c r="G849" s="2"/>
    </row>
    <row r="850" customFormat="false" ht="15" hidden="false" customHeight="false" outlineLevel="0" collapsed="false">
      <c r="A850" s="2" t="s">
        <v>824</v>
      </c>
      <c r="B850" s="27" t="s">
        <v>849</v>
      </c>
      <c r="C850" s="28" t="n">
        <v>0</v>
      </c>
      <c r="D850" s="28" t="n">
        <f aca="false">'総括　6～7（メモあり）'!K11</f>
        <v>0</v>
      </c>
      <c r="E850" s="28" t="n">
        <f aca="false">D850-N(C850)</f>
        <v>0</v>
      </c>
      <c r="F850" s="2" t="str">
        <f aca="false">IF(AND(C850&lt;&gt;"",ROUND(E850,2)=0),"一致",IF(G850&lt;&gt;"","変更（意図的）","★相違"))</f>
        <v>一致</v>
      </c>
      <c r="G850" s="2"/>
    </row>
    <row r="851" customFormat="false" ht="15" hidden="false" customHeight="false" outlineLevel="0" collapsed="false">
      <c r="A851" s="2" t="s">
        <v>824</v>
      </c>
      <c r="B851" s="27" t="s">
        <v>850</v>
      </c>
      <c r="C851" s="28" t="n">
        <v>0</v>
      </c>
      <c r="D851" s="28" t="n">
        <f aca="false">'総括　6～7（メモあり）'!L11</f>
        <v>0</v>
      </c>
      <c r="E851" s="28" t="n">
        <f aca="false">D851-N(C851)</f>
        <v>0</v>
      </c>
      <c r="F851" s="2" t="str">
        <f aca="false">IF(AND(C851&lt;&gt;"",ROUND(E851,2)=0),"一致",IF(G851&lt;&gt;"","変更（意図的）","★相違"))</f>
        <v>一致</v>
      </c>
      <c r="G851" s="2"/>
    </row>
    <row r="852" customFormat="false" ht="15" hidden="false" customHeight="false" outlineLevel="0" collapsed="false">
      <c r="A852" s="2" t="s">
        <v>824</v>
      </c>
      <c r="B852" s="27" t="s">
        <v>481</v>
      </c>
      <c r="C852" s="28" t="n">
        <v>0</v>
      </c>
      <c r="D852" s="28" t="n">
        <f aca="false">'総括　6～7（メモあり）'!M11</f>
        <v>0</v>
      </c>
      <c r="E852" s="28" t="n">
        <f aca="false">D852-N(C852)</f>
        <v>0</v>
      </c>
      <c r="F852" s="2" t="str">
        <f aca="false">IF(AND(C852&lt;&gt;"",ROUND(E852,2)=0),"一致",IF(G852&lt;&gt;"","変更（意図的）","★相違"))</f>
        <v>一致</v>
      </c>
      <c r="G852" s="2"/>
    </row>
    <row r="853" customFormat="false" ht="15" hidden="false" customHeight="false" outlineLevel="0" collapsed="false">
      <c r="A853" s="2" t="s">
        <v>824</v>
      </c>
      <c r="B853" s="27" t="s">
        <v>851</v>
      </c>
      <c r="C853" s="28" t="n">
        <v>0</v>
      </c>
      <c r="D853" s="28" t="n">
        <f aca="false">'総括　6～7（メモあり）'!N11</f>
        <v>0</v>
      </c>
      <c r="E853" s="28" t="n">
        <f aca="false">D853-N(C853)</f>
        <v>0</v>
      </c>
      <c r="F853" s="2" t="str">
        <f aca="false">IF(AND(C853&lt;&gt;"",ROUND(E853,2)=0),"一致",IF(G853&lt;&gt;"","変更（意図的）","★相違"))</f>
        <v>一致</v>
      </c>
      <c r="G853" s="2"/>
    </row>
    <row r="854" customFormat="false" ht="15" hidden="false" customHeight="false" outlineLevel="0" collapsed="false">
      <c r="A854" s="2" t="s">
        <v>824</v>
      </c>
      <c r="B854" s="27" t="s">
        <v>852</v>
      </c>
      <c r="C854" s="28" t="n">
        <v>0</v>
      </c>
      <c r="D854" s="28" t="n">
        <f aca="false">'総括　6～7（メモあり）'!O11</f>
        <v>0</v>
      </c>
      <c r="E854" s="28" t="n">
        <f aca="false">D854-N(C854)</f>
        <v>0</v>
      </c>
      <c r="F854" s="2" t="str">
        <f aca="false">IF(AND(C854&lt;&gt;"",ROUND(E854,2)=0),"一致",IF(G854&lt;&gt;"","変更（意図的）","★相違"))</f>
        <v>一致</v>
      </c>
      <c r="G854" s="2"/>
    </row>
    <row r="855" customFormat="false" ht="15" hidden="false" customHeight="false" outlineLevel="0" collapsed="false">
      <c r="A855" s="2" t="s">
        <v>824</v>
      </c>
      <c r="B855" s="27" t="s">
        <v>602</v>
      </c>
      <c r="C855" s="28" t="n">
        <v>0</v>
      </c>
      <c r="D855" s="28" t="n">
        <f aca="false">'総括　6～7（メモあり）'!P11</f>
        <v>0</v>
      </c>
      <c r="E855" s="28" t="n">
        <f aca="false">D855-N(C855)</f>
        <v>0</v>
      </c>
      <c r="F855" s="2" t="str">
        <f aca="false">IF(AND(C855&lt;&gt;"",ROUND(E855,2)=0),"一致",IF(G855&lt;&gt;"","変更（意図的）","★相違"))</f>
        <v>一致</v>
      </c>
      <c r="G855" s="2"/>
    </row>
    <row r="856" customFormat="false" ht="15" hidden="false" customHeight="false" outlineLevel="0" collapsed="false">
      <c r="A856" s="2" t="s">
        <v>824</v>
      </c>
      <c r="B856" s="27" t="s">
        <v>853</v>
      </c>
      <c r="C856" s="28" t="n">
        <v>0</v>
      </c>
      <c r="D856" s="28" t="n">
        <f aca="false">'総括　6～7（メモあり）'!Q11</f>
        <v>0</v>
      </c>
      <c r="E856" s="28" t="n">
        <f aca="false">D856-N(C856)</f>
        <v>0</v>
      </c>
      <c r="F856" s="2" t="str">
        <f aca="false">IF(AND(C856&lt;&gt;"",ROUND(E856,2)=0),"一致",IF(G856&lt;&gt;"","変更（意図的）","★相違"))</f>
        <v>一致</v>
      </c>
      <c r="G856" s="2"/>
    </row>
    <row r="857" customFormat="false" ht="15" hidden="false" customHeight="false" outlineLevel="0" collapsed="false">
      <c r="A857" s="2" t="s">
        <v>824</v>
      </c>
      <c r="B857" s="27" t="s">
        <v>854</v>
      </c>
      <c r="C857" s="28" t="n">
        <v>0</v>
      </c>
      <c r="D857" s="28" t="n">
        <f aca="false">'総括　6～7（メモあり）'!R11</f>
        <v>0</v>
      </c>
      <c r="E857" s="28" t="n">
        <f aca="false">D857-N(C857)</f>
        <v>0</v>
      </c>
      <c r="F857" s="2" t="str">
        <f aca="false">IF(AND(C857&lt;&gt;"",ROUND(E857,2)=0),"一致",IF(G857&lt;&gt;"","変更（意図的）","★相違"))</f>
        <v>一致</v>
      </c>
      <c r="G857" s="2"/>
    </row>
    <row r="858" customFormat="false" ht="15" hidden="false" customHeight="false" outlineLevel="0" collapsed="false">
      <c r="A858" s="2" t="s">
        <v>824</v>
      </c>
      <c r="B858" s="27" t="s">
        <v>603</v>
      </c>
      <c r="C858" s="28" t="n">
        <v>0</v>
      </c>
      <c r="D858" s="28" t="n">
        <f aca="false">'総括　6～7（メモあり）'!S11</f>
        <v>0</v>
      </c>
      <c r="E858" s="28" t="n">
        <f aca="false">D858-N(C858)</f>
        <v>0</v>
      </c>
      <c r="F858" s="2" t="str">
        <f aca="false">IF(AND(C858&lt;&gt;"",ROUND(E858,2)=0),"一致",IF(G858&lt;&gt;"","変更（意図的）","★相違"))</f>
        <v>一致</v>
      </c>
      <c r="G858" s="2"/>
    </row>
    <row r="859" customFormat="false" ht="15" hidden="false" customHeight="false" outlineLevel="0" collapsed="false">
      <c r="A859" s="2" t="s">
        <v>824</v>
      </c>
      <c r="B859" s="27" t="s">
        <v>483</v>
      </c>
      <c r="C859" s="28" t="n">
        <v>0</v>
      </c>
      <c r="D859" s="28" t="n">
        <f aca="false">'総括　6～7（メモあり）'!AE11</f>
        <v>0</v>
      </c>
      <c r="E859" s="28" t="n">
        <f aca="false">D859-N(C859)</f>
        <v>0</v>
      </c>
      <c r="F859" s="2" t="str">
        <f aca="false">IF(AND(C859&lt;&gt;"",ROUND(E859,2)=0),"一致",IF(G859&lt;&gt;"","変更（意図的）","★相違"))</f>
        <v>一致</v>
      </c>
      <c r="G859" s="2"/>
    </row>
    <row r="860" customFormat="false" ht="15" hidden="false" customHeight="false" outlineLevel="0" collapsed="false">
      <c r="A860" s="2" t="s">
        <v>824</v>
      </c>
      <c r="B860" s="27" t="s">
        <v>855</v>
      </c>
      <c r="C860" s="28" t="n">
        <v>98548000</v>
      </c>
      <c r="D860" s="28" t="n">
        <f aca="false">'総括　6～7（メモあり）'!E12</f>
        <v>98548000</v>
      </c>
      <c r="E860" s="28" t="n">
        <f aca="false">D860-N(C860)</f>
        <v>0</v>
      </c>
      <c r="F860" s="2" t="str">
        <f aca="false">IF(AND(C860&lt;&gt;"",ROUND(E860,2)=0),"一致",IF(G860&lt;&gt;"","変更（意図的）","★相違"))</f>
        <v>一致</v>
      </c>
      <c r="G860" s="2"/>
    </row>
    <row r="861" customFormat="false" ht="15" hidden="false" customHeight="false" outlineLevel="0" collapsed="false">
      <c r="A861" s="2" t="s">
        <v>824</v>
      </c>
      <c r="B861" s="27" t="s">
        <v>604</v>
      </c>
      <c r="C861" s="28" t="n">
        <v>86648000</v>
      </c>
      <c r="D861" s="28" t="n">
        <f aca="false">'総括　6～7（メモあり）'!F12</f>
        <v>86648000</v>
      </c>
      <c r="E861" s="28" t="n">
        <f aca="false">D861-N(C861)</f>
        <v>0</v>
      </c>
      <c r="F861" s="2" t="str">
        <f aca="false">IF(AND(C861&lt;&gt;"",ROUND(E861,2)=0),"一致",IF(G861&lt;&gt;"","変更（意図的）","★相違"))</f>
        <v>一致</v>
      </c>
      <c r="G861" s="2"/>
    </row>
    <row r="862" customFormat="false" ht="15" hidden="false" customHeight="false" outlineLevel="0" collapsed="false">
      <c r="A862" s="2" t="s">
        <v>824</v>
      </c>
      <c r="B862" s="27" t="s">
        <v>295</v>
      </c>
      <c r="C862" s="28" t="n">
        <v>11900000</v>
      </c>
      <c r="D862" s="28" t="n">
        <f aca="false">'総括　6～7（メモあり）'!G12</f>
        <v>11900000</v>
      </c>
      <c r="E862" s="28" t="n">
        <f aca="false">D862-N(C862)</f>
        <v>0</v>
      </c>
      <c r="F862" s="2" t="str">
        <f aca="false">IF(AND(C862&lt;&gt;"",ROUND(E862,2)=0),"一致",IF(G862&lt;&gt;"","変更（意図的）","★相違"))</f>
        <v>一致</v>
      </c>
      <c r="G862" s="2"/>
    </row>
    <row r="863" customFormat="false" ht="15" hidden="false" customHeight="false" outlineLevel="0" collapsed="false">
      <c r="A863" s="2" t="s">
        <v>824</v>
      </c>
      <c r="B863" s="27" t="s">
        <v>856</v>
      </c>
      <c r="C863" s="28" t="n">
        <v>0</v>
      </c>
      <c r="D863" s="28" t="n">
        <f aca="false">'総括　6～7（メモあり）'!K12</f>
        <v>0</v>
      </c>
      <c r="E863" s="28" t="n">
        <f aca="false">D863-N(C863)</f>
        <v>0</v>
      </c>
      <c r="F863" s="2" t="str">
        <f aca="false">IF(AND(C863&lt;&gt;"",ROUND(E863,2)=0),"一致",IF(G863&lt;&gt;"","変更（意図的）","★相違"))</f>
        <v>一致</v>
      </c>
      <c r="G863" s="2"/>
    </row>
    <row r="864" customFormat="false" ht="15" hidden="false" customHeight="false" outlineLevel="0" collapsed="false">
      <c r="A864" s="2" t="s">
        <v>824</v>
      </c>
      <c r="B864" s="27" t="s">
        <v>857</v>
      </c>
      <c r="C864" s="28" t="n">
        <v>0</v>
      </c>
      <c r="D864" s="28" t="n">
        <f aca="false">'総括　6～7（メモあり）'!L12</f>
        <v>0</v>
      </c>
      <c r="E864" s="28" t="n">
        <f aca="false">D864-N(C864)</f>
        <v>0</v>
      </c>
      <c r="F864" s="2" t="str">
        <f aca="false">IF(AND(C864&lt;&gt;"",ROUND(E864,2)=0),"一致",IF(G864&lt;&gt;"","変更（意図的）","★相違"))</f>
        <v>一致</v>
      </c>
      <c r="G864" s="2"/>
    </row>
    <row r="865" customFormat="false" ht="15" hidden="false" customHeight="false" outlineLevel="0" collapsed="false">
      <c r="A865" s="2" t="s">
        <v>824</v>
      </c>
      <c r="B865" s="27" t="s">
        <v>486</v>
      </c>
      <c r="C865" s="28" t="n">
        <v>0</v>
      </c>
      <c r="D865" s="28" t="n">
        <f aca="false">'総括　6～7（メモあり）'!M12</f>
        <v>0</v>
      </c>
      <c r="E865" s="28" t="n">
        <f aca="false">D865-N(C865)</f>
        <v>0</v>
      </c>
      <c r="F865" s="2" t="str">
        <f aca="false">IF(AND(C865&lt;&gt;"",ROUND(E865,2)=0),"一致",IF(G865&lt;&gt;"","変更（意図的）","★相違"))</f>
        <v>一致</v>
      </c>
      <c r="G865" s="2"/>
    </row>
    <row r="866" customFormat="false" ht="15" hidden="false" customHeight="false" outlineLevel="0" collapsed="false">
      <c r="A866" s="2" t="s">
        <v>824</v>
      </c>
      <c r="B866" s="27" t="s">
        <v>858</v>
      </c>
      <c r="C866" s="28" t="n">
        <v>0</v>
      </c>
      <c r="D866" s="28" t="n">
        <f aca="false">'総括　6～7（メモあり）'!N12</f>
        <v>0</v>
      </c>
      <c r="E866" s="28" t="n">
        <f aca="false">D866-N(C866)</f>
        <v>0</v>
      </c>
      <c r="F866" s="2" t="str">
        <f aca="false">IF(AND(C866&lt;&gt;"",ROUND(E866,2)=0),"一致",IF(G866&lt;&gt;"","変更（意図的）","★相違"))</f>
        <v>一致</v>
      </c>
      <c r="G866" s="2"/>
    </row>
    <row r="867" customFormat="false" ht="15" hidden="false" customHeight="false" outlineLevel="0" collapsed="false">
      <c r="A867" s="2" t="s">
        <v>824</v>
      </c>
      <c r="B867" s="27" t="s">
        <v>859</v>
      </c>
      <c r="C867" s="28" t="n">
        <v>0</v>
      </c>
      <c r="D867" s="28" t="n">
        <f aca="false">'総括　6～7（メモあり）'!O12</f>
        <v>0</v>
      </c>
      <c r="E867" s="28" t="n">
        <f aca="false">D867-N(C867)</f>
        <v>0</v>
      </c>
      <c r="F867" s="2" t="str">
        <f aca="false">IF(AND(C867&lt;&gt;"",ROUND(E867,2)=0),"一致",IF(G867&lt;&gt;"","変更（意図的）","★相違"))</f>
        <v>一致</v>
      </c>
      <c r="G867" s="2"/>
    </row>
    <row r="868" customFormat="false" ht="15" hidden="false" customHeight="false" outlineLevel="0" collapsed="false">
      <c r="A868" s="2" t="s">
        <v>824</v>
      </c>
      <c r="B868" s="27" t="s">
        <v>860</v>
      </c>
      <c r="C868" s="28" t="n">
        <v>0</v>
      </c>
      <c r="D868" s="28" t="n">
        <f aca="false">'総括　6～7（メモあり）'!P12</f>
        <v>0</v>
      </c>
      <c r="E868" s="28" t="n">
        <f aca="false">D868-N(C868)</f>
        <v>0</v>
      </c>
      <c r="F868" s="2" t="str">
        <f aca="false">IF(AND(C868&lt;&gt;"",ROUND(E868,2)=0),"一致",IF(G868&lt;&gt;"","変更（意図的）","★相違"))</f>
        <v>一致</v>
      </c>
      <c r="G868" s="2"/>
    </row>
    <row r="869" customFormat="false" ht="15" hidden="false" customHeight="false" outlineLevel="0" collapsed="false">
      <c r="A869" s="2" t="s">
        <v>824</v>
      </c>
      <c r="B869" s="27" t="s">
        <v>861</v>
      </c>
      <c r="C869" s="28" t="n">
        <v>0</v>
      </c>
      <c r="D869" s="28" t="n">
        <f aca="false">'総括　6～7（メモあり）'!Q12</f>
        <v>0</v>
      </c>
      <c r="E869" s="28" t="n">
        <f aca="false">D869-N(C869)</f>
        <v>0</v>
      </c>
      <c r="F869" s="2" t="str">
        <f aca="false">IF(AND(C869&lt;&gt;"",ROUND(E869,2)=0),"一致",IF(G869&lt;&gt;"","変更（意図的）","★相違"))</f>
        <v>一致</v>
      </c>
      <c r="G869" s="2"/>
    </row>
    <row r="870" customFormat="false" ht="15" hidden="false" customHeight="false" outlineLevel="0" collapsed="false">
      <c r="A870" s="2" t="s">
        <v>824</v>
      </c>
      <c r="B870" s="27" t="s">
        <v>862</v>
      </c>
      <c r="C870" s="28" t="n">
        <v>0</v>
      </c>
      <c r="D870" s="28" t="n">
        <f aca="false">'総括　6～7（メモあり）'!R12</f>
        <v>0</v>
      </c>
      <c r="E870" s="28" t="n">
        <f aca="false">D870-N(C870)</f>
        <v>0</v>
      </c>
      <c r="F870" s="2" t="str">
        <f aca="false">IF(AND(C870&lt;&gt;"",ROUND(E870,2)=0),"一致",IF(G870&lt;&gt;"","変更（意図的）","★相違"))</f>
        <v>一致</v>
      </c>
      <c r="G870" s="2"/>
    </row>
    <row r="871" customFormat="false" ht="15" hidden="false" customHeight="false" outlineLevel="0" collapsed="false">
      <c r="A871" s="2" t="s">
        <v>824</v>
      </c>
      <c r="B871" s="27" t="s">
        <v>863</v>
      </c>
      <c r="C871" s="28" t="n">
        <v>0</v>
      </c>
      <c r="D871" s="28" t="n">
        <f aca="false">'総括　6～7（メモあり）'!S12</f>
        <v>0</v>
      </c>
      <c r="E871" s="28" t="n">
        <f aca="false">D871-N(C871)</f>
        <v>0</v>
      </c>
      <c r="F871" s="2" t="str">
        <f aca="false">IF(AND(C871&lt;&gt;"",ROUND(E871,2)=0),"一致",IF(G871&lt;&gt;"","変更（意図的）","★相違"))</f>
        <v>一致</v>
      </c>
      <c r="G871" s="2"/>
    </row>
    <row r="872" customFormat="false" ht="15" hidden="false" customHeight="false" outlineLevel="0" collapsed="false">
      <c r="A872" s="2" t="s">
        <v>824</v>
      </c>
      <c r="B872" s="27" t="s">
        <v>864</v>
      </c>
      <c r="C872" s="28" t="n">
        <v>0</v>
      </c>
      <c r="D872" s="28" t="n">
        <f aca="false">'総括　6～7（メモあり）'!E13</f>
        <v>0</v>
      </c>
      <c r="E872" s="28" t="n">
        <f aca="false">D872-N(C872)</f>
        <v>0</v>
      </c>
      <c r="F872" s="2" t="str">
        <f aca="false">IF(AND(C872&lt;&gt;"",ROUND(E872,2)=0),"一致",IF(G872&lt;&gt;"","変更（意図的）","★相違"))</f>
        <v>一致</v>
      </c>
      <c r="G872" s="2"/>
    </row>
    <row r="873" customFormat="false" ht="15" hidden="false" customHeight="false" outlineLevel="0" collapsed="false">
      <c r="A873" s="2" t="s">
        <v>824</v>
      </c>
      <c r="B873" s="27" t="s">
        <v>148</v>
      </c>
      <c r="C873" s="28" t="n">
        <v>0</v>
      </c>
      <c r="D873" s="28" t="n">
        <f aca="false">'総括　6～7（メモあり）'!F13</f>
        <v>0</v>
      </c>
      <c r="E873" s="28" t="n">
        <f aca="false">D873-N(C873)</f>
        <v>0</v>
      </c>
      <c r="F873" s="2" t="str">
        <f aca="false">IF(AND(C873&lt;&gt;"",ROUND(E873,2)=0),"一致",IF(G873&lt;&gt;"","変更（意図的）","★相違"))</f>
        <v>一致</v>
      </c>
      <c r="G873" s="2"/>
    </row>
    <row r="874" customFormat="false" ht="15" hidden="false" customHeight="false" outlineLevel="0" collapsed="false">
      <c r="A874" s="2" t="s">
        <v>824</v>
      </c>
      <c r="B874" s="27" t="s">
        <v>605</v>
      </c>
      <c r="C874" s="28" t="n">
        <v>0</v>
      </c>
      <c r="D874" s="28" t="n">
        <f aca="false">'総括　6～7（メモあり）'!G13</f>
        <v>0</v>
      </c>
      <c r="E874" s="28" t="n">
        <f aca="false">D874-N(C874)</f>
        <v>0</v>
      </c>
      <c r="F874" s="2" t="str">
        <f aca="false">IF(AND(C874&lt;&gt;"",ROUND(E874,2)=0),"一致",IF(G874&lt;&gt;"","変更（意図的）","★相違"))</f>
        <v>一致</v>
      </c>
      <c r="G874" s="2"/>
    </row>
    <row r="875" customFormat="false" ht="15" hidden="false" customHeight="false" outlineLevel="0" collapsed="false">
      <c r="A875" s="2" t="s">
        <v>824</v>
      </c>
      <c r="B875" s="27" t="s">
        <v>865</v>
      </c>
      <c r="C875" s="28" t="n">
        <v>0</v>
      </c>
      <c r="D875" s="28" t="n">
        <f aca="false">'総括　6～7（メモあり）'!K13</f>
        <v>0</v>
      </c>
      <c r="E875" s="28" t="n">
        <f aca="false">D875-N(C875)</f>
        <v>0</v>
      </c>
      <c r="F875" s="2" t="str">
        <f aca="false">IF(AND(C875&lt;&gt;"",ROUND(E875,2)=0),"一致",IF(G875&lt;&gt;"","変更（意図的）","★相違"))</f>
        <v>一致</v>
      </c>
      <c r="G875" s="2"/>
    </row>
    <row r="876" customFormat="false" ht="15" hidden="false" customHeight="false" outlineLevel="0" collapsed="false">
      <c r="A876" s="2" t="s">
        <v>824</v>
      </c>
      <c r="B876" s="27" t="s">
        <v>866</v>
      </c>
      <c r="C876" s="28" t="n">
        <v>0</v>
      </c>
      <c r="D876" s="28" t="n">
        <f aca="false">'総括　6～7（メモあり）'!L13</f>
        <v>0</v>
      </c>
      <c r="E876" s="28" t="n">
        <f aca="false">D876-N(C876)</f>
        <v>0</v>
      </c>
      <c r="F876" s="2" t="str">
        <f aca="false">IF(AND(C876&lt;&gt;"",ROUND(E876,2)=0),"一致",IF(G876&lt;&gt;"","変更（意図的）","★相違"))</f>
        <v>一致</v>
      </c>
      <c r="G876" s="2"/>
    </row>
    <row r="877" customFormat="false" ht="15" hidden="false" customHeight="false" outlineLevel="0" collapsed="false">
      <c r="A877" s="2" t="s">
        <v>824</v>
      </c>
      <c r="B877" s="27" t="s">
        <v>867</v>
      </c>
      <c r="C877" s="28" t="n">
        <v>0</v>
      </c>
      <c r="D877" s="28" t="n">
        <f aca="false">'総括　6～7（メモあり）'!N13</f>
        <v>0</v>
      </c>
      <c r="E877" s="28" t="n">
        <f aca="false">D877-N(C877)</f>
        <v>0</v>
      </c>
      <c r="F877" s="2" t="str">
        <f aca="false">IF(AND(C877&lt;&gt;"",ROUND(E877,2)=0),"一致",IF(G877&lt;&gt;"","変更（意図的）","★相違"))</f>
        <v>一致</v>
      </c>
      <c r="G877" s="2"/>
    </row>
    <row r="878" customFormat="false" ht="15" hidden="false" customHeight="false" outlineLevel="0" collapsed="false">
      <c r="A878" s="2" t="s">
        <v>824</v>
      </c>
      <c r="B878" s="27" t="s">
        <v>868</v>
      </c>
      <c r="C878" s="28" t="n">
        <v>0</v>
      </c>
      <c r="D878" s="28" t="n">
        <f aca="false">'総括　6～7（メモあり）'!O13</f>
        <v>0</v>
      </c>
      <c r="E878" s="28" t="n">
        <f aca="false">D878-N(C878)</f>
        <v>0</v>
      </c>
      <c r="F878" s="2" t="str">
        <f aca="false">IF(AND(C878&lt;&gt;"",ROUND(E878,2)=0),"一致",IF(G878&lt;&gt;"","変更（意図的）","★相違"))</f>
        <v>一致</v>
      </c>
      <c r="G878" s="2"/>
    </row>
    <row r="879" customFormat="false" ht="15" hidden="false" customHeight="false" outlineLevel="0" collapsed="false">
      <c r="A879" s="2" t="s">
        <v>824</v>
      </c>
      <c r="B879" s="27" t="s">
        <v>869</v>
      </c>
      <c r="C879" s="28" t="n">
        <v>0</v>
      </c>
      <c r="D879" s="28" t="n">
        <f aca="false">'総括　6～7（メモあり）'!Q13</f>
        <v>0</v>
      </c>
      <c r="E879" s="28" t="n">
        <f aca="false">D879-N(C879)</f>
        <v>0</v>
      </c>
      <c r="F879" s="2" t="str">
        <f aca="false">IF(AND(C879&lt;&gt;"",ROUND(E879,2)=0),"一致",IF(G879&lt;&gt;"","変更（意図的）","★相違"))</f>
        <v>一致</v>
      </c>
      <c r="G879" s="2"/>
    </row>
    <row r="880" customFormat="false" ht="15" hidden="false" customHeight="false" outlineLevel="0" collapsed="false">
      <c r="A880" s="2" t="s">
        <v>824</v>
      </c>
      <c r="B880" s="27" t="s">
        <v>870</v>
      </c>
      <c r="C880" s="28" t="n">
        <v>0</v>
      </c>
      <c r="D880" s="28" t="n">
        <f aca="false">'総括　6～7（メモあり）'!R13</f>
        <v>0</v>
      </c>
      <c r="E880" s="28" t="n">
        <f aca="false">D880-N(C880)</f>
        <v>0</v>
      </c>
      <c r="F880" s="2" t="str">
        <f aca="false">IF(AND(C880&lt;&gt;"",ROUND(E880,2)=0),"一致",IF(G880&lt;&gt;"","変更（意図的）","★相違"))</f>
        <v>一致</v>
      </c>
      <c r="G880" s="2"/>
    </row>
    <row r="881" customFormat="false" ht="15" hidden="false" customHeight="false" outlineLevel="0" collapsed="false">
      <c r="A881" s="2" t="s">
        <v>824</v>
      </c>
      <c r="B881" s="27" t="s">
        <v>149</v>
      </c>
      <c r="C881" s="28" t="n">
        <v>2621295</v>
      </c>
      <c r="D881" s="28" t="n">
        <f aca="false">'総括　6～7（メモあり）'!E14</f>
        <v>2621295</v>
      </c>
      <c r="E881" s="28" t="n">
        <f aca="false">D881-N(C881)</f>
        <v>0</v>
      </c>
      <c r="F881" s="2" t="str">
        <f aca="false">IF(AND(C881&lt;&gt;"",ROUND(E881,2)=0),"一致",IF(G881&lt;&gt;"","変更（意図的）","★相違"))</f>
        <v>一致</v>
      </c>
      <c r="G881" s="2"/>
    </row>
    <row r="882" customFormat="false" ht="15" hidden="false" customHeight="false" outlineLevel="0" collapsed="false">
      <c r="A882" s="2" t="s">
        <v>824</v>
      </c>
      <c r="B882" s="27" t="s">
        <v>150</v>
      </c>
      <c r="C882" s="28" t="n">
        <v>287297</v>
      </c>
      <c r="D882" s="28" t="n">
        <f aca="false">'総括　6～7（メモあり）'!F14</f>
        <v>287297</v>
      </c>
      <c r="E882" s="28" t="n">
        <f aca="false">D882-N(C882)</f>
        <v>0</v>
      </c>
      <c r="F882" s="2" t="str">
        <f aca="false">IF(AND(C882&lt;&gt;"",ROUND(E882,2)=0),"一致",IF(G882&lt;&gt;"","変更（意図的）","★相違"))</f>
        <v>一致</v>
      </c>
      <c r="G882" s="2"/>
    </row>
    <row r="883" customFormat="false" ht="15" hidden="false" customHeight="false" outlineLevel="0" collapsed="false">
      <c r="A883" s="2" t="s">
        <v>824</v>
      </c>
      <c r="B883" s="27" t="s">
        <v>151</v>
      </c>
      <c r="C883" s="28" t="n">
        <v>2333998</v>
      </c>
      <c r="D883" s="28" t="n">
        <f aca="false">'総括　6～7（メモあり）'!G14</f>
        <v>2333998</v>
      </c>
      <c r="E883" s="28" t="n">
        <f aca="false">D883-N(C883)</f>
        <v>0</v>
      </c>
      <c r="F883" s="2" t="str">
        <f aca="false">IF(AND(C883&lt;&gt;"",ROUND(E883,2)=0),"一致",IF(G883&lt;&gt;"","変更（意図的）","★相違"))</f>
        <v>一致</v>
      </c>
      <c r="G883" s="2"/>
    </row>
    <row r="884" customFormat="false" ht="15" hidden="false" customHeight="false" outlineLevel="0" collapsed="false">
      <c r="A884" s="2" t="s">
        <v>824</v>
      </c>
      <c r="B884" s="27" t="s">
        <v>871</v>
      </c>
      <c r="C884" s="28" t="n">
        <v>0</v>
      </c>
      <c r="D884" s="28" t="n">
        <f aca="false">'総括　6～7（メモあり）'!K14</f>
        <v>0</v>
      </c>
      <c r="E884" s="28" t="n">
        <f aca="false">D884-N(C884)</f>
        <v>0</v>
      </c>
      <c r="F884" s="2" t="str">
        <f aca="false">IF(AND(C884&lt;&gt;"",ROUND(E884,2)=0),"一致",IF(G884&lt;&gt;"","変更（意図的）","★相違"))</f>
        <v>一致</v>
      </c>
      <c r="G884" s="2"/>
    </row>
    <row r="885" customFormat="false" ht="15" hidden="false" customHeight="false" outlineLevel="0" collapsed="false">
      <c r="A885" s="2" t="s">
        <v>824</v>
      </c>
      <c r="B885" s="27" t="s">
        <v>872</v>
      </c>
      <c r="C885" s="28" t="n">
        <v>0</v>
      </c>
      <c r="D885" s="28" t="n">
        <f aca="false">'総括　6～7（メモあり）'!L14</f>
        <v>0</v>
      </c>
      <c r="E885" s="28" t="n">
        <f aca="false">D885-N(C885)</f>
        <v>0</v>
      </c>
      <c r="F885" s="2" t="str">
        <f aca="false">IF(AND(C885&lt;&gt;"",ROUND(E885,2)=0),"一致",IF(G885&lt;&gt;"","変更（意図的）","★相違"))</f>
        <v>一致</v>
      </c>
      <c r="G885" s="2"/>
    </row>
    <row r="886" customFormat="false" ht="15" hidden="false" customHeight="false" outlineLevel="0" collapsed="false">
      <c r="A886" s="2" t="s">
        <v>824</v>
      </c>
      <c r="B886" s="27" t="s">
        <v>496</v>
      </c>
      <c r="C886" s="28" t="n">
        <v>0</v>
      </c>
      <c r="D886" s="28" t="n">
        <f aca="false">'総括　6～7（メモあり）'!M14</f>
        <v>0</v>
      </c>
      <c r="E886" s="28" t="n">
        <f aca="false">D886-N(C886)</f>
        <v>0</v>
      </c>
      <c r="F886" s="2" t="str">
        <f aca="false">IF(AND(C886&lt;&gt;"",ROUND(E886,2)=0),"一致",IF(G886&lt;&gt;"","変更（意図的）","★相違"))</f>
        <v>一致</v>
      </c>
      <c r="G886" s="2"/>
    </row>
    <row r="887" customFormat="false" ht="15" hidden="false" customHeight="false" outlineLevel="0" collapsed="false">
      <c r="A887" s="2" t="s">
        <v>824</v>
      </c>
      <c r="B887" s="27" t="s">
        <v>873</v>
      </c>
      <c r="C887" s="28" t="n">
        <v>0</v>
      </c>
      <c r="D887" s="28" t="n">
        <f aca="false">'総括　6～7（メモあり）'!N14</f>
        <v>0</v>
      </c>
      <c r="E887" s="28" t="n">
        <f aca="false">D887-N(C887)</f>
        <v>0</v>
      </c>
      <c r="F887" s="2" t="str">
        <f aca="false">IF(AND(C887&lt;&gt;"",ROUND(E887,2)=0),"一致",IF(G887&lt;&gt;"","変更（意図的）","★相違"))</f>
        <v>一致</v>
      </c>
      <c r="G887" s="2"/>
    </row>
    <row r="888" customFormat="false" ht="15" hidden="false" customHeight="false" outlineLevel="0" collapsed="false">
      <c r="A888" s="2" t="s">
        <v>824</v>
      </c>
      <c r="B888" s="27" t="s">
        <v>874</v>
      </c>
      <c r="C888" s="28" t="n">
        <v>0</v>
      </c>
      <c r="D888" s="28" t="n">
        <f aca="false">'総括　6～7（メモあり）'!O14</f>
        <v>0</v>
      </c>
      <c r="E888" s="28" t="n">
        <f aca="false">D888-N(C888)</f>
        <v>0</v>
      </c>
      <c r="F888" s="2" t="str">
        <f aca="false">IF(AND(C888&lt;&gt;"",ROUND(E888,2)=0),"一致",IF(G888&lt;&gt;"","変更（意図的）","★相違"))</f>
        <v>一致</v>
      </c>
      <c r="G888" s="2"/>
    </row>
    <row r="889" customFormat="false" ht="15" hidden="false" customHeight="false" outlineLevel="0" collapsed="false">
      <c r="A889" s="2" t="s">
        <v>824</v>
      </c>
      <c r="B889" s="27" t="s">
        <v>607</v>
      </c>
      <c r="C889" s="28" t="n">
        <v>0</v>
      </c>
      <c r="D889" s="28" t="n">
        <f aca="false">'総括　6～7（メモあり）'!P14</f>
        <v>0</v>
      </c>
      <c r="E889" s="28" t="n">
        <f aca="false">D889-N(C889)</f>
        <v>0</v>
      </c>
      <c r="F889" s="2" t="str">
        <f aca="false">IF(AND(C889&lt;&gt;"",ROUND(E889,2)=0),"一致",IF(G889&lt;&gt;"","変更（意図的）","★相違"))</f>
        <v>一致</v>
      </c>
      <c r="G889" s="2"/>
    </row>
    <row r="890" customFormat="false" ht="15" hidden="false" customHeight="false" outlineLevel="0" collapsed="false">
      <c r="A890" s="2" t="s">
        <v>824</v>
      </c>
      <c r="B890" s="27" t="s">
        <v>875</v>
      </c>
      <c r="C890" s="28" t="n">
        <v>0</v>
      </c>
      <c r="D890" s="28" t="n">
        <f aca="false">'総括　6～7（メモあり）'!Q14</f>
        <v>0</v>
      </c>
      <c r="E890" s="28" t="n">
        <f aca="false">D890-N(C890)</f>
        <v>0</v>
      </c>
      <c r="F890" s="2" t="str">
        <f aca="false">IF(AND(C890&lt;&gt;"",ROUND(E890,2)=0),"一致",IF(G890&lt;&gt;"","変更（意図的）","★相違"))</f>
        <v>一致</v>
      </c>
      <c r="G890" s="2"/>
    </row>
    <row r="891" customFormat="false" ht="15" hidden="false" customHeight="false" outlineLevel="0" collapsed="false">
      <c r="A891" s="2" t="s">
        <v>824</v>
      </c>
      <c r="B891" s="27" t="s">
        <v>876</v>
      </c>
      <c r="C891" s="28" t="n">
        <v>0</v>
      </c>
      <c r="D891" s="28" t="n">
        <f aca="false">'総括　6～7（メモあり）'!R14</f>
        <v>0</v>
      </c>
      <c r="E891" s="28" t="n">
        <f aca="false">D891-N(C891)</f>
        <v>0</v>
      </c>
      <c r="F891" s="2" t="str">
        <f aca="false">IF(AND(C891&lt;&gt;"",ROUND(E891,2)=0),"一致",IF(G891&lt;&gt;"","変更（意図的）","★相違"))</f>
        <v>一致</v>
      </c>
      <c r="G891" s="2"/>
    </row>
    <row r="892" customFormat="false" ht="15" hidden="false" customHeight="false" outlineLevel="0" collapsed="false">
      <c r="A892" s="2" t="s">
        <v>824</v>
      </c>
      <c r="B892" s="27" t="s">
        <v>608</v>
      </c>
      <c r="C892" s="28" t="n">
        <v>0</v>
      </c>
      <c r="D892" s="28" t="n">
        <f aca="false">'総括　6～7（メモあり）'!S14</f>
        <v>0</v>
      </c>
      <c r="E892" s="28" t="n">
        <f aca="false">D892-N(C892)</f>
        <v>0</v>
      </c>
      <c r="F892" s="2" t="str">
        <f aca="false">IF(AND(C892&lt;&gt;"",ROUND(E892,2)=0),"一致",IF(G892&lt;&gt;"","変更（意図的）","★相違"))</f>
        <v>一致</v>
      </c>
      <c r="G892" s="2"/>
    </row>
    <row r="893" customFormat="false" ht="15" hidden="false" customHeight="false" outlineLevel="0" collapsed="false">
      <c r="A893" s="2" t="s">
        <v>824</v>
      </c>
      <c r="B893" s="27" t="s">
        <v>152</v>
      </c>
      <c r="C893" s="28" t="n">
        <v>0</v>
      </c>
      <c r="D893" s="28" t="n">
        <f aca="false">'総括　6～7（メモあり）'!E15</f>
        <v>0</v>
      </c>
      <c r="E893" s="28" t="n">
        <f aca="false">D893-N(C893)</f>
        <v>0</v>
      </c>
      <c r="F893" s="2" t="str">
        <f aca="false">IF(AND(C893&lt;&gt;"",ROUND(E893,2)=0),"一致",IF(G893&lt;&gt;"","変更（意図的）","★相違"))</f>
        <v>一致</v>
      </c>
      <c r="G893" s="2"/>
    </row>
    <row r="894" customFormat="false" ht="15" hidden="false" customHeight="false" outlineLevel="0" collapsed="false">
      <c r="A894" s="2" t="s">
        <v>824</v>
      </c>
      <c r="B894" s="27" t="s">
        <v>153</v>
      </c>
      <c r="C894" s="28" t="n">
        <v>0</v>
      </c>
      <c r="D894" s="28" t="n">
        <f aca="false">'総括　6～7（メモあり）'!F15</f>
        <v>0</v>
      </c>
      <c r="E894" s="28" t="n">
        <f aca="false">D894-N(C894)</f>
        <v>0</v>
      </c>
      <c r="F894" s="2" t="str">
        <f aca="false">IF(AND(C894&lt;&gt;"",ROUND(E894,2)=0),"一致",IF(G894&lt;&gt;"","変更（意図的）","★相違"))</f>
        <v>一致</v>
      </c>
      <c r="G894" s="2"/>
    </row>
    <row r="895" customFormat="false" ht="15" hidden="false" customHeight="false" outlineLevel="0" collapsed="false">
      <c r="A895" s="2" t="s">
        <v>824</v>
      </c>
      <c r="B895" s="27" t="s">
        <v>154</v>
      </c>
      <c r="C895" s="28" t="n">
        <v>0</v>
      </c>
      <c r="D895" s="28" t="n">
        <f aca="false">'総括　6～7（メモあり）'!G15</f>
        <v>0</v>
      </c>
      <c r="E895" s="28" t="n">
        <f aca="false">D895-N(C895)</f>
        <v>0</v>
      </c>
      <c r="F895" s="2" t="str">
        <f aca="false">IF(AND(C895&lt;&gt;"",ROUND(E895,2)=0),"一致",IF(G895&lt;&gt;"","変更（意図的）","★相違"))</f>
        <v>一致</v>
      </c>
      <c r="G895" s="2"/>
    </row>
    <row r="896" customFormat="false" ht="15" hidden="false" customHeight="false" outlineLevel="0" collapsed="false">
      <c r="A896" s="2" t="s">
        <v>824</v>
      </c>
      <c r="B896" s="27" t="s">
        <v>609</v>
      </c>
      <c r="C896" s="28" t="n">
        <v>5464540</v>
      </c>
      <c r="D896" s="28" t="n">
        <f aca="false">'総括　6～7（メモあり）'!H15</f>
        <v>5464540</v>
      </c>
      <c r="E896" s="28" t="n">
        <f aca="false">D896-N(C896)</f>
        <v>0</v>
      </c>
      <c r="F896" s="2" t="str">
        <f aca="false">IF(AND(C896&lt;&gt;"",ROUND(E896,2)=0),"一致",IF(G896&lt;&gt;"","変更（意図的）","★相違"))</f>
        <v>一致</v>
      </c>
      <c r="G896" s="2"/>
    </row>
    <row r="897" customFormat="false" ht="15" hidden="false" customHeight="false" outlineLevel="0" collapsed="false">
      <c r="A897" s="2" t="s">
        <v>824</v>
      </c>
      <c r="B897" s="27" t="s">
        <v>610</v>
      </c>
      <c r="C897" s="28" t="n">
        <v>11601546</v>
      </c>
      <c r="D897" s="28" t="n">
        <f aca="false">'総括　6～7（メモあり）'!I15</f>
        <v>11601546</v>
      </c>
      <c r="E897" s="28" t="n">
        <f aca="false">D897-N(C897)</f>
        <v>0</v>
      </c>
      <c r="F897" s="2" t="str">
        <f aca="false">IF(AND(C897&lt;&gt;"",ROUND(E897,2)=0),"一致",IF(G897&lt;&gt;"","変更（意図的）","★相違"))</f>
        <v>一致</v>
      </c>
      <c r="G897" s="2"/>
    </row>
    <row r="898" customFormat="false" ht="15" hidden="false" customHeight="false" outlineLevel="0" collapsed="false">
      <c r="A898" s="2" t="s">
        <v>824</v>
      </c>
      <c r="B898" s="27" t="s">
        <v>611</v>
      </c>
      <c r="C898" s="28" t="n">
        <v>-6137006</v>
      </c>
      <c r="D898" s="28" t="n">
        <f aca="false">'総括　6～7（メモあり）'!J15</f>
        <v>-6137006</v>
      </c>
      <c r="E898" s="28" t="n">
        <f aca="false">D898-N(C898)</f>
        <v>0</v>
      </c>
      <c r="F898" s="2" t="str">
        <f aca="false">IF(AND(C898&lt;&gt;"",ROUND(E898,2)=0),"一致",IF(G898&lt;&gt;"","変更（意図的）","★相違"))</f>
        <v>一致</v>
      </c>
      <c r="G898" s="2"/>
    </row>
    <row r="899" customFormat="false" ht="15" hidden="false" customHeight="false" outlineLevel="0" collapsed="false">
      <c r="A899" s="2" t="s">
        <v>824</v>
      </c>
      <c r="B899" s="27" t="s">
        <v>877</v>
      </c>
      <c r="C899" s="28" t="n">
        <v>0</v>
      </c>
      <c r="D899" s="28" t="n">
        <f aca="false">'総括　6～7（メモあり）'!K15</f>
        <v>0</v>
      </c>
      <c r="E899" s="28" t="n">
        <f aca="false">D899-N(C899)</f>
        <v>0</v>
      </c>
      <c r="F899" s="2" t="str">
        <f aca="false">IF(AND(C899&lt;&gt;"",ROUND(E899,2)=0),"一致",IF(G899&lt;&gt;"","変更（意図的）","★相違"))</f>
        <v>一致</v>
      </c>
      <c r="G899" s="2"/>
    </row>
    <row r="900" customFormat="false" ht="15" hidden="false" customHeight="false" outlineLevel="0" collapsed="false">
      <c r="A900" s="2" t="s">
        <v>824</v>
      </c>
      <c r="B900" s="27" t="s">
        <v>878</v>
      </c>
      <c r="C900" s="28" t="n">
        <v>0</v>
      </c>
      <c r="D900" s="28" t="n">
        <f aca="false">'総括　6～7（メモあり）'!L15</f>
        <v>0</v>
      </c>
      <c r="E900" s="28" t="n">
        <f aca="false">D900-N(C900)</f>
        <v>0</v>
      </c>
      <c r="F900" s="2" t="str">
        <f aca="false">IF(AND(C900&lt;&gt;"",ROUND(E900,2)=0),"一致",IF(G900&lt;&gt;"","変更（意図的）","★相違"))</f>
        <v>一致</v>
      </c>
      <c r="G900" s="2"/>
    </row>
    <row r="901" customFormat="false" ht="15" hidden="false" customHeight="false" outlineLevel="0" collapsed="false">
      <c r="A901" s="2" t="s">
        <v>824</v>
      </c>
      <c r="B901" s="27" t="s">
        <v>501</v>
      </c>
      <c r="C901" s="28" t="n">
        <v>0</v>
      </c>
      <c r="D901" s="28" t="n">
        <f aca="false">'総括　6～7（メモあり）'!M15</f>
        <v>0</v>
      </c>
      <c r="E901" s="28" t="n">
        <f aca="false">D901-N(C901)</f>
        <v>0</v>
      </c>
      <c r="F901" s="2" t="str">
        <f aca="false">IF(AND(C901&lt;&gt;"",ROUND(E901,2)=0),"一致",IF(G901&lt;&gt;"","変更（意図的）","★相違"))</f>
        <v>一致</v>
      </c>
      <c r="G901" s="2"/>
    </row>
    <row r="902" customFormat="false" ht="15" hidden="false" customHeight="false" outlineLevel="0" collapsed="false">
      <c r="A902" s="2" t="s">
        <v>824</v>
      </c>
      <c r="B902" s="27" t="s">
        <v>879</v>
      </c>
      <c r="C902" s="28" t="n">
        <v>0</v>
      </c>
      <c r="D902" s="28" t="n">
        <f aca="false">'総括　6～7（メモあり）'!N15</f>
        <v>0</v>
      </c>
      <c r="E902" s="28" t="n">
        <f aca="false">D902-N(C902)</f>
        <v>0</v>
      </c>
      <c r="F902" s="2" t="str">
        <f aca="false">IF(AND(C902&lt;&gt;"",ROUND(E902,2)=0),"一致",IF(G902&lt;&gt;"","変更（意図的）","★相違"))</f>
        <v>一致</v>
      </c>
      <c r="G902" s="2"/>
    </row>
    <row r="903" customFormat="false" ht="15" hidden="false" customHeight="false" outlineLevel="0" collapsed="false">
      <c r="A903" s="2" t="s">
        <v>824</v>
      </c>
      <c r="B903" s="27" t="s">
        <v>880</v>
      </c>
      <c r="C903" s="28" t="n">
        <v>0</v>
      </c>
      <c r="D903" s="28" t="n">
        <f aca="false">'総括　6～7（メモあり）'!O15</f>
        <v>0</v>
      </c>
      <c r="E903" s="28" t="n">
        <f aca="false">D903-N(C903)</f>
        <v>0</v>
      </c>
      <c r="F903" s="2" t="str">
        <f aca="false">IF(AND(C903&lt;&gt;"",ROUND(E903,2)=0),"一致",IF(G903&lt;&gt;"","変更（意図的）","★相違"))</f>
        <v>一致</v>
      </c>
      <c r="G903" s="2"/>
    </row>
    <row r="904" customFormat="false" ht="15" hidden="false" customHeight="false" outlineLevel="0" collapsed="false">
      <c r="A904" s="2" t="s">
        <v>824</v>
      </c>
      <c r="B904" s="27" t="s">
        <v>612</v>
      </c>
      <c r="C904" s="28" t="n">
        <v>0</v>
      </c>
      <c r="D904" s="28" t="n">
        <f aca="false">'総括　6～7（メモあり）'!P15</f>
        <v>0</v>
      </c>
      <c r="E904" s="28" t="n">
        <f aca="false">D904-N(C904)</f>
        <v>0</v>
      </c>
      <c r="F904" s="2" t="str">
        <f aca="false">IF(AND(C904&lt;&gt;"",ROUND(E904,2)=0),"一致",IF(G904&lt;&gt;"","変更（意図的）","★相違"))</f>
        <v>一致</v>
      </c>
      <c r="G904" s="2"/>
    </row>
    <row r="905" customFormat="false" ht="15" hidden="false" customHeight="false" outlineLevel="0" collapsed="false">
      <c r="A905" s="2" t="s">
        <v>824</v>
      </c>
      <c r="B905" s="27" t="s">
        <v>881</v>
      </c>
      <c r="C905" s="28" t="n">
        <v>0</v>
      </c>
      <c r="D905" s="28" t="n">
        <f aca="false">'総括　6～7（メモあり）'!Q15</f>
        <v>0</v>
      </c>
      <c r="E905" s="28" t="n">
        <f aca="false">D905-N(C905)</f>
        <v>0</v>
      </c>
      <c r="F905" s="2" t="str">
        <f aca="false">IF(AND(C905&lt;&gt;"",ROUND(E905,2)=0),"一致",IF(G905&lt;&gt;"","変更（意図的）","★相違"))</f>
        <v>一致</v>
      </c>
      <c r="G905" s="2"/>
    </row>
    <row r="906" customFormat="false" ht="15" hidden="false" customHeight="false" outlineLevel="0" collapsed="false">
      <c r="A906" s="2" t="s">
        <v>824</v>
      </c>
      <c r="B906" s="27" t="s">
        <v>882</v>
      </c>
      <c r="C906" s="28" t="n">
        <v>0</v>
      </c>
      <c r="D906" s="28" t="n">
        <f aca="false">'総括　6～7（メモあり）'!R15</f>
        <v>0</v>
      </c>
      <c r="E906" s="28" t="n">
        <f aca="false">D906-N(C906)</f>
        <v>0</v>
      </c>
      <c r="F906" s="2" t="str">
        <f aca="false">IF(AND(C906&lt;&gt;"",ROUND(E906,2)=0),"一致",IF(G906&lt;&gt;"","変更（意図的）","★相違"))</f>
        <v>一致</v>
      </c>
      <c r="G906" s="2"/>
    </row>
    <row r="907" customFormat="false" ht="15" hidden="false" customHeight="false" outlineLevel="0" collapsed="false">
      <c r="A907" s="2" t="s">
        <v>824</v>
      </c>
      <c r="B907" s="27" t="s">
        <v>613</v>
      </c>
      <c r="C907" s="28" t="n">
        <v>0</v>
      </c>
      <c r="D907" s="28" t="n">
        <f aca="false">'総括　6～7（メモあり）'!S15</f>
        <v>0</v>
      </c>
      <c r="E907" s="28" t="n">
        <f aca="false">D907-N(C907)</f>
        <v>0</v>
      </c>
      <c r="F907" s="2" t="str">
        <f aca="false">IF(AND(C907&lt;&gt;"",ROUND(E907,2)=0),"一致",IF(G907&lt;&gt;"","変更（意図的）","★相違"))</f>
        <v>一致</v>
      </c>
      <c r="G907" s="2"/>
    </row>
    <row r="908" customFormat="false" ht="15" hidden="false" customHeight="false" outlineLevel="0" collapsed="false">
      <c r="A908" s="2" t="s">
        <v>824</v>
      </c>
      <c r="B908" s="27" t="s">
        <v>155</v>
      </c>
      <c r="C908" s="28" t="n">
        <v>7979689</v>
      </c>
      <c r="D908" s="28" t="n">
        <f aca="false">'総括　6～7（メモあり）'!E16</f>
        <v>7979689</v>
      </c>
      <c r="E908" s="28" t="n">
        <f aca="false">D908-N(C908)</f>
        <v>0</v>
      </c>
      <c r="F908" s="2" t="str">
        <f aca="false">IF(AND(C908&lt;&gt;"",ROUND(E908,2)=0),"一致",IF(G908&lt;&gt;"","変更（意図的）","★相違"))</f>
        <v>一致</v>
      </c>
      <c r="G908" s="2"/>
    </row>
    <row r="909" customFormat="false" ht="15" hidden="false" customHeight="false" outlineLevel="0" collapsed="false">
      <c r="A909" s="2" t="s">
        <v>824</v>
      </c>
      <c r="B909" s="27" t="s">
        <v>260</v>
      </c>
      <c r="C909" s="28" t="n">
        <v>0</v>
      </c>
      <c r="D909" s="28" t="n">
        <f aca="false">'総括　6～7（メモあり）'!F16</f>
        <v>0</v>
      </c>
      <c r="E909" s="28" t="n">
        <f aca="false">D909-N(C909)</f>
        <v>0</v>
      </c>
      <c r="F909" s="2" t="str">
        <f aca="false">IF(AND(C909&lt;&gt;"",ROUND(E909,2)=0),"一致",IF(G909&lt;&gt;"","変更（意図的）","★相違"))</f>
        <v>一致</v>
      </c>
      <c r="G909" s="2"/>
    </row>
    <row r="910" customFormat="false" ht="15" hidden="false" customHeight="false" outlineLevel="0" collapsed="false">
      <c r="A910" s="2" t="s">
        <v>824</v>
      </c>
      <c r="B910" s="27" t="s">
        <v>156</v>
      </c>
      <c r="C910" s="28" t="n">
        <v>7979689</v>
      </c>
      <c r="D910" s="28" t="n">
        <f aca="false">'総括　6～7（メモあり）'!G16</f>
        <v>7979689</v>
      </c>
      <c r="E910" s="28" t="n">
        <f aca="false">D910-N(C910)</f>
        <v>0</v>
      </c>
      <c r="F910" s="2" t="str">
        <f aca="false">IF(AND(C910&lt;&gt;"",ROUND(E910,2)=0),"一致",IF(G910&lt;&gt;"","変更（意図的）","★相違"))</f>
        <v>一致</v>
      </c>
      <c r="G910" s="2"/>
    </row>
    <row r="911" customFormat="false" ht="15" hidden="false" customHeight="false" outlineLevel="0" collapsed="false">
      <c r="A911" s="2" t="s">
        <v>824</v>
      </c>
      <c r="B911" s="27" t="s">
        <v>614</v>
      </c>
      <c r="C911" s="28" t="n">
        <v>289600155</v>
      </c>
      <c r="D911" s="28" t="n">
        <f aca="false">'総括　6～7（メモあり）'!H16</f>
        <v>289600155</v>
      </c>
      <c r="E911" s="28" t="n">
        <f aca="false">D911-N(C911)</f>
        <v>0</v>
      </c>
      <c r="F911" s="2" t="str">
        <f aca="false">IF(AND(C911&lt;&gt;"",ROUND(E911,2)=0),"一致",IF(G911&lt;&gt;"","変更（意図的）","★相違"))</f>
        <v>一致</v>
      </c>
      <c r="G911" s="2"/>
    </row>
    <row r="912" customFormat="false" ht="15" hidden="false" customHeight="false" outlineLevel="0" collapsed="false">
      <c r="A912" s="2" t="s">
        <v>824</v>
      </c>
      <c r="B912" s="27" t="s">
        <v>615</v>
      </c>
      <c r="C912" s="28" t="n">
        <v>639077000</v>
      </c>
      <c r="D912" s="28" t="n">
        <f aca="false">'総括　6～7（メモあり）'!I16</f>
        <v>639077000</v>
      </c>
      <c r="E912" s="28" t="n">
        <f aca="false">D912-N(C912)</f>
        <v>0</v>
      </c>
      <c r="F912" s="2" t="str">
        <f aca="false">IF(AND(C912&lt;&gt;"",ROUND(E912,2)=0),"一致",IF(G912&lt;&gt;"","変更（意図的）","★相違"))</f>
        <v>一致</v>
      </c>
      <c r="G912" s="2"/>
    </row>
    <row r="913" customFormat="false" ht="15" hidden="false" customHeight="false" outlineLevel="0" collapsed="false">
      <c r="A913" s="2" t="s">
        <v>824</v>
      </c>
      <c r="B913" s="27" t="s">
        <v>616</v>
      </c>
      <c r="C913" s="28" t="n">
        <v>-349476845</v>
      </c>
      <c r="D913" s="28" t="n">
        <f aca="false">'総括　6～7（メモあり）'!J16</f>
        <v>-349476845</v>
      </c>
      <c r="E913" s="28" t="n">
        <f aca="false">D913-N(C913)</f>
        <v>0</v>
      </c>
      <c r="F913" s="2" t="str">
        <f aca="false">IF(AND(C913&lt;&gt;"",ROUND(E913,2)=0),"一致",IF(G913&lt;&gt;"","変更（意図的）","★相違"))</f>
        <v>一致</v>
      </c>
      <c r="G913" s="2"/>
    </row>
    <row r="914" customFormat="false" ht="15" hidden="false" customHeight="false" outlineLevel="0" collapsed="false">
      <c r="A914" s="2" t="s">
        <v>824</v>
      </c>
      <c r="B914" s="27" t="s">
        <v>883</v>
      </c>
      <c r="C914" s="28" t="n">
        <v>0</v>
      </c>
      <c r="D914" s="28" t="n">
        <f aca="false">'総括　6～7（メモあり）'!K16</f>
        <v>0</v>
      </c>
      <c r="E914" s="28" t="n">
        <f aca="false">D914-N(C914)</f>
        <v>0</v>
      </c>
      <c r="F914" s="2" t="str">
        <f aca="false">IF(AND(C914&lt;&gt;"",ROUND(E914,2)=0),"一致",IF(G914&lt;&gt;"","変更（意図的）","★相違"))</f>
        <v>一致</v>
      </c>
      <c r="G914" s="2"/>
    </row>
    <row r="915" customFormat="false" ht="15" hidden="false" customHeight="false" outlineLevel="0" collapsed="false">
      <c r="A915" s="2" t="s">
        <v>824</v>
      </c>
      <c r="B915" s="27" t="s">
        <v>884</v>
      </c>
      <c r="C915" s="28" t="n">
        <v>0</v>
      </c>
      <c r="D915" s="28" t="n">
        <f aca="false">'総括　6～7（メモあり）'!L16</f>
        <v>0</v>
      </c>
      <c r="E915" s="28" t="n">
        <f aca="false">D915-N(C915)</f>
        <v>0</v>
      </c>
      <c r="F915" s="2" t="str">
        <f aca="false">IF(AND(C915&lt;&gt;"",ROUND(E915,2)=0),"一致",IF(G915&lt;&gt;"","変更（意図的）","★相違"))</f>
        <v>一致</v>
      </c>
      <c r="G915" s="2"/>
    </row>
    <row r="916" customFormat="false" ht="15" hidden="false" customHeight="false" outlineLevel="0" collapsed="false">
      <c r="A916" s="2" t="s">
        <v>824</v>
      </c>
      <c r="B916" s="27" t="s">
        <v>506</v>
      </c>
      <c r="C916" s="28" t="n">
        <v>0</v>
      </c>
      <c r="D916" s="28" t="n">
        <f aca="false">'総括　6～7（メモあり）'!M16</f>
        <v>0</v>
      </c>
      <c r="E916" s="28" t="n">
        <f aca="false">D916-N(C916)</f>
        <v>0</v>
      </c>
      <c r="F916" s="2" t="str">
        <f aca="false">IF(AND(C916&lt;&gt;"",ROUND(E916,2)=0),"一致",IF(G916&lt;&gt;"","変更（意図的）","★相違"))</f>
        <v>一致</v>
      </c>
      <c r="G916" s="2"/>
    </row>
    <row r="917" customFormat="false" ht="15" hidden="false" customHeight="false" outlineLevel="0" collapsed="false">
      <c r="A917" s="2" t="s">
        <v>824</v>
      </c>
      <c r="B917" s="27" t="s">
        <v>885</v>
      </c>
      <c r="C917" s="28" t="n">
        <v>0</v>
      </c>
      <c r="D917" s="28" t="n">
        <f aca="false">'総括　6～7（メモあり）'!N16</f>
        <v>0</v>
      </c>
      <c r="E917" s="28" t="n">
        <f aca="false">D917-N(C917)</f>
        <v>0</v>
      </c>
      <c r="F917" s="2" t="str">
        <f aca="false">IF(AND(C917&lt;&gt;"",ROUND(E917,2)=0),"一致",IF(G917&lt;&gt;"","変更（意図的）","★相違"))</f>
        <v>一致</v>
      </c>
      <c r="G917" s="2"/>
    </row>
    <row r="918" customFormat="false" ht="15" hidden="false" customHeight="false" outlineLevel="0" collapsed="false">
      <c r="A918" s="2" t="s">
        <v>824</v>
      </c>
      <c r="B918" s="27" t="s">
        <v>886</v>
      </c>
      <c r="C918" s="28" t="n">
        <v>0</v>
      </c>
      <c r="D918" s="28" t="n">
        <f aca="false">'総括　6～7（メモあり）'!O16</f>
        <v>0</v>
      </c>
      <c r="E918" s="28" t="n">
        <f aca="false">D918-N(C918)</f>
        <v>0</v>
      </c>
      <c r="F918" s="2" t="str">
        <f aca="false">IF(AND(C918&lt;&gt;"",ROUND(E918,2)=0),"一致",IF(G918&lt;&gt;"","変更（意図的）","★相違"))</f>
        <v>一致</v>
      </c>
      <c r="G918" s="2"/>
    </row>
    <row r="919" customFormat="false" ht="15" hidden="false" customHeight="false" outlineLevel="0" collapsed="false">
      <c r="A919" s="2" t="s">
        <v>824</v>
      </c>
      <c r="B919" s="27" t="s">
        <v>617</v>
      </c>
      <c r="C919" s="28" t="n">
        <v>0</v>
      </c>
      <c r="D919" s="28" t="n">
        <f aca="false">'総括　6～7（メモあり）'!P16</f>
        <v>0</v>
      </c>
      <c r="E919" s="28" t="n">
        <f aca="false">D919-N(C919)</f>
        <v>0</v>
      </c>
      <c r="F919" s="2" t="str">
        <f aca="false">IF(AND(C919&lt;&gt;"",ROUND(E919,2)=0),"一致",IF(G919&lt;&gt;"","変更（意図的）","★相違"))</f>
        <v>一致</v>
      </c>
      <c r="G919" s="2"/>
    </row>
    <row r="920" customFormat="false" ht="15" hidden="false" customHeight="false" outlineLevel="0" collapsed="false">
      <c r="A920" s="2" t="s">
        <v>824</v>
      </c>
      <c r="B920" s="27" t="s">
        <v>887</v>
      </c>
      <c r="C920" s="28" t="n">
        <v>0</v>
      </c>
      <c r="D920" s="28" t="n">
        <f aca="false">'総括　6～7（メモあり）'!Q16</f>
        <v>0</v>
      </c>
      <c r="E920" s="28" t="n">
        <f aca="false">D920-N(C920)</f>
        <v>0</v>
      </c>
      <c r="F920" s="2" t="str">
        <f aca="false">IF(AND(C920&lt;&gt;"",ROUND(E920,2)=0),"一致",IF(G920&lt;&gt;"","変更（意図的）","★相違"))</f>
        <v>一致</v>
      </c>
      <c r="G920" s="2"/>
    </row>
    <row r="921" customFormat="false" ht="15" hidden="false" customHeight="false" outlineLevel="0" collapsed="false">
      <c r="A921" s="2" t="s">
        <v>824</v>
      </c>
      <c r="B921" s="27" t="s">
        <v>888</v>
      </c>
      <c r="C921" s="28" t="n">
        <v>0</v>
      </c>
      <c r="D921" s="28" t="n">
        <f aca="false">'総括　6～7（メモあり）'!R16</f>
        <v>0</v>
      </c>
      <c r="E921" s="28" t="n">
        <f aca="false">D921-N(C921)</f>
        <v>0</v>
      </c>
      <c r="F921" s="2" t="str">
        <f aca="false">IF(AND(C921&lt;&gt;"",ROUND(E921,2)=0),"一致",IF(G921&lt;&gt;"","変更（意図的）","★相違"))</f>
        <v>一致</v>
      </c>
      <c r="G921" s="2"/>
    </row>
    <row r="922" customFormat="false" ht="15" hidden="false" customHeight="false" outlineLevel="0" collapsed="false">
      <c r="A922" s="2" t="s">
        <v>824</v>
      </c>
      <c r="B922" s="27" t="s">
        <v>618</v>
      </c>
      <c r="C922" s="28" t="n">
        <v>0</v>
      </c>
      <c r="D922" s="28" t="n">
        <f aca="false">'総括　6～7（メモあり）'!S16</f>
        <v>0</v>
      </c>
      <c r="E922" s="28" t="n">
        <f aca="false">D922-N(C922)</f>
        <v>0</v>
      </c>
      <c r="F922" s="2" t="str">
        <f aca="false">IF(AND(C922&lt;&gt;"",ROUND(E922,2)=0),"一致",IF(G922&lt;&gt;"","変更（意図的）","★相違"))</f>
        <v>一致</v>
      </c>
      <c r="G922" s="2"/>
    </row>
    <row r="923" customFormat="false" ht="15" hidden="false" customHeight="false" outlineLevel="0" collapsed="false">
      <c r="A923" s="2" t="s">
        <v>824</v>
      </c>
      <c r="B923" s="27" t="s">
        <v>157</v>
      </c>
      <c r="C923" s="28" t="n">
        <v>0</v>
      </c>
      <c r="D923" s="28" t="n">
        <f aca="false">'総括　6～7（メモあり）'!E17</f>
        <v>0</v>
      </c>
      <c r="E923" s="28" t="n">
        <f aca="false">D923-N(C923)</f>
        <v>0</v>
      </c>
      <c r="F923" s="2" t="str">
        <f aca="false">IF(AND(C923&lt;&gt;"",ROUND(E923,2)=0),"一致",IF(G923&lt;&gt;"","変更（意図的）","★相違"))</f>
        <v>一致</v>
      </c>
      <c r="G923" s="2"/>
    </row>
    <row r="924" customFormat="false" ht="15" hidden="false" customHeight="false" outlineLevel="0" collapsed="false">
      <c r="A924" s="2" t="s">
        <v>824</v>
      </c>
      <c r="B924" s="27" t="s">
        <v>889</v>
      </c>
      <c r="C924" s="28" t="n">
        <v>0</v>
      </c>
      <c r="D924" s="28" t="n">
        <f aca="false">'総括　6～7（メモあり）'!F17</f>
        <v>0</v>
      </c>
      <c r="E924" s="28" t="n">
        <f aca="false">D924-N(C924)</f>
        <v>0</v>
      </c>
      <c r="F924" s="2" t="str">
        <f aca="false">IF(AND(C924&lt;&gt;"",ROUND(E924,2)=0),"一致",IF(G924&lt;&gt;"","変更（意図的）","★相違"))</f>
        <v>一致</v>
      </c>
      <c r="G924" s="2"/>
    </row>
    <row r="925" customFormat="false" ht="15" hidden="false" customHeight="false" outlineLevel="0" collapsed="false">
      <c r="A925" s="2" t="s">
        <v>824</v>
      </c>
      <c r="B925" s="27" t="s">
        <v>158</v>
      </c>
      <c r="C925" s="28" t="n">
        <v>0</v>
      </c>
      <c r="D925" s="28" t="n">
        <f aca="false">'総括　6～7（メモあり）'!G17</f>
        <v>0</v>
      </c>
      <c r="E925" s="28" t="n">
        <f aca="false">D925-N(C925)</f>
        <v>0</v>
      </c>
      <c r="F925" s="2" t="str">
        <f aca="false">IF(AND(C925&lt;&gt;"",ROUND(E925,2)=0),"一致",IF(G925&lt;&gt;"","変更（意図的）","★相違"))</f>
        <v>一致</v>
      </c>
      <c r="G925" s="2"/>
    </row>
    <row r="926" customFormat="false" ht="15" hidden="false" customHeight="false" outlineLevel="0" collapsed="false">
      <c r="A926" s="2" t="s">
        <v>824</v>
      </c>
      <c r="B926" s="27" t="s">
        <v>890</v>
      </c>
      <c r="C926" s="28" t="n">
        <v>0</v>
      </c>
      <c r="D926" s="28" t="n">
        <f aca="false">'総括　6～7（メモあり）'!K17</f>
        <v>0</v>
      </c>
      <c r="E926" s="28" t="n">
        <f aca="false">D926-N(C926)</f>
        <v>0</v>
      </c>
      <c r="F926" s="2" t="str">
        <f aca="false">IF(AND(C926&lt;&gt;"",ROUND(E926,2)=0),"一致",IF(G926&lt;&gt;"","変更（意図的）","★相違"))</f>
        <v>一致</v>
      </c>
      <c r="G926" s="2"/>
    </row>
    <row r="927" customFormat="false" ht="15" hidden="false" customHeight="false" outlineLevel="0" collapsed="false">
      <c r="A927" s="2" t="s">
        <v>824</v>
      </c>
      <c r="B927" s="27" t="s">
        <v>891</v>
      </c>
      <c r="C927" s="28" t="n">
        <v>0</v>
      </c>
      <c r="D927" s="28" t="n">
        <f aca="false">'総括　6～7（メモあり）'!L17</f>
        <v>0</v>
      </c>
      <c r="E927" s="28" t="n">
        <f aca="false">D927-N(C927)</f>
        <v>0</v>
      </c>
      <c r="F927" s="2" t="str">
        <f aca="false">IF(AND(C927&lt;&gt;"",ROUND(E927,2)=0),"一致",IF(G927&lt;&gt;"","変更（意図的）","★相違"))</f>
        <v>一致</v>
      </c>
      <c r="G927" s="2"/>
    </row>
    <row r="928" customFormat="false" ht="15" hidden="false" customHeight="false" outlineLevel="0" collapsed="false">
      <c r="A928" s="2" t="s">
        <v>824</v>
      </c>
      <c r="B928" s="27" t="s">
        <v>511</v>
      </c>
      <c r="C928" s="28" t="n">
        <v>0</v>
      </c>
      <c r="D928" s="28" t="n">
        <f aca="false">'総括　6～7（メモあり）'!M17</f>
        <v>0</v>
      </c>
      <c r="E928" s="28" t="n">
        <f aca="false">D928-N(C928)</f>
        <v>0</v>
      </c>
      <c r="F928" s="2" t="str">
        <f aca="false">IF(AND(C928&lt;&gt;"",ROUND(E928,2)=0),"一致",IF(G928&lt;&gt;"","変更（意図的）","★相違"))</f>
        <v>一致</v>
      </c>
      <c r="G928" s="2"/>
    </row>
    <row r="929" customFormat="false" ht="15" hidden="false" customHeight="false" outlineLevel="0" collapsed="false">
      <c r="A929" s="2" t="s">
        <v>824</v>
      </c>
      <c r="B929" s="27" t="s">
        <v>619</v>
      </c>
      <c r="C929" s="28" t="n">
        <v>0</v>
      </c>
      <c r="D929" s="28" t="n">
        <f aca="false">'総括　6～7（メモあり）'!N17</f>
        <v>0</v>
      </c>
      <c r="E929" s="28" t="n">
        <f aca="false">D929-N(C929)</f>
        <v>0</v>
      </c>
      <c r="F929" s="2" t="str">
        <f aca="false">IF(AND(C929&lt;&gt;"",ROUND(E929,2)=0),"一致",IF(G929&lt;&gt;"","変更（意図的）","★相違"))</f>
        <v>一致</v>
      </c>
      <c r="G929" s="2"/>
    </row>
    <row r="930" customFormat="false" ht="15" hidden="false" customHeight="false" outlineLevel="0" collapsed="false">
      <c r="A930" s="2" t="s">
        <v>824</v>
      </c>
      <c r="B930" s="27" t="s">
        <v>620</v>
      </c>
      <c r="C930" s="28" t="n">
        <v>1334956</v>
      </c>
      <c r="D930" s="28" t="n">
        <f aca="false">'総括　6～7（メモあり）'!O17</f>
        <v>1334956</v>
      </c>
      <c r="E930" s="28" t="n">
        <f aca="false">D930-N(C930)</f>
        <v>0</v>
      </c>
      <c r="F930" s="2" t="str">
        <f aca="false">IF(AND(C930&lt;&gt;"",ROUND(E930,2)=0),"一致",IF(G930&lt;&gt;"","変更（意図的）","★相違"))</f>
        <v>一致</v>
      </c>
      <c r="G930" s="2"/>
    </row>
    <row r="931" customFormat="false" ht="15" hidden="false" customHeight="false" outlineLevel="0" collapsed="false">
      <c r="A931" s="2" t="s">
        <v>824</v>
      </c>
      <c r="B931" s="27" t="s">
        <v>621</v>
      </c>
      <c r="C931" s="28" t="n">
        <v>-1334956</v>
      </c>
      <c r="D931" s="28" t="n">
        <f aca="false">'総括　6～7（メモあり）'!P17</f>
        <v>-1334956</v>
      </c>
      <c r="E931" s="28" t="n">
        <f aca="false">D931-N(C931)</f>
        <v>0</v>
      </c>
      <c r="F931" s="2" t="str">
        <f aca="false">IF(AND(C931&lt;&gt;"",ROUND(E931,2)=0),"一致",IF(G931&lt;&gt;"","変更（意図的）","★相違"))</f>
        <v>一致</v>
      </c>
      <c r="G931" s="2"/>
    </row>
    <row r="932" customFormat="false" ht="15" hidden="false" customHeight="false" outlineLevel="0" collapsed="false">
      <c r="A932" s="2" t="s">
        <v>824</v>
      </c>
      <c r="B932" s="27" t="s">
        <v>892</v>
      </c>
      <c r="C932" s="28" t="n">
        <v>0</v>
      </c>
      <c r="D932" s="28" t="n">
        <f aca="false">'総括　6～7（メモあり）'!Q17</f>
        <v>0</v>
      </c>
      <c r="E932" s="28" t="n">
        <f aca="false">D932-N(C932)</f>
        <v>0</v>
      </c>
      <c r="F932" s="2" t="str">
        <f aca="false">IF(AND(C932&lt;&gt;"",ROUND(E932,2)=0),"一致",IF(G932&lt;&gt;"","変更（意図的）","★相違"))</f>
        <v>一致</v>
      </c>
      <c r="G932" s="2"/>
    </row>
    <row r="933" customFormat="false" ht="15" hidden="false" customHeight="false" outlineLevel="0" collapsed="false">
      <c r="A933" s="2" t="s">
        <v>824</v>
      </c>
      <c r="B933" s="27" t="s">
        <v>893</v>
      </c>
      <c r="C933" s="28" t="n">
        <v>0</v>
      </c>
      <c r="D933" s="28" t="n">
        <f aca="false">'総括　6～7（メモあり）'!R17</f>
        <v>0</v>
      </c>
      <c r="E933" s="28" t="n">
        <f aca="false">D933-N(C933)</f>
        <v>0</v>
      </c>
      <c r="F933" s="2" t="str">
        <f aca="false">IF(AND(C933&lt;&gt;"",ROUND(E933,2)=0),"一致",IF(G933&lt;&gt;"","変更（意図的）","★相違"))</f>
        <v>一致</v>
      </c>
      <c r="G933" s="2"/>
    </row>
    <row r="934" customFormat="false" ht="15" hidden="false" customHeight="false" outlineLevel="0" collapsed="false">
      <c r="A934" s="2" t="s">
        <v>824</v>
      </c>
      <c r="B934" s="27" t="s">
        <v>622</v>
      </c>
      <c r="C934" s="28" t="n">
        <v>0</v>
      </c>
      <c r="D934" s="28" t="n">
        <f aca="false">'総括　6～7（メモあり）'!S17</f>
        <v>0</v>
      </c>
      <c r="E934" s="28" t="n">
        <f aca="false">D934-N(C934)</f>
        <v>0</v>
      </c>
      <c r="F934" s="2" t="str">
        <f aca="false">IF(AND(C934&lt;&gt;"",ROUND(E934,2)=0),"一致",IF(G934&lt;&gt;"","変更（意図的）","★相違"))</f>
        <v>一致</v>
      </c>
      <c r="G934" s="2"/>
    </row>
    <row r="935" customFormat="false" ht="15" hidden="false" customHeight="false" outlineLevel="0" collapsed="false">
      <c r="A935" s="2" t="s">
        <v>824</v>
      </c>
      <c r="B935" s="27" t="s">
        <v>159</v>
      </c>
      <c r="C935" s="28" t="n">
        <v>211390</v>
      </c>
      <c r="D935" s="28" t="n">
        <f aca="false">'総括　6～7（メモあり）'!E18</f>
        <v>211390</v>
      </c>
      <c r="E935" s="28" t="n">
        <f aca="false">D935-N(C935)</f>
        <v>0</v>
      </c>
      <c r="F935" s="2" t="str">
        <f aca="false">IF(AND(C935&lt;&gt;"",ROUND(E935,2)=0),"一致",IF(G935&lt;&gt;"","変更（意図的）","★相違"))</f>
        <v>一致</v>
      </c>
      <c r="G935" s="2"/>
    </row>
    <row r="936" customFormat="false" ht="15" hidden="false" customHeight="false" outlineLevel="0" collapsed="false">
      <c r="A936" s="2" t="s">
        <v>824</v>
      </c>
      <c r="B936" s="27" t="s">
        <v>623</v>
      </c>
      <c r="C936" s="28" t="n">
        <v>1374137</v>
      </c>
      <c r="D936" s="28" t="n">
        <f aca="false">'総括　6～7（メモあり）'!F18</f>
        <v>1374137</v>
      </c>
      <c r="E936" s="28" t="n">
        <f aca="false">D936-N(C936)</f>
        <v>0</v>
      </c>
      <c r="F936" s="2" t="str">
        <f aca="false">IF(AND(C936&lt;&gt;"",ROUND(E936,2)=0),"一致",IF(G936&lt;&gt;"","変更（意図的）","★相違"))</f>
        <v>一致</v>
      </c>
      <c r="G936" s="2"/>
    </row>
    <row r="937" customFormat="false" ht="15" hidden="false" customHeight="false" outlineLevel="0" collapsed="false">
      <c r="A937" s="2" t="s">
        <v>824</v>
      </c>
      <c r="B937" s="27" t="s">
        <v>624</v>
      </c>
      <c r="C937" s="28" t="n">
        <v>-1162747</v>
      </c>
      <c r="D937" s="28" t="n">
        <f aca="false">'総括　6～7（メモあり）'!G18</f>
        <v>-1162747</v>
      </c>
      <c r="E937" s="28" t="n">
        <f aca="false">D937-N(C937)</f>
        <v>0</v>
      </c>
      <c r="F937" s="2" t="str">
        <f aca="false">IF(AND(C937&lt;&gt;"",ROUND(E937,2)=0),"一致",IF(G937&lt;&gt;"","変更（意図的）","★相違"))</f>
        <v>一致</v>
      </c>
      <c r="G937" s="2"/>
    </row>
    <row r="938" customFormat="false" ht="15" hidden="false" customHeight="false" outlineLevel="0" collapsed="false">
      <c r="A938" s="2" t="s">
        <v>824</v>
      </c>
      <c r="B938" s="27" t="s">
        <v>625</v>
      </c>
      <c r="C938" s="28" t="n">
        <v>69345</v>
      </c>
      <c r="D938" s="28" t="n">
        <f aca="false">'総括　6～7（メモあり）'!K18</f>
        <v>69345</v>
      </c>
      <c r="E938" s="28" t="n">
        <f aca="false">D938-N(C938)</f>
        <v>0</v>
      </c>
      <c r="F938" s="2" t="str">
        <f aca="false">IF(AND(C938&lt;&gt;"",ROUND(E938,2)=0),"一致",IF(G938&lt;&gt;"","変更（意図的）","★相違"))</f>
        <v>一致</v>
      </c>
      <c r="G938" s="2"/>
    </row>
    <row r="939" customFormat="false" ht="15" hidden="false" customHeight="false" outlineLevel="0" collapsed="false">
      <c r="A939" s="2" t="s">
        <v>824</v>
      </c>
      <c r="B939" s="27" t="s">
        <v>626</v>
      </c>
      <c r="C939" s="28" t="n">
        <v>67154</v>
      </c>
      <c r="D939" s="28" t="n">
        <f aca="false">'総括　6～7（メモあり）'!L18</f>
        <v>67154</v>
      </c>
      <c r="E939" s="28" t="n">
        <f aca="false">D939-N(C939)</f>
        <v>0</v>
      </c>
      <c r="F939" s="2" t="str">
        <f aca="false">IF(AND(C939&lt;&gt;"",ROUND(E939,2)=0),"一致",IF(G939&lt;&gt;"","変更（意図的）","★相違"))</f>
        <v>一致</v>
      </c>
      <c r="G939" s="2"/>
    </row>
    <row r="940" customFormat="false" ht="15" hidden="false" customHeight="false" outlineLevel="0" collapsed="false">
      <c r="A940" s="2" t="s">
        <v>824</v>
      </c>
      <c r="B940" s="27" t="s">
        <v>627</v>
      </c>
      <c r="C940" s="28" t="n">
        <v>2191</v>
      </c>
      <c r="D940" s="28" t="n">
        <f aca="false">'総括　6～7（メモあり）'!M18</f>
        <v>2191</v>
      </c>
      <c r="E940" s="28" t="n">
        <f aca="false">D940-N(C940)</f>
        <v>0</v>
      </c>
      <c r="F940" s="2" t="str">
        <f aca="false">IF(AND(C940&lt;&gt;"",ROUND(E940,2)=0),"一致",IF(G940&lt;&gt;"","変更（意図的）","★相違"))</f>
        <v>一致</v>
      </c>
      <c r="G940" s="2"/>
    </row>
    <row r="941" customFormat="false" ht="15" hidden="false" customHeight="false" outlineLevel="0" collapsed="false">
      <c r="A941" s="2" t="s">
        <v>824</v>
      </c>
      <c r="B941" s="27" t="s">
        <v>894</v>
      </c>
      <c r="C941" s="28" t="n">
        <v>0</v>
      </c>
      <c r="D941" s="28" t="n">
        <f aca="false">'総括　6～7（メモあり）'!N18</f>
        <v>0</v>
      </c>
      <c r="E941" s="28" t="n">
        <f aca="false">D941-N(C941)</f>
        <v>0</v>
      </c>
      <c r="F941" s="2" t="str">
        <f aca="false">IF(AND(C941&lt;&gt;"",ROUND(E941,2)=0),"一致",IF(G941&lt;&gt;"","変更（意図的）","★相違"))</f>
        <v>一致</v>
      </c>
      <c r="G941" s="2"/>
    </row>
    <row r="942" customFormat="false" ht="15" hidden="false" customHeight="false" outlineLevel="0" collapsed="false">
      <c r="A942" s="2" t="s">
        <v>824</v>
      </c>
      <c r="B942" s="27" t="s">
        <v>895</v>
      </c>
      <c r="C942" s="28" t="n">
        <v>0</v>
      </c>
      <c r="D942" s="28" t="n">
        <f aca="false">'総括　6～7（メモあり）'!O18</f>
        <v>0</v>
      </c>
      <c r="E942" s="28" t="n">
        <f aca="false">D942-N(C942)</f>
        <v>0</v>
      </c>
      <c r="F942" s="2" t="str">
        <f aca="false">IF(AND(C942&lt;&gt;"",ROUND(E942,2)=0),"一致",IF(G942&lt;&gt;"","変更（意図的）","★相違"))</f>
        <v>一致</v>
      </c>
      <c r="G942" s="2"/>
    </row>
    <row r="943" customFormat="false" ht="15" hidden="false" customHeight="false" outlineLevel="0" collapsed="false">
      <c r="A943" s="2" t="s">
        <v>824</v>
      </c>
      <c r="B943" s="27" t="s">
        <v>628</v>
      </c>
      <c r="C943" s="28" t="n">
        <v>0</v>
      </c>
      <c r="D943" s="28" t="n">
        <f aca="false">'総括　6～7（メモあり）'!P18</f>
        <v>0</v>
      </c>
      <c r="E943" s="28" t="n">
        <f aca="false">D943-N(C943)</f>
        <v>0</v>
      </c>
      <c r="F943" s="2" t="str">
        <f aca="false">IF(AND(C943&lt;&gt;"",ROUND(E943,2)=0),"一致",IF(G943&lt;&gt;"","変更（意図的）","★相違"))</f>
        <v>一致</v>
      </c>
      <c r="G943" s="2"/>
    </row>
    <row r="944" customFormat="false" ht="15" hidden="false" customHeight="false" outlineLevel="0" collapsed="false">
      <c r="A944" s="2" t="s">
        <v>824</v>
      </c>
      <c r="B944" s="27" t="s">
        <v>896</v>
      </c>
      <c r="C944" s="28" t="n">
        <v>0</v>
      </c>
      <c r="D944" s="28" t="n">
        <f aca="false">'総括　6～7（メモあり）'!Q18</f>
        <v>0</v>
      </c>
      <c r="E944" s="28" t="n">
        <f aca="false">D944-N(C944)</f>
        <v>0</v>
      </c>
      <c r="F944" s="2" t="str">
        <f aca="false">IF(AND(C944&lt;&gt;"",ROUND(E944,2)=0),"一致",IF(G944&lt;&gt;"","変更（意図的）","★相違"))</f>
        <v>一致</v>
      </c>
      <c r="G944" s="2"/>
    </row>
    <row r="945" customFormat="false" ht="15" hidden="false" customHeight="false" outlineLevel="0" collapsed="false">
      <c r="A945" s="2" t="s">
        <v>824</v>
      </c>
      <c r="B945" s="27" t="s">
        <v>897</v>
      </c>
      <c r="C945" s="28" t="n">
        <v>0</v>
      </c>
      <c r="D945" s="28" t="n">
        <f aca="false">'総括　6～7（メモあり）'!R18</f>
        <v>0</v>
      </c>
      <c r="E945" s="28" t="n">
        <f aca="false">D945-N(C945)</f>
        <v>0</v>
      </c>
      <c r="F945" s="2" t="str">
        <f aca="false">IF(AND(C945&lt;&gt;"",ROUND(E945,2)=0),"一致",IF(G945&lt;&gt;"","変更（意図的）","★相違"))</f>
        <v>一致</v>
      </c>
      <c r="G945" s="2"/>
    </row>
    <row r="946" customFormat="false" ht="15" hidden="false" customHeight="false" outlineLevel="0" collapsed="false">
      <c r="A946" s="2" t="s">
        <v>824</v>
      </c>
      <c r="B946" s="27" t="s">
        <v>629</v>
      </c>
      <c r="C946" s="28" t="n">
        <v>0</v>
      </c>
      <c r="D946" s="28" t="n">
        <f aca="false">'総括　6～7（メモあり）'!S18</f>
        <v>0</v>
      </c>
      <c r="E946" s="28" t="n">
        <f aca="false">D946-N(C946)</f>
        <v>0</v>
      </c>
      <c r="F946" s="2" t="str">
        <f aca="false">IF(AND(C946&lt;&gt;"",ROUND(E946,2)=0),"一致",IF(G946&lt;&gt;"","変更（意図的）","★相違"))</f>
        <v>一致</v>
      </c>
      <c r="G946" s="2"/>
    </row>
    <row r="947" customFormat="false" ht="15" hidden="false" customHeight="false" outlineLevel="0" collapsed="false">
      <c r="A947" s="2" t="s">
        <v>824</v>
      </c>
      <c r="B947" s="27" t="s">
        <v>516</v>
      </c>
      <c r="C947" s="28" t="n">
        <v>0</v>
      </c>
      <c r="D947" s="28" t="n">
        <f aca="false">'総括　6～7（メモあり）'!AE18</f>
        <v>0</v>
      </c>
      <c r="E947" s="28" t="n">
        <f aca="false">D947-N(C947)</f>
        <v>0</v>
      </c>
      <c r="F947" s="2" t="str">
        <f aca="false">IF(AND(C947&lt;&gt;"",ROUND(E947,2)=0),"一致",IF(G947&lt;&gt;"","変更（意図的）","★相違"))</f>
        <v>一致</v>
      </c>
      <c r="G947" s="2"/>
    </row>
    <row r="948" customFormat="false" ht="15" hidden="false" customHeight="false" outlineLevel="0" collapsed="false">
      <c r="A948" s="2" t="s">
        <v>824</v>
      </c>
      <c r="B948" s="27" t="s">
        <v>161</v>
      </c>
      <c r="C948" s="28" t="n">
        <v>0</v>
      </c>
      <c r="D948" s="28" t="n">
        <f aca="false">'総括　6～7（メモあり）'!E19</f>
        <v>0</v>
      </c>
      <c r="E948" s="28" t="n">
        <f aca="false">D948-N(C948)</f>
        <v>0</v>
      </c>
      <c r="F948" s="2" t="str">
        <f aca="false">IF(AND(C948&lt;&gt;"",ROUND(E948,2)=0),"一致",IF(G948&lt;&gt;"","変更（意図的）","★相違"))</f>
        <v>一致</v>
      </c>
      <c r="G948" s="2"/>
    </row>
    <row r="949" customFormat="false" ht="15" hidden="false" customHeight="false" outlineLevel="0" collapsed="false">
      <c r="A949" s="2" t="s">
        <v>824</v>
      </c>
      <c r="B949" s="27" t="s">
        <v>162</v>
      </c>
      <c r="C949" s="28" t="n">
        <v>0</v>
      </c>
      <c r="D949" s="28" t="n">
        <f aca="false">'総括　6～7（メモあり）'!F19</f>
        <v>0</v>
      </c>
      <c r="E949" s="28" t="n">
        <f aca="false">D949-N(C949)</f>
        <v>0</v>
      </c>
      <c r="F949" s="2" t="str">
        <f aca="false">IF(AND(C949&lt;&gt;"",ROUND(E949,2)=0),"一致",IF(G949&lt;&gt;"","変更（意図的）","★相違"))</f>
        <v>一致</v>
      </c>
      <c r="G949" s="2"/>
    </row>
    <row r="950" customFormat="false" ht="15" hidden="false" customHeight="false" outlineLevel="0" collapsed="false">
      <c r="A950" s="2" t="s">
        <v>824</v>
      </c>
      <c r="B950" s="27" t="s">
        <v>163</v>
      </c>
      <c r="C950" s="28" t="n">
        <v>0</v>
      </c>
      <c r="D950" s="28" t="n">
        <f aca="false">'総括　6～7（メモあり）'!G19</f>
        <v>0</v>
      </c>
      <c r="E950" s="28" t="n">
        <f aca="false">D950-N(C950)</f>
        <v>0</v>
      </c>
      <c r="F950" s="2" t="str">
        <f aca="false">IF(AND(C950&lt;&gt;"",ROUND(E950,2)=0),"一致",IF(G950&lt;&gt;"","変更（意図的）","★相違"))</f>
        <v>一致</v>
      </c>
      <c r="G950" s="2"/>
    </row>
    <row r="951" customFormat="false" ht="15" hidden="false" customHeight="false" outlineLevel="0" collapsed="false">
      <c r="A951" s="2" t="s">
        <v>824</v>
      </c>
      <c r="B951" s="27" t="s">
        <v>630</v>
      </c>
      <c r="C951" s="28" t="n">
        <v>20856594</v>
      </c>
      <c r="D951" s="28" t="n">
        <f aca="false">'総括　6～7（メモあり）'!K19</f>
        <v>20856594</v>
      </c>
      <c r="E951" s="28" t="n">
        <f aca="false">D951-N(C951)</f>
        <v>0</v>
      </c>
      <c r="F951" s="2" t="str">
        <f aca="false">IF(AND(C951&lt;&gt;"",ROUND(E951,2)=0),"一致",IF(G951&lt;&gt;"","変更（意図的）","★相違"))</f>
        <v>一致</v>
      </c>
      <c r="G951" s="2"/>
    </row>
    <row r="952" customFormat="false" ht="15" hidden="false" customHeight="false" outlineLevel="0" collapsed="false">
      <c r="A952" s="2" t="s">
        <v>824</v>
      </c>
      <c r="B952" s="27" t="s">
        <v>631</v>
      </c>
      <c r="C952" s="28" t="n">
        <v>20847288</v>
      </c>
      <c r="D952" s="28" t="n">
        <f aca="false">'総括　6～7（メモあり）'!L19</f>
        <v>20847288</v>
      </c>
      <c r="E952" s="28" t="n">
        <f aca="false">D952-N(C952)</f>
        <v>0</v>
      </c>
      <c r="F952" s="2" t="str">
        <f aca="false">IF(AND(C952&lt;&gt;"",ROUND(E952,2)=0),"一致",IF(G952&lt;&gt;"","変更（意図的）","★相違"))</f>
        <v>一致</v>
      </c>
      <c r="G952" s="2"/>
    </row>
    <row r="953" customFormat="false" ht="15" hidden="false" customHeight="false" outlineLevel="0" collapsed="false">
      <c r="A953" s="2" t="s">
        <v>824</v>
      </c>
      <c r="B953" s="27" t="s">
        <v>518</v>
      </c>
      <c r="C953" s="28" t="n">
        <v>9306</v>
      </c>
      <c r="D953" s="28" t="n">
        <f aca="false">'総括　6～7（メモあり）'!M19</f>
        <v>9306</v>
      </c>
      <c r="E953" s="28" t="n">
        <f aca="false">D953-N(C953)</f>
        <v>0</v>
      </c>
      <c r="F953" s="2" t="str">
        <f aca="false">IF(AND(C953&lt;&gt;"",ROUND(E953,2)=0),"一致",IF(G953&lt;&gt;"","変更（意図的）","★相違"))</f>
        <v>一致</v>
      </c>
      <c r="G953" s="2"/>
    </row>
    <row r="954" customFormat="false" ht="15" hidden="false" customHeight="false" outlineLevel="0" collapsed="false">
      <c r="A954" s="2" t="s">
        <v>824</v>
      </c>
      <c r="B954" s="27" t="s">
        <v>898</v>
      </c>
      <c r="C954" s="28" t="n">
        <v>0</v>
      </c>
      <c r="D954" s="28" t="n">
        <f aca="false">'総括　6～7（メモあり）'!N19</f>
        <v>0</v>
      </c>
      <c r="E954" s="28" t="n">
        <f aca="false">D954-N(C954)</f>
        <v>0</v>
      </c>
      <c r="F954" s="2" t="str">
        <f aca="false">IF(AND(C954&lt;&gt;"",ROUND(E954,2)=0),"一致",IF(G954&lt;&gt;"","変更（意図的）","★相違"))</f>
        <v>一致</v>
      </c>
      <c r="G954" s="2"/>
    </row>
    <row r="955" customFormat="false" ht="15" hidden="false" customHeight="false" outlineLevel="0" collapsed="false">
      <c r="A955" s="2" t="s">
        <v>824</v>
      </c>
      <c r="B955" s="27" t="s">
        <v>899</v>
      </c>
      <c r="C955" s="28" t="n">
        <v>0</v>
      </c>
      <c r="D955" s="28" t="n">
        <f aca="false">'総括　6～7（メモあり）'!O19</f>
        <v>0</v>
      </c>
      <c r="E955" s="28" t="n">
        <f aca="false">D955-N(C955)</f>
        <v>0</v>
      </c>
      <c r="F955" s="2" t="str">
        <f aca="false">IF(AND(C955&lt;&gt;"",ROUND(E955,2)=0),"一致",IF(G955&lt;&gt;"","変更（意図的）","★相違"))</f>
        <v>一致</v>
      </c>
      <c r="G955" s="2"/>
    </row>
    <row r="956" customFormat="false" ht="15" hidden="false" customHeight="false" outlineLevel="0" collapsed="false">
      <c r="A956" s="2" t="s">
        <v>824</v>
      </c>
      <c r="B956" s="27" t="s">
        <v>632</v>
      </c>
      <c r="C956" s="28" t="n">
        <v>0</v>
      </c>
      <c r="D956" s="28" t="n">
        <f aca="false">'総括　6～7（メモあり）'!P19</f>
        <v>0</v>
      </c>
      <c r="E956" s="28" t="n">
        <f aca="false">D956-N(C956)</f>
        <v>0</v>
      </c>
      <c r="F956" s="2" t="str">
        <f aca="false">IF(AND(C956&lt;&gt;"",ROUND(E956,2)=0),"一致",IF(G956&lt;&gt;"","変更（意図的）","★相違"))</f>
        <v>一致</v>
      </c>
      <c r="G956" s="2"/>
    </row>
    <row r="957" customFormat="false" ht="15" hidden="false" customHeight="false" outlineLevel="0" collapsed="false">
      <c r="A957" s="2" t="s">
        <v>824</v>
      </c>
      <c r="B957" s="27" t="s">
        <v>900</v>
      </c>
      <c r="C957" s="28" t="n">
        <v>44000</v>
      </c>
      <c r="D957" s="28" t="n">
        <f aca="false">'総括　6～7（メモあり）'!Q19</f>
        <v>44000</v>
      </c>
      <c r="E957" s="28" t="n">
        <f aca="false">D957-N(C957)</f>
        <v>0</v>
      </c>
      <c r="F957" s="2" t="str">
        <f aca="false">IF(AND(C957&lt;&gt;"",ROUND(E957,2)=0),"一致",IF(G957&lt;&gt;"","変更（意図的）","★相違"))</f>
        <v>一致</v>
      </c>
      <c r="G957" s="2"/>
    </row>
    <row r="958" customFormat="false" ht="15" hidden="false" customHeight="false" outlineLevel="0" collapsed="false">
      <c r="A958" s="2" t="s">
        <v>824</v>
      </c>
      <c r="B958" s="27" t="s">
        <v>633</v>
      </c>
      <c r="C958" s="28" t="n">
        <v>53000</v>
      </c>
      <c r="D958" s="28" t="n">
        <f aca="false">'総括　6～7（メモあり）'!R19</f>
        <v>53000</v>
      </c>
      <c r="E958" s="28" t="n">
        <f aca="false">D958-N(C958)</f>
        <v>0</v>
      </c>
      <c r="F958" s="2" t="str">
        <f aca="false">IF(AND(C958&lt;&gt;"",ROUND(E958,2)=0),"一致",IF(G958&lt;&gt;"","変更（意図的）","★相違"))</f>
        <v>一致</v>
      </c>
      <c r="G958" s="2"/>
    </row>
    <row r="959" customFormat="false" ht="15" hidden="false" customHeight="false" outlineLevel="0" collapsed="false">
      <c r="A959" s="2" t="s">
        <v>824</v>
      </c>
      <c r="B959" s="27" t="s">
        <v>634</v>
      </c>
      <c r="C959" s="28" t="n">
        <v>-9000</v>
      </c>
      <c r="D959" s="28" t="n">
        <f aca="false">'総括　6～7（メモあり）'!S19</f>
        <v>-9000</v>
      </c>
      <c r="E959" s="28" t="n">
        <f aca="false">D959-N(C959)</f>
        <v>0</v>
      </c>
      <c r="F959" s="2" t="str">
        <f aca="false">IF(AND(C959&lt;&gt;"",ROUND(E959,2)=0),"一致",IF(G959&lt;&gt;"","変更（意図的）","★相違"))</f>
        <v>一致</v>
      </c>
      <c r="G959" s="2"/>
    </row>
    <row r="960" customFormat="false" ht="15" hidden="false" customHeight="false" outlineLevel="0" collapsed="false">
      <c r="A960" s="2" t="s">
        <v>824</v>
      </c>
      <c r="B960" s="27" t="s">
        <v>167</v>
      </c>
      <c r="C960" s="28" t="n">
        <v>0</v>
      </c>
      <c r="D960" s="28" t="n">
        <f aca="false">'総括　6～7（メモあり）'!E20</f>
        <v>0</v>
      </c>
      <c r="E960" s="28" t="n">
        <f aca="false">D960-N(C960)</f>
        <v>0</v>
      </c>
      <c r="F960" s="2" t="str">
        <f aca="false">IF(AND(C960&lt;&gt;"",ROUND(E960,2)=0),"一致",IF(G960&lt;&gt;"","変更（意図的）","★相違"))</f>
        <v>一致</v>
      </c>
      <c r="G960" s="2"/>
    </row>
    <row r="961" customFormat="false" ht="15" hidden="false" customHeight="false" outlineLevel="0" collapsed="false">
      <c r="A961" s="2" t="s">
        <v>824</v>
      </c>
      <c r="B961" s="27" t="s">
        <v>168</v>
      </c>
      <c r="C961" s="28" t="n">
        <v>0</v>
      </c>
      <c r="D961" s="28" t="n">
        <f aca="false">'総括　6～7（メモあり）'!F20</f>
        <v>0</v>
      </c>
      <c r="E961" s="28" t="n">
        <f aca="false">D961-N(C961)</f>
        <v>0</v>
      </c>
      <c r="F961" s="2" t="str">
        <f aca="false">IF(AND(C961&lt;&gt;"",ROUND(E961,2)=0),"一致",IF(G961&lt;&gt;"","変更（意図的）","★相違"))</f>
        <v>一致</v>
      </c>
      <c r="G961" s="2"/>
    </row>
    <row r="962" customFormat="false" ht="15" hidden="false" customHeight="false" outlineLevel="0" collapsed="false">
      <c r="A962" s="2" t="s">
        <v>824</v>
      </c>
      <c r="B962" s="27" t="s">
        <v>169</v>
      </c>
      <c r="C962" s="28" t="n">
        <v>0</v>
      </c>
      <c r="D962" s="28" t="n">
        <f aca="false">'総括　6～7（メモあり）'!G20</f>
        <v>0</v>
      </c>
      <c r="E962" s="28" t="n">
        <f aca="false">D962-N(C962)</f>
        <v>0</v>
      </c>
      <c r="F962" s="2" t="str">
        <f aca="false">IF(AND(C962&lt;&gt;"",ROUND(E962,2)=0),"一致",IF(G962&lt;&gt;"","変更（意図的）","★相違"))</f>
        <v>一致</v>
      </c>
      <c r="G962" s="2"/>
    </row>
    <row r="963" customFormat="false" ht="15" hidden="false" customHeight="false" outlineLevel="0" collapsed="false">
      <c r="A963" s="2" t="s">
        <v>824</v>
      </c>
      <c r="B963" s="27" t="s">
        <v>635</v>
      </c>
      <c r="C963" s="28" t="n">
        <v>11648520</v>
      </c>
      <c r="D963" s="28" t="n">
        <f aca="false">'総括　6～7（メモあり）'!K20</f>
        <v>11648520</v>
      </c>
      <c r="E963" s="28" t="n">
        <f aca="false">D963-N(C963)</f>
        <v>0</v>
      </c>
      <c r="F963" s="2" t="str">
        <f aca="false">IF(AND(C963&lt;&gt;"",ROUND(E963,2)=0),"一致",IF(G963&lt;&gt;"","変更（意図的）","★相違"))</f>
        <v>一致</v>
      </c>
      <c r="G963" s="2"/>
    </row>
    <row r="964" customFormat="false" ht="15" hidden="false" customHeight="false" outlineLevel="0" collapsed="false">
      <c r="A964" s="2" t="s">
        <v>824</v>
      </c>
      <c r="B964" s="27" t="s">
        <v>636</v>
      </c>
      <c r="C964" s="28" t="n">
        <v>8154087</v>
      </c>
      <c r="D964" s="28" t="n">
        <f aca="false">'総括　6～7（メモあり）'!L20</f>
        <v>8154087</v>
      </c>
      <c r="E964" s="28" t="n">
        <f aca="false">D964-N(C964)</f>
        <v>0</v>
      </c>
      <c r="F964" s="2" t="str">
        <f aca="false">IF(AND(C964&lt;&gt;"",ROUND(E964,2)=0),"一致",IF(G964&lt;&gt;"","変更（意図的）","★相違"))</f>
        <v>一致</v>
      </c>
      <c r="G964" s="2"/>
    </row>
    <row r="965" customFormat="false" ht="15" hidden="false" customHeight="false" outlineLevel="0" collapsed="false">
      <c r="A965" s="2" t="s">
        <v>824</v>
      </c>
      <c r="B965" s="27" t="s">
        <v>523</v>
      </c>
      <c r="C965" s="28" t="n">
        <v>3494433</v>
      </c>
      <c r="D965" s="28" t="n">
        <f aca="false">'総括　6～7（メモあり）'!M20</f>
        <v>3494433</v>
      </c>
      <c r="E965" s="28" t="n">
        <f aca="false">D965-N(C965)</f>
        <v>0</v>
      </c>
      <c r="F965" s="2" t="str">
        <f aca="false">IF(AND(C965&lt;&gt;"",ROUND(E965,2)=0),"一致",IF(G965&lt;&gt;"","変更（意図的）","★相違"))</f>
        <v>一致</v>
      </c>
      <c r="G965" s="2"/>
    </row>
    <row r="966" customFormat="false" ht="15" hidden="false" customHeight="false" outlineLevel="0" collapsed="false">
      <c r="A966" s="2" t="s">
        <v>824</v>
      </c>
      <c r="B966" s="27" t="s">
        <v>901</v>
      </c>
      <c r="C966" s="28" t="n">
        <v>0</v>
      </c>
      <c r="D966" s="28" t="n">
        <f aca="false">'総括　6～7（メモあり）'!N20</f>
        <v>0</v>
      </c>
      <c r="E966" s="28" t="n">
        <f aca="false">D966-N(C966)</f>
        <v>0</v>
      </c>
      <c r="F966" s="2" t="str">
        <f aca="false">IF(AND(C966&lt;&gt;"",ROUND(E966,2)=0),"一致",IF(G966&lt;&gt;"","変更（意図的）","★相違"))</f>
        <v>一致</v>
      </c>
      <c r="G966" s="2"/>
    </row>
    <row r="967" customFormat="false" ht="15" hidden="false" customHeight="false" outlineLevel="0" collapsed="false">
      <c r="A967" s="2" t="s">
        <v>824</v>
      </c>
      <c r="B967" s="27" t="s">
        <v>902</v>
      </c>
      <c r="C967" s="28" t="n">
        <v>0</v>
      </c>
      <c r="D967" s="28" t="n">
        <f aca="false">'総括　6～7（メモあり）'!O20</f>
        <v>0</v>
      </c>
      <c r="E967" s="28" t="n">
        <f aca="false">D967-N(C967)</f>
        <v>0</v>
      </c>
      <c r="F967" s="2" t="str">
        <f aca="false">IF(AND(C967&lt;&gt;"",ROUND(E967,2)=0),"一致",IF(G967&lt;&gt;"","変更（意図的）","★相違"))</f>
        <v>一致</v>
      </c>
      <c r="G967" s="2"/>
    </row>
    <row r="968" customFormat="false" ht="15" hidden="false" customHeight="false" outlineLevel="0" collapsed="false">
      <c r="A968" s="2" t="s">
        <v>824</v>
      </c>
      <c r="B968" s="27" t="s">
        <v>637</v>
      </c>
      <c r="C968" s="28" t="n">
        <v>0</v>
      </c>
      <c r="D968" s="28" t="n">
        <f aca="false">'総括　6～7（メモあり）'!P20</f>
        <v>0</v>
      </c>
      <c r="E968" s="28" t="n">
        <f aca="false">D968-N(C968)</f>
        <v>0</v>
      </c>
      <c r="F968" s="2" t="str">
        <f aca="false">IF(AND(C968&lt;&gt;"",ROUND(E968,2)=0),"一致",IF(G968&lt;&gt;"","変更（意図的）","★相違"))</f>
        <v>一致</v>
      </c>
      <c r="G968" s="2"/>
    </row>
    <row r="969" customFormat="false" ht="15" hidden="false" customHeight="false" outlineLevel="0" collapsed="false">
      <c r="A969" s="2" t="s">
        <v>824</v>
      </c>
      <c r="B969" s="27" t="s">
        <v>903</v>
      </c>
      <c r="C969" s="28" t="n">
        <v>0</v>
      </c>
      <c r="D969" s="28" t="n">
        <f aca="false">'総括　6～7（メモあり）'!Q20</f>
        <v>0</v>
      </c>
      <c r="E969" s="28" t="n">
        <f aca="false">D969-N(C969)</f>
        <v>0</v>
      </c>
      <c r="F969" s="2" t="str">
        <f aca="false">IF(AND(C969&lt;&gt;"",ROUND(E969,2)=0),"一致",IF(G969&lt;&gt;"","変更（意図的）","★相違"))</f>
        <v>一致</v>
      </c>
      <c r="G969" s="2"/>
    </row>
    <row r="970" customFormat="false" ht="15" hidden="false" customHeight="false" outlineLevel="0" collapsed="false">
      <c r="A970" s="2" t="s">
        <v>824</v>
      </c>
      <c r="B970" s="27" t="s">
        <v>904</v>
      </c>
      <c r="C970" s="28" t="n">
        <v>0</v>
      </c>
      <c r="D970" s="28" t="n">
        <f aca="false">'総括　6～7（メモあり）'!R20</f>
        <v>0</v>
      </c>
      <c r="E970" s="28" t="n">
        <f aca="false">D970-N(C970)</f>
        <v>0</v>
      </c>
      <c r="F970" s="2" t="str">
        <f aca="false">IF(AND(C970&lt;&gt;"",ROUND(E970,2)=0),"一致",IF(G970&lt;&gt;"","変更（意図的）","★相違"))</f>
        <v>一致</v>
      </c>
      <c r="G970" s="2"/>
    </row>
    <row r="971" customFormat="false" ht="15" hidden="false" customHeight="false" outlineLevel="0" collapsed="false">
      <c r="A971" s="2" t="s">
        <v>824</v>
      </c>
      <c r="B971" s="27" t="s">
        <v>638</v>
      </c>
      <c r="C971" s="28" t="n">
        <v>0</v>
      </c>
      <c r="D971" s="28" t="n">
        <f aca="false">'総括　6～7（メモあり）'!S20</f>
        <v>0</v>
      </c>
      <c r="E971" s="28" t="n">
        <f aca="false">D971-N(C971)</f>
        <v>0</v>
      </c>
      <c r="F971" s="2" t="str">
        <f aca="false">IF(AND(C971&lt;&gt;"",ROUND(E971,2)=0),"一致",IF(G971&lt;&gt;"","変更（意図的）","★相違"))</f>
        <v>一致</v>
      </c>
      <c r="G971" s="2"/>
    </row>
    <row r="972" customFormat="false" ht="15" hidden="false" customHeight="false" outlineLevel="0" collapsed="false">
      <c r="A972" s="2" t="s">
        <v>824</v>
      </c>
      <c r="B972" s="27" t="s">
        <v>905</v>
      </c>
      <c r="C972" s="28" t="n">
        <v>0</v>
      </c>
      <c r="D972" s="28" t="n">
        <f aca="false">'総括　6～7（メモあり）'!E21</f>
        <v>0</v>
      </c>
      <c r="E972" s="28" t="n">
        <f aca="false">D972-N(C972)</f>
        <v>0</v>
      </c>
      <c r="F972" s="2" t="str">
        <f aca="false">IF(AND(C972&lt;&gt;"",ROUND(E972,2)=0),"一致",IF(G972&lt;&gt;"","変更（意図的）","★相違"))</f>
        <v>一致</v>
      </c>
      <c r="G972" s="2"/>
    </row>
    <row r="973" customFormat="false" ht="15" hidden="false" customHeight="false" outlineLevel="0" collapsed="false">
      <c r="A973" s="2" t="s">
        <v>824</v>
      </c>
      <c r="B973" s="27" t="s">
        <v>906</v>
      </c>
      <c r="C973" s="28" t="n">
        <v>0</v>
      </c>
      <c r="D973" s="28" t="n">
        <f aca="false">'総括　6～7（メモあり）'!F21</f>
        <v>0</v>
      </c>
      <c r="E973" s="28" t="n">
        <f aca="false">D973-N(C973)</f>
        <v>0</v>
      </c>
      <c r="F973" s="2" t="str">
        <f aca="false">IF(AND(C973&lt;&gt;"",ROUND(E973,2)=0),"一致",IF(G973&lt;&gt;"","変更（意図的）","★相違"))</f>
        <v>一致</v>
      </c>
      <c r="G973" s="2"/>
    </row>
    <row r="974" customFormat="false" ht="15" hidden="false" customHeight="false" outlineLevel="0" collapsed="false">
      <c r="A974" s="2" t="s">
        <v>824</v>
      </c>
      <c r="B974" s="27" t="s">
        <v>639</v>
      </c>
      <c r="C974" s="28" t="n">
        <v>0</v>
      </c>
      <c r="D974" s="28" t="n">
        <f aca="false">'総括　6～7（メモあり）'!G21</f>
        <v>0</v>
      </c>
      <c r="E974" s="28" t="n">
        <f aca="false">D974-N(C974)</f>
        <v>0</v>
      </c>
      <c r="F974" s="2" t="str">
        <f aca="false">IF(AND(C974&lt;&gt;"",ROUND(E974,2)=0),"一致",IF(G974&lt;&gt;"","変更（意図的）","★相違"))</f>
        <v>一致</v>
      </c>
      <c r="G974" s="2"/>
    </row>
    <row r="975" customFormat="false" ht="15" hidden="false" customHeight="false" outlineLevel="0" collapsed="false">
      <c r="A975" s="2" t="s">
        <v>824</v>
      </c>
      <c r="B975" s="27" t="s">
        <v>907</v>
      </c>
      <c r="C975" s="28" t="n">
        <v>0</v>
      </c>
      <c r="D975" s="28" t="n">
        <f aca="false">'総括　6～7（メモあり）'!K21</f>
        <v>0</v>
      </c>
      <c r="E975" s="28" t="n">
        <f aca="false">D975-N(C975)</f>
        <v>0</v>
      </c>
      <c r="F975" s="2" t="str">
        <f aca="false">IF(AND(C975&lt;&gt;"",ROUND(E975,2)=0),"一致",IF(G975&lt;&gt;"","変更（意図的）","★相違"))</f>
        <v>一致</v>
      </c>
      <c r="G975" s="2"/>
    </row>
    <row r="976" customFormat="false" ht="15" hidden="false" customHeight="false" outlineLevel="0" collapsed="false">
      <c r="A976" s="2" t="s">
        <v>824</v>
      </c>
      <c r="B976" s="27" t="s">
        <v>908</v>
      </c>
      <c r="C976" s="28" t="n">
        <v>0</v>
      </c>
      <c r="D976" s="28" t="n">
        <f aca="false">'総括　6～7（メモあり）'!L21</f>
        <v>0</v>
      </c>
      <c r="E976" s="28" t="n">
        <f aca="false">D976-N(C976)</f>
        <v>0</v>
      </c>
      <c r="F976" s="2" t="str">
        <f aca="false">IF(AND(C976&lt;&gt;"",ROUND(E976,2)=0),"一致",IF(G976&lt;&gt;"","変更（意図的）","★相違"))</f>
        <v>一致</v>
      </c>
      <c r="G976" s="2"/>
    </row>
    <row r="977" customFormat="false" ht="15" hidden="false" customHeight="false" outlineLevel="0" collapsed="false">
      <c r="A977" s="2" t="s">
        <v>824</v>
      </c>
      <c r="B977" s="27" t="s">
        <v>528</v>
      </c>
      <c r="C977" s="28" t="n">
        <v>0</v>
      </c>
      <c r="D977" s="28" t="n">
        <f aca="false">'総括　6～7（メモあり）'!M21</f>
        <v>0</v>
      </c>
      <c r="E977" s="28" t="n">
        <f aca="false">D977-N(C977)</f>
        <v>0</v>
      </c>
      <c r="F977" s="2" t="str">
        <f aca="false">IF(AND(C977&lt;&gt;"",ROUND(E977,2)=0),"一致",IF(G977&lt;&gt;"","変更（意図的）","★相違"))</f>
        <v>一致</v>
      </c>
      <c r="G977" s="2"/>
    </row>
    <row r="978" customFormat="false" ht="15" hidden="false" customHeight="false" outlineLevel="0" collapsed="false">
      <c r="A978" s="2" t="s">
        <v>824</v>
      </c>
      <c r="B978" s="27" t="s">
        <v>909</v>
      </c>
      <c r="C978" s="28" t="n">
        <v>0</v>
      </c>
      <c r="D978" s="28" t="n">
        <f aca="false">'総括　6～7（メモあり）'!N21</f>
        <v>0</v>
      </c>
      <c r="E978" s="28" t="n">
        <f aca="false">D978-N(C978)</f>
        <v>0</v>
      </c>
      <c r="F978" s="2" t="str">
        <f aca="false">IF(AND(C978&lt;&gt;"",ROUND(E978,2)=0),"一致",IF(G978&lt;&gt;"","変更（意図的）","★相違"))</f>
        <v>一致</v>
      </c>
      <c r="G978" s="2"/>
    </row>
    <row r="979" customFormat="false" ht="15" hidden="false" customHeight="false" outlineLevel="0" collapsed="false">
      <c r="A979" s="2" t="s">
        <v>824</v>
      </c>
      <c r="B979" s="27" t="s">
        <v>910</v>
      </c>
      <c r="C979" s="28" t="n">
        <v>0</v>
      </c>
      <c r="D979" s="28" t="n">
        <f aca="false">'総括　6～7（メモあり）'!O21</f>
        <v>0</v>
      </c>
      <c r="E979" s="28" t="n">
        <f aca="false">D979-N(C979)</f>
        <v>0</v>
      </c>
      <c r="F979" s="2" t="str">
        <f aca="false">IF(AND(C979&lt;&gt;"",ROUND(E979,2)=0),"一致",IF(G979&lt;&gt;"","変更（意図的）","★相違"))</f>
        <v>一致</v>
      </c>
      <c r="G979" s="2"/>
    </row>
    <row r="980" customFormat="false" ht="15" hidden="false" customHeight="false" outlineLevel="0" collapsed="false">
      <c r="A980" s="2" t="s">
        <v>824</v>
      </c>
      <c r="B980" s="27" t="s">
        <v>640</v>
      </c>
      <c r="C980" s="28" t="n">
        <v>0</v>
      </c>
      <c r="D980" s="28" t="n">
        <f aca="false">'総括　6～7（メモあり）'!P21</f>
        <v>0</v>
      </c>
      <c r="E980" s="28" t="n">
        <f aca="false">D980-N(C980)</f>
        <v>0</v>
      </c>
      <c r="F980" s="2" t="str">
        <f aca="false">IF(AND(C980&lt;&gt;"",ROUND(E980,2)=0),"一致",IF(G980&lt;&gt;"","変更（意図的）","★相違"))</f>
        <v>一致</v>
      </c>
      <c r="G980" s="2"/>
    </row>
    <row r="981" customFormat="false" ht="15" hidden="false" customHeight="false" outlineLevel="0" collapsed="false">
      <c r="A981" s="2" t="s">
        <v>824</v>
      </c>
      <c r="B981" s="27" t="s">
        <v>911</v>
      </c>
      <c r="C981" s="28" t="n">
        <v>0</v>
      </c>
      <c r="D981" s="28" t="n">
        <f aca="false">'総括　6～7（メモあり）'!Q21</f>
        <v>0</v>
      </c>
      <c r="E981" s="28" t="n">
        <f aca="false">D981-N(C981)</f>
        <v>0</v>
      </c>
      <c r="F981" s="2" t="str">
        <f aca="false">IF(AND(C981&lt;&gt;"",ROUND(E981,2)=0),"一致",IF(G981&lt;&gt;"","変更（意図的）","★相違"))</f>
        <v>一致</v>
      </c>
      <c r="G981" s="2"/>
    </row>
    <row r="982" customFormat="false" ht="15" hidden="false" customHeight="false" outlineLevel="0" collapsed="false">
      <c r="A982" s="2" t="s">
        <v>824</v>
      </c>
      <c r="B982" s="27" t="s">
        <v>912</v>
      </c>
      <c r="C982" s="28" t="n">
        <v>0</v>
      </c>
      <c r="D982" s="28" t="n">
        <f aca="false">'総括　6～7（メモあり）'!R21</f>
        <v>0</v>
      </c>
      <c r="E982" s="28" t="n">
        <f aca="false">D982-N(C982)</f>
        <v>0</v>
      </c>
      <c r="F982" s="2" t="str">
        <f aca="false">IF(AND(C982&lt;&gt;"",ROUND(E982,2)=0),"一致",IF(G982&lt;&gt;"","変更（意図的）","★相違"))</f>
        <v>一致</v>
      </c>
      <c r="G982" s="2"/>
    </row>
    <row r="983" customFormat="false" ht="15" hidden="false" customHeight="false" outlineLevel="0" collapsed="false">
      <c r="A983" s="2" t="s">
        <v>824</v>
      </c>
      <c r="B983" s="27" t="s">
        <v>641</v>
      </c>
      <c r="C983" s="28" t="n">
        <v>0</v>
      </c>
      <c r="D983" s="28" t="n">
        <f aca="false">'総括　6～7（メモあり）'!S21</f>
        <v>0</v>
      </c>
      <c r="E983" s="28" t="n">
        <f aca="false">D983-N(C983)</f>
        <v>0</v>
      </c>
      <c r="F983" s="2" t="str">
        <f aca="false">IF(AND(C983&lt;&gt;"",ROUND(E983,2)=0),"一致",IF(G983&lt;&gt;"","変更（意図的）","★相違"))</f>
        <v>一致</v>
      </c>
      <c r="G983" s="2"/>
    </row>
    <row r="984" customFormat="false" ht="15" hidden="false" customHeight="false" outlineLevel="0" collapsed="false">
      <c r="A984" s="2" t="s">
        <v>824</v>
      </c>
      <c r="B984" s="27" t="s">
        <v>913</v>
      </c>
      <c r="C984" s="28" t="n">
        <v>0</v>
      </c>
      <c r="D984" s="28" t="n">
        <f aca="false">'総括　6～7（メモあり）'!E22</f>
        <v>0</v>
      </c>
      <c r="E984" s="28" t="n">
        <f aca="false">D984-N(C984)</f>
        <v>0</v>
      </c>
      <c r="F984" s="2" t="str">
        <f aca="false">IF(AND(C984&lt;&gt;"",ROUND(E984,2)=0),"一致",IF(G984&lt;&gt;"","変更（意図的）","★相違"))</f>
        <v>一致</v>
      </c>
      <c r="G984" s="2"/>
    </row>
    <row r="985" customFormat="false" ht="15" hidden="false" customHeight="false" outlineLevel="0" collapsed="false">
      <c r="A985" s="2" t="s">
        <v>824</v>
      </c>
      <c r="B985" s="27" t="s">
        <v>914</v>
      </c>
      <c r="C985" s="28" t="n">
        <v>0</v>
      </c>
      <c r="D985" s="28" t="n">
        <f aca="false">'総括　6～7（メモあり）'!F22</f>
        <v>0</v>
      </c>
      <c r="E985" s="28" t="n">
        <f aca="false">D985-N(C985)</f>
        <v>0</v>
      </c>
      <c r="F985" s="2" t="str">
        <f aca="false">IF(AND(C985&lt;&gt;"",ROUND(E985,2)=0),"一致",IF(G985&lt;&gt;"","変更（意図的）","★相違"))</f>
        <v>一致</v>
      </c>
      <c r="G985" s="2"/>
    </row>
    <row r="986" customFormat="false" ht="15" hidden="false" customHeight="false" outlineLevel="0" collapsed="false">
      <c r="A986" s="2" t="s">
        <v>824</v>
      </c>
      <c r="B986" s="27" t="s">
        <v>642</v>
      </c>
      <c r="C986" s="28" t="n">
        <v>0</v>
      </c>
      <c r="D986" s="28" t="n">
        <f aca="false">'総括　6～7（メモあり）'!G22</f>
        <v>0</v>
      </c>
      <c r="E986" s="28" t="n">
        <f aca="false">D986-N(C986)</f>
        <v>0</v>
      </c>
      <c r="F986" s="2" t="str">
        <f aca="false">IF(AND(C986&lt;&gt;"",ROUND(E986,2)=0),"一致",IF(G986&lt;&gt;"","変更（意図的）","★相違"))</f>
        <v>一致</v>
      </c>
      <c r="G986" s="2"/>
    </row>
    <row r="987" customFormat="false" ht="15" hidden="false" customHeight="false" outlineLevel="0" collapsed="false">
      <c r="A987" s="2" t="s">
        <v>824</v>
      </c>
      <c r="B987" s="27" t="s">
        <v>915</v>
      </c>
      <c r="C987" s="28" t="n">
        <v>0</v>
      </c>
      <c r="D987" s="28" t="n">
        <f aca="false">'総括　6～7（メモあり）'!K22</f>
        <v>0</v>
      </c>
      <c r="E987" s="28" t="n">
        <f aca="false">D987-N(C987)</f>
        <v>0</v>
      </c>
      <c r="F987" s="2" t="str">
        <f aca="false">IF(AND(C987&lt;&gt;"",ROUND(E987,2)=0),"一致",IF(G987&lt;&gt;"","変更（意図的）","★相違"))</f>
        <v>一致</v>
      </c>
      <c r="G987" s="2"/>
    </row>
    <row r="988" customFormat="false" ht="15" hidden="false" customHeight="false" outlineLevel="0" collapsed="false">
      <c r="A988" s="2" t="s">
        <v>824</v>
      </c>
      <c r="B988" s="27" t="s">
        <v>916</v>
      </c>
      <c r="C988" s="28" t="n">
        <v>0</v>
      </c>
      <c r="D988" s="28" t="n">
        <f aca="false">'総括　6～7（メモあり）'!L22</f>
        <v>0</v>
      </c>
      <c r="E988" s="28" t="n">
        <f aca="false">D988-N(C988)</f>
        <v>0</v>
      </c>
      <c r="F988" s="2" t="str">
        <f aca="false">IF(AND(C988&lt;&gt;"",ROUND(E988,2)=0),"一致",IF(G988&lt;&gt;"","変更（意図的）","★相違"))</f>
        <v>一致</v>
      </c>
      <c r="G988" s="2"/>
    </row>
    <row r="989" customFormat="false" ht="15" hidden="false" customHeight="false" outlineLevel="0" collapsed="false">
      <c r="A989" s="2" t="s">
        <v>824</v>
      </c>
      <c r="B989" s="27" t="s">
        <v>643</v>
      </c>
      <c r="C989" s="28" t="n">
        <v>0</v>
      </c>
      <c r="D989" s="28" t="n">
        <f aca="false">'総括　6～7（メモあり）'!M22</f>
        <v>0</v>
      </c>
      <c r="E989" s="28" t="n">
        <f aca="false">D989-N(C989)</f>
        <v>0</v>
      </c>
      <c r="F989" s="2" t="str">
        <f aca="false">IF(AND(C989&lt;&gt;"",ROUND(E989,2)=0),"一致",IF(G989&lt;&gt;"","変更（意図的）","★相違"))</f>
        <v>一致</v>
      </c>
      <c r="G989" s="2"/>
    </row>
    <row r="990" customFormat="false" ht="15" hidden="false" customHeight="false" outlineLevel="0" collapsed="false">
      <c r="A990" s="2" t="s">
        <v>824</v>
      </c>
      <c r="B990" s="27" t="s">
        <v>917</v>
      </c>
      <c r="C990" s="28" t="n">
        <v>0</v>
      </c>
      <c r="D990" s="28" t="n">
        <f aca="false">'総括　6～7（メモあり）'!N22</f>
        <v>0</v>
      </c>
      <c r="E990" s="28" t="n">
        <f aca="false">D990-N(C990)</f>
        <v>0</v>
      </c>
      <c r="F990" s="2" t="str">
        <f aca="false">IF(AND(C990&lt;&gt;"",ROUND(E990,2)=0),"一致",IF(G990&lt;&gt;"","変更（意図的）","★相違"))</f>
        <v>一致</v>
      </c>
      <c r="G990" s="2"/>
    </row>
    <row r="991" customFormat="false" ht="15" hidden="false" customHeight="false" outlineLevel="0" collapsed="false">
      <c r="A991" s="2" t="s">
        <v>824</v>
      </c>
      <c r="B991" s="27" t="s">
        <v>918</v>
      </c>
      <c r="C991" s="28" t="n">
        <v>0</v>
      </c>
      <c r="D991" s="28" t="n">
        <f aca="false">'総括　6～7（メモあり）'!O22</f>
        <v>0</v>
      </c>
      <c r="E991" s="28" t="n">
        <f aca="false">D991-N(C991)</f>
        <v>0</v>
      </c>
      <c r="F991" s="2" t="str">
        <f aca="false">IF(AND(C991&lt;&gt;"",ROUND(E991,2)=0),"一致",IF(G991&lt;&gt;"","変更（意図的）","★相違"))</f>
        <v>一致</v>
      </c>
      <c r="G991" s="2"/>
    </row>
    <row r="992" customFormat="false" ht="15" hidden="false" customHeight="false" outlineLevel="0" collapsed="false">
      <c r="A992" s="2" t="s">
        <v>824</v>
      </c>
      <c r="B992" s="27" t="s">
        <v>644</v>
      </c>
      <c r="C992" s="28" t="n">
        <v>0</v>
      </c>
      <c r="D992" s="28" t="n">
        <f aca="false">'総括　6～7（メモあり）'!P22</f>
        <v>0</v>
      </c>
      <c r="E992" s="28" t="n">
        <f aca="false">D992-N(C992)</f>
        <v>0</v>
      </c>
      <c r="F992" s="2" t="str">
        <f aca="false">IF(AND(C992&lt;&gt;"",ROUND(E992,2)=0),"一致",IF(G992&lt;&gt;"","変更（意図的）","★相違"))</f>
        <v>一致</v>
      </c>
      <c r="G992" s="2"/>
    </row>
    <row r="993" customFormat="false" ht="15" hidden="false" customHeight="false" outlineLevel="0" collapsed="false">
      <c r="A993" s="2" t="s">
        <v>824</v>
      </c>
      <c r="B993" s="27" t="s">
        <v>919</v>
      </c>
      <c r="C993" s="28" t="n">
        <v>12712000</v>
      </c>
      <c r="D993" s="28" t="n">
        <f aca="false">'総括　6～7（メモあり）'!Q22</f>
        <v>12712000</v>
      </c>
      <c r="E993" s="28" t="n">
        <f aca="false">D993-N(C993)</f>
        <v>0</v>
      </c>
      <c r="F993" s="2" t="str">
        <f aca="false">IF(AND(C993&lt;&gt;"",ROUND(E993,2)=0),"一致",IF(G993&lt;&gt;"","変更（意図的）","★相違"))</f>
        <v>一致</v>
      </c>
      <c r="G993" s="2"/>
    </row>
    <row r="994" customFormat="false" ht="15" hidden="false" customHeight="false" outlineLevel="0" collapsed="false">
      <c r="A994" s="2" t="s">
        <v>824</v>
      </c>
      <c r="B994" s="27" t="s">
        <v>645</v>
      </c>
      <c r="C994" s="28" t="n">
        <v>14228186</v>
      </c>
      <c r="D994" s="28" t="n">
        <f aca="false">'総括　6～7（メモあり）'!R22</f>
        <v>14228186</v>
      </c>
      <c r="E994" s="28" t="n">
        <f aca="false">D994-N(C994)</f>
        <v>0</v>
      </c>
      <c r="F994" s="2" t="str">
        <f aca="false">IF(AND(C994&lt;&gt;"",ROUND(E994,2)=0),"一致",IF(G994&lt;&gt;"","変更（意図的）","★相違"))</f>
        <v>一致</v>
      </c>
      <c r="G994" s="2"/>
    </row>
    <row r="995" customFormat="false" ht="15" hidden="false" customHeight="false" outlineLevel="0" collapsed="false">
      <c r="A995" s="2" t="s">
        <v>824</v>
      </c>
      <c r="B995" s="27" t="s">
        <v>646</v>
      </c>
      <c r="C995" s="28" t="n">
        <v>-1516186</v>
      </c>
      <c r="D995" s="28" t="n">
        <f aca="false">'総括　6～7（メモあり）'!S22</f>
        <v>-1516186</v>
      </c>
      <c r="E995" s="28" t="n">
        <f aca="false">D995-N(C995)</f>
        <v>0</v>
      </c>
      <c r="F995" s="2" t="str">
        <f aca="false">IF(AND(C995&lt;&gt;"",ROUND(E995,2)=0),"一致",IF(G995&lt;&gt;"","変更（意図的）","★相違"))</f>
        <v>一致</v>
      </c>
      <c r="G995" s="2"/>
    </row>
    <row r="996" customFormat="false" ht="15" hidden="false" customHeight="false" outlineLevel="0" collapsed="false">
      <c r="A996" s="2" t="s">
        <v>824</v>
      </c>
      <c r="B996" s="27" t="s">
        <v>920</v>
      </c>
      <c r="C996" s="28" t="n">
        <v>0</v>
      </c>
      <c r="D996" s="28" t="n">
        <f aca="false">'総括　6～7（メモあり）'!E23</f>
        <v>0</v>
      </c>
      <c r="E996" s="28" t="n">
        <f aca="false">D996-N(C996)</f>
        <v>0</v>
      </c>
      <c r="F996" s="2" t="str">
        <f aca="false">IF(AND(C996&lt;&gt;"",ROUND(E996,2)=0),"一致",IF(G996&lt;&gt;"","変更（意図的）","★相違"))</f>
        <v>一致</v>
      </c>
      <c r="G996" s="2"/>
    </row>
    <row r="997" customFormat="false" ht="15" hidden="false" customHeight="false" outlineLevel="0" collapsed="false">
      <c r="A997" s="2" t="s">
        <v>824</v>
      </c>
      <c r="B997" s="27" t="s">
        <v>647</v>
      </c>
      <c r="C997" s="28" t="n">
        <v>19595000</v>
      </c>
      <c r="D997" s="28" t="n">
        <f aca="false">'総括　6～7（メモあり）'!F23</f>
        <v>19595000</v>
      </c>
      <c r="E997" s="28" t="n">
        <f aca="false">D997-N(C997)</f>
        <v>0</v>
      </c>
      <c r="F997" s="2" t="str">
        <f aca="false">IF(AND(C997&lt;&gt;"",ROUND(E997,2)=0),"一致",IF(G997&lt;&gt;"","変更（意図的）","★相違"))</f>
        <v>一致</v>
      </c>
      <c r="G997" s="2"/>
    </row>
    <row r="998" customFormat="false" ht="15" hidden="false" customHeight="false" outlineLevel="0" collapsed="false">
      <c r="A998" s="2" t="s">
        <v>824</v>
      </c>
      <c r="B998" s="27" t="s">
        <v>648</v>
      </c>
      <c r="C998" s="28" t="n">
        <v>-19595000</v>
      </c>
      <c r="D998" s="28" t="n">
        <f aca="false">'総括　6～7（メモあり）'!G23</f>
        <v>-19595000</v>
      </c>
      <c r="E998" s="28" t="n">
        <f aca="false">D998-N(C998)</f>
        <v>0</v>
      </c>
      <c r="F998" s="2" t="str">
        <f aca="false">IF(AND(C998&lt;&gt;"",ROUND(E998,2)=0),"一致",IF(G998&lt;&gt;"","変更（意図的）","★相違"))</f>
        <v>一致</v>
      </c>
      <c r="G998" s="2"/>
    </row>
    <row r="999" customFormat="false" ht="15" hidden="false" customHeight="false" outlineLevel="0" collapsed="false">
      <c r="A999" s="2" t="s">
        <v>824</v>
      </c>
      <c r="B999" s="27" t="s">
        <v>649</v>
      </c>
      <c r="C999" s="28" t="n">
        <v>1206000</v>
      </c>
      <c r="D999" s="28" t="n">
        <f aca="false">'総括　6～7（メモあり）'!K23</f>
        <v>1206000</v>
      </c>
      <c r="E999" s="28" t="n">
        <f aca="false">D999-N(C999)</f>
        <v>0</v>
      </c>
      <c r="F999" s="2" t="str">
        <f aca="false">IF(AND(C999&lt;&gt;"",ROUND(E999,2)=0),"一致",IF(G999&lt;&gt;"","変更（意図的）","★相違"))</f>
        <v>一致</v>
      </c>
      <c r="G999" s="2"/>
    </row>
    <row r="1000" customFormat="false" ht="15" hidden="false" customHeight="false" outlineLevel="0" collapsed="false">
      <c r="A1000" s="2" t="s">
        <v>824</v>
      </c>
      <c r="B1000" s="27" t="s">
        <v>650</v>
      </c>
      <c r="C1000" s="28" t="n">
        <v>0</v>
      </c>
      <c r="D1000" s="28" t="n">
        <f aca="false">'総括　6～7（メモあり）'!L23</f>
        <v>0</v>
      </c>
      <c r="E1000" s="28" t="n">
        <f aca="false">D1000-N(C1000)</f>
        <v>0</v>
      </c>
      <c r="F1000" s="2" t="str">
        <f aca="false">IF(AND(C1000&lt;&gt;"",ROUND(E1000,2)=0),"一致",IF(G1000&lt;&gt;"","変更（意図的）","★相違"))</f>
        <v>一致</v>
      </c>
      <c r="G1000" s="2"/>
    </row>
    <row r="1001" customFormat="false" ht="15" hidden="false" customHeight="false" outlineLevel="0" collapsed="false">
      <c r="A1001" s="2" t="s">
        <v>824</v>
      </c>
      <c r="B1001" s="27" t="s">
        <v>535</v>
      </c>
      <c r="C1001" s="28" t="n">
        <v>1206000</v>
      </c>
      <c r="D1001" s="28" t="n">
        <f aca="false">'総括　6～7（メモあり）'!M23</f>
        <v>1206000</v>
      </c>
      <c r="E1001" s="28" t="n">
        <f aca="false">D1001-N(C1001)</f>
        <v>0</v>
      </c>
      <c r="F1001" s="2" t="str">
        <f aca="false">IF(AND(C1001&lt;&gt;"",ROUND(E1001,2)=0),"一致",IF(G1001&lt;&gt;"","変更（意図的）","★相違"))</f>
        <v>一致</v>
      </c>
      <c r="G1001" s="2"/>
    </row>
    <row r="1002" customFormat="false" ht="15" hidden="false" customHeight="false" outlineLevel="0" collapsed="false">
      <c r="A1002" s="2" t="s">
        <v>824</v>
      </c>
      <c r="B1002" s="27" t="s">
        <v>921</v>
      </c>
      <c r="C1002" s="28" t="n">
        <v>0</v>
      </c>
      <c r="D1002" s="28" t="n">
        <f aca="false">'総括　6～7（メモあり）'!N23</f>
        <v>0</v>
      </c>
      <c r="E1002" s="28" t="n">
        <f aca="false">D1002-N(C1002)</f>
        <v>0</v>
      </c>
      <c r="F1002" s="2" t="str">
        <f aca="false">IF(AND(C1002&lt;&gt;"",ROUND(E1002,2)=0),"一致",IF(G1002&lt;&gt;"","変更（意図的）","★相違"))</f>
        <v>一致</v>
      </c>
      <c r="G1002" s="2"/>
    </row>
    <row r="1003" customFormat="false" ht="15" hidden="false" customHeight="false" outlineLevel="0" collapsed="false">
      <c r="A1003" s="2" t="s">
        <v>824</v>
      </c>
      <c r="B1003" s="27" t="s">
        <v>922</v>
      </c>
      <c r="C1003" s="28" t="n">
        <v>0</v>
      </c>
      <c r="D1003" s="28" t="n">
        <f aca="false">'総括　6～7（メモあり）'!O23</f>
        <v>0</v>
      </c>
      <c r="E1003" s="28" t="n">
        <f aca="false">D1003-N(C1003)</f>
        <v>0</v>
      </c>
      <c r="F1003" s="2" t="str">
        <f aca="false">IF(AND(C1003&lt;&gt;"",ROUND(E1003,2)=0),"一致",IF(G1003&lt;&gt;"","変更（意図的）","★相違"))</f>
        <v>一致</v>
      </c>
      <c r="G1003" s="2"/>
    </row>
    <row r="1004" customFormat="false" ht="15" hidden="false" customHeight="false" outlineLevel="0" collapsed="false">
      <c r="A1004" s="2" t="s">
        <v>824</v>
      </c>
      <c r="B1004" s="27" t="s">
        <v>296</v>
      </c>
      <c r="C1004" s="28" t="n">
        <v>0</v>
      </c>
      <c r="D1004" s="28" t="n">
        <f aca="false">'総括　6～7（メモあり）'!P23</f>
        <v>0</v>
      </c>
      <c r="E1004" s="28" t="n">
        <f aca="false">D1004-N(C1004)</f>
        <v>0</v>
      </c>
      <c r="F1004" s="2" t="str">
        <f aca="false">IF(AND(C1004&lt;&gt;"",ROUND(E1004,2)=0),"一致",IF(G1004&lt;&gt;"","変更（意図的）","★相違"))</f>
        <v>一致</v>
      </c>
      <c r="G1004" s="2"/>
    </row>
    <row r="1005" customFormat="false" ht="15" hidden="false" customHeight="false" outlineLevel="0" collapsed="false">
      <c r="A1005" s="2" t="s">
        <v>824</v>
      </c>
      <c r="B1005" s="27" t="s">
        <v>923</v>
      </c>
      <c r="C1005" s="28" t="n">
        <v>0</v>
      </c>
      <c r="D1005" s="28" t="n">
        <f aca="false">'総括　6～7（メモあり）'!Q23</f>
        <v>0</v>
      </c>
      <c r="E1005" s="28" t="n">
        <f aca="false">D1005-N(C1005)</f>
        <v>0</v>
      </c>
      <c r="F1005" s="2" t="str">
        <f aca="false">IF(AND(C1005&lt;&gt;"",ROUND(E1005,2)=0),"一致",IF(G1005&lt;&gt;"","変更（意図的）","★相違"))</f>
        <v>一致</v>
      </c>
      <c r="G1005" s="2"/>
    </row>
    <row r="1006" customFormat="false" ht="15" hidden="false" customHeight="false" outlineLevel="0" collapsed="false">
      <c r="A1006" s="2" t="s">
        <v>824</v>
      </c>
      <c r="B1006" s="27" t="s">
        <v>924</v>
      </c>
      <c r="C1006" s="28" t="n">
        <v>0</v>
      </c>
      <c r="D1006" s="28" t="n">
        <f aca="false">'総括　6～7（メモあり）'!R23</f>
        <v>0</v>
      </c>
      <c r="E1006" s="28" t="n">
        <f aca="false">D1006-N(C1006)</f>
        <v>0</v>
      </c>
      <c r="F1006" s="2" t="str">
        <f aca="false">IF(AND(C1006&lt;&gt;"",ROUND(E1006,2)=0),"一致",IF(G1006&lt;&gt;"","変更（意図的）","★相違"))</f>
        <v>一致</v>
      </c>
      <c r="G1006" s="2"/>
    </row>
    <row r="1007" customFormat="false" ht="15" hidden="false" customHeight="false" outlineLevel="0" collapsed="false">
      <c r="A1007" s="2" t="s">
        <v>824</v>
      </c>
      <c r="B1007" s="27" t="s">
        <v>297</v>
      </c>
      <c r="C1007" s="28" t="n">
        <v>0</v>
      </c>
      <c r="D1007" s="28" t="n">
        <f aca="false">'総括　6～7（メモあり）'!S23</f>
        <v>0</v>
      </c>
      <c r="E1007" s="28" t="n">
        <f aca="false">D1007-N(C1007)</f>
        <v>0</v>
      </c>
      <c r="F1007" s="2" t="str">
        <f aca="false">IF(AND(C1007&lt;&gt;"",ROUND(E1007,2)=0),"一致",IF(G1007&lt;&gt;"","変更（意図的）","★相違"))</f>
        <v>一致</v>
      </c>
      <c r="G1007" s="2"/>
    </row>
    <row r="1008" customFormat="false" ht="15" hidden="false" customHeight="false" outlineLevel="0" collapsed="false">
      <c r="A1008" s="2" t="s">
        <v>824</v>
      </c>
      <c r="B1008" s="27" t="s">
        <v>925</v>
      </c>
      <c r="C1008" s="28" t="n">
        <v>0</v>
      </c>
      <c r="D1008" s="28" t="n">
        <f aca="false">'総括　6～7（メモあり）'!E24</f>
        <v>0</v>
      </c>
      <c r="E1008" s="28" t="n">
        <f aca="false">D1008-N(C1008)</f>
        <v>0</v>
      </c>
      <c r="F1008" s="2" t="str">
        <f aca="false">IF(AND(C1008&lt;&gt;"",ROUND(E1008,2)=0),"一致",IF(G1008&lt;&gt;"","変更（意図的）","★相違"))</f>
        <v>一致</v>
      </c>
      <c r="G1008" s="2"/>
    </row>
    <row r="1009" customFormat="false" ht="15" hidden="false" customHeight="false" outlineLevel="0" collapsed="false">
      <c r="A1009" s="2" t="s">
        <v>824</v>
      </c>
      <c r="B1009" s="27" t="s">
        <v>926</v>
      </c>
      <c r="C1009" s="28" t="n">
        <v>0</v>
      </c>
      <c r="D1009" s="28" t="n">
        <f aca="false">'総括　6～7（メモあり）'!F24</f>
        <v>0</v>
      </c>
      <c r="E1009" s="28" t="n">
        <f aca="false">D1009-N(C1009)</f>
        <v>0</v>
      </c>
      <c r="F1009" s="2" t="str">
        <f aca="false">IF(AND(C1009&lt;&gt;"",ROUND(E1009,2)=0),"一致",IF(G1009&lt;&gt;"","変更（意図的）","★相違"))</f>
        <v>一致</v>
      </c>
      <c r="G1009" s="2"/>
    </row>
    <row r="1010" customFormat="false" ht="15" hidden="false" customHeight="false" outlineLevel="0" collapsed="false">
      <c r="A1010" s="2" t="s">
        <v>824</v>
      </c>
      <c r="B1010" s="27" t="s">
        <v>651</v>
      </c>
      <c r="C1010" s="28" t="n">
        <v>0</v>
      </c>
      <c r="D1010" s="28" t="n">
        <f aca="false">'総括　6～7（メモあり）'!G24</f>
        <v>0</v>
      </c>
      <c r="E1010" s="28" t="n">
        <f aca="false">D1010-N(C1010)</f>
        <v>0</v>
      </c>
      <c r="F1010" s="2" t="str">
        <f aca="false">IF(AND(C1010&lt;&gt;"",ROUND(E1010,2)=0),"一致",IF(G1010&lt;&gt;"","変更（意図的）","★相違"))</f>
        <v>一致</v>
      </c>
      <c r="G1010" s="2"/>
    </row>
    <row r="1011" customFormat="false" ht="15" hidden="false" customHeight="false" outlineLevel="0" collapsed="false">
      <c r="A1011" s="2" t="s">
        <v>824</v>
      </c>
      <c r="B1011" s="27" t="s">
        <v>927</v>
      </c>
      <c r="C1011" s="28" t="n">
        <v>0</v>
      </c>
      <c r="D1011" s="28" t="n">
        <f aca="false">'総括　6～7（メモあり）'!K24</f>
        <v>0</v>
      </c>
      <c r="E1011" s="28" t="n">
        <f aca="false">D1011-N(C1011)</f>
        <v>0</v>
      </c>
      <c r="F1011" s="2" t="str">
        <f aca="false">IF(AND(C1011&lt;&gt;"",ROUND(E1011,2)=0),"一致",IF(G1011&lt;&gt;"","変更（意図的）","★相違"))</f>
        <v>一致</v>
      </c>
      <c r="G1011" s="2"/>
    </row>
    <row r="1012" customFormat="false" ht="15" hidden="false" customHeight="false" outlineLevel="0" collapsed="false">
      <c r="A1012" s="2" t="s">
        <v>824</v>
      </c>
      <c r="B1012" s="27" t="s">
        <v>928</v>
      </c>
      <c r="C1012" s="28" t="n">
        <v>0</v>
      </c>
      <c r="D1012" s="28" t="n">
        <f aca="false">'総括　6～7（メモあり）'!L24</f>
        <v>0</v>
      </c>
      <c r="E1012" s="28" t="n">
        <f aca="false">D1012-N(C1012)</f>
        <v>0</v>
      </c>
      <c r="F1012" s="2" t="str">
        <f aca="false">IF(AND(C1012&lt;&gt;"",ROUND(E1012,2)=0),"一致",IF(G1012&lt;&gt;"","変更（意図的）","★相違"))</f>
        <v>一致</v>
      </c>
      <c r="G1012" s="2"/>
    </row>
    <row r="1013" customFormat="false" ht="15" hidden="false" customHeight="false" outlineLevel="0" collapsed="false">
      <c r="A1013" s="2" t="s">
        <v>824</v>
      </c>
      <c r="B1013" s="27" t="s">
        <v>540</v>
      </c>
      <c r="C1013" s="28" t="n">
        <v>0</v>
      </c>
      <c r="D1013" s="28" t="n">
        <f aca="false">'総括　6～7（メモあり）'!M24</f>
        <v>0</v>
      </c>
      <c r="E1013" s="28" t="n">
        <f aca="false">D1013-N(C1013)</f>
        <v>0</v>
      </c>
      <c r="F1013" s="2" t="str">
        <f aca="false">IF(AND(C1013&lt;&gt;"",ROUND(E1013,2)=0),"一致",IF(G1013&lt;&gt;"","変更（意図的）","★相違"))</f>
        <v>一致</v>
      </c>
      <c r="G1013" s="2"/>
    </row>
    <row r="1014" customFormat="false" ht="15" hidden="false" customHeight="false" outlineLevel="0" collapsed="false">
      <c r="A1014" s="2" t="s">
        <v>824</v>
      </c>
      <c r="B1014" s="27" t="s">
        <v>929</v>
      </c>
      <c r="C1014" s="28" t="n">
        <v>0</v>
      </c>
      <c r="D1014" s="28" t="n">
        <f aca="false">'総括　6～7（メモあり）'!N24</f>
        <v>0</v>
      </c>
      <c r="E1014" s="28" t="n">
        <f aca="false">D1014-N(C1014)</f>
        <v>0</v>
      </c>
      <c r="F1014" s="2" t="str">
        <f aca="false">IF(AND(C1014&lt;&gt;"",ROUND(E1014,2)=0),"一致",IF(G1014&lt;&gt;"","変更（意図的）","★相違"))</f>
        <v>一致</v>
      </c>
      <c r="G1014" s="2"/>
    </row>
    <row r="1015" customFormat="false" ht="15" hidden="false" customHeight="false" outlineLevel="0" collapsed="false">
      <c r="A1015" s="2" t="s">
        <v>824</v>
      </c>
      <c r="B1015" s="27" t="s">
        <v>930</v>
      </c>
      <c r="C1015" s="28" t="n">
        <v>0</v>
      </c>
      <c r="D1015" s="28" t="n">
        <f aca="false">'総括　6～7（メモあり）'!O24</f>
        <v>0</v>
      </c>
      <c r="E1015" s="28" t="n">
        <f aca="false">D1015-N(C1015)</f>
        <v>0</v>
      </c>
      <c r="F1015" s="2" t="str">
        <f aca="false">IF(AND(C1015&lt;&gt;"",ROUND(E1015,2)=0),"一致",IF(G1015&lt;&gt;"","変更（意図的）","★相違"))</f>
        <v>一致</v>
      </c>
      <c r="G1015" s="2"/>
    </row>
    <row r="1016" customFormat="false" ht="15" hidden="false" customHeight="false" outlineLevel="0" collapsed="false">
      <c r="A1016" s="2" t="s">
        <v>824</v>
      </c>
      <c r="B1016" s="27" t="s">
        <v>652</v>
      </c>
      <c r="C1016" s="28" t="n">
        <v>0</v>
      </c>
      <c r="D1016" s="28" t="n">
        <f aca="false">'総括　6～7（メモあり）'!P24</f>
        <v>0</v>
      </c>
      <c r="E1016" s="28" t="n">
        <f aca="false">D1016-N(C1016)</f>
        <v>0</v>
      </c>
      <c r="F1016" s="2" t="str">
        <f aca="false">IF(AND(C1016&lt;&gt;"",ROUND(E1016,2)=0),"一致",IF(G1016&lt;&gt;"","変更（意図的）","★相違"))</f>
        <v>一致</v>
      </c>
      <c r="G1016" s="2"/>
    </row>
    <row r="1017" customFormat="false" ht="15" hidden="false" customHeight="false" outlineLevel="0" collapsed="false">
      <c r="A1017" s="2" t="s">
        <v>824</v>
      </c>
      <c r="B1017" s="27" t="s">
        <v>931</v>
      </c>
      <c r="C1017" s="28" t="n">
        <v>0</v>
      </c>
      <c r="D1017" s="28" t="n">
        <f aca="false">'総括　6～7（メモあり）'!Q24</f>
        <v>0</v>
      </c>
      <c r="E1017" s="28" t="n">
        <f aca="false">D1017-N(C1017)</f>
        <v>0</v>
      </c>
      <c r="F1017" s="2" t="str">
        <f aca="false">IF(AND(C1017&lt;&gt;"",ROUND(E1017,2)=0),"一致",IF(G1017&lt;&gt;"","変更（意図的）","★相違"))</f>
        <v>一致</v>
      </c>
      <c r="G1017" s="2"/>
    </row>
    <row r="1018" customFormat="false" ht="15" hidden="false" customHeight="false" outlineLevel="0" collapsed="false">
      <c r="A1018" s="2" t="s">
        <v>824</v>
      </c>
      <c r="B1018" s="27" t="s">
        <v>932</v>
      </c>
      <c r="C1018" s="28" t="n">
        <v>0</v>
      </c>
      <c r="D1018" s="28" t="n">
        <f aca="false">'総括　6～7（メモあり）'!R24</f>
        <v>0</v>
      </c>
      <c r="E1018" s="28" t="n">
        <f aca="false">D1018-N(C1018)</f>
        <v>0</v>
      </c>
      <c r="F1018" s="2" t="str">
        <f aca="false">IF(AND(C1018&lt;&gt;"",ROUND(E1018,2)=0),"一致",IF(G1018&lt;&gt;"","変更（意図的）","★相違"))</f>
        <v>一致</v>
      </c>
      <c r="G1018" s="2"/>
    </row>
    <row r="1019" customFormat="false" ht="15" hidden="false" customHeight="false" outlineLevel="0" collapsed="false">
      <c r="A1019" s="2" t="s">
        <v>824</v>
      </c>
      <c r="B1019" s="27" t="s">
        <v>933</v>
      </c>
      <c r="C1019" s="28" t="n">
        <v>0</v>
      </c>
      <c r="D1019" s="28" t="n">
        <f aca="false">'総括　6～7（メモあり）'!S24</f>
        <v>0</v>
      </c>
      <c r="E1019" s="28" t="n">
        <f aca="false">D1019-N(C1019)</f>
        <v>0</v>
      </c>
      <c r="F1019" s="2" t="str">
        <f aca="false">IF(AND(C1019&lt;&gt;"",ROUND(E1019,2)=0),"一致",IF(G1019&lt;&gt;"","変更（意図的）","★相違"))</f>
        <v>一致</v>
      </c>
      <c r="G1019" s="2"/>
    </row>
    <row r="1020" customFormat="false" ht="15" hidden="false" customHeight="false" outlineLevel="0" collapsed="false">
      <c r="A1020" s="2" t="s">
        <v>824</v>
      </c>
      <c r="B1020" s="27" t="s">
        <v>934</v>
      </c>
      <c r="C1020" s="28" t="n">
        <v>0</v>
      </c>
      <c r="D1020" s="28" t="n">
        <f aca="false">'総括　6～7（メモあり）'!E25</f>
        <v>0</v>
      </c>
      <c r="E1020" s="28" t="n">
        <f aca="false">D1020-N(C1020)</f>
        <v>0</v>
      </c>
      <c r="F1020" s="2" t="str">
        <f aca="false">IF(AND(C1020&lt;&gt;"",ROUND(E1020,2)=0),"一致",IF(G1020&lt;&gt;"","変更（意図的）","★相違"))</f>
        <v>一致</v>
      </c>
      <c r="G1020" s="2"/>
    </row>
    <row r="1021" customFormat="false" ht="15" hidden="false" customHeight="false" outlineLevel="0" collapsed="false">
      <c r="A1021" s="2" t="s">
        <v>824</v>
      </c>
      <c r="B1021" s="27" t="s">
        <v>935</v>
      </c>
      <c r="C1021" s="28" t="n">
        <v>0</v>
      </c>
      <c r="D1021" s="28" t="n">
        <f aca="false">'総括　6～7（メモあり）'!F25</f>
        <v>0</v>
      </c>
      <c r="E1021" s="28" t="n">
        <f aca="false">D1021-N(C1021)</f>
        <v>0</v>
      </c>
      <c r="F1021" s="2" t="str">
        <f aca="false">IF(AND(C1021&lt;&gt;"",ROUND(E1021,2)=0),"一致",IF(G1021&lt;&gt;"","変更（意図的）","★相違"))</f>
        <v>一致</v>
      </c>
      <c r="G1021" s="2"/>
    </row>
    <row r="1022" customFormat="false" ht="15" hidden="false" customHeight="false" outlineLevel="0" collapsed="false">
      <c r="A1022" s="2" t="s">
        <v>824</v>
      </c>
      <c r="B1022" s="27" t="s">
        <v>653</v>
      </c>
      <c r="C1022" s="28" t="n">
        <v>0</v>
      </c>
      <c r="D1022" s="28" t="n">
        <f aca="false">'総括　6～7（メモあり）'!G25</f>
        <v>0</v>
      </c>
      <c r="E1022" s="28" t="n">
        <f aca="false">D1022-N(C1022)</f>
        <v>0</v>
      </c>
      <c r="F1022" s="2" t="str">
        <f aca="false">IF(AND(C1022&lt;&gt;"",ROUND(E1022,2)=0),"一致",IF(G1022&lt;&gt;"","変更（意図的）","★相違"))</f>
        <v>一致</v>
      </c>
      <c r="G1022" s="2"/>
    </row>
    <row r="1023" customFormat="false" ht="15" hidden="false" customHeight="false" outlineLevel="0" collapsed="false">
      <c r="A1023" s="2" t="s">
        <v>824</v>
      </c>
      <c r="B1023" s="27" t="s">
        <v>936</v>
      </c>
      <c r="C1023" s="28" t="n">
        <v>0</v>
      </c>
      <c r="D1023" s="28" t="n">
        <f aca="false">'総括　6～7（メモあり）'!K25</f>
        <v>0</v>
      </c>
      <c r="E1023" s="28" t="n">
        <f aca="false">D1023-N(C1023)</f>
        <v>0</v>
      </c>
      <c r="F1023" s="2" t="str">
        <f aca="false">IF(AND(C1023&lt;&gt;"",ROUND(E1023,2)=0),"一致",IF(G1023&lt;&gt;"","変更（意図的）","★相違"))</f>
        <v>一致</v>
      </c>
      <c r="G1023" s="2"/>
    </row>
    <row r="1024" customFormat="false" ht="15" hidden="false" customHeight="false" outlineLevel="0" collapsed="false">
      <c r="A1024" s="2" t="s">
        <v>824</v>
      </c>
      <c r="B1024" s="27" t="s">
        <v>937</v>
      </c>
      <c r="C1024" s="28" t="n">
        <v>0</v>
      </c>
      <c r="D1024" s="28" t="n">
        <f aca="false">'総括　6～7（メモあり）'!L25</f>
        <v>0</v>
      </c>
      <c r="E1024" s="28" t="n">
        <f aca="false">D1024-N(C1024)</f>
        <v>0</v>
      </c>
      <c r="F1024" s="2" t="str">
        <f aca="false">IF(AND(C1024&lt;&gt;"",ROUND(E1024,2)=0),"一致",IF(G1024&lt;&gt;"","変更（意図的）","★相違"))</f>
        <v>一致</v>
      </c>
      <c r="G1024" s="2"/>
    </row>
    <row r="1025" customFormat="false" ht="15" hidden="false" customHeight="false" outlineLevel="0" collapsed="false">
      <c r="A1025" s="2" t="s">
        <v>824</v>
      </c>
      <c r="B1025" s="27" t="s">
        <v>545</v>
      </c>
      <c r="C1025" s="28" t="n">
        <v>0</v>
      </c>
      <c r="D1025" s="28" t="n">
        <f aca="false">'総括　6～7（メモあり）'!M25</f>
        <v>0</v>
      </c>
      <c r="E1025" s="28" t="n">
        <f aca="false">D1025-N(C1025)</f>
        <v>0</v>
      </c>
      <c r="F1025" s="2" t="str">
        <f aca="false">IF(AND(C1025&lt;&gt;"",ROUND(E1025,2)=0),"一致",IF(G1025&lt;&gt;"","変更（意図的）","★相違"))</f>
        <v>一致</v>
      </c>
      <c r="G1025" s="2"/>
    </row>
    <row r="1026" customFormat="false" ht="15" hidden="false" customHeight="false" outlineLevel="0" collapsed="false">
      <c r="A1026" s="2" t="s">
        <v>824</v>
      </c>
      <c r="B1026" s="27" t="s">
        <v>938</v>
      </c>
      <c r="C1026" s="28" t="n">
        <v>0</v>
      </c>
      <c r="D1026" s="28" t="n">
        <f aca="false">'総括　6～7（メモあり）'!N25</f>
        <v>0</v>
      </c>
      <c r="E1026" s="28" t="n">
        <f aca="false">D1026-N(C1026)</f>
        <v>0</v>
      </c>
      <c r="F1026" s="2" t="str">
        <f aca="false">IF(AND(C1026&lt;&gt;"",ROUND(E1026,2)=0),"一致",IF(G1026&lt;&gt;"","変更（意図的）","★相違"))</f>
        <v>一致</v>
      </c>
      <c r="G1026" s="2"/>
    </row>
    <row r="1027" customFormat="false" ht="15" hidden="false" customHeight="false" outlineLevel="0" collapsed="false">
      <c r="A1027" s="2" t="s">
        <v>824</v>
      </c>
      <c r="B1027" s="27" t="s">
        <v>939</v>
      </c>
      <c r="C1027" s="28" t="n">
        <v>0</v>
      </c>
      <c r="D1027" s="28" t="n">
        <f aca="false">'総括　6～7（メモあり）'!O25</f>
        <v>0</v>
      </c>
      <c r="E1027" s="28" t="n">
        <f aca="false">D1027-N(C1027)</f>
        <v>0</v>
      </c>
      <c r="F1027" s="2" t="str">
        <f aca="false">IF(AND(C1027&lt;&gt;"",ROUND(E1027,2)=0),"一致",IF(G1027&lt;&gt;"","変更（意図的）","★相違"))</f>
        <v>一致</v>
      </c>
      <c r="G1027" s="2"/>
    </row>
    <row r="1028" customFormat="false" ht="15" hidden="false" customHeight="false" outlineLevel="0" collapsed="false">
      <c r="A1028" s="2" t="s">
        <v>824</v>
      </c>
      <c r="B1028" s="27" t="s">
        <v>654</v>
      </c>
      <c r="C1028" s="28" t="n">
        <v>0</v>
      </c>
      <c r="D1028" s="28" t="n">
        <f aca="false">'総括　6～7（メモあり）'!P25</f>
        <v>0</v>
      </c>
      <c r="E1028" s="28" t="n">
        <f aca="false">D1028-N(C1028)</f>
        <v>0</v>
      </c>
      <c r="F1028" s="2" t="str">
        <f aca="false">IF(AND(C1028&lt;&gt;"",ROUND(E1028,2)=0),"一致",IF(G1028&lt;&gt;"","変更（意図的）","★相違"))</f>
        <v>一致</v>
      </c>
      <c r="G1028" s="2"/>
    </row>
    <row r="1029" customFormat="false" ht="15" hidden="false" customHeight="false" outlineLevel="0" collapsed="false">
      <c r="A1029" s="2" t="s">
        <v>824</v>
      </c>
      <c r="B1029" s="27" t="s">
        <v>940</v>
      </c>
      <c r="C1029" s="28" t="n">
        <v>0</v>
      </c>
      <c r="D1029" s="28" t="n">
        <f aca="false">'総括　6～7（メモあり）'!Q25</f>
        <v>0</v>
      </c>
      <c r="E1029" s="28" t="n">
        <f aca="false">D1029-N(C1029)</f>
        <v>0</v>
      </c>
      <c r="F1029" s="2" t="str">
        <f aca="false">IF(AND(C1029&lt;&gt;"",ROUND(E1029,2)=0),"一致",IF(G1029&lt;&gt;"","変更（意図的）","★相違"))</f>
        <v>一致</v>
      </c>
      <c r="G1029" s="2"/>
    </row>
    <row r="1030" customFormat="false" ht="15" hidden="false" customHeight="false" outlineLevel="0" collapsed="false">
      <c r="A1030" s="2" t="s">
        <v>824</v>
      </c>
      <c r="B1030" s="27" t="s">
        <v>941</v>
      </c>
      <c r="C1030" s="28" t="n">
        <v>0</v>
      </c>
      <c r="D1030" s="28" t="n">
        <f aca="false">'総括　6～7（メモあり）'!R25</f>
        <v>0</v>
      </c>
      <c r="E1030" s="28" t="n">
        <f aca="false">D1030-N(C1030)</f>
        <v>0</v>
      </c>
      <c r="F1030" s="2" t="str">
        <f aca="false">IF(AND(C1030&lt;&gt;"",ROUND(E1030,2)=0),"一致",IF(G1030&lt;&gt;"","変更（意図的）","★相違"))</f>
        <v>一致</v>
      </c>
      <c r="G1030" s="2"/>
    </row>
    <row r="1031" customFormat="false" ht="15" hidden="false" customHeight="false" outlineLevel="0" collapsed="false">
      <c r="A1031" s="2" t="s">
        <v>824</v>
      </c>
      <c r="B1031" s="27" t="s">
        <v>655</v>
      </c>
      <c r="C1031" s="28" t="n">
        <v>0</v>
      </c>
      <c r="D1031" s="28" t="n">
        <f aca="false">'総括　6～7（メモあり）'!S25</f>
        <v>0</v>
      </c>
      <c r="E1031" s="28" t="n">
        <f aca="false">D1031-N(C1031)</f>
        <v>0</v>
      </c>
      <c r="F1031" s="2" t="str">
        <f aca="false">IF(AND(C1031&lt;&gt;"",ROUND(E1031,2)=0),"一致",IF(G1031&lt;&gt;"","変更（意図的）","★相違"))</f>
        <v>一致</v>
      </c>
      <c r="G1031" s="2"/>
    </row>
    <row r="1032" customFormat="false" ht="15" hidden="false" customHeight="false" outlineLevel="0" collapsed="false">
      <c r="A1032" s="2" t="s">
        <v>824</v>
      </c>
      <c r="B1032" s="27" t="s">
        <v>942</v>
      </c>
      <c r="C1032" s="28" t="n">
        <v>2100931</v>
      </c>
      <c r="D1032" s="28" t="n">
        <f aca="false">'総括　6～7（メモあり）'!E26</f>
        <v>2100931</v>
      </c>
      <c r="E1032" s="28" t="n">
        <f aca="false">D1032-N(C1032)</f>
        <v>0</v>
      </c>
      <c r="F1032" s="2" t="str">
        <f aca="false">IF(AND(C1032&lt;&gt;"",ROUND(E1032,2)=0),"一致",IF(G1032&lt;&gt;"","変更（意図的）","★相違"))</f>
        <v>一致</v>
      </c>
      <c r="G1032" s="2"/>
    </row>
    <row r="1033" customFormat="false" ht="15" hidden="false" customHeight="false" outlineLevel="0" collapsed="false">
      <c r="A1033" s="2" t="s">
        <v>824</v>
      </c>
      <c r="B1033" s="27" t="s">
        <v>656</v>
      </c>
      <c r="C1033" s="28" t="n">
        <v>7326358</v>
      </c>
      <c r="D1033" s="28" t="n">
        <f aca="false">'総括　6～7（メモあり）'!F26</f>
        <v>7326358</v>
      </c>
      <c r="E1033" s="28" t="n">
        <f aca="false">D1033-N(C1033)</f>
        <v>0</v>
      </c>
      <c r="F1033" s="2" t="str">
        <f aca="false">IF(AND(C1033&lt;&gt;"",ROUND(E1033,2)=0),"一致",IF(G1033&lt;&gt;"","変更（意図的）","★相違"))</f>
        <v>一致</v>
      </c>
      <c r="G1033" s="2"/>
    </row>
    <row r="1034" customFormat="false" ht="15" hidden="false" customHeight="false" outlineLevel="0" collapsed="false">
      <c r="A1034" s="2" t="s">
        <v>824</v>
      </c>
      <c r="B1034" s="27" t="s">
        <v>657</v>
      </c>
      <c r="C1034" s="28" t="n">
        <v>-5225427</v>
      </c>
      <c r="D1034" s="28" t="n">
        <f aca="false">'総括　6～7（メモあり）'!G26</f>
        <v>-5225427</v>
      </c>
      <c r="E1034" s="28" t="n">
        <f aca="false">D1034-N(C1034)</f>
        <v>0</v>
      </c>
      <c r="F1034" s="2" t="str">
        <f aca="false">IF(AND(C1034&lt;&gt;"",ROUND(E1034,2)=0),"一致",IF(G1034&lt;&gt;"","変更（意図的）","★相違"))</f>
        <v>一致</v>
      </c>
      <c r="G1034" s="2"/>
    </row>
    <row r="1035" customFormat="false" ht="15" hidden="false" customHeight="false" outlineLevel="0" collapsed="false">
      <c r="A1035" s="2" t="s">
        <v>824</v>
      </c>
      <c r="B1035" s="27" t="s">
        <v>658</v>
      </c>
      <c r="C1035" s="28" t="n">
        <v>0</v>
      </c>
      <c r="D1035" s="28" t="n">
        <f aca="false">'総括　6～7（メモあり）'!K26</f>
        <v>0</v>
      </c>
      <c r="E1035" s="28" t="n">
        <f aca="false">D1035-N(C1035)</f>
        <v>0</v>
      </c>
      <c r="F1035" s="2" t="str">
        <f aca="false">IF(AND(C1035&lt;&gt;"",ROUND(E1035,2)=0),"一致",IF(G1035&lt;&gt;"","変更（意図的）","★相違"))</f>
        <v>一致</v>
      </c>
      <c r="G1035" s="2"/>
    </row>
    <row r="1036" customFormat="false" ht="15" hidden="false" customHeight="false" outlineLevel="0" collapsed="false">
      <c r="A1036" s="2" t="s">
        <v>824</v>
      </c>
      <c r="B1036" s="27" t="s">
        <v>943</v>
      </c>
      <c r="C1036" s="28" t="n">
        <v>0</v>
      </c>
      <c r="D1036" s="28" t="n">
        <f aca="false">'総括　6～7（メモあり）'!L26</f>
        <v>0</v>
      </c>
      <c r="E1036" s="28" t="n">
        <f aca="false">D1036-N(C1036)</f>
        <v>0</v>
      </c>
      <c r="F1036" s="2" t="str">
        <f aca="false">IF(AND(C1036&lt;&gt;"",ROUND(E1036,2)=0),"一致",IF(G1036&lt;&gt;"","変更（意図的）","★相違"))</f>
        <v>一致</v>
      </c>
      <c r="G1036" s="2"/>
    </row>
    <row r="1037" customFormat="false" ht="15" hidden="false" customHeight="false" outlineLevel="0" collapsed="false">
      <c r="A1037" s="2" t="s">
        <v>824</v>
      </c>
      <c r="B1037" s="27" t="s">
        <v>550</v>
      </c>
      <c r="C1037" s="28" t="n">
        <v>0</v>
      </c>
      <c r="D1037" s="28" t="n">
        <f aca="false">'総括　6～7（メモあり）'!M26</f>
        <v>0</v>
      </c>
      <c r="E1037" s="28" t="n">
        <f aca="false">D1037-N(C1037)</f>
        <v>0</v>
      </c>
      <c r="F1037" s="2" t="str">
        <f aca="false">IF(AND(C1037&lt;&gt;"",ROUND(E1037,2)=0),"一致",IF(G1037&lt;&gt;"","変更（意図的）","★相違"))</f>
        <v>一致</v>
      </c>
      <c r="G1037" s="2"/>
    </row>
    <row r="1038" customFormat="false" ht="15" hidden="false" customHeight="false" outlineLevel="0" collapsed="false">
      <c r="A1038" s="2" t="s">
        <v>824</v>
      </c>
      <c r="B1038" s="27" t="s">
        <v>659</v>
      </c>
      <c r="C1038" s="28" t="n">
        <v>0</v>
      </c>
      <c r="D1038" s="28" t="n">
        <f aca="false">'総括　6～7（メモあり）'!N26</f>
        <v>0</v>
      </c>
      <c r="E1038" s="28" t="n">
        <f aca="false">D1038-N(C1038)</f>
        <v>0</v>
      </c>
      <c r="F1038" s="2" t="str">
        <f aca="false">IF(AND(C1038&lt;&gt;"",ROUND(E1038,2)=0),"一致",IF(G1038&lt;&gt;"","変更（意図的）","★相違"))</f>
        <v>一致</v>
      </c>
      <c r="G1038" s="2"/>
    </row>
    <row r="1039" customFormat="false" ht="15" hidden="false" customHeight="false" outlineLevel="0" collapsed="false">
      <c r="A1039" s="2" t="s">
        <v>824</v>
      </c>
      <c r="B1039" s="27" t="s">
        <v>660</v>
      </c>
      <c r="C1039" s="28" t="n">
        <v>74635</v>
      </c>
      <c r="D1039" s="28" t="n">
        <f aca="false">'総括　6～7（メモあり）'!O26</f>
        <v>74635</v>
      </c>
      <c r="E1039" s="28" t="n">
        <f aca="false">D1039-N(C1039)</f>
        <v>0</v>
      </c>
      <c r="F1039" s="2" t="str">
        <f aca="false">IF(AND(C1039&lt;&gt;"",ROUND(E1039,2)=0),"一致",IF(G1039&lt;&gt;"","変更（意図的）","★相違"))</f>
        <v>一致</v>
      </c>
      <c r="G1039" s="2"/>
    </row>
    <row r="1040" customFormat="false" ht="15" hidden="false" customHeight="false" outlineLevel="0" collapsed="false">
      <c r="A1040" s="2" t="s">
        <v>824</v>
      </c>
      <c r="B1040" s="27" t="s">
        <v>661</v>
      </c>
      <c r="C1040" s="28" t="n">
        <v>-74635</v>
      </c>
      <c r="D1040" s="28" t="n">
        <f aca="false">'総括　6～7（メモあり）'!P26</f>
        <v>-74635</v>
      </c>
      <c r="E1040" s="28" t="n">
        <f aca="false">D1040-N(C1040)</f>
        <v>0</v>
      </c>
      <c r="F1040" s="2" t="str">
        <f aca="false">IF(AND(C1040&lt;&gt;"",ROUND(E1040,2)=0),"一致",IF(G1040&lt;&gt;"","変更（意図的）","★相違"))</f>
        <v>一致</v>
      </c>
      <c r="G1040" s="2"/>
    </row>
    <row r="1041" customFormat="false" ht="15" hidden="false" customHeight="false" outlineLevel="0" collapsed="false">
      <c r="A1041" s="2" t="s">
        <v>824</v>
      </c>
      <c r="B1041" s="27" t="s">
        <v>944</v>
      </c>
      <c r="C1041" s="28" t="n">
        <v>0</v>
      </c>
      <c r="D1041" s="28" t="n">
        <f aca="false">'総括　6～7（メモあり）'!Q26</f>
        <v>0</v>
      </c>
      <c r="E1041" s="28" t="n">
        <f aca="false">D1041-N(C1041)</f>
        <v>0</v>
      </c>
      <c r="F1041" s="2" t="str">
        <f aca="false">IF(AND(C1041&lt;&gt;"",ROUND(E1041,2)=0),"一致",IF(G1041&lt;&gt;"","変更（意図的）","★相違"))</f>
        <v>一致</v>
      </c>
      <c r="G1041" s="2"/>
    </row>
    <row r="1042" customFormat="false" ht="15" hidden="false" customHeight="false" outlineLevel="0" collapsed="false">
      <c r="A1042" s="2" t="s">
        <v>824</v>
      </c>
      <c r="B1042" s="27" t="s">
        <v>945</v>
      </c>
      <c r="C1042" s="28" t="n">
        <v>0</v>
      </c>
      <c r="D1042" s="28" t="n">
        <f aca="false">'総括　6～7（メモあり）'!R26</f>
        <v>0</v>
      </c>
      <c r="E1042" s="28" t="n">
        <f aca="false">D1042-N(C1042)</f>
        <v>0</v>
      </c>
      <c r="F1042" s="2" t="str">
        <f aca="false">IF(AND(C1042&lt;&gt;"",ROUND(E1042,2)=0),"一致",IF(G1042&lt;&gt;"","変更（意図的）","★相違"))</f>
        <v>一致</v>
      </c>
      <c r="G1042" s="2"/>
    </row>
    <row r="1043" customFormat="false" ht="15" hidden="false" customHeight="false" outlineLevel="0" collapsed="false">
      <c r="A1043" s="2" t="s">
        <v>824</v>
      </c>
      <c r="B1043" s="27" t="s">
        <v>662</v>
      </c>
      <c r="C1043" s="28" t="n">
        <v>0</v>
      </c>
      <c r="D1043" s="28" t="n">
        <f aca="false">'総括　6～7（メモあり）'!S26</f>
        <v>0</v>
      </c>
      <c r="E1043" s="28" t="n">
        <f aca="false">D1043-N(C1043)</f>
        <v>0</v>
      </c>
      <c r="F1043" s="2" t="str">
        <f aca="false">IF(AND(C1043&lt;&gt;"",ROUND(E1043,2)=0),"一致",IF(G1043&lt;&gt;"","変更（意図的）","★相違"))</f>
        <v>一致</v>
      </c>
      <c r="G1043" s="2"/>
    </row>
    <row r="1044" customFormat="false" ht="15" hidden="false" customHeight="false" outlineLevel="0" collapsed="false">
      <c r="A1044" s="2" t="s">
        <v>824</v>
      </c>
      <c r="B1044" s="27" t="s">
        <v>946</v>
      </c>
      <c r="C1044" s="28" t="n">
        <v>883951850</v>
      </c>
      <c r="D1044" s="28" t="n">
        <f aca="false">'総括　6～7（メモあり）'!E27</f>
        <v>883951850</v>
      </c>
      <c r="E1044" s="28" t="n">
        <f aca="false">D1044-N(C1044)</f>
        <v>0</v>
      </c>
      <c r="F1044" s="2" t="str">
        <f aca="false">IF(AND(C1044&lt;&gt;"",ROUND(E1044,2)=0),"一致",IF(G1044&lt;&gt;"","変更（意図的）","★相違"))</f>
        <v>一致</v>
      </c>
      <c r="G1044" s="2"/>
    </row>
    <row r="1045" customFormat="false" ht="15" hidden="false" customHeight="false" outlineLevel="0" collapsed="false">
      <c r="A1045" s="2" t="s">
        <v>824</v>
      </c>
      <c r="B1045" s="27" t="s">
        <v>663</v>
      </c>
      <c r="C1045" s="28" t="n">
        <v>641256280</v>
      </c>
      <c r="D1045" s="28" t="n">
        <f aca="false">'総括　6～7（メモあり）'!F27</f>
        <v>641256280</v>
      </c>
      <c r="E1045" s="28" t="n">
        <f aca="false">D1045-N(C1045)</f>
        <v>0</v>
      </c>
      <c r="F1045" s="2" t="str">
        <f aca="false">IF(AND(C1045&lt;&gt;"",ROUND(E1045,2)=0),"一致",IF(G1045&lt;&gt;"","変更（意図的）","★相違"))</f>
        <v>一致</v>
      </c>
      <c r="G1045" s="2"/>
    </row>
    <row r="1046" customFormat="false" ht="15" hidden="false" customHeight="false" outlineLevel="0" collapsed="false">
      <c r="A1046" s="2" t="s">
        <v>824</v>
      </c>
      <c r="B1046" s="27" t="s">
        <v>664</v>
      </c>
      <c r="C1046" s="28" t="n">
        <v>242695570</v>
      </c>
      <c r="D1046" s="28" t="n">
        <f aca="false">'総括　6～7（メモあり）'!G27</f>
        <v>242695570</v>
      </c>
      <c r="E1046" s="28" t="n">
        <f aca="false">D1046-N(C1046)</f>
        <v>0</v>
      </c>
      <c r="F1046" s="2" t="str">
        <f aca="false">IF(AND(C1046&lt;&gt;"",ROUND(E1046,2)=0),"一致",IF(G1046&lt;&gt;"","変更（意図的）","★相違"))</f>
        <v>一致</v>
      </c>
      <c r="G1046" s="2"/>
    </row>
    <row r="1047" customFormat="false" ht="15" hidden="false" customHeight="false" outlineLevel="0" collapsed="false">
      <c r="A1047" s="2" t="s">
        <v>824</v>
      </c>
      <c r="B1047" s="27" t="s">
        <v>947</v>
      </c>
      <c r="C1047" s="28" t="n">
        <v>0</v>
      </c>
      <c r="D1047" s="28" t="n">
        <f aca="false">'総括　6～7（メモあり）'!K27</f>
        <v>0</v>
      </c>
      <c r="E1047" s="28" t="n">
        <f aca="false">D1047-N(C1047)</f>
        <v>0</v>
      </c>
      <c r="F1047" s="2" t="str">
        <f aca="false">IF(AND(C1047&lt;&gt;"",ROUND(E1047,2)=0),"一致",IF(G1047&lt;&gt;"","変更（意図的）","★相違"))</f>
        <v>一致</v>
      </c>
      <c r="G1047" s="2"/>
    </row>
    <row r="1048" customFormat="false" ht="15" hidden="false" customHeight="false" outlineLevel="0" collapsed="false">
      <c r="A1048" s="2" t="s">
        <v>824</v>
      </c>
      <c r="B1048" s="27" t="s">
        <v>948</v>
      </c>
      <c r="C1048" s="28" t="n">
        <v>0</v>
      </c>
      <c r="D1048" s="28" t="n">
        <f aca="false">'総括　6～7（メモあり）'!L27</f>
        <v>0</v>
      </c>
      <c r="E1048" s="28" t="n">
        <f aca="false">D1048-N(C1048)</f>
        <v>0</v>
      </c>
      <c r="F1048" s="2" t="str">
        <f aca="false">IF(AND(C1048&lt;&gt;"",ROUND(E1048,2)=0),"一致",IF(G1048&lt;&gt;"","変更（意図的）","★相違"))</f>
        <v>一致</v>
      </c>
      <c r="G1048" s="2"/>
    </row>
    <row r="1049" customFormat="false" ht="15" hidden="false" customHeight="false" outlineLevel="0" collapsed="false">
      <c r="A1049" s="2" t="s">
        <v>824</v>
      </c>
      <c r="B1049" s="27" t="s">
        <v>422</v>
      </c>
      <c r="C1049" s="28" t="n">
        <v>0</v>
      </c>
      <c r="D1049" s="28" t="n">
        <f aca="false">'総括　6～7（メモあり）'!M27</f>
        <v>0</v>
      </c>
      <c r="E1049" s="28" t="n">
        <f aca="false">D1049-N(C1049)</f>
        <v>0</v>
      </c>
      <c r="F1049" s="2" t="str">
        <f aca="false">IF(AND(C1049&lt;&gt;"",ROUND(E1049,2)=0),"一致",IF(G1049&lt;&gt;"","変更（意図的）","★相違"))</f>
        <v>一致</v>
      </c>
      <c r="G1049" s="2"/>
    </row>
    <row r="1050" customFormat="false" ht="15" hidden="false" customHeight="false" outlineLevel="0" collapsed="false">
      <c r="A1050" s="2" t="s">
        <v>824</v>
      </c>
      <c r="B1050" s="27" t="s">
        <v>949</v>
      </c>
      <c r="C1050" s="28" t="n">
        <v>0</v>
      </c>
      <c r="D1050" s="28" t="n">
        <f aca="false">'総括　6～7（メモあり）'!N27</f>
        <v>0</v>
      </c>
      <c r="E1050" s="28" t="n">
        <f aca="false">D1050-N(C1050)</f>
        <v>0</v>
      </c>
      <c r="F1050" s="2" t="str">
        <f aca="false">IF(AND(C1050&lt;&gt;"",ROUND(E1050,2)=0),"一致",IF(G1050&lt;&gt;"","変更（意図的）","★相違"))</f>
        <v>一致</v>
      </c>
      <c r="G1050" s="2"/>
    </row>
    <row r="1051" customFormat="false" ht="15" hidden="false" customHeight="false" outlineLevel="0" collapsed="false">
      <c r="A1051" s="2" t="s">
        <v>824</v>
      </c>
      <c r="B1051" s="27" t="s">
        <v>950</v>
      </c>
      <c r="C1051" s="28" t="n">
        <v>0</v>
      </c>
      <c r="D1051" s="28" t="n">
        <f aca="false">'総括　6～7（メモあり）'!O27</f>
        <v>0</v>
      </c>
      <c r="E1051" s="28" t="n">
        <f aca="false">D1051-N(C1051)</f>
        <v>0</v>
      </c>
      <c r="F1051" s="2" t="str">
        <f aca="false">IF(AND(C1051&lt;&gt;"",ROUND(E1051,2)=0),"一致",IF(G1051&lt;&gt;"","変更（意図的）","★相違"))</f>
        <v>一致</v>
      </c>
      <c r="G1051" s="2"/>
    </row>
    <row r="1052" customFormat="false" ht="15" hidden="false" customHeight="false" outlineLevel="0" collapsed="false">
      <c r="A1052" s="2" t="s">
        <v>824</v>
      </c>
      <c r="B1052" s="27" t="s">
        <v>665</v>
      </c>
      <c r="C1052" s="28" t="n">
        <v>0</v>
      </c>
      <c r="D1052" s="28" t="n">
        <f aca="false">'総括　6～7（メモあり）'!P27</f>
        <v>0</v>
      </c>
      <c r="E1052" s="28" t="n">
        <f aca="false">D1052-N(C1052)</f>
        <v>0</v>
      </c>
      <c r="F1052" s="2" t="str">
        <f aca="false">IF(AND(C1052&lt;&gt;"",ROUND(E1052,2)=0),"一致",IF(G1052&lt;&gt;"","変更（意図的）","★相違"))</f>
        <v>一致</v>
      </c>
      <c r="G1052" s="2"/>
    </row>
    <row r="1053" customFormat="false" ht="15" hidden="false" customHeight="false" outlineLevel="0" collapsed="false">
      <c r="A1053" s="2" t="s">
        <v>824</v>
      </c>
      <c r="B1053" s="27" t="s">
        <v>951</v>
      </c>
      <c r="C1053" s="28" t="n">
        <v>0</v>
      </c>
      <c r="D1053" s="28" t="n">
        <f aca="false">'総括　6～7（メモあり）'!Q27</f>
        <v>0</v>
      </c>
      <c r="E1053" s="28" t="n">
        <f aca="false">D1053-N(C1053)</f>
        <v>0</v>
      </c>
      <c r="F1053" s="2" t="str">
        <f aca="false">IF(AND(C1053&lt;&gt;"",ROUND(E1053,2)=0),"一致",IF(G1053&lt;&gt;"","変更（意図的）","★相違"))</f>
        <v>一致</v>
      </c>
      <c r="G1053" s="2"/>
    </row>
    <row r="1054" customFormat="false" ht="15" hidden="false" customHeight="false" outlineLevel="0" collapsed="false">
      <c r="A1054" s="2" t="s">
        <v>824</v>
      </c>
      <c r="B1054" s="27" t="s">
        <v>952</v>
      </c>
      <c r="C1054" s="28" t="n">
        <v>0</v>
      </c>
      <c r="D1054" s="28" t="n">
        <f aca="false">'総括　6～7（メモあり）'!R27</f>
        <v>0</v>
      </c>
      <c r="E1054" s="28" t="n">
        <f aca="false">D1054-N(C1054)</f>
        <v>0</v>
      </c>
      <c r="F1054" s="2" t="str">
        <f aca="false">IF(AND(C1054&lt;&gt;"",ROUND(E1054,2)=0),"一致",IF(G1054&lt;&gt;"","変更（意図的）","★相違"))</f>
        <v>一致</v>
      </c>
      <c r="G1054" s="2"/>
    </row>
    <row r="1055" customFormat="false" ht="15" hidden="false" customHeight="false" outlineLevel="0" collapsed="false">
      <c r="A1055" s="2" t="s">
        <v>824</v>
      </c>
      <c r="B1055" s="27" t="s">
        <v>666</v>
      </c>
      <c r="C1055" s="28" t="n">
        <v>0</v>
      </c>
      <c r="D1055" s="28" t="n">
        <f aca="false">'総括　6～7（メモあり）'!S27</f>
        <v>0</v>
      </c>
      <c r="E1055" s="28" t="n">
        <f aca="false">D1055-N(C1055)</f>
        <v>0</v>
      </c>
      <c r="F1055" s="2" t="str">
        <f aca="false">IF(AND(C1055&lt;&gt;"",ROUND(E1055,2)=0),"一致",IF(G1055&lt;&gt;"","変更（意図的）","★相違"))</f>
        <v>一致</v>
      </c>
      <c r="G1055" s="2"/>
    </row>
    <row r="1056" customFormat="false" ht="15" hidden="false" customHeight="false" outlineLevel="0" collapsed="false">
      <c r="A1056" s="2" t="s">
        <v>824</v>
      </c>
      <c r="B1056" s="27" t="s">
        <v>667</v>
      </c>
      <c r="C1056" s="28" t="n">
        <v>13363345222</v>
      </c>
      <c r="D1056" s="28" t="n">
        <f aca="false">'総括　6～7（メモあり）'!E28</f>
        <v>13363345222</v>
      </c>
      <c r="E1056" s="28" t="n">
        <f aca="false">D1056-N(C1056)</f>
        <v>0</v>
      </c>
      <c r="F1056" s="2" t="str">
        <f aca="false">IF(AND(C1056&lt;&gt;"",ROUND(E1056,2)=0),"一致",IF(G1056&lt;&gt;"","変更（意図的）","★相違"))</f>
        <v>一致</v>
      </c>
      <c r="G1056" s="2"/>
    </row>
    <row r="1057" customFormat="false" ht="15" hidden="false" customHeight="false" outlineLevel="0" collapsed="false">
      <c r="A1057" s="2" t="s">
        <v>824</v>
      </c>
      <c r="B1057" s="27" t="s">
        <v>668</v>
      </c>
      <c r="C1057" s="28" t="n">
        <v>10954612686</v>
      </c>
      <c r="D1057" s="28" t="n">
        <f aca="false">'総括　6～7（メモあり）'!F28</f>
        <v>10954612686</v>
      </c>
      <c r="E1057" s="28" t="n">
        <f aca="false">D1057-N(C1057)</f>
        <v>0</v>
      </c>
      <c r="F1057" s="2" t="str">
        <f aca="false">IF(AND(C1057&lt;&gt;"",ROUND(E1057,2)=0),"一致",IF(G1057&lt;&gt;"","変更（意図的）","★相違"))</f>
        <v>一致</v>
      </c>
      <c r="G1057" s="2"/>
    </row>
    <row r="1058" customFormat="false" ht="15" hidden="false" customHeight="false" outlineLevel="0" collapsed="false">
      <c r="A1058" s="2" t="s">
        <v>824</v>
      </c>
      <c r="B1058" s="27" t="s">
        <v>669</v>
      </c>
      <c r="C1058" s="28" t="n">
        <v>2408732536</v>
      </c>
      <c r="D1058" s="28" t="n">
        <f aca="false">'総括　6～7（メモあり）'!G28</f>
        <v>2408732536</v>
      </c>
      <c r="E1058" s="28" t="n">
        <f aca="false">D1058-N(C1058)</f>
        <v>0</v>
      </c>
      <c r="F1058" s="2" t="str">
        <f aca="false">IF(AND(C1058&lt;&gt;"",ROUND(E1058,2)=0),"一致",IF(G1058&lt;&gt;"","変更（意図的）","★相違"))</f>
        <v>一致</v>
      </c>
      <c r="G1058" s="2"/>
    </row>
    <row r="1059" customFormat="false" ht="15" hidden="false" customHeight="false" outlineLevel="0" collapsed="false">
      <c r="A1059" s="2" t="s">
        <v>824</v>
      </c>
      <c r="B1059" s="27" t="s">
        <v>670</v>
      </c>
      <c r="C1059" s="28" t="n">
        <v>10342735989</v>
      </c>
      <c r="D1059" s="28" t="n">
        <f aca="false">'総括　6～7（メモあり）'!H28</f>
        <v>10342735989</v>
      </c>
      <c r="E1059" s="28" t="n">
        <f aca="false">D1059-N(C1059)</f>
        <v>0</v>
      </c>
      <c r="F1059" s="2" t="str">
        <f aca="false">IF(AND(C1059&lt;&gt;"",ROUND(E1059,2)=0),"一致",IF(G1059&lt;&gt;"","変更（意図的）","★相違"))</f>
        <v>一致</v>
      </c>
      <c r="G1059" s="2"/>
    </row>
    <row r="1060" customFormat="false" ht="15" hidden="false" customHeight="false" outlineLevel="0" collapsed="false">
      <c r="A1060" s="2" t="s">
        <v>824</v>
      </c>
      <c r="B1060" s="27" t="s">
        <v>671</v>
      </c>
      <c r="C1060" s="28" t="n">
        <v>19217782897</v>
      </c>
      <c r="D1060" s="28" t="n">
        <f aca="false">'総括　6～7（メモあり）'!I28</f>
        <v>19217782897</v>
      </c>
      <c r="E1060" s="28" t="n">
        <f aca="false">D1060-N(C1060)</f>
        <v>0</v>
      </c>
      <c r="F1060" s="2" t="str">
        <f aca="false">IF(AND(C1060&lt;&gt;"",ROUND(E1060,2)=0),"一致",IF(G1060&lt;&gt;"","変更（意図的）","★相違"))</f>
        <v>一致</v>
      </c>
      <c r="G1060" s="2"/>
    </row>
    <row r="1061" customFormat="false" ht="15" hidden="false" customHeight="false" outlineLevel="0" collapsed="false">
      <c r="A1061" s="2" t="s">
        <v>824</v>
      </c>
      <c r="B1061" s="27" t="s">
        <v>672</v>
      </c>
      <c r="C1061" s="28" t="n">
        <v>-8875046908</v>
      </c>
      <c r="D1061" s="28" t="n">
        <f aca="false">'総括　6～7（メモあり）'!J28</f>
        <v>-8875046908</v>
      </c>
      <c r="E1061" s="28" t="n">
        <f aca="false">D1061-N(C1061)</f>
        <v>0</v>
      </c>
      <c r="F1061" s="2" t="str">
        <f aca="false">IF(AND(C1061&lt;&gt;"",ROUND(E1061,2)=0),"一致",IF(G1061&lt;&gt;"","変更（意図的）","★相違"))</f>
        <v>一致</v>
      </c>
      <c r="G1061" s="2"/>
    </row>
    <row r="1062" customFormat="false" ht="15" hidden="false" customHeight="false" outlineLevel="0" collapsed="false">
      <c r="A1062" s="2" t="s">
        <v>824</v>
      </c>
      <c r="B1062" s="27" t="s">
        <v>673</v>
      </c>
      <c r="C1062" s="28" t="n">
        <v>115948018</v>
      </c>
      <c r="D1062" s="28" t="n">
        <f aca="false">'総括　6～7（メモあり）'!K28</f>
        <v>115948018</v>
      </c>
      <c r="E1062" s="28" t="n">
        <f aca="false">D1062-N(C1062)</f>
        <v>0</v>
      </c>
      <c r="F1062" s="2" t="str">
        <f aca="false">IF(AND(C1062&lt;&gt;"",ROUND(E1062,2)=0),"一致",IF(G1062&lt;&gt;"","変更（意図的）","★相違"))</f>
        <v>一致</v>
      </c>
      <c r="G1062" s="2"/>
    </row>
    <row r="1063" customFormat="false" ht="15" hidden="false" customHeight="false" outlineLevel="0" collapsed="false">
      <c r="A1063" s="2" t="s">
        <v>824</v>
      </c>
      <c r="B1063" s="27" t="s">
        <v>675</v>
      </c>
      <c r="C1063" s="28" t="n">
        <v>96169787</v>
      </c>
      <c r="D1063" s="28" t="n">
        <f aca="false">'総括　6～7（メモあり）'!L28</f>
        <v>96169787</v>
      </c>
      <c r="E1063" s="28" t="n">
        <f aca="false">D1063-N(C1063)</f>
        <v>0</v>
      </c>
      <c r="F1063" s="2" t="str">
        <f aca="false">IF(AND(C1063&lt;&gt;"",ROUND(E1063,2)=0),"一致",IF(G1063&lt;&gt;"","変更（意図的）","★相違"))</f>
        <v>一致</v>
      </c>
      <c r="G1063" s="2"/>
    </row>
    <row r="1064" customFormat="false" ht="15" hidden="false" customHeight="false" outlineLevel="0" collapsed="false">
      <c r="A1064" s="2" t="s">
        <v>824</v>
      </c>
      <c r="B1064" s="27" t="s">
        <v>427</v>
      </c>
      <c r="C1064" s="28" t="n">
        <v>19778231</v>
      </c>
      <c r="D1064" s="28" t="n">
        <f aca="false">'総括　6～7（メモあり）'!M28</f>
        <v>19778231</v>
      </c>
      <c r="E1064" s="28" t="n">
        <f aca="false">D1064-N(C1064)</f>
        <v>0</v>
      </c>
      <c r="F1064" s="2" t="str">
        <f aca="false">IF(AND(C1064&lt;&gt;"",ROUND(E1064,2)=0),"一致",IF(G1064&lt;&gt;"","変更（意図的）","★相違"))</f>
        <v>一致</v>
      </c>
      <c r="G1064" s="2"/>
    </row>
    <row r="1065" customFormat="false" ht="15" hidden="false" customHeight="false" outlineLevel="0" collapsed="false">
      <c r="A1065" s="2" t="s">
        <v>824</v>
      </c>
      <c r="B1065" s="27" t="s">
        <v>676</v>
      </c>
      <c r="C1065" s="28" t="n">
        <v>608914362</v>
      </c>
      <c r="D1065" s="28" t="n">
        <f aca="false">'総括　6～7（メモあり）'!N28</f>
        <v>608914362</v>
      </c>
      <c r="E1065" s="28" t="n">
        <f aca="false">D1065-N(C1065)</f>
        <v>0</v>
      </c>
      <c r="F1065" s="2" t="str">
        <f aca="false">IF(AND(C1065&lt;&gt;"",ROUND(E1065,2)=0),"一致",IF(G1065&lt;&gt;"","変更（意図的）","★相違"))</f>
        <v>一致</v>
      </c>
      <c r="G1065" s="2"/>
    </row>
    <row r="1066" customFormat="false" ht="15" hidden="false" customHeight="false" outlineLevel="0" collapsed="false">
      <c r="A1066" s="2" t="s">
        <v>824</v>
      </c>
      <c r="B1066" s="27" t="s">
        <v>677</v>
      </c>
      <c r="C1066" s="28" t="n">
        <v>495064615</v>
      </c>
      <c r="D1066" s="28" t="n">
        <f aca="false">'総括　6～7（メモあり）'!O28</f>
        <v>495064615</v>
      </c>
      <c r="E1066" s="28" t="n">
        <f aca="false">D1066-N(C1066)</f>
        <v>0</v>
      </c>
      <c r="F1066" s="2" t="str">
        <f aca="false">IF(AND(C1066&lt;&gt;"",ROUND(E1066,2)=0),"一致",IF(G1066&lt;&gt;"","変更（意図的）","★相違"))</f>
        <v>一致</v>
      </c>
      <c r="G1066" s="2"/>
    </row>
    <row r="1067" customFormat="false" ht="15" hidden="false" customHeight="false" outlineLevel="0" collapsed="false">
      <c r="A1067" s="2" t="s">
        <v>824</v>
      </c>
      <c r="B1067" s="27" t="s">
        <v>678</v>
      </c>
      <c r="C1067" s="28" t="n">
        <v>113849747</v>
      </c>
      <c r="D1067" s="28" t="n">
        <f aca="false">'総括　6～7（メモあり）'!P28</f>
        <v>113849747</v>
      </c>
      <c r="E1067" s="28" t="n">
        <f aca="false">D1067-N(C1067)</f>
        <v>0</v>
      </c>
      <c r="F1067" s="2" t="str">
        <f aca="false">IF(AND(C1067&lt;&gt;"",ROUND(E1067,2)=0),"一致",IF(G1067&lt;&gt;"","変更（意図的）","★相違"))</f>
        <v>一致</v>
      </c>
      <c r="G1067" s="2"/>
    </row>
    <row r="1068" customFormat="false" ht="15" hidden="false" customHeight="false" outlineLevel="0" collapsed="false">
      <c r="A1068" s="2" t="s">
        <v>824</v>
      </c>
      <c r="B1068" s="27" t="s">
        <v>679</v>
      </c>
      <c r="C1068" s="28" t="n">
        <v>12756000</v>
      </c>
      <c r="D1068" s="28" t="n">
        <f aca="false">'総括　6～7（メモあり）'!Q28</f>
        <v>12756000</v>
      </c>
      <c r="E1068" s="28" t="n">
        <f aca="false">D1068-N(C1068)</f>
        <v>0</v>
      </c>
      <c r="F1068" s="2" t="str">
        <f aca="false">IF(AND(C1068&lt;&gt;"",ROUND(E1068,2)=0),"一致",IF(G1068&lt;&gt;"","変更（意図的）","★相違"))</f>
        <v>一致</v>
      </c>
      <c r="G1068" s="2"/>
    </row>
    <row r="1069" customFormat="false" ht="15" hidden="false" customHeight="false" outlineLevel="0" collapsed="false">
      <c r="A1069" s="2" t="s">
        <v>824</v>
      </c>
      <c r="B1069" s="27" t="s">
        <v>680</v>
      </c>
      <c r="C1069" s="28" t="n">
        <v>14281186</v>
      </c>
      <c r="D1069" s="28" t="n">
        <f aca="false">'総括　6～7（メモあり）'!R28</f>
        <v>14281186</v>
      </c>
      <c r="E1069" s="28" t="n">
        <f aca="false">D1069-N(C1069)</f>
        <v>0</v>
      </c>
      <c r="F1069" s="2" t="str">
        <f aca="false">IF(AND(C1069&lt;&gt;"",ROUND(E1069,2)=0),"一致",IF(G1069&lt;&gt;"","変更（意図的）","★相違"))</f>
        <v>一致</v>
      </c>
      <c r="G1069" s="2"/>
    </row>
    <row r="1070" customFormat="false" ht="15" hidden="false" customHeight="false" outlineLevel="0" collapsed="false">
      <c r="A1070" s="2" t="s">
        <v>824</v>
      </c>
      <c r="B1070" s="27" t="s">
        <v>681</v>
      </c>
      <c r="C1070" s="28" t="n">
        <v>-1525186</v>
      </c>
      <c r="D1070" s="28" t="n">
        <f aca="false">'総括　6～7（メモあり）'!S28</f>
        <v>-1525186</v>
      </c>
      <c r="E1070" s="28" t="n">
        <f aca="false">D1070-N(C1070)</f>
        <v>0</v>
      </c>
      <c r="F1070" s="2" t="str">
        <f aca="false">IF(AND(C1070&lt;&gt;"",ROUND(E1070,2)=0),"一致",IF(G1070&lt;&gt;"","変更（意図的）","★相違"))</f>
        <v>一致</v>
      </c>
      <c r="G1070" s="2"/>
    </row>
    <row r="1071" customFormat="false" ht="15" hidden="false" customHeight="false" outlineLevel="0" collapsed="false">
      <c r="A1071" s="2" t="s">
        <v>824</v>
      </c>
      <c r="B1071" s="27" t="s">
        <v>953</v>
      </c>
      <c r="C1071" s="28" t="n">
        <v>5062957780</v>
      </c>
      <c r="D1071" s="28" t="n">
        <f aca="false">'総括　6～7（メモあり）'!E29</f>
        <v>5062957780</v>
      </c>
      <c r="E1071" s="28" t="n">
        <f aca="false">D1071-N(C1071)</f>
        <v>0</v>
      </c>
      <c r="F1071" s="2" t="str">
        <f aca="false">IF(AND(C1071&lt;&gt;"",ROUND(E1071,2)=0),"一致",IF(G1071&lt;&gt;"","変更（意図的）","★相違"))</f>
        <v>一致</v>
      </c>
      <c r="G1071" s="2"/>
    </row>
    <row r="1072" customFormat="false" ht="15" hidden="false" customHeight="false" outlineLevel="0" collapsed="false">
      <c r="A1072" s="2" t="s">
        <v>824</v>
      </c>
      <c r="B1072" s="27" t="s">
        <v>682</v>
      </c>
      <c r="C1072" s="28" t="n">
        <v>5113593844</v>
      </c>
      <c r="D1072" s="28" t="n">
        <f aca="false">'総括　6～7（メモあり）'!F29</f>
        <v>5113593844</v>
      </c>
      <c r="E1072" s="28" t="n">
        <f aca="false">D1072-N(C1072)</f>
        <v>0</v>
      </c>
      <c r="F1072" s="2" t="str">
        <f aca="false">IF(AND(C1072&lt;&gt;"",ROUND(E1072,2)=0),"一致",IF(G1072&lt;&gt;"","変更（意図的）","★相違"))</f>
        <v>一致</v>
      </c>
      <c r="G1072" s="2"/>
    </row>
    <row r="1073" customFormat="false" ht="15" hidden="false" customHeight="false" outlineLevel="0" collapsed="false">
      <c r="A1073" s="2" t="s">
        <v>824</v>
      </c>
      <c r="B1073" s="27" t="s">
        <v>683</v>
      </c>
      <c r="C1073" s="28" t="n">
        <v>-50636064</v>
      </c>
      <c r="D1073" s="28" t="n">
        <f aca="false">'総括　6～7（メモあり）'!G29</f>
        <v>-50636064</v>
      </c>
      <c r="E1073" s="28" t="n">
        <f aca="false">D1073-N(C1073)</f>
        <v>0</v>
      </c>
      <c r="F1073" s="2" t="str">
        <f aca="false">IF(AND(C1073&lt;&gt;"",ROUND(E1073,2)=0),"一致",IF(G1073&lt;&gt;"","変更（意図的）","★相違"))</f>
        <v>一致</v>
      </c>
      <c r="G1073" s="2"/>
    </row>
    <row r="1074" customFormat="false" ht="15" hidden="false" customHeight="false" outlineLevel="0" collapsed="false">
      <c r="A1074" s="2" t="s">
        <v>824</v>
      </c>
      <c r="B1074" s="27" t="s">
        <v>954</v>
      </c>
      <c r="C1074" s="28" t="n">
        <v>0</v>
      </c>
      <c r="D1074" s="28" t="n">
        <f aca="false">'総括　6～7（メモあり）'!K29</f>
        <v>0</v>
      </c>
      <c r="E1074" s="28" t="n">
        <f aca="false">D1074-N(C1074)</f>
        <v>0</v>
      </c>
      <c r="F1074" s="2" t="str">
        <f aca="false">IF(AND(C1074&lt;&gt;"",ROUND(E1074,2)=0),"一致",IF(G1074&lt;&gt;"","変更（意図的）","★相違"))</f>
        <v>一致</v>
      </c>
      <c r="G1074" s="2"/>
    </row>
    <row r="1075" customFormat="false" ht="15" hidden="false" customHeight="false" outlineLevel="0" collapsed="false">
      <c r="A1075" s="2" t="s">
        <v>824</v>
      </c>
      <c r="B1075" s="27" t="s">
        <v>955</v>
      </c>
      <c r="C1075" s="28" t="n">
        <v>0</v>
      </c>
      <c r="D1075" s="28" t="n">
        <f aca="false">'総括　6～7（メモあり）'!L29</f>
        <v>0</v>
      </c>
      <c r="E1075" s="28" t="n">
        <f aca="false">D1075-N(C1075)</f>
        <v>0</v>
      </c>
      <c r="F1075" s="2" t="str">
        <f aca="false">IF(AND(C1075&lt;&gt;"",ROUND(E1075,2)=0),"一致",IF(G1075&lt;&gt;"","変更（意図的）","★相違"))</f>
        <v>一致</v>
      </c>
      <c r="G1075" s="2"/>
    </row>
    <row r="1076" customFormat="false" ht="15" hidden="false" customHeight="false" outlineLevel="0" collapsed="false">
      <c r="A1076" s="2" t="s">
        <v>824</v>
      </c>
      <c r="B1076" s="27" t="s">
        <v>432</v>
      </c>
      <c r="C1076" s="28" t="n">
        <v>0</v>
      </c>
      <c r="D1076" s="28" t="n">
        <f aca="false">'総括　6～7（メモあり）'!M29</f>
        <v>0</v>
      </c>
      <c r="E1076" s="28" t="n">
        <f aca="false">D1076-N(C1076)</f>
        <v>0</v>
      </c>
      <c r="F1076" s="2" t="str">
        <f aca="false">IF(AND(C1076&lt;&gt;"",ROUND(E1076,2)=0),"一致",IF(G1076&lt;&gt;"","変更（意図的）","★相違"))</f>
        <v>一致</v>
      </c>
      <c r="G1076" s="2"/>
    </row>
    <row r="1077" customFormat="false" ht="15" hidden="false" customHeight="false" outlineLevel="0" collapsed="false">
      <c r="A1077" s="2" t="s">
        <v>824</v>
      </c>
      <c r="B1077" s="27" t="s">
        <v>956</v>
      </c>
      <c r="C1077" s="28" t="n">
        <v>0</v>
      </c>
      <c r="D1077" s="28" t="n">
        <f aca="false">'総括　6～7（メモあり）'!N29</f>
        <v>0</v>
      </c>
      <c r="E1077" s="28" t="n">
        <f aca="false">D1077-N(C1077)</f>
        <v>0</v>
      </c>
      <c r="F1077" s="2" t="str">
        <f aca="false">IF(AND(C1077&lt;&gt;"",ROUND(E1077,2)=0),"一致",IF(G1077&lt;&gt;"","変更（意図的）","★相違"))</f>
        <v>一致</v>
      </c>
      <c r="G1077" s="2"/>
    </row>
    <row r="1078" customFormat="false" ht="15" hidden="false" customHeight="false" outlineLevel="0" collapsed="false">
      <c r="A1078" s="2" t="s">
        <v>824</v>
      </c>
      <c r="B1078" s="27" t="s">
        <v>957</v>
      </c>
      <c r="C1078" s="28" t="n">
        <v>0</v>
      </c>
      <c r="D1078" s="28" t="n">
        <f aca="false">'総括　6～7（メモあり）'!O29</f>
        <v>0</v>
      </c>
      <c r="E1078" s="28" t="n">
        <f aca="false">D1078-N(C1078)</f>
        <v>0</v>
      </c>
      <c r="F1078" s="2" t="str">
        <f aca="false">IF(AND(C1078&lt;&gt;"",ROUND(E1078,2)=0),"一致",IF(G1078&lt;&gt;"","変更（意図的）","★相違"))</f>
        <v>一致</v>
      </c>
      <c r="G1078" s="2"/>
    </row>
    <row r="1079" customFormat="false" ht="15" hidden="false" customHeight="false" outlineLevel="0" collapsed="false">
      <c r="A1079" s="2" t="s">
        <v>824</v>
      </c>
      <c r="B1079" s="27" t="s">
        <v>684</v>
      </c>
      <c r="C1079" s="28" t="n">
        <v>0</v>
      </c>
      <c r="D1079" s="28" t="n">
        <f aca="false">'総括　6～7（メモあり）'!P29</f>
        <v>0</v>
      </c>
      <c r="E1079" s="28" t="n">
        <f aca="false">D1079-N(C1079)</f>
        <v>0</v>
      </c>
      <c r="F1079" s="2" t="str">
        <f aca="false">IF(AND(C1079&lt;&gt;"",ROUND(E1079,2)=0),"一致",IF(G1079&lt;&gt;"","変更（意図的）","★相違"))</f>
        <v>一致</v>
      </c>
      <c r="G1079" s="2"/>
    </row>
    <row r="1080" customFormat="false" ht="15" hidden="false" customHeight="false" outlineLevel="0" collapsed="false">
      <c r="A1080" s="2" t="s">
        <v>824</v>
      </c>
      <c r="B1080" s="27" t="s">
        <v>958</v>
      </c>
      <c r="C1080" s="28" t="n">
        <v>0</v>
      </c>
      <c r="D1080" s="28" t="n">
        <f aca="false">'総括　6～7（メモあり）'!Q29</f>
        <v>0</v>
      </c>
      <c r="E1080" s="28" t="n">
        <f aca="false">D1080-N(C1080)</f>
        <v>0</v>
      </c>
      <c r="F1080" s="2" t="str">
        <f aca="false">IF(AND(C1080&lt;&gt;"",ROUND(E1080,2)=0),"一致",IF(G1080&lt;&gt;"","変更（意図的）","★相違"))</f>
        <v>一致</v>
      </c>
      <c r="G1080" s="2"/>
    </row>
    <row r="1081" customFormat="false" ht="15" hidden="false" customHeight="false" outlineLevel="0" collapsed="false">
      <c r="A1081" s="2" t="s">
        <v>824</v>
      </c>
      <c r="B1081" s="27" t="s">
        <v>959</v>
      </c>
      <c r="C1081" s="28" t="n">
        <v>0</v>
      </c>
      <c r="D1081" s="28" t="n">
        <f aca="false">'総括　6～7（メモあり）'!R29</f>
        <v>0</v>
      </c>
      <c r="E1081" s="28" t="n">
        <f aca="false">D1081-N(C1081)</f>
        <v>0</v>
      </c>
      <c r="F1081" s="2" t="str">
        <f aca="false">IF(AND(C1081&lt;&gt;"",ROUND(E1081,2)=0),"一致",IF(G1081&lt;&gt;"","変更（意図的）","★相違"))</f>
        <v>一致</v>
      </c>
      <c r="G1081" s="2"/>
    </row>
    <row r="1082" customFormat="false" ht="15" hidden="false" customHeight="false" outlineLevel="0" collapsed="false">
      <c r="A1082" s="2" t="s">
        <v>824</v>
      </c>
      <c r="B1082" s="27" t="s">
        <v>685</v>
      </c>
      <c r="C1082" s="28" t="n">
        <v>0</v>
      </c>
      <c r="D1082" s="28" t="n">
        <f aca="false">'総括　6～7（メモあり）'!S29</f>
        <v>0</v>
      </c>
      <c r="E1082" s="28" t="n">
        <f aca="false">D1082-N(C1082)</f>
        <v>0</v>
      </c>
      <c r="F1082" s="2" t="str">
        <f aca="false">IF(AND(C1082&lt;&gt;"",ROUND(E1082,2)=0),"一致",IF(G1082&lt;&gt;"","変更（意図的）","★相違"))</f>
        <v>一致</v>
      </c>
      <c r="G1082" s="2"/>
    </row>
    <row r="1083" customFormat="false" ht="15" hidden="false" customHeight="false" outlineLevel="0" collapsed="false">
      <c r="A1083" s="2" t="s">
        <v>824</v>
      </c>
      <c r="B1083" s="27" t="s">
        <v>960</v>
      </c>
      <c r="C1083" s="28" t="n">
        <v>596910377</v>
      </c>
      <c r="D1083" s="28" t="n">
        <f aca="false">'総括　6～7（メモあり）'!E30</f>
        <v>596910377</v>
      </c>
      <c r="E1083" s="28" t="n">
        <f aca="false">D1083-N(C1083)</f>
        <v>0</v>
      </c>
      <c r="F1083" s="2" t="str">
        <f aca="false">IF(AND(C1083&lt;&gt;"",ROUND(E1083,2)=0),"一致",IF(G1083&lt;&gt;"","変更（意図的）","★相違"))</f>
        <v>一致</v>
      </c>
      <c r="G1083" s="2"/>
    </row>
    <row r="1084" customFormat="false" ht="15" hidden="false" customHeight="false" outlineLevel="0" collapsed="false">
      <c r="A1084" s="2" t="s">
        <v>824</v>
      </c>
      <c r="B1084" s="27" t="s">
        <v>686</v>
      </c>
      <c r="C1084" s="28" t="n">
        <v>577150282</v>
      </c>
      <c r="D1084" s="28" t="n">
        <f aca="false">'総括　6～7（メモあり）'!F30</f>
        <v>577150282</v>
      </c>
      <c r="E1084" s="28" t="n">
        <f aca="false">D1084-N(C1084)</f>
        <v>0</v>
      </c>
      <c r="F1084" s="2" t="str">
        <f aca="false">IF(AND(C1084&lt;&gt;"",ROUND(E1084,2)=0),"一致",IF(G1084&lt;&gt;"","変更（意図的）","★相違"))</f>
        <v>一致</v>
      </c>
      <c r="G1084" s="2"/>
    </row>
    <row r="1085" customFormat="false" ht="15" hidden="false" customHeight="false" outlineLevel="0" collapsed="false">
      <c r="A1085" s="2" t="s">
        <v>824</v>
      </c>
      <c r="B1085" s="27" t="s">
        <v>687</v>
      </c>
      <c r="C1085" s="28" t="n">
        <v>19760095</v>
      </c>
      <c r="D1085" s="28" t="n">
        <f aca="false">'総括　6～7（メモあり）'!G30</f>
        <v>19760095</v>
      </c>
      <c r="E1085" s="28" t="n">
        <f aca="false">D1085-N(C1085)</f>
        <v>0</v>
      </c>
      <c r="F1085" s="2" t="str">
        <f aca="false">IF(AND(C1085&lt;&gt;"",ROUND(E1085,2)=0),"一致",IF(G1085&lt;&gt;"","変更（意図的）","★相違"))</f>
        <v>一致</v>
      </c>
      <c r="G1085" s="2"/>
    </row>
    <row r="1086" customFormat="false" ht="15" hidden="false" customHeight="false" outlineLevel="0" collapsed="false">
      <c r="A1086" s="2" t="s">
        <v>824</v>
      </c>
      <c r="B1086" s="27" t="s">
        <v>961</v>
      </c>
      <c r="C1086" s="28" t="n">
        <v>0</v>
      </c>
      <c r="D1086" s="28" t="n">
        <f aca="false">'総括　6～7（メモあり）'!K30</f>
        <v>0</v>
      </c>
      <c r="E1086" s="28" t="n">
        <f aca="false">D1086-N(C1086)</f>
        <v>0</v>
      </c>
      <c r="F1086" s="2" t="str">
        <f aca="false">IF(AND(C1086&lt;&gt;"",ROUND(E1086,2)=0),"一致",IF(G1086&lt;&gt;"","変更（意図的）","★相違"))</f>
        <v>一致</v>
      </c>
      <c r="G1086" s="2"/>
    </row>
    <row r="1087" customFormat="false" ht="15" hidden="false" customHeight="false" outlineLevel="0" collapsed="false">
      <c r="A1087" s="2" t="s">
        <v>824</v>
      </c>
      <c r="B1087" s="27" t="s">
        <v>962</v>
      </c>
      <c r="C1087" s="28" t="n">
        <v>0</v>
      </c>
      <c r="D1087" s="28" t="n">
        <f aca="false">'総括　6～7（メモあり）'!L30</f>
        <v>0</v>
      </c>
      <c r="E1087" s="28" t="n">
        <f aca="false">D1087-N(C1087)</f>
        <v>0</v>
      </c>
      <c r="F1087" s="2" t="str">
        <f aca="false">IF(AND(C1087&lt;&gt;"",ROUND(E1087,2)=0),"一致",IF(G1087&lt;&gt;"","変更（意図的）","★相違"))</f>
        <v>一致</v>
      </c>
      <c r="G1087" s="2"/>
    </row>
    <row r="1088" customFormat="false" ht="15" hidden="false" customHeight="false" outlineLevel="0" collapsed="false">
      <c r="A1088" s="2" t="s">
        <v>824</v>
      </c>
      <c r="B1088" s="27" t="s">
        <v>437</v>
      </c>
      <c r="C1088" s="28" t="n">
        <v>0</v>
      </c>
      <c r="D1088" s="28" t="n">
        <f aca="false">'総括　6～7（メモあり）'!M30</f>
        <v>0</v>
      </c>
      <c r="E1088" s="28" t="n">
        <f aca="false">D1088-N(C1088)</f>
        <v>0</v>
      </c>
      <c r="F1088" s="2" t="str">
        <f aca="false">IF(AND(C1088&lt;&gt;"",ROUND(E1088,2)=0),"一致",IF(G1088&lt;&gt;"","変更（意図的）","★相違"))</f>
        <v>一致</v>
      </c>
      <c r="G1088" s="2"/>
    </row>
    <row r="1089" customFormat="false" ht="15" hidden="false" customHeight="false" outlineLevel="0" collapsed="false">
      <c r="A1089" s="2" t="s">
        <v>824</v>
      </c>
      <c r="B1089" s="27" t="s">
        <v>963</v>
      </c>
      <c r="C1089" s="28" t="n">
        <v>0</v>
      </c>
      <c r="D1089" s="28" t="n">
        <f aca="false">'総括　6～7（メモあり）'!N30</f>
        <v>0</v>
      </c>
      <c r="E1089" s="28" t="n">
        <f aca="false">D1089-N(C1089)</f>
        <v>0</v>
      </c>
      <c r="F1089" s="2" t="str">
        <f aca="false">IF(AND(C1089&lt;&gt;"",ROUND(E1089,2)=0),"一致",IF(G1089&lt;&gt;"","変更（意図的）","★相違"))</f>
        <v>一致</v>
      </c>
      <c r="G1089" s="2"/>
    </row>
    <row r="1090" customFormat="false" ht="15" hidden="false" customHeight="false" outlineLevel="0" collapsed="false">
      <c r="A1090" s="2" t="s">
        <v>824</v>
      </c>
      <c r="B1090" s="27" t="s">
        <v>964</v>
      </c>
      <c r="C1090" s="28" t="n">
        <v>0</v>
      </c>
      <c r="D1090" s="28" t="n">
        <f aca="false">'総括　6～7（メモあり）'!O30</f>
        <v>0</v>
      </c>
      <c r="E1090" s="28" t="n">
        <f aca="false">D1090-N(C1090)</f>
        <v>0</v>
      </c>
      <c r="F1090" s="2" t="str">
        <f aca="false">IF(AND(C1090&lt;&gt;"",ROUND(E1090,2)=0),"一致",IF(G1090&lt;&gt;"","変更（意図的）","★相違"))</f>
        <v>一致</v>
      </c>
      <c r="G1090" s="2"/>
    </row>
    <row r="1091" customFormat="false" ht="15" hidden="false" customHeight="false" outlineLevel="0" collapsed="false">
      <c r="A1091" s="2" t="s">
        <v>824</v>
      </c>
      <c r="B1091" s="27" t="s">
        <v>688</v>
      </c>
      <c r="C1091" s="28" t="n">
        <v>0</v>
      </c>
      <c r="D1091" s="28" t="n">
        <f aca="false">'総括　6～7（メモあり）'!P30</f>
        <v>0</v>
      </c>
      <c r="E1091" s="28" t="n">
        <f aca="false">D1091-N(C1091)</f>
        <v>0</v>
      </c>
      <c r="F1091" s="2" t="str">
        <f aca="false">IF(AND(C1091&lt;&gt;"",ROUND(E1091,2)=0),"一致",IF(G1091&lt;&gt;"","変更（意図的）","★相違"))</f>
        <v>一致</v>
      </c>
      <c r="G1091" s="2"/>
    </row>
    <row r="1092" customFormat="false" ht="15" hidden="false" customHeight="false" outlineLevel="0" collapsed="false">
      <c r="A1092" s="2" t="s">
        <v>824</v>
      </c>
      <c r="B1092" s="27" t="s">
        <v>965</v>
      </c>
      <c r="C1092" s="28" t="n">
        <v>0</v>
      </c>
      <c r="D1092" s="28" t="n">
        <f aca="false">'総括　6～7（メモあり）'!Q30</f>
        <v>0</v>
      </c>
      <c r="E1092" s="28" t="n">
        <f aca="false">D1092-N(C1092)</f>
        <v>0</v>
      </c>
      <c r="F1092" s="2" t="str">
        <f aca="false">IF(AND(C1092&lt;&gt;"",ROUND(E1092,2)=0),"一致",IF(G1092&lt;&gt;"","変更（意図的）","★相違"))</f>
        <v>一致</v>
      </c>
      <c r="G1092" s="2"/>
    </row>
    <row r="1093" customFormat="false" ht="15" hidden="false" customHeight="false" outlineLevel="0" collapsed="false">
      <c r="A1093" s="2" t="s">
        <v>824</v>
      </c>
      <c r="B1093" s="27" t="s">
        <v>966</v>
      </c>
      <c r="C1093" s="28" t="n">
        <v>0</v>
      </c>
      <c r="D1093" s="28" t="n">
        <f aca="false">'総括　6～7（メモあり）'!R30</f>
        <v>0</v>
      </c>
      <c r="E1093" s="28" t="n">
        <f aca="false">D1093-N(C1093)</f>
        <v>0</v>
      </c>
      <c r="F1093" s="2" t="str">
        <f aca="false">IF(AND(C1093&lt;&gt;"",ROUND(E1093,2)=0),"一致",IF(G1093&lt;&gt;"","変更（意図的）","★相違"))</f>
        <v>一致</v>
      </c>
      <c r="G1093" s="2"/>
    </row>
    <row r="1094" customFormat="false" ht="15" hidden="false" customHeight="false" outlineLevel="0" collapsed="false">
      <c r="A1094" s="2" t="s">
        <v>824</v>
      </c>
      <c r="B1094" s="27" t="s">
        <v>689</v>
      </c>
      <c r="C1094" s="28" t="n">
        <v>0</v>
      </c>
      <c r="D1094" s="28" t="n">
        <f aca="false">'総括　6～7（メモあり）'!S30</f>
        <v>0</v>
      </c>
      <c r="E1094" s="28" t="n">
        <f aca="false">D1094-N(C1094)</f>
        <v>0</v>
      </c>
      <c r="F1094" s="2" t="str">
        <f aca="false">IF(AND(C1094&lt;&gt;"",ROUND(E1094,2)=0),"一致",IF(G1094&lt;&gt;"","変更（意図的）","★相違"))</f>
        <v>一致</v>
      </c>
      <c r="G1094" s="2"/>
    </row>
    <row r="1095" customFormat="false" ht="15" hidden="false" customHeight="false" outlineLevel="0" collapsed="false">
      <c r="A1095" s="2" t="s">
        <v>824</v>
      </c>
      <c r="B1095" s="27" t="s">
        <v>967</v>
      </c>
      <c r="C1095" s="28" t="n">
        <v>0</v>
      </c>
      <c r="D1095" s="28" t="n">
        <f aca="false">'総括　6～7（メモあり）'!E31</f>
        <v>0</v>
      </c>
      <c r="E1095" s="28" t="n">
        <f aca="false">D1095-N(C1095)</f>
        <v>0</v>
      </c>
      <c r="F1095" s="2" t="str">
        <f aca="false">IF(AND(C1095&lt;&gt;"",ROUND(E1095,2)=0),"一致",IF(G1095&lt;&gt;"","変更（意図的）","★相違"))</f>
        <v>一致</v>
      </c>
      <c r="G1095" s="2"/>
    </row>
    <row r="1096" customFormat="false" ht="15" hidden="false" customHeight="false" outlineLevel="0" collapsed="false">
      <c r="A1096" s="2" t="s">
        <v>824</v>
      </c>
      <c r="B1096" s="27" t="s">
        <v>690</v>
      </c>
      <c r="C1096" s="28" t="n">
        <v>0</v>
      </c>
      <c r="D1096" s="28" t="n">
        <f aca="false">'総括　6～7（メモあり）'!F31</f>
        <v>0</v>
      </c>
      <c r="E1096" s="28" t="n">
        <f aca="false">D1096-N(C1096)</f>
        <v>0</v>
      </c>
      <c r="F1096" s="2" t="str">
        <f aca="false">IF(AND(C1096&lt;&gt;"",ROUND(E1096,2)=0),"一致",IF(G1096&lt;&gt;"","変更（意図的）","★相違"))</f>
        <v>一致</v>
      </c>
      <c r="G1096" s="2"/>
    </row>
    <row r="1097" customFormat="false" ht="15" hidden="false" customHeight="false" outlineLevel="0" collapsed="false">
      <c r="A1097" s="2" t="s">
        <v>824</v>
      </c>
      <c r="B1097" s="27" t="s">
        <v>298</v>
      </c>
      <c r="C1097" s="28" t="n">
        <v>0</v>
      </c>
      <c r="D1097" s="28" t="n">
        <f aca="false">'総括　6～7（メモあり）'!G31</f>
        <v>0</v>
      </c>
      <c r="E1097" s="28" t="n">
        <f aca="false">D1097-N(C1097)</f>
        <v>0</v>
      </c>
      <c r="F1097" s="2" t="str">
        <f aca="false">IF(AND(C1097&lt;&gt;"",ROUND(E1097,2)=0),"一致",IF(G1097&lt;&gt;"","変更（意図的）","★相違"))</f>
        <v>一致</v>
      </c>
      <c r="G1097" s="2"/>
    </row>
    <row r="1098" customFormat="false" ht="15" hidden="false" customHeight="false" outlineLevel="0" collapsed="false">
      <c r="A1098" s="2" t="s">
        <v>824</v>
      </c>
      <c r="B1098" s="27" t="s">
        <v>968</v>
      </c>
      <c r="C1098" s="28" t="n">
        <v>0</v>
      </c>
      <c r="D1098" s="28" t="n">
        <f aca="false">'総括　6～7（メモあり）'!K31</f>
        <v>0</v>
      </c>
      <c r="E1098" s="28" t="n">
        <f aca="false">D1098-N(C1098)</f>
        <v>0</v>
      </c>
      <c r="F1098" s="2" t="str">
        <f aca="false">IF(AND(C1098&lt;&gt;"",ROUND(E1098,2)=0),"一致",IF(G1098&lt;&gt;"","変更（意図的）","★相違"))</f>
        <v>一致</v>
      </c>
      <c r="G1098" s="2"/>
    </row>
    <row r="1099" customFormat="false" ht="15" hidden="false" customHeight="false" outlineLevel="0" collapsed="false">
      <c r="A1099" s="2" t="s">
        <v>824</v>
      </c>
      <c r="B1099" s="27" t="s">
        <v>969</v>
      </c>
      <c r="C1099" s="28" t="n">
        <v>0</v>
      </c>
      <c r="D1099" s="28" t="n">
        <f aca="false">'総括　6～7（メモあり）'!L31</f>
        <v>0</v>
      </c>
      <c r="E1099" s="28" t="n">
        <f aca="false">D1099-N(C1099)</f>
        <v>0</v>
      </c>
      <c r="F1099" s="2" t="str">
        <f aca="false">IF(AND(C1099&lt;&gt;"",ROUND(E1099,2)=0),"一致",IF(G1099&lt;&gt;"","変更（意図的）","★相違"))</f>
        <v>一致</v>
      </c>
      <c r="G1099" s="2"/>
    </row>
    <row r="1100" customFormat="false" ht="15" hidden="false" customHeight="false" outlineLevel="0" collapsed="false">
      <c r="A1100" s="2" t="s">
        <v>824</v>
      </c>
      <c r="B1100" s="27" t="s">
        <v>442</v>
      </c>
      <c r="C1100" s="28" t="n">
        <v>0</v>
      </c>
      <c r="D1100" s="28" t="n">
        <f aca="false">'総括　6～7（メモあり）'!M31</f>
        <v>0</v>
      </c>
      <c r="E1100" s="28" t="n">
        <f aca="false">D1100-N(C1100)</f>
        <v>0</v>
      </c>
      <c r="F1100" s="2" t="str">
        <f aca="false">IF(AND(C1100&lt;&gt;"",ROUND(E1100,2)=0),"一致",IF(G1100&lt;&gt;"","変更（意図的）","★相違"))</f>
        <v>一致</v>
      </c>
      <c r="G1100" s="2"/>
    </row>
    <row r="1101" customFormat="false" ht="15" hidden="false" customHeight="false" outlineLevel="0" collapsed="false">
      <c r="A1101" s="2" t="s">
        <v>824</v>
      </c>
      <c r="B1101" s="27" t="s">
        <v>970</v>
      </c>
      <c r="C1101" s="28" t="n">
        <v>0</v>
      </c>
      <c r="D1101" s="28" t="n">
        <f aca="false">'総括　6～7（メモあり）'!N31</f>
        <v>0</v>
      </c>
      <c r="E1101" s="28" t="n">
        <f aca="false">D1101-N(C1101)</f>
        <v>0</v>
      </c>
      <c r="F1101" s="2" t="str">
        <f aca="false">IF(AND(C1101&lt;&gt;"",ROUND(E1101,2)=0),"一致",IF(G1101&lt;&gt;"","変更（意図的）","★相違"))</f>
        <v>一致</v>
      </c>
      <c r="G1101" s="2"/>
    </row>
    <row r="1102" customFormat="false" ht="15" hidden="false" customHeight="false" outlineLevel="0" collapsed="false">
      <c r="A1102" s="2" t="s">
        <v>824</v>
      </c>
      <c r="B1102" s="27" t="s">
        <v>971</v>
      </c>
      <c r="C1102" s="28" t="n">
        <v>0</v>
      </c>
      <c r="D1102" s="28" t="n">
        <f aca="false">'総括　6～7（メモあり）'!O31</f>
        <v>0</v>
      </c>
      <c r="E1102" s="28" t="n">
        <f aca="false">D1102-N(C1102)</f>
        <v>0</v>
      </c>
      <c r="F1102" s="2" t="str">
        <f aca="false">IF(AND(C1102&lt;&gt;"",ROUND(E1102,2)=0),"一致",IF(G1102&lt;&gt;"","変更（意図的）","★相違"))</f>
        <v>一致</v>
      </c>
      <c r="G1102" s="2"/>
    </row>
    <row r="1103" customFormat="false" ht="15" hidden="false" customHeight="false" outlineLevel="0" collapsed="false">
      <c r="A1103" s="2" t="s">
        <v>824</v>
      </c>
      <c r="B1103" s="27" t="s">
        <v>691</v>
      </c>
      <c r="C1103" s="28" t="n">
        <v>0</v>
      </c>
      <c r="D1103" s="28" t="n">
        <f aca="false">'総括　6～7（メモあり）'!P31</f>
        <v>0</v>
      </c>
      <c r="E1103" s="28" t="n">
        <f aca="false">D1103-N(C1103)</f>
        <v>0</v>
      </c>
      <c r="F1103" s="2" t="str">
        <f aca="false">IF(AND(C1103&lt;&gt;"",ROUND(E1103,2)=0),"一致",IF(G1103&lt;&gt;"","変更（意図的）","★相違"))</f>
        <v>一致</v>
      </c>
      <c r="G1103" s="2"/>
    </row>
    <row r="1104" customFormat="false" ht="15" hidden="false" customHeight="false" outlineLevel="0" collapsed="false">
      <c r="A1104" s="2" t="s">
        <v>824</v>
      </c>
      <c r="B1104" s="27" t="s">
        <v>972</v>
      </c>
      <c r="C1104" s="28" t="n">
        <v>0</v>
      </c>
      <c r="D1104" s="28" t="n">
        <f aca="false">'総括　6～7（メモあり）'!Q31</f>
        <v>0</v>
      </c>
      <c r="E1104" s="28" t="n">
        <f aca="false">D1104-N(C1104)</f>
        <v>0</v>
      </c>
      <c r="F1104" s="2" t="str">
        <f aca="false">IF(AND(C1104&lt;&gt;"",ROUND(E1104,2)=0),"一致",IF(G1104&lt;&gt;"","変更（意図的）","★相違"))</f>
        <v>一致</v>
      </c>
      <c r="G1104" s="2"/>
    </row>
    <row r="1105" customFormat="false" ht="15" hidden="false" customHeight="false" outlineLevel="0" collapsed="false">
      <c r="A1105" s="2" t="s">
        <v>824</v>
      </c>
      <c r="B1105" s="27" t="s">
        <v>973</v>
      </c>
      <c r="C1105" s="28" t="n">
        <v>0</v>
      </c>
      <c r="D1105" s="28" t="n">
        <f aca="false">'総括　6～7（メモあり）'!R31</f>
        <v>0</v>
      </c>
      <c r="E1105" s="28" t="n">
        <f aca="false">D1105-N(C1105)</f>
        <v>0</v>
      </c>
      <c r="F1105" s="2" t="str">
        <f aca="false">IF(AND(C1105&lt;&gt;"",ROUND(E1105,2)=0),"一致",IF(G1105&lt;&gt;"","変更（意図的）","★相違"))</f>
        <v>一致</v>
      </c>
      <c r="G1105" s="2"/>
    </row>
    <row r="1106" customFormat="false" ht="15" hidden="false" customHeight="false" outlineLevel="0" collapsed="false">
      <c r="A1106" s="2" t="s">
        <v>824</v>
      </c>
      <c r="B1106" s="27" t="s">
        <v>692</v>
      </c>
      <c r="C1106" s="28" t="n">
        <v>0</v>
      </c>
      <c r="D1106" s="28" t="n">
        <f aca="false">'総括　6～7（メモあり）'!S31</f>
        <v>0</v>
      </c>
      <c r="E1106" s="28" t="n">
        <f aca="false">D1106-N(C1106)</f>
        <v>0</v>
      </c>
      <c r="F1106" s="2" t="str">
        <f aca="false">IF(AND(C1106&lt;&gt;"",ROUND(E1106,2)=0),"一致",IF(G1106&lt;&gt;"","変更（意図的）","★相違"))</f>
        <v>一致</v>
      </c>
      <c r="G1106" s="2"/>
    </row>
    <row r="1107" customFormat="false" ht="15" hidden="false" customHeight="false" outlineLevel="0" collapsed="false">
      <c r="A1107" s="2" t="s">
        <v>824</v>
      </c>
      <c r="B1107" s="27" t="s">
        <v>974</v>
      </c>
      <c r="C1107" s="28" t="n">
        <v>36121513</v>
      </c>
      <c r="D1107" s="28" t="n">
        <f aca="false">'総括　6～7（メモあり）'!E32</f>
        <v>36121513</v>
      </c>
      <c r="E1107" s="28" t="n">
        <f aca="false">D1107-N(C1107)</f>
        <v>0</v>
      </c>
      <c r="F1107" s="2" t="str">
        <f aca="false">IF(AND(C1107&lt;&gt;"",ROUND(E1107,2)=0),"一致",IF(G1107&lt;&gt;"","変更（意図的）","★相違"))</f>
        <v>一致</v>
      </c>
      <c r="G1107" s="2"/>
    </row>
    <row r="1108" customFormat="false" ht="15" hidden="false" customHeight="false" outlineLevel="0" collapsed="false">
      <c r="A1108" s="2" t="s">
        <v>824</v>
      </c>
      <c r="B1108" s="27" t="s">
        <v>693</v>
      </c>
      <c r="C1108" s="28" t="n">
        <v>41107601</v>
      </c>
      <c r="D1108" s="28" t="n">
        <f aca="false">'総括　6～7（メモあり）'!F32</f>
        <v>41107601</v>
      </c>
      <c r="E1108" s="28" t="n">
        <f aca="false">D1108-N(C1108)</f>
        <v>0</v>
      </c>
      <c r="F1108" s="2" t="str">
        <f aca="false">IF(AND(C1108&lt;&gt;"",ROUND(E1108,2)=0),"一致",IF(G1108&lt;&gt;"","変更（意図的）","★相違"))</f>
        <v>一致</v>
      </c>
      <c r="G1108" s="2"/>
    </row>
    <row r="1109" customFormat="false" ht="15" hidden="false" customHeight="false" outlineLevel="0" collapsed="false">
      <c r="A1109" s="2" t="s">
        <v>824</v>
      </c>
      <c r="B1109" s="27" t="s">
        <v>299</v>
      </c>
      <c r="C1109" s="28" t="n">
        <v>-4986088</v>
      </c>
      <c r="D1109" s="28" t="n">
        <f aca="false">'総括　6～7（メモあり）'!G32</f>
        <v>-4986088</v>
      </c>
      <c r="E1109" s="28" t="n">
        <f aca="false">D1109-N(C1109)</f>
        <v>0</v>
      </c>
      <c r="F1109" s="2" t="str">
        <f aca="false">IF(AND(C1109&lt;&gt;"",ROUND(E1109,2)=0),"一致",IF(G1109&lt;&gt;"","変更（意図的）","★相違"))</f>
        <v>一致</v>
      </c>
      <c r="G1109" s="2"/>
    </row>
    <row r="1110" customFormat="false" ht="15" hidden="false" customHeight="false" outlineLevel="0" collapsed="false">
      <c r="A1110" s="2" t="s">
        <v>824</v>
      </c>
      <c r="B1110" s="27" t="s">
        <v>975</v>
      </c>
      <c r="C1110" s="28" t="n">
        <v>0</v>
      </c>
      <c r="D1110" s="28" t="n">
        <f aca="false">'総括　6～7（メモあり）'!K32</f>
        <v>0</v>
      </c>
      <c r="E1110" s="28" t="n">
        <f aca="false">D1110-N(C1110)</f>
        <v>0</v>
      </c>
      <c r="F1110" s="2" t="str">
        <f aca="false">IF(AND(C1110&lt;&gt;"",ROUND(E1110,2)=0),"一致",IF(G1110&lt;&gt;"","変更（意図的）","★相違"))</f>
        <v>一致</v>
      </c>
      <c r="G1110" s="2"/>
    </row>
    <row r="1111" customFormat="false" ht="15" hidden="false" customHeight="false" outlineLevel="0" collapsed="false">
      <c r="A1111" s="2" t="s">
        <v>824</v>
      </c>
      <c r="B1111" s="27" t="s">
        <v>976</v>
      </c>
      <c r="C1111" s="28" t="n">
        <v>0</v>
      </c>
      <c r="D1111" s="28" t="n">
        <f aca="false">'総括　6～7（メモあり）'!L32</f>
        <v>0</v>
      </c>
      <c r="E1111" s="28" t="n">
        <f aca="false">D1111-N(C1111)</f>
        <v>0</v>
      </c>
      <c r="F1111" s="2" t="str">
        <f aca="false">IF(AND(C1111&lt;&gt;"",ROUND(E1111,2)=0),"一致",IF(G1111&lt;&gt;"","変更（意図的）","★相違"))</f>
        <v>一致</v>
      </c>
      <c r="G1111" s="2"/>
    </row>
    <row r="1112" customFormat="false" ht="15" hidden="false" customHeight="false" outlineLevel="0" collapsed="false">
      <c r="A1112" s="2" t="s">
        <v>824</v>
      </c>
      <c r="B1112" s="27" t="s">
        <v>447</v>
      </c>
      <c r="C1112" s="28" t="n">
        <v>0</v>
      </c>
      <c r="D1112" s="28" t="n">
        <f aca="false">'総括　6～7（メモあり）'!M32</f>
        <v>0</v>
      </c>
      <c r="E1112" s="28" t="n">
        <f aca="false">D1112-N(C1112)</f>
        <v>0</v>
      </c>
      <c r="F1112" s="2" t="str">
        <f aca="false">IF(AND(C1112&lt;&gt;"",ROUND(E1112,2)=0),"一致",IF(G1112&lt;&gt;"","変更（意図的）","★相違"))</f>
        <v>一致</v>
      </c>
      <c r="G1112" s="2"/>
    </row>
    <row r="1113" customFormat="false" ht="15" hidden="false" customHeight="false" outlineLevel="0" collapsed="false">
      <c r="A1113" s="2" t="s">
        <v>824</v>
      </c>
      <c r="B1113" s="27" t="s">
        <v>977</v>
      </c>
      <c r="C1113" s="28" t="n">
        <v>0</v>
      </c>
      <c r="D1113" s="28" t="n">
        <f aca="false">'総括　6～7（メモあり）'!N32</f>
        <v>0</v>
      </c>
      <c r="E1113" s="28" t="n">
        <f aca="false">D1113-N(C1113)</f>
        <v>0</v>
      </c>
      <c r="F1113" s="2" t="str">
        <f aca="false">IF(AND(C1113&lt;&gt;"",ROUND(E1113,2)=0),"一致",IF(G1113&lt;&gt;"","変更（意図的）","★相違"))</f>
        <v>一致</v>
      </c>
      <c r="G1113" s="2"/>
    </row>
    <row r="1114" customFormat="false" ht="15" hidden="false" customHeight="false" outlineLevel="0" collapsed="false">
      <c r="A1114" s="2" t="s">
        <v>824</v>
      </c>
      <c r="B1114" s="27" t="s">
        <v>978</v>
      </c>
      <c r="C1114" s="28" t="n">
        <v>0</v>
      </c>
      <c r="D1114" s="28" t="n">
        <f aca="false">'総括　6～7（メモあり）'!O32</f>
        <v>0</v>
      </c>
      <c r="E1114" s="28" t="n">
        <f aca="false">D1114-N(C1114)</f>
        <v>0</v>
      </c>
      <c r="F1114" s="2" t="str">
        <f aca="false">IF(AND(C1114&lt;&gt;"",ROUND(E1114,2)=0),"一致",IF(G1114&lt;&gt;"","変更（意図的）","★相違"))</f>
        <v>一致</v>
      </c>
      <c r="G1114" s="2"/>
    </row>
    <row r="1115" customFormat="false" ht="15" hidden="false" customHeight="false" outlineLevel="0" collapsed="false">
      <c r="A1115" s="2" t="s">
        <v>824</v>
      </c>
      <c r="B1115" s="27" t="s">
        <v>694</v>
      </c>
      <c r="C1115" s="28" t="n">
        <v>0</v>
      </c>
      <c r="D1115" s="28" t="n">
        <f aca="false">'総括　6～7（メモあり）'!P32</f>
        <v>0</v>
      </c>
      <c r="E1115" s="28" t="n">
        <f aca="false">D1115-N(C1115)</f>
        <v>0</v>
      </c>
      <c r="F1115" s="2" t="str">
        <f aca="false">IF(AND(C1115&lt;&gt;"",ROUND(E1115,2)=0),"一致",IF(G1115&lt;&gt;"","変更（意図的）","★相違"))</f>
        <v>一致</v>
      </c>
      <c r="G1115" s="2"/>
    </row>
    <row r="1116" customFormat="false" ht="15" hidden="false" customHeight="false" outlineLevel="0" collapsed="false">
      <c r="A1116" s="2" t="s">
        <v>824</v>
      </c>
      <c r="B1116" s="27" t="s">
        <v>979</v>
      </c>
      <c r="C1116" s="28" t="n">
        <v>0</v>
      </c>
      <c r="D1116" s="28" t="n">
        <f aca="false">'総括　6～7（メモあり）'!Q32</f>
        <v>0</v>
      </c>
      <c r="E1116" s="28" t="n">
        <f aca="false">D1116-N(C1116)</f>
        <v>0</v>
      </c>
      <c r="F1116" s="2" t="str">
        <f aca="false">IF(AND(C1116&lt;&gt;"",ROUND(E1116,2)=0),"一致",IF(G1116&lt;&gt;"","変更（意図的）","★相違"))</f>
        <v>一致</v>
      </c>
      <c r="G1116" s="2"/>
    </row>
    <row r="1117" customFormat="false" ht="15" hidden="false" customHeight="false" outlineLevel="0" collapsed="false">
      <c r="A1117" s="2" t="s">
        <v>824</v>
      </c>
      <c r="B1117" s="27" t="s">
        <v>980</v>
      </c>
      <c r="C1117" s="28" t="n">
        <v>0</v>
      </c>
      <c r="D1117" s="28" t="n">
        <f aca="false">'総括　6～7（メモあり）'!R32</f>
        <v>0</v>
      </c>
      <c r="E1117" s="28" t="n">
        <f aca="false">D1117-N(C1117)</f>
        <v>0</v>
      </c>
      <c r="F1117" s="2" t="str">
        <f aca="false">IF(AND(C1117&lt;&gt;"",ROUND(E1117,2)=0),"一致",IF(G1117&lt;&gt;"","変更（意図的）","★相違"))</f>
        <v>一致</v>
      </c>
      <c r="G1117" s="2"/>
    </row>
    <row r="1118" customFormat="false" ht="15" hidden="false" customHeight="false" outlineLevel="0" collapsed="false">
      <c r="A1118" s="2" t="s">
        <v>824</v>
      </c>
      <c r="B1118" s="27" t="s">
        <v>695</v>
      </c>
      <c r="C1118" s="28" t="n">
        <v>0</v>
      </c>
      <c r="D1118" s="28" t="n">
        <f aca="false">'総括　6～7（メモあり）'!S32</f>
        <v>0</v>
      </c>
      <c r="E1118" s="28" t="n">
        <f aca="false">D1118-N(C1118)</f>
        <v>0</v>
      </c>
      <c r="F1118" s="2" t="str">
        <f aca="false">IF(AND(C1118&lt;&gt;"",ROUND(E1118,2)=0),"一致",IF(G1118&lt;&gt;"","変更（意図的）","★相違"))</f>
        <v>一致</v>
      </c>
      <c r="G1118" s="2"/>
    </row>
    <row r="1119" customFormat="false" ht="15" hidden="false" customHeight="false" outlineLevel="0" collapsed="false">
      <c r="A1119" s="2" t="s">
        <v>824</v>
      </c>
      <c r="B1119" s="27" t="s">
        <v>981</v>
      </c>
      <c r="C1119" s="28" t="n">
        <v>74042318</v>
      </c>
      <c r="D1119" s="28" t="n">
        <f aca="false">'総括　6～7（メモあり）'!E33</f>
        <v>74042318</v>
      </c>
      <c r="E1119" s="28" t="n">
        <f aca="false">D1119-N(C1119)</f>
        <v>0</v>
      </c>
      <c r="F1119" s="2" t="str">
        <f aca="false">IF(AND(C1119&lt;&gt;"",ROUND(E1119,2)=0),"一致",IF(G1119&lt;&gt;"","変更（意図的）","★相違"))</f>
        <v>一致</v>
      </c>
      <c r="G1119" s="2"/>
    </row>
    <row r="1120" customFormat="false" ht="15" hidden="false" customHeight="false" outlineLevel="0" collapsed="false">
      <c r="A1120" s="2" t="s">
        <v>824</v>
      </c>
      <c r="B1120" s="27" t="s">
        <v>696</v>
      </c>
      <c r="C1120" s="28" t="n">
        <v>70781450</v>
      </c>
      <c r="D1120" s="28" t="n">
        <f aca="false">'総括　6～7（メモあり）'!F33</f>
        <v>70781450</v>
      </c>
      <c r="E1120" s="28" t="n">
        <f aca="false">D1120-N(C1120)</f>
        <v>0</v>
      </c>
      <c r="F1120" s="2" t="str">
        <f aca="false">IF(AND(C1120&lt;&gt;"",ROUND(E1120,2)=0),"一致",IF(G1120&lt;&gt;"","変更（意図的）","★相違"))</f>
        <v>一致</v>
      </c>
      <c r="G1120" s="2"/>
    </row>
    <row r="1121" customFormat="false" ht="15" hidden="false" customHeight="false" outlineLevel="0" collapsed="false">
      <c r="A1121" s="2" t="s">
        <v>824</v>
      </c>
      <c r="B1121" s="27" t="s">
        <v>697</v>
      </c>
      <c r="C1121" s="28" t="n">
        <v>3260868</v>
      </c>
      <c r="D1121" s="28" t="n">
        <f aca="false">'総括　6～7（メモあり）'!G33</f>
        <v>3260868</v>
      </c>
      <c r="E1121" s="28" t="n">
        <f aca="false">D1121-N(C1121)</f>
        <v>0</v>
      </c>
      <c r="F1121" s="2" t="str">
        <f aca="false">IF(AND(C1121&lt;&gt;"",ROUND(E1121,2)=0),"一致",IF(G1121&lt;&gt;"","変更（意図的）","★相違"))</f>
        <v>一致</v>
      </c>
      <c r="G1121" s="2"/>
    </row>
    <row r="1122" customFormat="false" ht="15" hidden="false" customHeight="false" outlineLevel="0" collapsed="false">
      <c r="A1122" s="2" t="s">
        <v>824</v>
      </c>
      <c r="B1122" s="27" t="s">
        <v>982</v>
      </c>
      <c r="C1122" s="28" t="n">
        <v>0</v>
      </c>
      <c r="D1122" s="28" t="n">
        <f aca="false">'総括　6～7（メモあり）'!K33</f>
        <v>0</v>
      </c>
      <c r="E1122" s="28" t="n">
        <f aca="false">D1122-N(C1122)</f>
        <v>0</v>
      </c>
      <c r="F1122" s="2" t="str">
        <f aca="false">IF(AND(C1122&lt;&gt;"",ROUND(E1122,2)=0),"一致",IF(G1122&lt;&gt;"","変更（意図的）","★相違"))</f>
        <v>一致</v>
      </c>
      <c r="G1122" s="2"/>
    </row>
    <row r="1123" customFormat="false" ht="15" hidden="false" customHeight="false" outlineLevel="0" collapsed="false">
      <c r="A1123" s="2" t="s">
        <v>824</v>
      </c>
      <c r="B1123" s="27" t="s">
        <v>983</v>
      </c>
      <c r="C1123" s="28" t="n">
        <v>0</v>
      </c>
      <c r="D1123" s="28" t="n">
        <f aca="false">'総括　6～7（メモあり）'!L33</f>
        <v>0</v>
      </c>
      <c r="E1123" s="28" t="n">
        <f aca="false">D1123-N(C1123)</f>
        <v>0</v>
      </c>
      <c r="F1123" s="2" t="str">
        <f aca="false">IF(AND(C1123&lt;&gt;"",ROUND(E1123,2)=0),"一致",IF(G1123&lt;&gt;"","変更（意図的）","★相違"))</f>
        <v>一致</v>
      </c>
      <c r="G1123" s="2"/>
    </row>
    <row r="1124" customFormat="false" ht="15" hidden="false" customHeight="false" outlineLevel="0" collapsed="false">
      <c r="A1124" s="2" t="s">
        <v>824</v>
      </c>
      <c r="B1124" s="27" t="s">
        <v>698</v>
      </c>
      <c r="C1124" s="28" t="n">
        <v>0</v>
      </c>
      <c r="D1124" s="28" t="n">
        <f aca="false">'総括　6～7（メモあり）'!M33</f>
        <v>0</v>
      </c>
      <c r="E1124" s="28" t="n">
        <f aca="false">D1124-N(C1124)</f>
        <v>0</v>
      </c>
      <c r="F1124" s="2" t="str">
        <f aca="false">IF(AND(C1124&lt;&gt;"",ROUND(E1124,2)=0),"一致",IF(G1124&lt;&gt;"","変更（意図的）","★相違"))</f>
        <v>一致</v>
      </c>
      <c r="G1124" s="2"/>
    </row>
    <row r="1125" customFormat="false" ht="15" hidden="false" customHeight="false" outlineLevel="0" collapsed="false">
      <c r="A1125" s="2" t="s">
        <v>824</v>
      </c>
      <c r="B1125" s="27" t="s">
        <v>984</v>
      </c>
      <c r="C1125" s="28" t="n">
        <v>0</v>
      </c>
      <c r="D1125" s="28" t="n">
        <f aca="false">'総括　6～7（メモあり）'!N33</f>
        <v>0</v>
      </c>
      <c r="E1125" s="28" t="n">
        <f aca="false">D1125-N(C1125)</f>
        <v>0</v>
      </c>
      <c r="F1125" s="2" t="str">
        <f aca="false">IF(AND(C1125&lt;&gt;"",ROUND(E1125,2)=0),"一致",IF(G1125&lt;&gt;"","変更（意図的）","★相違"))</f>
        <v>一致</v>
      </c>
      <c r="G1125" s="2"/>
    </row>
    <row r="1126" customFormat="false" ht="15" hidden="false" customHeight="false" outlineLevel="0" collapsed="false">
      <c r="A1126" s="2" t="s">
        <v>824</v>
      </c>
      <c r="B1126" s="27" t="s">
        <v>985</v>
      </c>
      <c r="C1126" s="28" t="n">
        <v>0</v>
      </c>
      <c r="D1126" s="28" t="n">
        <f aca="false">'総括　6～7（メモあり）'!O33</f>
        <v>0</v>
      </c>
      <c r="E1126" s="28" t="n">
        <f aca="false">D1126-N(C1126)</f>
        <v>0</v>
      </c>
      <c r="F1126" s="2" t="str">
        <f aca="false">IF(AND(C1126&lt;&gt;"",ROUND(E1126,2)=0),"一致",IF(G1126&lt;&gt;"","変更（意図的）","★相違"))</f>
        <v>一致</v>
      </c>
      <c r="G1126" s="2"/>
    </row>
    <row r="1127" customFormat="false" ht="15" hidden="false" customHeight="false" outlineLevel="0" collapsed="false">
      <c r="A1127" s="2" t="s">
        <v>824</v>
      </c>
      <c r="B1127" s="27" t="s">
        <v>699</v>
      </c>
      <c r="C1127" s="28" t="n">
        <v>0</v>
      </c>
      <c r="D1127" s="28" t="n">
        <f aca="false">'総括　6～7（メモあり）'!P33</f>
        <v>0</v>
      </c>
      <c r="E1127" s="28" t="n">
        <f aca="false">D1127-N(C1127)</f>
        <v>0</v>
      </c>
      <c r="F1127" s="2" t="str">
        <f aca="false">IF(AND(C1127&lt;&gt;"",ROUND(E1127,2)=0),"一致",IF(G1127&lt;&gt;"","変更（意図的）","★相違"))</f>
        <v>一致</v>
      </c>
      <c r="G1127" s="2"/>
    </row>
    <row r="1128" customFormat="false" ht="15" hidden="false" customHeight="false" outlineLevel="0" collapsed="false">
      <c r="A1128" s="2" t="s">
        <v>824</v>
      </c>
      <c r="B1128" s="27" t="s">
        <v>986</v>
      </c>
      <c r="C1128" s="28" t="n">
        <v>0</v>
      </c>
      <c r="D1128" s="28" t="n">
        <f aca="false">'総括　6～7（メモあり）'!Q33</f>
        <v>0</v>
      </c>
      <c r="E1128" s="28" t="n">
        <f aca="false">D1128-N(C1128)</f>
        <v>0</v>
      </c>
      <c r="F1128" s="2" t="str">
        <f aca="false">IF(AND(C1128&lt;&gt;"",ROUND(E1128,2)=0),"一致",IF(G1128&lt;&gt;"","変更（意図的）","★相違"))</f>
        <v>一致</v>
      </c>
      <c r="G1128" s="2"/>
    </row>
    <row r="1129" customFormat="false" ht="15" hidden="false" customHeight="false" outlineLevel="0" collapsed="false">
      <c r="A1129" s="2" t="s">
        <v>824</v>
      </c>
      <c r="B1129" s="27" t="s">
        <v>987</v>
      </c>
      <c r="C1129" s="28" t="n">
        <v>0</v>
      </c>
      <c r="D1129" s="28" t="n">
        <f aca="false">'総括　6～7（メモあり）'!R33</f>
        <v>0</v>
      </c>
      <c r="E1129" s="28" t="n">
        <f aca="false">D1129-N(C1129)</f>
        <v>0</v>
      </c>
      <c r="F1129" s="2" t="str">
        <f aca="false">IF(AND(C1129&lt;&gt;"",ROUND(E1129,2)=0),"一致",IF(G1129&lt;&gt;"","変更（意図的）","★相違"))</f>
        <v>一致</v>
      </c>
      <c r="G1129" s="2"/>
    </row>
    <row r="1130" customFormat="false" ht="15" hidden="false" customHeight="false" outlineLevel="0" collapsed="false">
      <c r="A1130" s="2" t="s">
        <v>824</v>
      </c>
      <c r="B1130" s="27" t="s">
        <v>700</v>
      </c>
      <c r="C1130" s="28" t="n">
        <v>0</v>
      </c>
      <c r="D1130" s="28" t="n">
        <f aca="false">'総括　6～7（メモあり）'!S33</f>
        <v>0</v>
      </c>
      <c r="E1130" s="28" t="n">
        <f aca="false">D1130-N(C1130)</f>
        <v>0</v>
      </c>
      <c r="F1130" s="2" t="str">
        <f aca="false">IF(AND(C1130&lt;&gt;"",ROUND(E1130,2)=0),"一致",IF(G1130&lt;&gt;"","変更（意図的）","★相違"))</f>
        <v>一致</v>
      </c>
      <c r="G1130" s="2"/>
    </row>
    <row r="1131" customFormat="false" ht="15" hidden="false" customHeight="false" outlineLevel="0" collapsed="false">
      <c r="A1131" s="2" t="s">
        <v>824</v>
      </c>
      <c r="B1131" s="27" t="s">
        <v>988</v>
      </c>
      <c r="C1131" s="28" t="n">
        <v>5748963367</v>
      </c>
      <c r="D1131" s="28" t="n">
        <f aca="false">'総括　6～7（メモあり）'!E34</f>
        <v>5748963367</v>
      </c>
      <c r="E1131" s="28" t="n">
        <f aca="false">D1131-N(C1131)</f>
        <v>0</v>
      </c>
      <c r="F1131" s="2" t="str">
        <f aca="false">IF(AND(C1131&lt;&gt;"",ROUND(E1131,2)=0),"一致",IF(G1131&lt;&gt;"","変更（意図的）","★相違"))</f>
        <v>一致</v>
      </c>
      <c r="G1131" s="2"/>
    </row>
    <row r="1132" customFormat="false" ht="15" hidden="false" customHeight="false" outlineLevel="0" collapsed="false">
      <c r="A1132" s="2" t="s">
        <v>824</v>
      </c>
      <c r="B1132" s="27" t="s">
        <v>701</v>
      </c>
      <c r="C1132" s="28" t="n">
        <v>4701751348</v>
      </c>
      <c r="D1132" s="28" t="n">
        <f aca="false">'総括　6～7（メモあり）'!F34</f>
        <v>4701751348</v>
      </c>
      <c r="E1132" s="28" t="n">
        <f aca="false">D1132-N(C1132)</f>
        <v>0</v>
      </c>
      <c r="F1132" s="2" t="str">
        <f aca="false">IF(AND(C1132&lt;&gt;"",ROUND(E1132,2)=0),"一致",IF(G1132&lt;&gt;"","変更（意図的）","★相違"))</f>
        <v>一致</v>
      </c>
      <c r="G1132" s="2"/>
    </row>
    <row r="1133" customFormat="false" ht="15" hidden="false" customHeight="false" outlineLevel="0" collapsed="false">
      <c r="A1133" s="2" t="s">
        <v>824</v>
      </c>
      <c r="B1133" s="27" t="s">
        <v>702</v>
      </c>
      <c r="C1133" s="28" t="n">
        <v>1047212019</v>
      </c>
      <c r="D1133" s="28" t="n">
        <f aca="false">'総括　6～7（メモあり）'!G34</f>
        <v>1047212019</v>
      </c>
      <c r="E1133" s="28" t="n">
        <f aca="false">D1133-N(C1133)</f>
        <v>0</v>
      </c>
      <c r="F1133" s="2" t="str">
        <f aca="false">IF(AND(C1133&lt;&gt;"",ROUND(E1133,2)=0),"一致",IF(G1133&lt;&gt;"","変更（意図的）","★相違"))</f>
        <v>一致</v>
      </c>
      <c r="G1133" s="2"/>
    </row>
    <row r="1134" customFormat="false" ht="15" hidden="false" customHeight="false" outlineLevel="0" collapsed="false">
      <c r="A1134" s="2" t="s">
        <v>824</v>
      </c>
      <c r="B1134" s="27" t="s">
        <v>989</v>
      </c>
      <c r="C1134" s="28" t="n">
        <v>0</v>
      </c>
      <c r="D1134" s="28" t="n">
        <f aca="false">'総括　6～7（メモあり）'!K34</f>
        <v>0</v>
      </c>
      <c r="E1134" s="28" t="n">
        <f aca="false">D1134-N(C1134)</f>
        <v>0</v>
      </c>
      <c r="F1134" s="2" t="str">
        <f aca="false">IF(AND(C1134&lt;&gt;"",ROUND(E1134,2)=0),"一致",IF(G1134&lt;&gt;"","変更（意図的）","★相違"))</f>
        <v>一致</v>
      </c>
      <c r="G1134" s="2"/>
    </row>
    <row r="1135" customFormat="false" ht="15" hidden="false" customHeight="false" outlineLevel="0" collapsed="false">
      <c r="A1135" s="2" t="s">
        <v>824</v>
      </c>
      <c r="B1135" s="27" t="s">
        <v>990</v>
      </c>
      <c r="C1135" s="28" t="n">
        <v>0</v>
      </c>
      <c r="D1135" s="28" t="n">
        <f aca="false">'総括　6～7（メモあり）'!L34</f>
        <v>0</v>
      </c>
      <c r="E1135" s="28" t="n">
        <f aca="false">D1135-N(C1135)</f>
        <v>0</v>
      </c>
      <c r="F1135" s="2" t="str">
        <f aca="false">IF(AND(C1135&lt;&gt;"",ROUND(E1135,2)=0),"一致",IF(G1135&lt;&gt;"","変更（意図的）","★相違"))</f>
        <v>一致</v>
      </c>
      <c r="G1135" s="2"/>
    </row>
    <row r="1136" customFormat="false" ht="15" hidden="false" customHeight="false" outlineLevel="0" collapsed="false">
      <c r="A1136" s="2" t="s">
        <v>824</v>
      </c>
      <c r="B1136" s="27" t="s">
        <v>703</v>
      </c>
      <c r="C1136" s="28" t="n">
        <v>0</v>
      </c>
      <c r="D1136" s="28" t="n">
        <f aca="false">'総括　6～7（メモあり）'!M34</f>
        <v>0</v>
      </c>
      <c r="E1136" s="28" t="n">
        <f aca="false">D1136-N(C1136)</f>
        <v>0</v>
      </c>
      <c r="F1136" s="2" t="str">
        <f aca="false">IF(AND(C1136&lt;&gt;"",ROUND(E1136,2)=0),"一致",IF(G1136&lt;&gt;"","変更（意図的）","★相違"))</f>
        <v>一致</v>
      </c>
      <c r="G1136" s="2"/>
    </row>
    <row r="1137" customFormat="false" ht="15" hidden="false" customHeight="false" outlineLevel="0" collapsed="false">
      <c r="A1137" s="2" t="s">
        <v>824</v>
      </c>
      <c r="B1137" s="27" t="s">
        <v>991</v>
      </c>
      <c r="C1137" s="28" t="n">
        <v>0</v>
      </c>
      <c r="D1137" s="28" t="n">
        <f aca="false">'総括　6～7（メモあり）'!N34</f>
        <v>0</v>
      </c>
      <c r="E1137" s="28" t="n">
        <f aca="false">D1137-N(C1137)</f>
        <v>0</v>
      </c>
      <c r="F1137" s="2" t="str">
        <f aca="false">IF(AND(C1137&lt;&gt;"",ROUND(E1137,2)=0),"一致",IF(G1137&lt;&gt;"","変更（意図的）","★相違"))</f>
        <v>一致</v>
      </c>
      <c r="G1137" s="2"/>
    </row>
    <row r="1138" customFormat="false" ht="15" hidden="false" customHeight="false" outlineLevel="0" collapsed="false">
      <c r="A1138" s="2" t="s">
        <v>824</v>
      </c>
      <c r="B1138" s="27" t="s">
        <v>992</v>
      </c>
      <c r="C1138" s="28" t="n">
        <v>0</v>
      </c>
      <c r="D1138" s="28" t="n">
        <f aca="false">'総括　6～7（メモあり）'!O34</f>
        <v>0</v>
      </c>
      <c r="E1138" s="28" t="n">
        <f aca="false">D1138-N(C1138)</f>
        <v>0</v>
      </c>
      <c r="F1138" s="2" t="str">
        <f aca="false">IF(AND(C1138&lt;&gt;"",ROUND(E1138,2)=0),"一致",IF(G1138&lt;&gt;"","変更（意図的）","★相違"))</f>
        <v>一致</v>
      </c>
      <c r="G1138" s="2"/>
    </row>
    <row r="1139" customFormat="false" ht="15" hidden="false" customHeight="false" outlineLevel="0" collapsed="false">
      <c r="A1139" s="2" t="s">
        <v>824</v>
      </c>
      <c r="B1139" s="27" t="s">
        <v>704</v>
      </c>
      <c r="C1139" s="28" t="n">
        <v>0</v>
      </c>
      <c r="D1139" s="28" t="n">
        <f aca="false">'総括　6～7（メモあり）'!P34</f>
        <v>0</v>
      </c>
      <c r="E1139" s="28" t="n">
        <f aca="false">D1139-N(C1139)</f>
        <v>0</v>
      </c>
      <c r="F1139" s="2" t="str">
        <f aca="false">IF(AND(C1139&lt;&gt;"",ROUND(E1139,2)=0),"一致",IF(G1139&lt;&gt;"","変更（意図的）","★相違"))</f>
        <v>一致</v>
      </c>
      <c r="G1139" s="2"/>
    </row>
    <row r="1140" customFormat="false" ht="15" hidden="false" customHeight="false" outlineLevel="0" collapsed="false">
      <c r="A1140" s="2" t="s">
        <v>824</v>
      </c>
      <c r="B1140" s="27" t="s">
        <v>993</v>
      </c>
      <c r="C1140" s="28" t="n">
        <v>0</v>
      </c>
      <c r="D1140" s="28" t="n">
        <f aca="false">'総括　6～7（メモあり）'!Q34</f>
        <v>0</v>
      </c>
      <c r="E1140" s="28" t="n">
        <f aca="false">D1140-N(C1140)</f>
        <v>0</v>
      </c>
      <c r="F1140" s="2" t="str">
        <f aca="false">IF(AND(C1140&lt;&gt;"",ROUND(E1140,2)=0),"一致",IF(G1140&lt;&gt;"","変更（意図的）","★相違"))</f>
        <v>一致</v>
      </c>
      <c r="G1140" s="2"/>
    </row>
    <row r="1141" customFormat="false" ht="15" hidden="false" customHeight="false" outlineLevel="0" collapsed="false">
      <c r="A1141" s="2" t="s">
        <v>824</v>
      </c>
      <c r="B1141" s="27" t="s">
        <v>994</v>
      </c>
      <c r="C1141" s="28" t="n">
        <v>0</v>
      </c>
      <c r="D1141" s="28" t="n">
        <f aca="false">'総括　6～7（メモあり）'!R34</f>
        <v>0</v>
      </c>
      <c r="E1141" s="28" t="n">
        <f aca="false">D1141-N(C1141)</f>
        <v>0</v>
      </c>
      <c r="F1141" s="2" t="str">
        <f aca="false">IF(AND(C1141&lt;&gt;"",ROUND(E1141,2)=0),"一致",IF(G1141&lt;&gt;"","変更（意図的）","★相違"))</f>
        <v>一致</v>
      </c>
      <c r="G1141" s="2"/>
    </row>
    <row r="1142" customFormat="false" ht="15" hidden="false" customHeight="false" outlineLevel="0" collapsed="false">
      <c r="A1142" s="2" t="s">
        <v>824</v>
      </c>
      <c r="B1142" s="27" t="s">
        <v>705</v>
      </c>
      <c r="C1142" s="28" t="n">
        <v>0</v>
      </c>
      <c r="D1142" s="28" t="n">
        <f aca="false">'総括　6～7（メモあり）'!S34</f>
        <v>0</v>
      </c>
      <c r="E1142" s="28" t="n">
        <f aca="false">D1142-N(C1142)</f>
        <v>0</v>
      </c>
      <c r="F1142" s="2" t="str">
        <f aca="false">IF(AND(C1142&lt;&gt;"",ROUND(E1142,2)=0),"一致",IF(G1142&lt;&gt;"","変更（意図的）","★相違"))</f>
        <v>一致</v>
      </c>
      <c r="G1142" s="2"/>
    </row>
    <row r="1143" customFormat="false" ht="15" hidden="false" customHeight="false" outlineLevel="0" collapsed="false">
      <c r="A1143" s="2" t="s">
        <v>824</v>
      </c>
      <c r="B1143" s="27" t="s">
        <v>995</v>
      </c>
      <c r="C1143" s="28" t="n">
        <v>0</v>
      </c>
      <c r="D1143" s="28" t="n">
        <f aca="false">'総括　6～7（メモあり）'!E35</f>
        <v>0</v>
      </c>
      <c r="E1143" s="28" t="n">
        <f aca="false">D1143-N(C1143)</f>
        <v>0</v>
      </c>
      <c r="F1143" s="2" t="str">
        <f aca="false">IF(AND(C1143&lt;&gt;"",ROUND(E1143,2)=0),"一致",IF(G1143&lt;&gt;"","変更（意図的）","★相違"))</f>
        <v>一致</v>
      </c>
      <c r="G1143" s="2"/>
    </row>
    <row r="1144" customFormat="false" ht="15" hidden="false" customHeight="false" outlineLevel="0" collapsed="false">
      <c r="A1144" s="2" t="s">
        <v>824</v>
      </c>
      <c r="B1144" s="27" t="s">
        <v>996</v>
      </c>
      <c r="C1144" s="28" t="n">
        <v>0</v>
      </c>
      <c r="D1144" s="28" t="n">
        <f aca="false">'総括　6～7（メモあり）'!F35</f>
        <v>0</v>
      </c>
      <c r="E1144" s="28" t="n">
        <f aca="false">D1144-N(C1144)</f>
        <v>0</v>
      </c>
      <c r="F1144" s="2" t="str">
        <f aca="false">IF(AND(C1144&lt;&gt;"",ROUND(E1144,2)=0),"一致",IF(G1144&lt;&gt;"","変更（意図的）","★相違"))</f>
        <v>一致</v>
      </c>
      <c r="G1144" s="2"/>
    </row>
    <row r="1145" customFormat="false" ht="15" hidden="false" customHeight="false" outlineLevel="0" collapsed="false">
      <c r="A1145" s="2" t="s">
        <v>824</v>
      </c>
      <c r="B1145" s="27" t="s">
        <v>706</v>
      </c>
      <c r="C1145" s="28" t="n">
        <v>0</v>
      </c>
      <c r="D1145" s="28" t="n">
        <f aca="false">'総括　6～7（メモあり）'!G35</f>
        <v>0</v>
      </c>
      <c r="E1145" s="28" t="n">
        <f aca="false">D1145-N(C1145)</f>
        <v>0</v>
      </c>
      <c r="F1145" s="2" t="str">
        <f aca="false">IF(AND(C1145&lt;&gt;"",ROUND(E1145,2)=0),"一致",IF(G1145&lt;&gt;"","変更（意図的）","★相違"))</f>
        <v>一致</v>
      </c>
      <c r="G1145" s="2"/>
    </row>
    <row r="1146" customFormat="false" ht="15" hidden="false" customHeight="false" outlineLevel="0" collapsed="false">
      <c r="A1146" s="2" t="s">
        <v>824</v>
      </c>
      <c r="B1146" s="27" t="s">
        <v>997</v>
      </c>
      <c r="C1146" s="28" t="n">
        <v>0</v>
      </c>
      <c r="D1146" s="28" t="n">
        <f aca="false">'総括　6～7（メモあり）'!K35</f>
        <v>0</v>
      </c>
      <c r="E1146" s="28" t="n">
        <f aca="false">D1146-N(C1146)</f>
        <v>0</v>
      </c>
      <c r="F1146" s="2" t="str">
        <f aca="false">IF(AND(C1146&lt;&gt;"",ROUND(E1146,2)=0),"一致",IF(G1146&lt;&gt;"","変更（意図的）","★相違"))</f>
        <v>一致</v>
      </c>
      <c r="G1146" s="2"/>
    </row>
    <row r="1147" customFormat="false" ht="15" hidden="false" customHeight="false" outlineLevel="0" collapsed="false">
      <c r="A1147" s="2" t="s">
        <v>824</v>
      </c>
      <c r="B1147" s="27" t="s">
        <v>998</v>
      </c>
      <c r="C1147" s="28" t="n">
        <v>0</v>
      </c>
      <c r="D1147" s="28" t="n">
        <f aca="false">'総括　6～7（メモあり）'!L35</f>
        <v>0</v>
      </c>
      <c r="E1147" s="28" t="n">
        <f aca="false">D1147-N(C1147)</f>
        <v>0</v>
      </c>
      <c r="F1147" s="2" t="str">
        <f aca="false">IF(AND(C1147&lt;&gt;"",ROUND(E1147,2)=0),"一致",IF(G1147&lt;&gt;"","変更（意図的）","★相違"))</f>
        <v>一致</v>
      </c>
      <c r="G1147" s="2"/>
    </row>
    <row r="1148" customFormat="false" ht="15" hidden="false" customHeight="false" outlineLevel="0" collapsed="false">
      <c r="A1148" s="2" t="s">
        <v>824</v>
      </c>
      <c r="B1148" s="27" t="s">
        <v>707</v>
      </c>
      <c r="C1148" s="28" t="n">
        <v>0</v>
      </c>
      <c r="D1148" s="28" t="n">
        <f aca="false">'総括　6～7（メモあり）'!M35</f>
        <v>0</v>
      </c>
      <c r="E1148" s="28" t="n">
        <f aca="false">D1148-N(C1148)</f>
        <v>0</v>
      </c>
      <c r="F1148" s="2" t="str">
        <f aca="false">IF(AND(C1148&lt;&gt;"",ROUND(E1148,2)=0),"一致",IF(G1148&lt;&gt;"","変更（意図的）","★相違"))</f>
        <v>一致</v>
      </c>
      <c r="G1148" s="2"/>
    </row>
    <row r="1149" customFormat="false" ht="15" hidden="false" customHeight="false" outlineLevel="0" collapsed="false">
      <c r="A1149" s="2" t="s">
        <v>824</v>
      </c>
      <c r="B1149" s="27" t="s">
        <v>999</v>
      </c>
      <c r="C1149" s="28" t="n">
        <v>0</v>
      </c>
      <c r="D1149" s="28" t="n">
        <f aca="false">'総括　6～7（メモあり）'!N35</f>
        <v>0</v>
      </c>
      <c r="E1149" s="28" t="n">
        <f aca="false">D1149-N(C1149)</f>
        <v>0</v>
      </c>
      <c r="F1149" s="2" t="str">
        <f aca="false">IF(AND(C1149&lt;&gt;"",ROUND(E1149,2)=0),"一致",IF(G1149&lt;&gt;"","変更（意図的）","★相違"))</f>
        <v>一致</v>
      </c>
      <c r="G1149" s="2"/>
    </row>
    <row r="1150" customFormat="false" ht="15" hidden="false" customHeight="false" outlineLevel="0" collapsed="false">
      <c r="A1150" s="2" t="s">
        <v>824</v>
      </c>
      <c r="B1150" s="27" t="s">
        <v>1000</v>
      </c>
      <c r="C1150" s="28" t="n">
        <v>0</v>
      </c>
      <c r="D1150" s="28" t="n">
        <f aca="false">'総括　6～7（メモあり）'!O35</f>
        <v>0</v>
      </c>
      <c r="E1150" s="28" t="n">
        <f aca="false">D1150-N(C1150)</f>
        <v>0</v>
      </c>
      <c r="F1150" s="2" t="str">
        <f aca="false">IF(AND(C1150&lt;&gt;"",ROUND(E1150,2)=0),"一致",IF(G1150&lt;&gt;"","変更（意図的）","★相違"))</f>
        <v>一致</v>
      </c>
      <c r="G1150" s="2"/>
    </row>
    <row r="1151" customFormat="false" ht="15" hidden="false" customHeight="false" outlineLevel="0" collapsed="false">
      <c r="A1151" s="2" t="s">
        <v>824</v>
      </c>
      <c r="B1151" s="27" t="s">
        <v>708</v>
      </c>
      <c r="C1151" s="28" t="n">
        <v>0</v>
      </c>
      <c r="D1151" s="28" t="n">
        <f aca="false">'総括　6～7（メモあり）'!P35</f>
        <v>0</v>
      </c>
      <c r="E1151" s="28" t="n">
        <f aca="false">D1151-N(C1151)</f>
        <v>0</v>
      </c>
      <c r="F1151" s="2" t="str">
        <f aca="false">IF(AND(C1151&lt;&gt;"",ROUND(E1151,2)=0),"一致",IF(G1151&lt;&gt;"","変更（意図的）","★相違"))</f>
        <v>一致</v>
      </c>
      <c r="G1151" s="2"/>
    </row>
    <row r="1152" customFormat="false" ht="15" hidden="false" customHeight="false" outlineLevel="0" collapsed="false">
      <c r="A1152" s="2" t="s">
        <v>824</v>
      </c>
      <c r="B1152" s="27" t="s">
        <v>1001</v>
      </c>
      <c r="C1152" s="28" t="n">
        <v>0</v>
      </c>
      <c r="D1152" s="28" t="n">
        <f aca="false">'総括　6～7（メモあり）'!Q35</f>
        <v>0</v>
      </c>
      <c r="E1152" s="28" t="n">
        <f aca="false">D1152-N(C1152)</f>
        <v>0</v>
      </c>
      <c r="F1152" s="2" t="str">
        <f aca="false">IF(AND(C1152&lt;&gt;"",ROUND(E1152,2)=0),"一致",IF(G1152&lt;&gt;"","変更（意図的）","★相違"))</f>
        <v>一致</v>
      </c>
      <c r="G1152" s="2"/>
    </row>
    <row r="1153" customFormat="false" ht="15" hidden="false" customHeight="false" outlineLevel="0" collapsed="false">
      <c r="A1153" s="2" t="s">
        <v>824</v>
      </c>
      <c r="B1153" s="27" t="s">
        <v>1002</v>
      </c>
      <c r="C1153" s="28" t="n">
        <v>0</v>
      </c>
      <c r="D1153" s="28" t="n">
        <f aca="false">'総括　6～7（メモあり）'!R35</f>
        <v>0</v>
      </c>
      <c r="E1153" s="28" t="n">
        <f aca="false">D1153-N(C1153)</f>
        <v>0</v>
      </c>
      <c r="F1153" s="2" t="str">
        <f aca="false">IF(AND(C1153&lt;&gt;"",ROUND(E1153,2)=0),"一致",IF(G1153&lt;&gt;"","変更（意図的）","★相違"))</f>
        <v>一致</v>
      </c>
      <c r="G1153" s="2"/>
    </row>
    <row r="1154" customFormat="false" ht="15" hidden="false" customHeight="false" outlineLevel="0" collapsed="false">
      <c r="A1154" s="2" t="s">
        <v>824</v>
      </c>
      <c r="B1154" s="27" t="s">
        <v>709</v>
      </c>
      <c r="C1154" s="28" t="n">
        <v>0</v>
      </c>
      <c r="D1154" s="28" t="n">
        <f aca="false">'総括　6～7（メモあり）'!S35</f>
        <v>0</v>
      </c>
      <c r="E1154" s="28" t="n">
        <f aca="false">D1154-N(C1154)</f>
        <v>0</v>
      </c>
      <c r="F1154" s="2" t="str">
        <f aca="false">IF(AND(C1154&lt;&gt;"",ROUND(E1154,2)=0),"一致",IF(G1154&lt;&gt;"","変更（意図的）","★相違"))</f>
        <v>一致</v>
      </c>
      <c r="G1154" s="2"/>
    </row>
    <row r="1155" customFormat="false" ht="15" hidden="false" customHeight="false" outlineLevel="0" collapsed="false">
      <c r="A1155" s="2" t="s">
        <v>824</v>
      </c>
      <c r="B1155" s="27" t="s">
        <v>1003</v>
      </c>
      <c r="C1155" s="28" t="n">
        <v>0</v>
      </c>
      <c r="D1155" s="28" t="n">
        <f aca="false">'総括　6～7（メモあり）'!E36</f>
        <v>0</v>
      </c>
      <c r="E1155" s="28" t="n">
        <f aca="false">D1155-N(C1155)</f>
        <v>0</v>
      </c>
      <c r="F1155" s="2" t="str">
        <f aca="false">IF(AND(C1155&lt;&gt;"",ROUND(E1155,2)=0),"一致",IF(G1155&lt;&gt;"","変更（意図的）","★相違"))</f>
        <v>一致</v>
      </c>
      <c r="G1155" s="2"/>
    </row>
    <row r="1156" customFormat="false" ht="15" hidden="false" customHeight="false" outlineLevel="0" collapsed="false">
      <c r="A1156" s="2" t="s">
        <v>824</v>
      </c>
      <c r="B1156" s="27" t="s">
        <v>1004</v>
      </c>
      <c r="C1156" s="28" t="n">
        <v>0</v>
      </c>
      <c r="D1156" s="28" t="n">
        <f aca="false">'総括　6～7（メモあり）'!F36</f>
        <v>0</v>
      </c>
      <c r="E1156" s="28" t="n">
        <f aca="false">D1156-N(C1156)</f>
        <v>0</v>
      </c>
      <c r="F1156" s="2" t="str">
        <f aca="false">IF(AND(C1156&lt;&gt;"",ROUND(E1156,2)=0),"一致",IF(G1156&lt;&gt;"","変更（意図的）","★相違"))</f>
        <v>一致</v>
      </c>
      <c r="G1156" s="2"/>
    </row>
    <row r="1157" customFormat="false" ht="15" hidden="false" customHeight="false" outlineLevel="0" collapsed="false">
      <c r="A1157" s="2" t="s">
        <v>824</v>
      </c>
      <c r="B1157" s="27" t="s">
        <v>710</v>
      </c>
      <c r="C1157" s="28" t="n">
        <v>0</v>
      </c>
      <c r="D1157" s="28" t="n">
        <f aca="false">'総括　6～7（メモあり）'!G36</f>
        <v>0</v>
      </c>
      <c r="E1157" s="28" t="n">
        <f aca="false">D1157-N(C1157)</f>
        <v>0</v>
      </c>
      <c r="F1157" s="2" t="str">
        <f aca="false">IF(AND(C1157&lt;&gt;"",ROUND(E1157,2)=0),"一致",IF(G1157&lt;&gt;"","変更（意図的）","★相違"))</f>
        <v>一致</v>
      </c>
      <c r="G1157" s="2"/>
    </row>
    <row r="1158" customFormat="false" ht="15" hidden="false" customHeight="false" outlineLevel="0" collapsed="false">
      <c r="A1158" s="2" t="s">
        <v>824</v>
      </c>
      <c r="B1158" s="27" t="s">
        <v>265</v>
      </c>
      <c r="C1158" s="28" t="n">
        <v>5516016459</v>
      </c>
      <c r="D1158" s="28" t="n">
        <f aca="false">'総括　6～7（メモあり）'!H36</f>
        <v>5516016459</v>
      </c>
      <c r="E1158" s="28" t="n">
        <f aca="false">D1158-N(C1158)</f>
        <v>0</v>
      </c>
      <c r="F1158" s="2" t="str">
        <f aca="false">IF(AND(C1158&lt;&gt;"",ROUND(E1158,2)=0),"一致",IF(G1158&lt;&gt;"","変更（意図的）","★相違"))</f>
        <v>一致</v>
      </c>
      <c r="G1158" s="2"/>
    </row>
    <row r="1159" customFormat="false" ht="15" hidden="false" customHeight="false" outlineLevel="0" collapsed="false">
      <c r="A1159" s="2" t="s">
        <v>824</v>
      </c>
      <c r="B1159" s="27" t="s">
        <v>711</v>
      </c>
      <c r="C1159" s="28" t="n">
        <v>10787321768</v>
      </c>
      <c r="D1159" s="28" t="n">
        <f aca="false">'総括　6～7（メモあり）'!I36</f>
        <v>10787321768</v>
      </c>
      <c r="E1159" s="28" t="n">
        <f aca="false">D1159-N(C1159)</f>
        <v>0</v>
      </c>
      <c r="F1159" s="2" t="str">
        <f aca="false">IF(AND(C1159&lt;&gt;"",ROUND(E1159,2)=0),"一致",IF(G1159&lt;&gt;"","変更（意図的）","★相違"))</f>
        <v>一致</v>
      </c>
      <c r="G1159" s="2"/>
    </row>
    <row r="1160" customFormat="false" ht="15" hidden="false" customHeight="false" outlineLevel="0" collapsed="false">
      <c r="A1160" s="2" t="s">
        <v>824</v>
      </c>
      <c r="B1160" s="27" t="s">
        <v>712</v>
      </c>
      <c r="C1160" s="28" t="n">
        <v>-5271305309</v>
      </c>
      <c r="D1160" s="28" t="n">
        <f aca="false">'総括　6～7（メモあり）'!J36</f>
        <v>-5271305309</v>
      </c>
      <c r="E1160" s="28" t="n">
        <f aca="false">D1160-N(C1160)</f>
        <v>0</v>
      </c>
      <c r="F1160" s="2" t="str">
        <f aca="false">IF(AND(C1160&lt;&gt;"",ROUND(E1160,2)=0),"一致",IF(G1160&lt;&gt;"","変更（意図的）","★相違"))</f>
        <v>一致</v>
      </c>
      <c r="G1160" s="2"/>
    </row>
    <row r="1161" customFormat="false" ht="15" hidden="false" customHeight="false" outlineLevel="0" collapsed="false">
      <c r="A1161" s="2" t="s">
        <v>824</v>
      </c>
      <c r="B1161" s="27" t="s">
        <v>1005</v>
      </c>
      <c r="C1161" s="28" t="n">
        <v>0</v>
      </c>
      <c r="D1161" s="28" t="n">
        <f aca="false">'総括　6～7（メモあり）'!K36</f>
        <v>0</v>
      </c>
      <c r="E1161" s="28" t="n">
        <f aca="false">D1161-N(C1161)</f>
        <v>0</v>
      </c>
      <c r="F1161" s="2" t="str">
        <f aca="false">IF(AND(C1161&lt;&gt;"",ROUND(E1161,2)=0),"一致",IF(G1161&lt;&gt;"","変更（意図的）","★相違"))</f>
        <v>一致</v>
      </c>
      <c r="G1161" s="2"/>
    </row>
    <row r="1162" customFormat="false" ht="15" hidden="false" customHeight="false" outlineLevel="0" collapsed="false">
      <c r="A1162" s="2" t="s">
        <v>824</v>
      </c>
      <c r="B1162" s="27" t="s">
        <v>1006</v>
      </c>
      <c r="C1162" s="28" t="n">
        <v>0</v>
      </c>
      <c r="D1162" s="28" t="n">
        <f aca="false">'総括　6～7（メモあり）'!L36</f>
        <v>0</v>
      </c>
      <c r="E1162" s="28" t="n">
        <f aca="false">D1162-N(C1162)</f>
        <v>0</v>
      </c>
      <c r="F1162" s="2" t="str">
        <f aca="false">IF(AND(C1162&lt;&gt;"",ROUND(E1162,2)=0),"一致",IF(G1162&lt;&gt;"","変更（意図的）","★相違"))</f>
        <v>一致</v>
      </c>
      <c r="G1162" s="2"/>
    </row>
    <row r="1163" customFormat="false" ht="15" hidden="false" customHeight="false" outlineLevel="0" collapsed="false">
      <c r="A1163" s="2" t="s">
        <v>824</v>
      </c>
      <c r="B1163" s="27" t="s">
        <v>713</v>
      </c>
      <c r="C1163" s="28" t="n">
        <v>0</v>
      </c>
      <c r="D1163" s="28" t="n">
        <f aca="false">'総括　6～7（メモあり）'!M36</f>
        <v>0</v>
      </c>
      <c r="E1163" s="28" t="n">
        <f aca="false">D1163-N(C1163)</f>
        <v>0</v>
      </c>
      <c r="F1163" s="2" t="str">
        <f aca="false">IF(AND(C1163&lt;&gt;"",ROUND(E1163,2)=0),"一致",IF(G1163&lt;&gt;"","変更（意図的）","★相違"))</f>
        <v>一致</v>
      </c>
      <c r="G1163" s="2"/>
    </row>
    <row r="1164" customFormat="false" ht="15" hidden="false" customHeight="false" outlineLevel="0" collapsed="false">
      <c r="A1164" s="2" t="s">
        <v>824</v>
      </c>
      <c r="B1164" s="27" t="s">
        <v>1007</v>
      </c>
      <c r="C1164" s="28" t="n">
        <v>0</v>
      </c>
      <c r="D1164" s="28" t="n">
        <f aca="false">'総括　6～7（メモあり）'!N36</f>
        <v>0</v>
      </c>
      <c r="E1164" s="28" t="n">
        <f aca="false">D1164-N(C1164)</f>
        <v>0</v>
      </c>
      <c r="F1164" s="2" t="str">
        <f aca="false">IF(AND(C1164&lt;&gt;"",ROUND(E1164,2)=0),"一致",IF(G1164&lt;&gt;"","変更（意図的）","★相違"))</f>
        <v>一致</v>
      </c>
      <c r="G1164" s="2"/>
    </row>
    <row r="1165" customFormat="false" ht="15" hidden="false" customHeight="false" outlineLevel="0" collapsed="false">
      <c r="A1165" s="2" t="s">
        <v>824</v>
      </c>
      <c r="B1165" s="27" t="s">
        <v>1008</v>
      </c>
      <c r="C1165" s="28" t="n">
        <v>0</v>
      </c>
      <c r="D1165" s="28" t="n">
        <f aca="false">'総括　6～7（メモあり）'!O36</f>
        <v>0</v>
      </c>
      <c r="E1165" s="28" t="n">
        <f aca="false">D1165-N(C1165)</f>
        <v>0</v>
      </c>
      <c r="F1165" s="2" t="str">
        <f aca="false">IF(AND(C1165&lt;&gt;"",ROUND(E1165,2)=0),"一致",IF(G1165&lt;&gt;"","変更（意図的）","★相違"))</f>
        <v>一致</v>
      </c>
      <c r="G1165" s="2"/>
    </row>
    <row r="1166" customFormat="false" ht="15" hidden="false" customHeight="false" outlineLevel="0" collapsed="false">
      <c r="A1166" s="2" t="s">
        <v>824</v>
      </c>
      <c r="B1166" s="27" t="s">
        <v>714</v>
      </c>
      <c r="C1166" s="28" t="n">
        <v>0</v>
      </c>
      <c r="D1166" s="28" t="n">
        <f aca="false">'総括　6～7（メモあり）'!P36</f>
        <v>0</v>
      </c>
      <c r="E1166" s="28" t="n">
        <f aca="false">D1166-N(C1166)</f>
        <v>0</v>
      </c>
      <c r="F1166" s="2" t="str">
        <f aca="false">IF(AND(C1166&lt;&gt;"",ROUND(E1166,2)=0),"一致",IF(G1166&lt;&gt;"","変更（意図的）","★相違"))</f>
        <v>一致</v>
      </c>
      <c r="G1166" s="2"/>
    </row>
    <row r="1167" customFormat="false" ht="15" hidden="false" customHeight="false" outlineLevel="0" collapsed="false">
      <c r="A1167" s="2" t="s">
        <v>824</v>
      </c>
      <c r="B1167" s="27" t="s">
        <v>1009</v>
      </c>
      <c r="C1167" s="28" t="n">
        <v>0</v>
      </c>
      <c r="D1167" s="28" t="n">
        <f aca="false">'総括　6～7（メモあり）'!Q36</f>
        <v>0</v>
      </c>
      <c r="E1167" s="28" t="n">
        <f aca="false">D1167-N(C1167)</f>
        <v>0</v>
      </c>
      <c r="F1167" s="2" t="str">
        <f aca="false">IF(AND(C1167&lt;&gt;"",ROUND(E1167,2)=0),"一致",IF(G1167&lt;&gt;"","変更（意図的）","★相違"))</f>
        <v>一致</v>
      </c>
      <c r="G1167" s="2"/>
    </row>
    <row r="1168" customFormat="false" ht="15" hidden="false" customHeight="false" outlineLevel="0" collapsed="false">
      <c r="A1168" s="2" t="s">
        <v>824</v>
      </c>
      <c r="B1168" s="27" t="s">
        <v>1010</v>
      </c>
      <c r="C1168" s="28" t="n">
        <v>0</v>
      </c>
      <c r="D1168" s="28" t="n">
        <f aca="false">'総括　6～7（メモあり）'!R36</f>
        <v>0</v>
      </c>
      <c r="E1168" s="28" t="n">
        <f aca="false">D1168-N(C1168)</f>
        <v>0</v>
      </c>
      <c r="F1168" s="2" t="str">
        <f aca="false">IF(AND(C1168&lt;&gt;"",ROUND(E1168,2)=0),"一致",IF(G1168&lt;&gt;"","変更（意図的）","★相違"))</f>
        <v>一致</v>
      </c>
      <c r="G1168" s="2"/>
    </row>
    <row r="1169" customFormat="false" ht="15" hidden="false" customHeight="false" outlineLevel="0" collapsed="false">
      <c r="A1169" s="2" t="s">
        <v>824</v>
      </c>
      <c r="B1169" s="27" t="s">
        <v>715</v>
      </c>
      <c r="C1169" s="28" t="n">
        <v>0</v>
      </c>
      <c r="D1169" s="28" t="n">
        <f aca="false">'総括　6～7（メモあり）'!S36</f>
        <v>0</v>
      </c>
      <c r="E1169" s="28" t="n">
        <f aca="false">D1169-N(C1169)</f>
        <v>0</v>
      </c>
      <c r="F1169" s="2" t="str">
        <f aca="false">IF(AND(C1169&lt;&gt;"",ROUND(E1169,2)=0),"一致",IF(G1169&lt;&gt;"","変更（意図的）","★相違"))</f>
        <v>一致</v>
      </c>
      <c r="G1169" s="2"/>
    </row>
    <row r="1170" customFormat="false" ht="15" hidden="false" customHeight="false" outlineLevel="0" collapsed="false">
      <c r="A1170" s="2" t="s">
        <v>824</v>
      </c>
      <c r="B1170" s="27" t="s">
        <v>1011</v>
      </c>
      <c r="C1170" s="28" t="n">
        <v>0</v>
      </c>
      <c r="D1170" s="28" t="n">
        <f aca="false">'総括　6～7（メモあり）'!E37</f>
        <v>0</v>
      </c>
      <c r="E1170" s="28" t="n">
        <f aca="false">D1170-N(C1170)</f>
        <v>0</v>
      </c>
      <c r="F1170" s="2" t="str">
        <f aca="false">IF(AND(C1170&lt;&gt;"",ROUND(E1170,2)=0),"一致",IF(G1170&lt;&gt;"","変更（意図的）","★相違"))</f>
        <v>一致</v>
      </c>
      <c r="G1170" s="2"/>
    </row>
    <row r="1171" customFormat="false" ht="15" hidden="false" customHeight="false" outlineLevel="0" collapsed="false">
      <c r="A1171" s="2" t="s">
        <v>824</v>
      </c>
      <c r="B1171" s="27" t="s">
        <v>1012</v>
      </c>
      <c r="C1171" s="28" t="n">
        <v>0</v>
      </c>
      <c r="D1171" s="28" t="n">
        <f aca="false">'総括　6～7（メモあり）'!F37</f>
        <v>0</v>
      </c>
      <c r="E1171" s="28" t="n">
        <f aca="false">D1171-N(C1171)</f>
        <v>0</v>
      </c>
      <c r="F1171" s="2" t="str">
        <f aca="false">IF(AND(C1171&lt;&gt;"",ROUND(E1171,2)=0),"一致",IF(G1171&lt;&gt;"","変更（意図的）","★相違"))</f>
        <v>一致</v>
      </c>
      <c r="G1171" s="2"/>
    </row>
    <row r="1172" customFormat="false" ht="15" hidden="false" customHeight="false" outlineLevel="0" collapsed="false">
      <c r="A1172" s="2" t="s">
        <v>824</v>
      </c>
      <c r="B1172" s="27" t="s">
        <v>266</v>
      </c>
      <c r="C1172" s="28" t="n">
        <v>0</v>
      </c>
      <c r="D1172" s="28" t="n">
        <f aca="false">'総括　6～7（メモあり）'!G37</f>
        <v>0</v>
      </c>
      <c r="E1172" s="28" t="n">
        <f aca="false">D1172-N(C1172)</f>
        <v>0</v>
      </c>
      <c r="F1172" s="2" t="str">
        <f aca="false">IF(AND(C1172&lt;&gt;"",ROUND(E1172,2)=0),"一致",IF(G1172&lt;&gt;"","変更（意図的）","★相違"))</f>
        <v>一致</v>
      </c>
      <c r="G1172" s="2"/>
    </row>
    <row r="1173" customFormat="false" ht="15" hidden="false" customHeight="false" outlineLevel="0" collapsed="false">
      <c r="A1173" s="2" t="s">
        <v>824</v>
      </c>
      <c r="B1173" s="27" t="s">
        <v>716</v>
      </c>
      <c r="C1173" s="28" t="n">
        <v>45220684</v>
      </c>
      <c r="D1173" s="28" t="n">
        <f aca="false">'総括　6～7（メモあり）'!H37</f>
        <v>45220684</v>
      </c>
      <c r="E1173" s="28" t="n">
        <f aca="false">D1173-N(C1173)</f>
        <v>0</v>
      </c>
      <c r="F1173" s="2" t="str">
        <f aca="false">IF(AND(C1173&lt;&gt;"",ROUND(E1173,2)=0),"一致",IF(G1173&lt;&gt;"","変更（意図的）","★相違"))</f>
        <v>一致</v>
      </c>
      <c r="G1173" s="2"/>
    </row>
    <row r="1174" customFormat="false" ht="15" hidden="false" customHeight="false" outlineLevel="0" collapsed="false">
      <c r="A1174" s="2" t="s">
        <v>824</v>
      </c>
      <c r="B1174" s="27" t="s">
        <v>717</v>
      </c>
      <c r="C1174" s="28" t="n">
        <v>87548431</v>
      </c>
      <c r="D1174" s="28" t="n">
        <f aca="false">'総括　6～7（メモあり）'!I37</f>
        <v>87548431</v>
      </c>
      <c r="E1174" s="28" t="n">
        <f aca="false">D1174-N(C1174)</f>
        <v>0</v>
      </c>
      <c r="F1174" s="2" t="str">
        <f aca="false">IF(AND(C1174&lt;&gt;"",ROUND(E1174,2)=0),"一致",IF(G1174&lt;&gt;"","変更（意図的）","★相違"))</f>
        <v>一致</v>
      </c>
      <c r="G1174" s="2"/>
    </row>
    <row r="1175" customFormat="false" ht="15" hidden="false" customHeight="false" outlineLevel="0" collapsed="false">
      <c r="A1175" s="2" t="s">
        <v>824</v>
      </c>
      <c r="B1175" s="27" t="s">
        <v>718</v>
      </c>
      <c r="C1175" s="28" t="n">
        <v>-42327747</v>
      </c>
      <c r="D1175" s="28" t="n">
        <f aca="false">'総括　6～7（メモあり）'!J37</f>
        <v>-42327747</v>
      </c>
      <c r="E1175" s="28" t="n">
        <f aca="false">D1175-N(C1175)</f>
        <v>0</v>
      </c>
      <c r="F1175" s="2" t="str">
        <f aca="false">IF(AND(C1175&lt;&gt;"",ROUND(E1175,2)=0),"一致",IF(G1175&lt;&gt;"","変更（意図的）","★相違"))</f>
        <v>一致</v>
      </c>
      <c r="G1175" s="2"/>
    </row>
    <row r="1176" customFormat="false" ht="15" hidden="false" customHeight="false" outlineLevel="0" collapsed="false">
      <c r="A1176" s="2" t="s">
        <v>824</v>
      </c>
      <c r="B1176" s="27" t="s">
        <v>1013</v>
      </c>
      <c r="C1176" s="28" t="n">
        <v>0</v>
      </c>
      <c r="D1176" s="28" t="n">
        <f aca="false">'総括　6～7（メモあり）'!K37</f>
        <v>0</v>
      </c>
      <c r="E1176" s="28" t="n">
        <f aca="false">D1176-N(C1176)</f>
        <v>0</v>
      </c>
      <c r="F1176" s="2" t="str">
        <f aca="false">IF(AND(C1176&lt;&gt;"",ROUND(E1176,2)=0),"一致",IF(G1176&lt;&gt;"","変更（意図的）","★相違"))</f>
        <v>一致</v>
      </c>
      <c r="G1176" s="2"/>
    </row>
    <row r="1177" customFormat="false" ht="15" hidden="false" customHeight="false" outlineLevel="0" collapsed="false">
      <c r="A1177" s="2" t="s">
        <v>824</v>
      </c>
      <c r="B1177" s="27" t="s">
        <v>1014</v>
      </c>
      <c r="C1177" s="28" t="n">
        <v>0</v>
      </c>
      <c r="D1177" s="28" t="n">
        <f aca="false">'総括　6～7（メモあり）'!L37</f>
        <v>0</v>
      </c>
      <c r="E1177" s="28" t="n">
        <f aca="false">D1177-N(C1177)</f>
        <v>0</v>
      </c>
      <c r="F1177" s="2" t="str">
        <f aca="false">IF(AND(C1177&lt;&gt;"",ROUND(E1177,2)=0),"一致",IF(G1177&lt;&gt;"","変更（意図的）","★相違"))</f>
        <v>一致</v>
      </c>
      <c r="G1177" s="2"/>
    </row>
    <row r="1178" customFormat="false" ht="15" hidden="false" customHeight="false" outlineLevel="0" collapsed="false">
      <c r="A1178" s="2" t="s">
        <v>824</v>
      </c>
      <c r="B1178" s="27" t="s">
        <v>719</v>
      </c>
      <c r="C1178" s="28" t="n">
        <v>0</v>
      </c>
      <c r="D1178" s="28" t="n">
        <f aca="false">'総括　6～7（メモあり）'!M37</f>
        <v>0</v>
      </c>
      <c r="E1178" s="28" t="n">
        <f aca="false">D1178-N(C1178)</f>
        <v>0</v>
      </c>
      <c r="F1178" s="2" t="str">
        <f aca="false">IF(AND(C1178&lt;&gt;"",ROUND(E1178,2)=0),"一致",IF(G1178&lt;&gt;"","変更（意図的）","★相違"))</f>
        <v>一致</v>
      </c>
      <c r="G1178" s="2"/>
    </row>
    <row r="1179" customFormat="false" ht="15" hidden="false" customHeight="false" outlineLevel="0" collapsed="false">
      <c r="A1179" s="2" t="s">
        <v>824</v>
      </c>
      <c r="B1179" s="27" t="s">
        <v>1015</v>
      </c>
      <c r="C1179" s="28" t="n">
        <v>0</v>
      </c>
      <c r="D1179" s="28" t="n">
        <f aca="false">'総括　6～7（メモあり）'!N37</f>
        <v>0</v>
      </c>
      <c r="E1179" s="28" t="n">
        <f aca="false">D1179-N(C1179)</f>
        <v>0</v>
      </c>
      <c r="F1179" s="2" t="str">
        <f aca="false">IF(AND(C1179&lt;&gt;"",ROUND(E1179,2)=0),"一致",IF(G1179&lt;&gt;"","変更（意図的）","★相違"))</f>
        <v>一致</v>
      </c>
      <c r="G1179" s="2"/>
    </row>
    <row r="1180" customFormat="false" ht="15" hidden="false" customHeight="false" outlineLevel="0" collapsed="false">
      <c r="A1180" s="2" t="s">
        <v>824</v>
      </c>
      <c r="B1180" s="27" t="s">
        <v>1016</v>
      </c>
      <c r="C1180" s="28" t="n">
        <v>0</v>
      </c>
      <c r="D1180" s="28" t="n">
        <f aca="false">'総括　6～7（メモあり）'!O37</f>
        <v>0</v>
      </c>
      <c r="E1180" s="28" t="n">
        <f aca="false">D1180-N(C1180)</f>
        <v>0</v>
      </c>
      <c r="F1180" s="2" t="str">
        <f aca="false">IF(AND(C1180&lt;&gt;"",ROUND(E1180,2)=0),"一致",IF(G1180&lt;&gt;"","変更（意図的）","★相違"))</f>
        <v>一致</v>
      </c>
      <c r="G1180" s="2"/>
    </row>
    <row r="1181" customFormat="false" ht="15" hidden="false" customHeight="false" outlineLevel="0" collapsed="false">
      <c r="A1181" s="2" t="s">
        <v>824</v>
      </c>
      <c r="B1181" s="27" t="s">
        <v>720</v>
      </c>
      <c r="C1181" s="28" t="n">
        <v>0</v>
      </c>
      <c r="D1181" s="28" t="n">
        <f aca="false">'総括　6～7（メモあり）'!P37</f>
        <v>0</v>
      </c>
      <c r="E1181" s="28" t="n">
        <f aca="false">D1181-N(C1181)</f>
        <v>0</v>
      </c>
      <c r="F1181" s="2" t="str">
        <f aca="false">IF(AND(C1181&lt;&gt;"",ROUND(E1181,2)=0),"一致",IF(G1181&lt;&gt;"","変更（意図的）","★相違"))</f>
        <v>一致</v>
      </c>
      <c r="G1181" s="2"/>
    </row>
    <row r="1182" customFormat="false" ht="15" hidden="false" customHeight="false" outlineLevel="0" collapsed="false">
      <c r="A1182" s="2" t="s">
        <v>824</v>
      </c>
      <c r="B1182" s="27" t="s">
        <v>1017</v>
      </c>
      <c r="C1182" s="28" t="n">
        <v>0</v>
      </c>
      <c r="D1182" s="28" t="n">
        <f aca="false">'総括　6～7（メモあり）'!Q37</f>
        <v>0</v>
      </c>
      <c r="E1182" s="28" t="n">
        <f aca="false">D1182-N(C1182)</f>
        <v>0</v>
      </c>
      <c r="F1182" s="2" t="str">
        <f aca="false">IF(AND(C1182&lt;&gt;"",ROUND(E1182,2)=0),"一致",IF(G1182&lt;&gt;"","変更（意図的）","★相違"))</f>
        <v>一致</v>
      </c>
      <c r="G1182" s="2"/>
    </row>
    <row r="1183" customFormat="false" ht="15" hidden="false" customHeight="false" outlineLevel="0" collapsed="false">
      <c r="A1183" s="2" t="s">
        <v>824</v>
      </c>
      <c r="B1183" s="27" t="s">
        <v>1018</v>
      </c>
      <c r="C1183" s="28" t="n">
        <v>0</v>
      </c>
      <c r="D1183" s="28" t="n">
        <f aca="false">'総括　6～7（メモあり）'!R37</f>
        <v>0</v>
      </c>
      <c r="E1183" s="28" t="n">
        <f aca="false">D1183-N(C1183)</f>
        <v>0</v>
      </c>
      <c r="F1183" s="2" t="str">
        <f aca="false">IF(AND(C1183&lt;&gt;"",ROUND(E1183,2)=0),"一致",IF(G1183&lt;&gt;"","変更（意図的）","★相違"))</f>
        <v>一致</v>
      </c>
      <c r="G1183" s="2"/>
    </row>
    <row r="1184" customFormat="false" ht="15" hidden="false" customHeight="false" outlineLevel="0" collapsed="false">
      <c r="A1184" s="2" t="s">
        <v>824</v>
      </c>
      <c r="B1184" s="27" t="s">
        <v>721</v>
      </c>
      <c r="C1184" s="28" t="n">
        <v>0</v>
      </c>
      <c r="D1184" s="28" t="n">
        <f aca="false">'総括　6～7（メモあり）'!S37</f>
        <v>0</v>
      </c>
      <c r="E1184" s="28" t="n">
        <f aca="false">D1184-N(C1184)</f>
        <v>0</v>
      </c>
      <c r="F1184" s="2" t="str">
        <f aca="false">IF(AND(C1184&lt;&gt;"",ROUND(E1184,2)=0),"一致",IF(G1184&lt;&gt;"","変更（意図的）","★相違"))</f>
        <v>一致</v>
      </c>
      <c r="G1184" s="2"/>
    </row>
    <row r="1185" customFormat="false" ht="15" hidden="false" customHeight="false" outlineLevel="0" collapsed="false">
      <c r="A1185" s="2" t="s">
        <v>824</v>
      </c>
      <c r="B1185" s="27" t="s">
        <v>1019</v>
      </c>
      <c r="C1185" s="28" t="n">
        <v>0</v>
      </c>
      <c r="D1185" s="28" t="n">
        <f aca="false">'総括　6～7（メモあり）'!E38</f>
        <v>0</v>
      </c>
      <c r="E1185" s="28" t="n">
        <f aca="false">D1185-N(C1185)</f>
        <v>0</v>
      </c>
      <c r="F1185" s="2" t="str">
        <f aca="false">IF(AND(C1185&lt;&gt;"",ROUND(E1185,2)=0),"一致",IF(G1185&lt;&gt;"","変更（意図的）","★相違"))</f>
        <v>一致</v>
      </c>
      <c r="G1185" s="2"/>
    </row>
    <row r="1186" customFormat="false" ht="15" hidden="false" customHeight="false" outlineLevel="0" collapsed="false">
      <c r="A1186" s="2" t="s">
        <v>824</v>
      </c>
      <c r="B1186" s="27" t="s">
        <v>267</v>
      </c>
      <c r="C1186" s="28" t="n">
        <v>0</v>
      </c>
      <c r="D1186" s="28" t="n">
        <f aca="false">'総括　6～7（メモあり）'!F38</f>
        <v>0</v>
      </c>
      <c r="E1186" s="28" t="n">
        <f aca="false">D1186-N(C1186)</f>
        <v>0</v>
      </c>
      <c r="F1186" s="2" t="str">
        <f aca="false">IF(AND(C1186&lt;&gt;"",ROUND(E1186,2)=0),"一致",IF(G1186&lt;&gt;"","変更（意図的）","★相違"))</f>
        <v>一致</v>
      </c>
      <c r="G1186" s="2"/>
    </row>
    <row r="1187" customFormat="false" ht="15" hidden="false" customHeight="false" outlineLevel="0" collapsed="false">
      <c r="A1187" s="2" t="s">
        <v>824</v>
      </c>
      <c r="B1187" s="27" t="s">
        <v>300</v>
      </c>
      <c r="C1187" s="28" t="n">
        <v>0</v>
      </c>
      <c r="D1187" s="28" t="n">
        <f aca="false">'総括　6～7（メモあり）'!G38</f>
        <v>0</v>
      </c>
      <c r="E1187" s="28" t="n">
        <f aca="false">D1187-N(C1187)</f>
        <v>0</v>
      </c>
      <c r="F1187" s="2" t="str">
        <f aca="false">IF(AND(C1187&lt;&gt;"",ROUND(E1187,2)=0),"一致",IF(G1187&lt;&gt;"","変更（意図的）","★相違"))</f>
        <v>一致</v>
      </c>
      <c r="G1187" s="2"/>
    </row>
    <row r="1188" customFormat="false" ht="15" hidden="false" customHeight="false" outlineLevel="0" collapsed="false">
      <c r="A1188" s="2" t="s">
        <v>824</v>
      </c>
      <c r="B1188" s="27" t="s">
        <v>722</v>
      </c>
      <c r="C1188" s="28" t="n">
        <v>995045755</v>
      </c>
      <c r="D1188" s="28" t="n">
        <f aca="false">'総括　6～7（メモあり）'!H38</f>
        <v>995045755</v>
      </c>
      <c r="E1188" s="28" t="n">
        <f aca="false">D1188-N(C1188)</f>
        <v>0</v>
      </c>
      <c r="F1188" s="2" t="str">
        <f aca="false">IF(AND(C1188&lt;&gt;"",ROUND(E1188,2)=0),"一致",IF(G1188&lt;&gt;"","変更（意図的）","★相違"))</f>
        <v>一致</v>
      </c>
      <c r="G1188" s="2"/>
    </row>
    <row r="1189" customFormat="false" ht="15" hidden="false" customHeight="false" outlineLevel="0" collapsed="false">
      <c r="A1189" s="2" t="s">
        <v>824</v>
      </c>
      <c r="B1189" s="27" t="s">
        <v>723</v>
      </c>
      <c r="C1189" s="28" t="n">
        <v>2016533515</v>
      </c>
      <c r="D1189" s="28" t="n">
        <f aca="false">'総括　6～7（メモあり）'!I38</f>
        <v>2016533515</v>
      </c>
      <c r="E1189" s="28" t="n">
        <f aca="false">D1189-N(C1189)</f>
        <v>0</v>
      </c>
      <c r="F1189" s="2" t="str">
        <f aca="false">IF(AND(C1189&lt;&gt;"",ROUND(E1189,2)=0),"一致",IF(G1189&lt;&gt;"","変更（意図的）","★相違"))</f>
        <v>一致</v>
      </c>
      <c r="G1189" s="2"/>
    </row>
    <row r="1190" customFormat="false" ht="15" hidden="false" customHeight="false" outlineLevel="0" collapsed="false">
      <c r="A1190" s="2" t="s">
        <v>824</v>
      </c>
      <c r="B1190" s="27" t="s">
        <v>724</v>
      </c>
      <c r="C1190" s="28" t="n">
        <v>-1021487760</v>
      </c>
      <c r="D1190" s="28" t="n">
        <f aca="false">'総括　6～7（メモあり）'!J38</f>
        <v>-1021487760</v>
      </c>
      <c r="E1190" s="28" t="n">
        <f aca="false">D1190-N(C1190)</f>
        <v>0</v>
      </c>
      <c r="F1190" s="2" t="str">
        <f aca="false">IF(AND(C1190&lt;&gt;"",ROUND(E1190,2)=0),"一致",IF(G1190&lt;&gt;"","変更（意図的）","★相違"))</f>
        <v>一致</v>
      </c>
      <c r="G1190" s="2"/>
    </row>
    <row r="1191" customFormat="false" ht="15" hidden="false" customHeight="false" outlineLevel="0" collapsed="false">
      <c r="A1191" s="2" t="s">
        <v>824</v>
      </c>
      <c r="B1191" s="27" t="s">
        <v>1020</v>
      </c>
      <c r="C1191" s="28" t="n">
        <v>0</v>
      </c>
      <c r="D1191" s="28" t="n">
        <f aca="false">'総括　6～7（メモあり）'!K38</f>
        <v>0</v>
      </c>
      <c r="E1191" s="28" t="n">
        <f aca="false">D1191-N(C1191)</f>
        <v>0</v>
      </c>
      <c r="F1191" s="2" t="str">
        <f aca="false">IF(AND(C1191&lt;&gt;"",ROUND(E1191,2)=0),"一致",IF(G1191&lt;&gt;"","変更（意図的）","★相違"))</f>
        <v>一致</v>
      </c>
      <c r="G1191" s="2"/>
    </row>
    <row r="1192" customFormat="false" ht="15" hidden="false" customHeight="false" outlineLevel="0" collapsed="false">
      <c r="A1192" s="2" t="s">
        <v>824</v>
      </c>
      <c r="B1192" s="27" t="s">
        <v>1021</v>
      </c>
      <c r="C1192" s="28" t="n">
        <v>0</v>
      </c>
      <c r="D1192" s="28" t="n">
        <f aca="false">'総括　6～7（メモあり）'!L38</f>
        <v>0</v>
      </c>
      <c r="E1192" s="28" t="n">
        <f aca="false">D1192-N(C1192)</f>
        <v>0</v>
      </c>
      <c r="F1192" s="2" t="str">
        <f aca="false">IF(AND(C1192&lt;&gt;"",ROUND(E1192,2)=0),"一致",IF(G1192&lt;&gt;"","変更（意図的）","★相違"))</f>
        <v>一致</v>
      </c>
      <c r="G1192" s="2"/>
    </row>
    <row r="1193" customFormat="false" ht="15" hidden="false" customHeight="false" outlineLevel="0" collapsed="false">
      <c r="A1193" s="2" t="s">
        <v>824</v>
      </c>
      <c r="B1193" s="27" t="s">
        <v>725</v>
      </c>
      <c r="C1193" s="28" t="n">
        <v>0</v>
      </c>
      <c r="D1193" s="28" t="n">
        <f aca="false">'総括　6～7（メモあり）'!M38</f>
        <v>0</v>
      </c>
      <c r="E1193" s="28" t="n">
        <f aca="false">D1193-N(C1193)</f>
        <v>0</v>
      </c>
      <c r="F1193" s="2" t="str">
        <f aca="false">IF(AND(C1193&lt;&gt;"",ROUND(E1193,2)=0),"一致",IF(G1193&lt;&gt;"","変更（意図的）","★相違"))</f>
        <v>一致</v>
      </c>
      <c r="G1193" s="2"/>
    </row>
    <row r="1194" customFormat="false" ht="15" hidden="false" customHeight="false" outlineLevel="0" collapsed="false">
      <c r="A1194" s="2" t="s">
        <v>824</v>
      </c>
      <c r="B1194" s="27" t="s">
        <v>1022</v>
      </c>
      <c r="C1194" s="28" t="n">
        <v>0</v>
      </c>
      <c r="D1194" s="28" t="n">
        <f aca="false">'総括　6～7（メモあり）'!N38</f>
        <v>0</v>
      </c>
      <c r="E1194" s="28" t="n">
        <f aca="false">D1194-N(C1194)</f>
        <v>0</v>
      </c>
      <c r="F1194" s="2" t="str">
        <f aca="false">IF(AND(C1194&lt;&gt;"",ROUND(E1194,2)=0),"一致",IF(G1194&lt;&gt;"","変更（意図的）","★相違"))</f>
        <v>一致</v>
      </c>
      <c r="G1194" s="2"/>
    </row>
    <row r="1195" customFormat="false" ht="15" hidden="false" customHeight="false" outlineLevel="0" collapsed="false">
      <c r="A1195" s="2" t="s">
        <v>824</v>
      </c>
      <c r="B1195" s="27" t="s">
        <v>1023</v>
      </c>
      <c r="C1195" s="28" t="n">
        <v>0</v>
      </c>
      <c r="D1195" s="28" t="n">
        <f aca="false">'総括　6～7（メモあり）'!O38</f>
        <v>0</v>
      </c>
      <c r="E1195" s="28" t="n">
        <f aca="false">D1195-N(C1195)</f>
        <v>0</v>
      </c>
      <c r="F1195" s="2" t="str">
        <f aca="false">IF(AND(C1195&lt;&gt;"",ROUND(E1195,2)=0),"一致",IF(G1195&lt;&gt;"","変更（意図的）","★相違"))</f>
        <v>一致</v>
      </c>
      <c r="G1195" s="2"/>
    </row>
    <row r="1196" customFormat="false" ht="15" hidden="false" customHeight="false" outlineLevel="0" collapsed="false">
      <c r="A1196" s="2" t="s">
        <v>824</v>
      </c>
      <c r="B1196" s="27" t="s">
        <v>726</v>
      </c>
      <c r="C1196" s="28" t="n">
        <v>0</v>
      </c>
      <c r="D1196" s="28" t="n">
        <f aca="false">'総括　6～7（メモあり）'!P38</f>
        <v>0</v>
      </c>
      <c r="E1196" s="28" t="n">
        <f aca="false">D1196-N(C1196)</f>
        <v>0</v>
      </c>
      <c r="F1196" s="2" t="str">
        <f aca="false">IF(AND(C1196&lt;&gt;"",ROUND(E1196,2)=0),"一致",IF(G1196&lt;&gt;"","変更（意図的）","★相違"))</f>
        <v>一致</v>
      </c>
      <c r="G1196" s="2"/>
    </row>
    <row r="1197" customFormat="false" ht="15" hidden="false" customHeight="false" outlineLevel="0" collapsed="false">
      <c r="A1197" s="2" t="s">
        <v>824</v>
      </c>
      <c r="B1197" s="27" t="s">
        <v>1024</v>
      </c>
      <c r="C1197" s="28" t="n">
        <v>0</v>
      </c>
      <c r="D1197" s="28" t="n">
        <f aca="false">'総括　6～7（メモあり）'!Q38</f>
        <v>0</v>
      </c>
      <c r="E1197" s="28" t="n">
        <f aca="false">D1197-N(C1197)</f>
        <v>0</v>
      </c>
      <c r="F1197" s="2" t="str">
        <f aca="false">IF(AND(C1197&lt;&gt;"",ROUND(E1197,2)=0),"一致",IF(G1197&lt;&gt;"","変更（意図的）","★相違"))</f>
        <v>一致</v>
      </c>
      <c r="G1197" s="2"/>
    </row>
    <row r="1198" customFormat="false" ht="15" hidden="false" customHeight="false" outlineLevel="0" collapsed="false">
      <c r="A1198" s="2" t="s">
        <v>824</v>
      </c>
      <c r="B1198" s="27" t="s">
        <v>1025</v>
      </c>
      <c r="C1198" s="28" t="n">
        <v>0</v>
      </c>
      <c r="D1198" s="28" t="n">
        <f aca="false">'総括　6～7（メモあり）'!R38</f>
        <v>0</v>
      </c>
      <c r="E1198" s="28" t="n">
        <f aca="false">D1198-N(C1198)</f>
        <v>0</v>
      </c>
      <c r="F1198" s="2" t="str">
        <f aca="false">IF(AND(C1198&lt;&gt;"",ROUND(E1198,2)=0),"一致",IF(G1198&lt;&gt;"","変更（意図的）","★相違"))</f>
        <v>一致</v>
      </c>
      <c r="G1198" s="2"/>
    </row>
    <row r="1199" customFormat="false" ht="15" hidden="false" customHeight="false" outlineLevel="0" collapsed="false">
      <c r="A1199" s="2" t="s">
        <v>824</v>
      </c>
      <c r="B1199" s="27" t="s">
        <v>727</v>
      </c>
      <c r="C1199" s="28" t="n">
        <v>0</v>
      </c>
      <c r="D1199" s="28" t="n">
        <f aca="false">'総括　6～7（メモあり）'!S38</f>
        <v>0</v>
      </c>
      <c r="E1199" s="28" t="n">
        <f aca="false">D1199-N(C1199)</f>
        <v>0</v>
      </c>
      <c r="F1199" s="2" t="str">
        <f aca="false">IF(AND(C1199&lt;&gt;"",ROUND(E1199,2)=0),"一致",IF(G1199&lt;&gt;"","変更（意図的）","★相違"))</f>
        <v>一致</v>
      </c>
      <c r="G1199" s="2"/>
    </row>
    <row r="1200" customFormat="false" ht="15" hidden="false" customHeight="false" outlineLevel="0" collapsed="false">
      <c r="A1200" s="2" t="s">
        <v>824</v>
      </c>
      <c r="B1200" s="27" t="s">
        <v>217</v>
      </c>
      <c r="C1200" s="28" t="n">
        <v>0</v>
      </c>
      <c r="D1200" s="28" t="n">
        <f aca="false">'総括　6～7（メモあり）'!E39</f>
        <v>0</v>
      </c>
      <c r="E1200" s="28" t="n">
        <f aca="false">D1200-N(C1200)</f>
        <v>0</v>
      </c>
      <c r="F1200" s="2" t="str">
        <f aca="false">IF(AND(C1200&lt;&gt;"",ROUND(E1200,2)=0),"一致",IF(G1200&lt;&gt;"","変更（意図的）","★相違"))</f>
        <v>一致</v>
      </c>
      <c r="G1200" s="2"/>
    </row>
    <row r="1201" customFormat="false" ht="15" hidden="false" customHeight="false" outlineLevel="0" collapsed="false">
      <c r="A1201" s="2" t="s">
        <v>824</v>
      </c>
      <c r="B1201" s="27" t="s">
        <v>268</v>
      </c>
      <c r="C1201" s="28" t="n">
        <v>0</v>
      </c>
      <c r="D1201" s="28" t="n">
        <f aca="false">'総括　6～7（メモあり）'!F39</f>
        <v>0</v>
      </c>
      <c r="E1201" s="28" t="n">
        <f aca="false">D1201-N(C1201)</f>
        <v>0</v>
      </c>
      <c r="F1201" s="2" t="str">
        <f aca="false">IF(AND(C1201&lt;&gt;"",ROUND(E1201,2)=0),"一致",IF(G1201&lt;&gt;"","変更（意図的）","★相違"))</f>
        <v>一致</v>
      </c>
      <c r="G1201" s="2"/>
    </row>
    <row r="1202" customFormat="false" ht="15" hidden="false" customHeight="false" outlineLevel="0" collapsed="false">
      <c r="A1202" s="2" t="s">
        <v>824</v>
      </c>
      <c r="B1202" s="27" t="s">
        <v>218</v>
      </c>
      <c r="C1202" s="28" t="n">
        <v>0</v>
      </c>
      <c r="D1202" s="28" t="n">
        <f aca="false">'総括　6～7（メモあり）'!G39</f>
        <v>0</v>
      </c>
      <c r="E1202" s="28" t="n">
        <f aca="false">D1202-N(C1202)</f>
        <v>0</v>
      </c>
      <c r="F1202" s="2" t="str">
        <f aca="false">IF(AND(C1202&lt;&gt;"",ROUND(E1202,2)=0),"一致",IF(G1202&lt;&gt;"","変更（意図的）","★相違"))</f>
        <v>一致</v>
      </c>
      <c r="G1202" s="2"/>
    </row>
    <row r="1203" customFormat="false" ht="15" hidden="false" customHeight="false" outlineLevel="0" collapsed="false">
      <c r="A1203" s="2" t="s">
        <v>824</v>
      </c>
      <c r="B1203" s="27" t="s">
        <v>728</v>
      </c>
      <c r="C1203" s="28" t="n">
        <v>2802837274</v>
      </c>
      <c r="D1203" s="28" t="n">
        <f aca="false">'総括　6～7（メモあり）'!H39</f>
        <v>2802837274</v>
      </c>
      <c r="E1203" s="28" t="n">
        <f aca="false">D1203-N(C1203)</f>
        <v>0</v>
      </c>
      <c r="F1203" s="2" t="str">
        <f aca="false">IF(AND(C1203&lt;&gt;"",ROUND(E1203,2)=0),"一致",IF(G1203&lt;&gt;"","変更（意図的）","★相違"))</f>
        <v>一致</v>
      </c>
      <c r="G1203" s="2"/>
    </row>
    <row r="1204" customFormat="false" ht="15" hidden="false" customHeight="false" outlineLevel="0" collapsed="false">
      <c r="A1204" s="2" t="s">
        <v>824</v>
      </c>
      <c r="B1204" s="27" t="s">
        <v>729</v>
      </c>
      <c r="C1204" s="28" t="n">
        <v>5376398659</v>
      </c>
      <c r="D1204" s="28" t="n">
        <f aca="false">'総括　6～7（メモあり）'!I39</f>
        <v>5376398659</v>
      </c>
      <c r="E1204" s="28" t="n">
        <f aca="false">D1204-N(C1204)</f>
        <v>0</v>
      </c>
      <c r="F1204" s="2" t="str">
        <f aca="false">IF(AND(C1204&lt;&gt;"",ROUND(E1204,2)=0),"一致",IF(G1204&lt;&gt;"","変更（意図的）","★相違"))</f>
        <v>一致</v>
      </c>
      <c r="G1204" s="2"/>
    </row>
    <row r="1205" customFormat="false" ht="15" hidden="false" customHeight="false" outlineLevel="0" collapsed="false">
      <c r="A1205" s="2" t="s">
        <v>824</v>
      </c>
      <c r="B1205" s="27" t="s">
        <v>730</v>
      </c>
      <c r="C1205" s="28" t="n">
        <v>-2573561385</v>
      </c>
      <c r="D1205" s="28" t="n">
        <f aca="false">'総括　6～7（メモあり）'!J39</f>
        <v>-2573561385</v>
      </c>
      <c r="E1205" s="28" t="n">
        <f aca="false">D1205-N(C1205)</f>
        <v>0</v>
      </c>
      <c r="F1205" s="2" t="str">
        <f aca="false">IF(AND(C1205&lt;&gt;"",ROUND(E1205,2)=0),"一致",IF(G1205&lt;&gt;"","変更（意図的）","★相違"))</f>
        <v>一致</v>
      </c>
      <c r="G1205" s="2"/>
    </row>
    <row r="1206" customFormat="false" ht="15" hidden="false" customHeight="false" outlineLevel="0" collapsed="false">
      <c r="A1206" s="2" t="s">
        <v>824</v>
      </c>
      <c r="B1206" s="27" t="s">
        <v>1026</v>
      </c>
      <c r="C1206" s="28" t="n">
        <v>0</v>
      </c>
      <c r="D1206" s="28" t="n">
        <f aca="false">'総括　6～7（メモあり）'!K39</f>
        <v>0</v>
      </c>
      <c r="E1206" s="28" t="n">
        <f aca="false">D1206-N(C1206)</f>
        <v>0</v>
      </c>
      <c r="F1206" s="2" t="str">
        <f aca="false">IF(AND(C1206&lt;&gt;"",ROUND(E1206,2)=0),"一致",IF(G1206&lt;&gt;"","変更（意図的）","★相違"))</f>
        <v>一致</v>
      </c>
      <c r="G1206" s="2"/>
    </row>
    <row r="1207" customFormat="false" ht="15" hidden="false" customHeight="false" outlineLevel="0" collapsed="false">
      <c r="A1207" s="2" t="s">
        <v>824</v>
      </c>
      <c r="B1207" s="27" t="s">
        <v>1027</v>
      </c>
      <c r="C1207" s="28" t="n">
        <v>0</v>
      </c>
      <c r="D1207" s="28" t="n">
        <f aca="false">'総括　6～7（メモあり）'!L39</f>
        <v>0</v>
      </c>
      <c r="E1207" s="28" t="n">
        <f aca="false">D1207-N(C1207)</f>
        <v>0</v>
      </c>
      <c r="F1207" s="2" t="str">
        <f aca="false">IF(AND(C1207&lt;&gt;"",ROUND(E1207,2)=0),"一致",IF(G1207&lt;&gt;"","変更（意図的）","★相違"))</f>
        <v>一致</v>
      </c>
      <c r="G1207" s="2"/>
    </row>
    <row r="1208" customFormat="false" ht="15" hidden="false" customHeight="false" outlineLevel="0" collapsed="false">
      <c r="A1208" s="2" t="s">
        <v>824</v>
      </c>
      <c r="B1208" s="27" t="s">
        <v>731</v>
      </c>
      <c r="C1208" s="28" t="n">
        <v>0</v>
      </c>
      <c r="D1208" s="28" t="n">
        <f aca="false">'総括　6～7（メモあり）'!M39</f>
        <v>0</v>
      </c>
      <c r="E1208" s="28" t="n">
        <f aca="false">D1208-N(C1208)</f>
        <v>0</v>
      </c>
      <c r="F1208" s="2" t="str">
        <f aca="false">IF(AND(C1208&lt;&gt;"",ROUND(E1208,2)=0),"一致",IF(G1208&lt;&gt;"","変更（意図的）","★相違"))</f>
        <v>一致</v>
      </c>
      <c r="G1208" s="2"/>
    </row>
    <row r="1209" customFormat="false" ht="15" hidden="false" customHeight="false" outlineLevel="0" collapsed="false">
      <c r="A1209" s="2" t="s">
        <v>824</v>
      </c>
      <c r="B1209" s="27" t="s">
        <v>1028</v>
      </c>
      <c r="C1209" s="28" t="n">
        <v>0</v>
      </c>
      <c r="D1209" s="28" t="n">
        <f aca="false">'総括　6～7（メモあり）'!N39</f>
        <v>0</v>
      </c>
      <c r="E1209" s="28" t="n">
        <f aca="false">D1209-N(C1209)</f>
        <v>0</v>
      </c>
      <c r="F1209" s="2" t="str">
        <f aca="false">IF(AND(C1209&lt;&gt;"",ROUND(E1209,2)=0),"一致",IF(G1209&lt;&gt;"","変更（意図的）","★相違"))</f>
        <v>一致</v>
      </c>
      <c r="G1209" s="2"/>
    </row>
    <row r="1210" customFormat="false" ht="15" hidden="false" customHeight="false" outlineLevel="0" collapsed="false">
      <c r="A1210" s="2" t="s">
        <v>824</v>
      </c>
      <c r="B1210" s="27" t="s">
        <v>1029</v>
      </c>
      <c r="C1210" s="28" t="n">
        <v>0</v>
      </c>
      <c r="D1210" s="28" t="n">
        <f aca="false">'総括　6～7（メモあり）'!O39</f>
        <v>0</v>
      </c>
      <c r="E1210" s="28" t="n">
        <f aca="false">D1210-N(C1210)</f>
        <v>0</v>
      </c>
      <c r="F1210" s="2" t="str">
        <f aca="false">IF(AND(C1210&lt;&gt;"",ROUND(E1210,2)=0),"一致",IF(G1210&lt;&gt;"","変更（意図的）","★相違"))</f>
        <v>一致</v>
      </c>
      <c r="G1210" s="2"/>
    </row>
    <row r="1211" customFormat="false" ht="15" hidden="false" customHeight="false" outlineLevel="0" collapsed="false">
      <c r="A1211" s="2" t="s">
        <v>824</v>
      </c>
      <c r="B1211" s="27" t="s">
        <v>732</v>
      </c>
      <c r="C1211" s="28" t="n">
        <v>0</v>
      </c>
      <c r="D1211" s="28" t="n">
        <f aca="false">'総括　6～7（メモあり）'!P39</f>
        <v>0</v>
      </c>
      <c r="E1211" s="28" t="n">
        <f aca="false">D1211-N(C1211)</f>
        <v>0</v>
      </c>
      <c r="F1211" s="2" t="str">
        <f aca="false">IF(AND(C1211&lt;&gt;"",ROUND(E1211,2)=0),"一致",IF(G1211&lt;&gt;"","変更（意図的）","★相違"))</f>
        <v>一致</v>
      </c>
      <c r="G1211" s="2"/>
    </row>
    <row r="1212" customFormat="false" ht="15" hidden="false" customHeight="false" outlineLevel="0" collapsed="false">
      <c r="A1212" s="2" t="s">
        <v>824</v>
      </c>
      <c r="B1212" s="27" t="s">
        <v>1030</v>
      </c>
      <c r="C1212" s="28" t="n">
        <v>0</v>
      </c>
      <c r="D1212" s="28" t="n">
        <f aca="false">'総括　6～7（メモあり）'!Q39</f>
        <v>0</v>
      </c>
      <c r="E1212" s="28" t="n">
        <f aca="false">D1212-N(C1212)</f>
        <v>0</v>
      </c>
      <c r="F1212" s="2" t="str">
        <f aca="false">IF(AND(C1212&lt;&gt;"",ROUND(E1212,2)=0),"一致",IF(G1212&lt;&gt;"","変更（意図的）","★相違"))</f>
        <v>一致</v>
      </c>
      <c r="G1212" s="2"/>
    </row>
    <row r="1213" customFormat="false" ht="15" hidden="false" customHeight="false" outlineLevel="0" collapsed="false">
      <c r="A1213" s="2" t="s">
        <v>824</v>
      </c>
      <c r="B1213" s="27" t="s">
        <v>1031</v>
      </c>
      <c r="C1213" s="28" t="n">
        <v>0</v>
      </c>
      <c r="D1213" s="28" t="n">
        <f aca="false">'総括　6～7（メモあり）'!R39</f>
        <v>0</v>
      </c>
      <c r="E1213" s="28" t="n">
        <f aca="false">D1213-N(C1213)</f>
        <v>0</v>
      </c>
      <c r="F1213" s="2" t="str">
        <f aca="false">IF(AND(C1213&lt;&gt;"",ROUND(E1213,2)=0),"一致",IF(G1213&lt;&gt;"","変更（意図的）","★相違"))</f>
        <v>一致</v>
      </c>
      <c r="G1213" s="2"/>
    </row>
    <row r="1214" customFormat="false" ht="15" hidden="false" customHeight="false" outlineLevel="0" collapsed="false">
      <c r="A1214" s="2" t="s">
        <v>824</v>
      </c>
      <c r="B1214" s="27" t="s">
        <v>733</v>
      </c>
      <c r="C1214" s="28" t="n">
        <v>0</v>
      </c>
      <c r="D1214" s="28" t="n">
        <f aca="false">'総括　6～7（メモあり）'!S39</f>
        <v>0</v>
      </c>
      <c r="E1214" s="28" t="n">
        <f aca="false">D1214-N(C1214)</f>
        <v>0</v>
      </c>
      <c r="F1214" s="2" t="str">
        <f aca="false">IF(AND(C1214&lt;&gt;"",ROUND(E1214,2)=0),"一致",IF(G1214&lt;&gt;"","変更（意図的）","★相違"))</f>
        <v>一致</v>
      </c>
      <c r="G1214" s="2"/>
    </row>
    <row r="1215" customFormat="false" ht="15" hidden="false" customHeight="false" outlineLevel="0" collapsed="false">
      <c r="A1215" s="2" t="s">
        <v>824</v>
      </c>
      <c r="B1215" s="27" t="s">
        <v>219</v>
      </c>
      <c r="C1215" s="28" t="n">
        <v>0</v>
      </c>
      <c r="D1215" s="28" t="n">
        <f aca="false">'総括　6～7（メモあり）'!E40</f>
        <v>0</v>
      </c>
      <c r="E1215" s="28" t="n">
        <f aca="false">D1215-N(C1215)</f>
        <v>0</v>
      </c>
      <c r="F1215" s="2" t="str">
        <f aca="false">IF(AND(C1215&lt;&gt;"",ROUND(E1215,2)=0),"一致",IF(G1215&lt;&gt;"","変更（意図的）","★相違"))</f>
        <v>一致</v>
      </c>
      <c r="G1215" s="2"/>
    </row>
    <row r="1216" customFormat="false" ht="15" hidden="false" customHeight="false" outlineLevel="0" collapsed="false">
      <c r="A1216" s="2" t="s">
        <v>824</v>
      </c>
      <c r="B1216" s="27" t="s">
        <v>1032</v>
      </c>
      <c r="C1216" s="28" t="n">
        <v>0</v>
      </c>
      <c r="D1216" s="28" t="n">
        <f aca="false">'総括　6～7（メモあり）'!F40</f>
        <v>0</v>
      </c>
      <c r="E1216" s="28" t="n">
        <f aca="false">D1216-N(C1216)</f>
        <v>0</v>
      </c>
      <c r="F1216" s="2" t="str">
        <f aca="false">IF(AND(C1216&lt;&gt;"",ROUND(E1216,2)=0),"一致",IF(G1216&lt;&gt;"","変更（意図的）","★相違"))</f>
        <v>一致</v>
      </c>
      <c r="G1216" s="2"/>
    </row>
    <row r="1217" customFormat="false" ht="15" hidden="false" customHeight="false" outlineLevel="0" collapsed="false">
      <c r="A1217" s="2" t="s">
        <v>824</v>
      </c>
      <c r="B1217" s="27" t="s">
        <v>220</v>
      </c>
      <c r="C1217" s="28" t="n">
        <v>0</v>
      </c>
      <c r="D1217" s="28" t="n">
        <f aca="false">'総括　6～7（メモあり）'!G40</f>
        <v>0</v>
      </c>
      <c r="E1217" s="28" t="n">
        <f aca="false">D1217-N(C1217)</f>
        <v>0</v>
      </c>
      <c r="F1217" s="2" t="str">
        <f aca="false">IF(AND(C1217&lt;&gt;"",ROUND(E1217,2)=0),"一致",IF(G1217&lt;&gt;"","変更（意図的）","★相違"))</f>
        <v>一致</v>
      </c>
      <c r="G1217" s="2"/>
    </row>
    <row r="1218" customFormat="false" ht="15" hidden="false" customHeight="false" outlineLevel="0" collapsed="false">
      <c r="A1218" s="2" t="s">
        <v>824</v>
      </c>
      <c r="B1218" s="27" t="s">
        <v>1033</v>
      </c>
      <c r="C1218" s="28" t="n">
        <v>0</v>
      </c>
      <c r="D1218" s="28" t="n">
        <f aca="false">'総括　6～7（メモあり）'!K40</f>
        <v>0</v>
      </c>
      <c r="E1218" s="28" t="n">
        <f aca="false">D1218-N(C1218)</f>
        <v>0</v>
      </c>
      <c r="F1218" s="2" t="str">
        <f aca="false">IF(AND(C1218&lt;&gt;"",ROUND(E1218,2)=0),"一致",IF(G1218&lt;&gt;"","変更（意図的）","★相違"))</f>
        <v>一致</v>
      </c>
      <c r="G1218" s="2"/>
    </row>
    <row r="1219" customFormat="false" ht="15" hidden="false" customHeight="false" outlineLevel="0" collapsed="false">
      <c r="A1219" s="2" t="s">
        <v>824</v>
      </c>
      <c r="B1219" s="27" t="s">
        <v>1034</v>
      </c>
      <c r="C1219" s="28" t="n">
        <v>0</v>
      </c>
      <c r="D1219" s="28" t="n">
        <f aca="false">'総括　6～7（メモあり）'!L40</f>
        <v>0</v>
      </c>
      <c r="E1219" s="28" t="n">
        <f aca="false">D1219-N(C1219)</f>
        <v>0</v>
      </c>
      <c r="F1219" s="2" t="str">
        <f aca="false">IF(AND(C1219&lt;&gt;"",ROUND(E1219,2)=0),"一致",IF(G1219&lt;&gt;"","変更（意図的）","★相違"))</f>
        <v>一致</v>
      </c>
      <c r="G1219" s="2"/>
    </row>
    <row r="1220" customFormat="false" ht="15" hidden="false" customHeight="false" outlineLevel="0" collapsed="false">
      <c r="A1220" s="2" t="s">
        <v>824</v>
      </c>
      <c r="B1220" s="27" t="s">
        <v>734</v>
      </c>
      <c r="C1220" s="28" t="n">
        <v>0</v>
      </c>
      <c r="D1220" s="28" t="n">
        <f aca="false">'総括　6～7（メモあり）'!M40</f>
        <v>0</v>
      </c>
      <c r="E1220" s="28" t="n">
        <f aca="false">D1220-N(C1220)</f>
        <v>0</v>
      </c>
      <c r="F1220" s="2" t="str">
        <f aca="false">IF(AND(C1220&lt;&gt;"",ROUND(E1220,2)=0),"一致",IF(G1220&lt;&gt;"","変更（意図的）","★相違"))</f>
        <v>一致</v>
      </c>
      <c r="G1220" s="2"/>
    </row>
    <row r="1221" customFormat="false" ht="15" hidden="false" customHeight="false" outlineLevel="0" collapsed="false">
      <c r="A1221" s="2" t="s">
        <v>824</v>
      </c>
      <c r="B1221" s="27" t="s">
        <v>1035</v>
      </c>
      <c r="C1221" s="28" t="n">
        <v>0</v>
      </c>
      <c r="D1221" s="28" t="n">
        <f aca="false">'総括　6～7（メモあり）'!N40</f>
        <v>0</v>
      </c>
      <c r="E1221" s="28" t="n">
        <f aca="false">D1221-N(C1221)</f>
        <v>0</v>
      </c>
      <c r="F1221" s="2" t="str">
        <f aca="false">IF(AND(C1221&lt;&gt;"",ROUND(E1221,2)=0),"一致",IF(G1221&lt;&gt;"","変更（意図的）","★相違"))</f>
        <v>一致</v>
      </c>
      <c r="G1221" s="2"/>
    </row>
    <row r="1222" customFormat="false" ht="15" hidden="false" customHeight="false" outlineLevel="0" collapsed="false">
      <c r="A1222" s="2" t="s">
        <v>824</v>
      </c>
      <c r="B1222" s="27" t="s">
        <v>1036</v>
      </c>
      <c r="C1222" s="28" t="n">
        <v>0</v>
      </c>
      <c r="D1222" s="28" t="n">
        <f aca="false">'総括　6～7（メモあり）'!O40</f>
        <v>0</v>
      </c>
      <c r="E1222" s="28" t="n">
        <f aca="false">D1222-N(C1222)</f>
        <v>0</v>
      </c>
      <c r="F1222" s="2" t="str">
        <f aca="false">IF(AND(C1222&lt;&gt;"",ROUND(E1222,2)=0),"一致",IF(G1222&lt;&gt;"","変更（意図的）","★相違"))</f>
        <v>一致</v>
      </c>
      <c r="G1222" s="2"/>
    </row>
    <row r="1223" customFormat="false" ht="15" hidden="false" customHeight="false" outlineLevel="0" collapsed="false">
      <c r="A1223" s="2" t="s">
        <v>824</v>
      </c>
      <c r="B1223" s="27" t="s">
        <v>735</v>
      </c>
      <c r="C1223" s="28" t="n">
        <v>0</v>
      </c>
      <c r="D1223" s="28" t="n">
        <f aca="false">'総括　6～7（メモあり）'!P40</f>
        <v>0</v>
      </c>
      <c r="E1223" s="28" t="n">
        <f aca="false">D1223-N(C1223)</f>
        <v>0</v>
      </c>
      <c r="F1223" s="2" t="str">
        <f aca="false">IF(AND(C1223&lt;&gt;"",ROUND(E1223,2)=0),"一致",IF(G1223&lt;&gt;"","変更（意図的）","★相違"))</f>
        <v>一致</v>
      </c>
      <c r="G1223" s="2"/>
    </row>
    <row r="1224" customFormat="false" ht="15" hidden="false" customHeight="false" outlineLevel="0" collapsed="false">
      <c r="A1224" s="2" t="s">
        <v>824</v>
      </c>
      <c r="B1224" s="27" t="s">
        <v>1037</v>
      </c>
      <c r="C1224" s="28" t="n">
        <v>0</v>
      </c>
      <c r="D1224" s="28" t="n">
        <f aca="false">'総括　6～7（メモあり）'!Q40</f>
        <v>0</v>
      </c>
      <c r="E1224" s="28" t="n">
        <f aca="false">D1224-N(C1224)</f>
        <v>0</v>
      </c>
      <c r="F1224" s="2" t="str">
        <f aca="false">IF(AND(C1224&lt;&gt;"",ROUND(E1224,2)=0),"一致",IF(G1224&lt;&gt;"","変更（意図的）","★相違"))</f>
        <v>一致</v>
      </c>
      <c r="G1224" s="2"/>
    </row>
    <row r="1225" customFormat="false" ht="15" hidden="false" customHeight="false" outlineLevel="0" collapsed="false">
      <c r="A1225" s="2" t="s">
        <v>824</v>
      </c>
      <c r="B1225" s="27" t="s">
        <v>1038</v>
      </c>
      <c r="C1225" s="28" t="n">
        <v>0</v>
      </c>
      <c r="D1225" s="28" t="n">
        <f aca="false">'総括　6～7（メモあり）'!R40</f>
        <v>0</v>
      </c>
      <c r="E1225" s="28" t="n">
        <f aca="false">D1225-N(C1225)</f>
        <v>0</v>
      </c>
      <c r="F1225" s="2" t="str">
        <f aca="false">IF(AND(C1225&lt;&gt;"",ROUND(E1225,2)=0),"一致",IF(G1225&lt;&gt;"","変更（意図的）","★相違"))</f>
        <v>一致</v>
      </c>
      <c r="G1225" s="2"/>
    </row>
    <row r="1226" customFormat="false" ht="15" hidden="false" customHeight="false" outlineLevel="0" collapsed="false">
      <c r="A1226" s="2" t="s">
        <v>824</v>
      </c>
      <c r="B1226" s="27" t="s">
        <v>736</v>
      </c>
      <c r="C1226" s="28" t="n">
        <v>0</v>
      </c>
      <c r="D1226" s="28" t="n">
        <f aca="false">'総括　6～7（メモあり）'!S40</f>
        <v>0</v>
      </c>
      <c r="E1226" s="28" t="n">
        <f aca="false">D1226-N(C1226)</f>
        <v>0</v>
      </c>
      <c r="F1226" s="2" t="str">
        <f aca="false">IF(AND(C1226&lt;&gt;"",ROUND(E1226,2)=0),"一致",IF(G1226&lt;&gt;"","変更（意図的）","★相違"))</f>
        <v>一致</v>
      </c>
      <c r="G1226" s="2"/>
    </row>
    <row r="1227" customFormat="false" ht="15" hidden="false" customHeight="false" outlineLevel="0" collapsed="false">
      <c r="A1227" s="2" t="s">
        <v>824</v>
      </c>
      <c r="B1227" s="27" t="s">
        <v>221</v>
      </c>
      <c r="C1227" s="28" t="n">
        <v>132291047</v>
      </c>
      <c r="D1227" s="28" t="n">
        <f aca="false">'総括　6～7（メモあり）'!E41</f>
        <v>132291047</v>
      </c>
      <c r="E1227" s="28" t="n">
        <f aca="false">D1227-N(C1227)</f>
        <v>0</v>
      </c>
      <c r="F1227" s="2" t="str">
        <f aca="false">IF(AND(C1227&lt;&gt;"",ROUND(E1227,2)=0),"一致",IF(G1227&lt;&gt;"","変更（意図的）","★相違"))</f>
        <v>一致</v>
      </c>
      <c r="G1227" s="2"/>
    </row>
    <row r="1228" customFormat="false" ht="15" hidden="false" customHeight="false" outlineLevel="0" collapsed="false">
      <c r="A1228" s="2" t="s">
        <v>824</v>
      </c>
      <c r="B1228" s="27" t="s">
        <v>737</v>
      </c>
      <c r="C1228" s="28" t="n">
        <v>126119215</v>
      </c>
      <c r="D1228" s="28" t="n">
        <f aca="false">'総括　6～7（メモあり）'!F41</f>
        <v>126119215</v>
      </c>
      <c r="E1228" s="28" t="n">
        <f aca="false">D1228-N(C1228)</f>
        <v>0</v>
      </c>
      <c r="F1228" s="2" t="str">
        <f aca="false">IF(AND(C1228&lt;&gt;"",ROUND(E1228,2)=0),"一致",IF(G1228&lt;&gt;"","変更（意図的）","★相違"))</f>
        <v>一致</v>
      </c>
      <c r="G1228" s="2"/>
    </row>
    <row r="1229" customFormat="false" ht="15" hidden="false" customHeight="false" outlineLevel="0" collapsed="false">
      <c r="A1229" s="2" t="s">
        <v>824</v>
      </c>
      <c r="B1229" s="27" t="s">
        <v>222</v>
      </c>
      <c r="C1229" s="28" t="n">
        <v>6171832</v>
      </c>
      <c r="D1229" s="28" t="n">
        <f aca="false">'総括　6～7（メモあり）'!G41</f>
        <v>6171832</v>
      </c>
      <c r="E1229" s="28" t="n">
        <f aca="false">D1229-N(C1229)</f>
        <v>0</v>
      </c>
      <c r="F1229" s="2" t="str">
        <f aca="false">IF(AND(C1229&lt;&gt;"",ROUND(E1229,2)=0),"一致",IF(G1229&lt;&gt;"","変更（意図的）","★相違"))</f>
        <v>一致</v>
      </c>
      <c r="G1229" s="2"/>
    </row>
    <row r="1230" customFormat="false" ht="15" hidden="false" customHeight="false" outlineLevel="0" collapsed="false">
      <c r="A1230" s="2" t="s">
        <v>824</v>
      </c>
      <c r="B1230" s="27" t="s">
        <v>738</v>
      </c>
      <c r="C1230" s="28" t="n">
        <v>26027000</v>
      </c>
      <c r="D1230" s="28" t="n">
        <f aca="false">'総括　6～7（メモあり）'!H41</f>
        <v>26027000</v>
      </c>
      <c r="E1230" s="28" t="n">
        <f aca="false">D1230-N(C1230)</f>
        <v>0</v>
      </c>
      <c r="F1230" s="2" t="str">
        <f aca="false">IF(AND(C1230&lt;&gt;"",ROUND(E1230,2)=0),"一致",IF(G1230&lt;&gt;"","変更（意図的）","★相違"))</f>
        <v>一致</v>
      </c>
      <c r="G1230" s="2"/>
    </row>
    <row r="1231" customFormat="false" ht="15" hidden="false" customHeight="false" outlineLevel="0" collapsed="false">
      <c r="A1231" s="2" t="s">
        <v>824</v>
      </c>
      <c r="B1231" s="27" t="s">
        <v>739</v>
      </c>
      <c r="C1231" s="28" t="n">
        <v>249923000</v>
      </c>
      <c r="D1231" s="28" t="n">
        <f aca="false">'総括　6～7（メモあり）'!I41</f>
        <v>249923000</v>
      </c>
      <c r="E1231" s="28" t="n">
        <f aca="false">D1231-N(C1231)</f>
        <v>0</v>
      </c>
      <c r="F1231" s="2" t="str">
        <f aca="false">IF(AND(C1231&lt;&gt;"",ROUND(E1231,2)=0),"一致",IF(G1231&lt;&gt;"","変更（意図的）","★相違"))</f>
        <v>一致</v>
      </c>
      <c r="G1231" s="2"/>
    </row>
    <row r="1232" customFormat="false" ht="15" hidden="false" customHeight="false" outlineLevel="0" collapsed="false">
      <c r="A1232" s="2" t="s">
        <v>824</v>
      </c>
      <c r="B1232" s="27" t="s">
        <v>740</v>
      </c>
      <c r="C1232" s="28" t="n">
        <v>-223896000</v>
      </c>
      <c r="D1232" s="28" t="n">
        <f aca="false">'総括　6～7（メモあり）'!J41</f>
        <v>-223896000</v>
      </c>
      <c r="E1232" s="28" t="n">
        <f aca="false">D1232-N(C1232)</f>
        <v>0</v>
      </c>
      <c r="F1232" s="2" t="str">
        <f aca="false">IF(AND(C1232&lt;&gt;"",ROUND(E1232,2)=0),"一致",IF(G1232&lt;&gt;"","変更（意図的）","★相違"))</f>
        <v>一致</v>
      </c>
      <c r="G1232" s="2"/>
    </row>
    <row r="1233" customFormat="false" ht="15" hidden="false" customHeight="false" outlineLevel="0" collapsed="false">
      <c r="A1233" s="2" t="s">
        <v>824</v>
      </c>
      <c r="B1233" s="27" t="s">
        <v>1039</v>
      </c>
      <c r="C1233" s="28" t="n">
        <v>0</v>
      </c>
      <c r="D1233" s="28" t="n">
        <f aca="false">'総括　6～7（メモあり）'!K41</f>
        <v>0</v>
      </c>
      <c r="E1233" s="28" t="n">
        <f aca="false">D1233-N(C1233)</f>
        <v>0</v>
      </c>
      <c r="F1233" s="2" t="str">
        <f aca="false">IF(AND(C1233&lt;&gt;"",ROUND(E1233,2)=0),"一致",IF(G1233&lt;&gt;"","変更（意図的）","★相違"))</f>
        <v>一致</v>
      </c>
      <c r="G1233" s="2"/>
    </row>
    <row r="1234" customFormat="false" ht="15" hidden="false" customHeight="false" outlineLevel="0" collapsed="false">
      <c r="A1234" s="2" t="s">
        <v>824</v>
      </c>
      <c r="B1234" s="27" t="s">
        <v>1040</v>
      </c>
      <c r="C1234" s="28" t="n">
        <v>0</v>
      </c>
      <c r="D1234" s="28" t="n">
        <f aca="false">'総括　6～7（メモあり）'!L41</f>
        <v>0</v>
      </c>
      <c r="E1234" s="28" t="n">
        <f aca="false">D1234-N(C1234)</f>
        <v>0</v>
      </c>
      <c r="F1234" s="2" t="str">
        <f aca="false">IF(AND(C1234&lt;&gt;"",ROUND(E1234,2)=0),"一致",IF(G1234&lt;&gt;"","変更（意図的）","★相違"))</f>
        <v>一致</v>
      </c>
      <c r="G1234" s="2"/>
    </row>
    <row r="1235" customFormat="false" ht="15" hidden="false" customHeight="false" outlineLevel="0" collapsed="false">
      <c r="A1235" s="2" t="s">
        <v>824</v>
      </c>
      <c r="B1235" s="27" t="s">
        <v>741</v>
      </c>
      <c r="C1235" s="28" t="n">
        <v>0</v>
      </c>
      <c r="D1235" s="28" t="n">
        <f aca="false">'総括　6～7（メモあり）'!M41</f>
        <v>0</v>
      </c>
      <c r="E1235" s="28" t="n">
        <f aca="false">D1235-N(C1235)</f>
        <v>0</v>
      </c>
      <c r="F1235" s="2" t="str">
        <f aca="false">IF(AND(C1235&lt;&gt;"",ROUND(E1235,2)=0),"一致",IF(G1235&lt;&gt;"","変更（意図的）","★相違"))</f>
        <v>一致</v>
      </c>
      <c r="G1235" s="2"/>
    </row>
    <row r="1236" customFormat="false" ht="15" hidden="false" customHeight="false" outlineLevel="0" collapsed="false">
      <c r="A1236" s="2" t="s">
        <v>824</v>
      </c>
      <c r="B1236" s="27" t="s">
        <v>1041</v>
      </c>
      <c r="C1236" s="28" t="n">
        <v>0</v>
      </c>
      <c r="D1236" s="28" t="n">
        <f aca="false">'総括　6～7（メモあり）'!N41</f>
        <v>0</v>
      </c>
      <c r="E1236" s="28" t="n">
        <f aca="false">D1236-N(C1236)</f>
        <v>0</v>
      </c>
      <c r="F1236" s="2" t="str">
        <f aca="false">IF(AND(C1236&lt;&gt;"",ROUND(E1236,2)=0),"一致",IF(G1236&lt;&gt;"","変更（意図的）","★相違"))</f>
        <v>一致</v>
      </c>
      <c r="G1236" s="2"/>
    </row>
    <row r="1237" customFormat="false" ht="15" hidden="false" customHeight="false" outlineLevel="0" collapsed="false">
      <c r="A1237" s="2" t="s">
        <v>824</v>
      </c>
      <c r="B1237" s="27" t="s">
        <v>1042</v>
      </c>
      <c r="C1237" s="28" t="n">
        <v>0</v>
      </c>
      <c r="D1237" s="28" t="n">
        <f aca="false">'総括　6～7（メモあり）'!O41</f>
        <v>0</v>
      </c>
      <c r="E1237" s="28" t="n">
        <f aca="false">D1237-N(C1237)</f>
        <v>0</v>
      </c>
      <c r="F1237" s="2" t="str">
        <f aca="false">IF(AND(C1237&lt;&gt;"",ROUND(E1237,2)=0),"一致",IF(G1237&lt;&gt;"","変更（意図的）","★相違"))</f>
        <v>一致</v>
      </c>
      <c r="G1237" s="2"/>
    </row>
    <row r="1238" customFormat="false" ht="15" hidden="false" customHeight="false" outlineLevel="0" collapsed="false">
      <c r="A1238" s="2" t="s">
        <v>824</v>
      </c>
      <c r="B1238" s="27" t="s">
        <v>742</v>
      </c>
      <c r="C1238" s="28" t="n">
        <v>0</v>
      </c>
      <c r="D1238" s="28" t="n">
        <f aca="false">'総括　6～7（メモあり）'!P41</f>
        <v>0</v>
      </c>
      <c r="E1238" s="28" t="n">
        <f aca="false">D1238-N(C1238)</f>
        <v>0</v>
      </c>
      <c r="F1238" s="2" t="str">
        <f aca="false">IF(AND(C1238&lt;&gt;"",ROUND(E1238,2)=0),"一致",IF(G1238&lt;&gt;"","変更（意図的）","★相違"))</f>
        <v>一致</v>
      </c>
      <c r="G1238" s="2"/>
    </row>
    <row r="1239" customFormat="false" ht="15" hidden="false" customHeight="false" outlineLevel="0" collapsed="false">
      <c r="A1239" s="2" t="s">
        <v>824</v>
      </c>
      <c r="B1239" s="27" t="s">
        <v>1043</v>
      </c>
      <c r="C1239" s="28" t="n">
        <v>0</v>
      </c>
      <c r="D1239" s="28" t="n">
        <f aca="false">'総括　6～7（メモあり）'!Q41</f>
        <v>0</v>
      </c>
      <c r="E1239" s="28" t="n">
        <f aca="false">D1239-N(C1239)</f>
        <v>0</v>
      </c>
      <c r="F1239" s="2" t="str">
        <f aca="false">IF(AND(C1239&lt;&gt;"",ROUND(E1239,2)=0),"一致",IF(G1239&lt;&gt;"","変更（意図的）","★相違"))</f>
        <v>一致</v>
      </c>
      <c r="G1239" s="2"/>
    </row>
    <row r="1240" customFormat="false" ht="15" hidden="false" customHeight="false" outlineLevel="0" collapsed="false">
      <c r="A1240" s="2" t="s">
        <v>824</v>
      </c>
      <c r="B1240" s="27" t="s">
        <v>1044</v>
      </c>
      <c r="C1240" s="28" t="n">
        <v>465236</v>
      </c>
      <c r="D1240" s="28" t="n">
        <f aca="false">'総括　6～7（メモあり）'!R41</f>
        <v>465236</v>
      </c>
      <c r="E1240" s="28" t="n">
        <f aca="false">D1240-N(C1240)</f>
        <v>0</v>
      </c>
      <c r="F1240" s="2" t="str">
        <f aca="false">IF(AND(C1240&lt;&gt;"",ROUND(E1240,2)=0),"一致",IF(G1240&lt;&gt;"","変更（意図的）","★相違"))</f>
        <v>一致</v>
      </c>
      <c r="G1240" s="2"/>
    </row>
    <row r="1241" customFormat="false" ht="15" hidden="false" customHeight="false" outlineLevel="0" collapsed="false">
      <c r="A1241" s="2" t="s">
        <v>824</v>
      </c>
      <c r="B1241" s="27" t="s">
        <v>743</v>
      </c>
      <c r="C1241" s="28" t="n">
        <v>-465236</v>
      </c>
      <c r="D1241" s="28" t="n">
        <f aca="false">'総括　6～7（メモあり）'!S41</f>
        <v>-465236</v>
      </c>
      <c r="E1241" s="28" t="n">
        <f aca="false">D1241-N(C1241)</f>
        <v>0</v>
      </c>
      <c r="F1241" s="2" t="str">
        <f aca="false">IF(AND(C1241&lt;&gt;"",ROUND(E1241,2)=0),"一致",IF(G1241&lt;&gt;"","変更（意図的）","★相違"))</f>
        <v>一致</v>
      </c>
      <c r="G1241" s="2"/>
    </row>
    <row r="1242" customFormat="false" ht="15" hidden="false" customHeight="false" outlineLevel="0" collapsed="false">
      <c r="A1242" s="2" t="s">
        <v>824</v>
      </c>
      <c r="B1242" s="27" t="s">
        <v>223</v>
      </c>
      <c r="C1242" s="28" t="n">
        <v>11648520</v>
      </c>
      <c r="D1242" s="28" t="n">
        <f aca="false">'総括　6～7（メモあり）'!E42</f>
        <v>11648520</v>
      </c>
      <c r="E1242" s="28" t="n">
        <f aca="false">D1242-N(C1242)</f>
        <v>0</v>
      </c>
      <c r="F1242" s="2" t="str">
        <f aca="false">IF(AND(C1242&lt;&gt;"",ROUND(E1242,2)=0),"一致",IF(G1242&lt;&gt;"","変更（意図的）","★相違"))</f>
        <v>一致</v>
      </c>
      <c r="G1242" s="2"/>
    </row>
    <row r="1243" customFormat="false" ht="15" hidden="false" customHeight="false" outlineLevel="0" collapsed="false">
      <c r="A1243" s="2" t="s">
        <v>824</v>
      </c>
      <c r="B1243" s="27" t="s">
        <v>272</v>
      </c>
      <c r="C1243" s="28" t="n">
        <v>8154087</v>
      </c>
      <c r="D1243" s="28" t="n">
        <f aca="false">'総括　6～7（メモあり）'!F42</f>
        <v>8154087</v>
      </c>
      <c r="E1243" s="28" t="n">
        <f aca="false">D1243-N(C1243)</f>
        <v>0</v>
      </c>
      <c r="F1243" s="2" t="str">
        <f aca="false">IF(AND(C1243&lt;&gt;"",ROUND(E1243,2)=0),"一致",IF(G1243&lt;&gt;"","変更（意図的）","★相違"))</f>
        <v>一致</v>
      </c>
      <c r="G1243" s="2"/>
    </row>
    <row r="1244" customFormat="false" ht="15" hidden="false" customHeight="false" outlineLevel="0" collapsed="false">
      <c r="A1244" s="2" t="s">
        <v>824</v>
      </c>
      <c r="B1244" s="27" t="s">
        <v>224</v>
      </c>
      <c r="C1244" s="28" t="n">
        <v>3494433</v>
      </c>
      <c r="D1244" s="28" t="n">
        <f aca="false">'総括　6～7（メモあり）'!G42</f>
        <v>3494433</v>
      </c>
      <c r="E1244" s="28" t="n">
        <f aca="false">D1244-N(C1244)</f>
        <v>0</v>
      </c>
      <c r="F1244" s="2" t="str">
        <f aca="false">IF(AND(C1244&lt;&gt;"",ROUND(E1244,2)=0),"一致",IF(G1244&lt;&gt;"","変更（意図的）","★相違"))</f>
        <v>一致</v>
      </c>
      <c r="G1244" s="2"/>
    </row>
    <row r="1245" customFormat="false" ht="15" hidden="false" customHeight="false" outlineLevel="0" collapsed="false">
      <c r="A1245" s="2" t="s">
        <v>824</v>
      </c>
      <c r="B1245" s="27" t="s">
        <v>744</v>
      </c>
      <c r="C1245" s="28" t="n">
        <v>13252000</v>
      </c>
      <c r="D1245" s="28" t="n">
        <f aca="false">'総括　6～7（メモあり）'!H42</f>
        <v>13252000</v>
      </c>
      <c r="E1245" s="28" t="n">
        <f aca="false">D1245-N(C1245)</f>
        <v>0</v>
      </c>
      <c r="F1245" s="2" t="str">
        <f aca="false">IF(AND(C1245&lt;&gt;"",ROUND(E1245,2)=0),"一致",IF(G1245&lt;&gt;"","変更（意図的）","★相違"))</f>
        <v>一致</v>
      </c>
      <c r="G1245" s="2"/>
    </row>
    <row r="1246" customFormat="false" ht="15" hidden="false" customHeight="false" outlineLevel="0" collapsed="false">
      <c r="A1246" s="2" t="s">
        <v>824</v>
      </c>
      <c r="B1246" s="27" t="s">
        <v>745</v>
      </c>
      <c r="C1246" s="28" t="n">
        <v>30145946</v>
      </c>
      <c r="D1246" s="28" t="n">
        <f aca="false">'総括　6～7（メモあり）'!I42</f>
        <v>30145946</v>
      </c>
      <c r="E1246" s="28" t="n">
        <f aca="false">D1246-N(C1246)</f>
        <v>0</v>
      </c>
      <c r="F1246" s="2" t="str">
        <f aca="false">IF(AND(C1246&lt;&gt;"",ROUND(E1246,2)=0),"一致",IF(G1246&lt;&gt;"","変更（意図的）","★相違"))</f>
        <v>一致</v>
      </c>
      <c r="G1246" s="2"/>
    </row>
    <row r="1247" customFormat="false" ht="15" hidden="false" customHeight="false" outlineLevel="0" collapsed="false">
      <c r="A1247" s="2" t="s">
        <v>824</v>
      </c>
      <c r="B1247" s="27" t="s">
        <v>746</v>
      </c>
      <c r="C1247" s="28" t="n">
        <v>-16893946</v>
      </c>
      <c r="D1247" s="28" t="n">
        <f aca="false">'総括　6～7（メモあり）'!J42</f>
        <v>-16893946</v>
      </c>
      <c r="E1247" s="28" t="n">
        <f aca="false">D1247-N(C1247)</f>
        <v>0</v>
      </c>
      <c r="F1247" s="2" t="str">
        <f aca="false">IF(AND(C1247&lt;&gt;"",ROUND(E1247,2)=0),"一致",IF(G1247&lt;&gt;"","変更（意図的）","★相違"))</f>
        <v>一致</v>
      </c>
      <c r="G1247" s="2"/>
    </row>
    <row r="1248" customFormat="false" ht="15" hidden="false" customHeight="false" outlineLevel="0" collapsed="false">
      <c r="A1248" s="2" t="s">
        <v>824</v>
      </c>
      <c r="B1248" s="27" t="s">
        <v>1045</v>
      </c>
      <c r="C1248" s="28" t="n">
        <v>0</v>
      </c>
      <c r="D1248" s="28" t="n">
        <f aca="false">'総括　6～7（メモあり）'!K42</f>
        <v>0</v>
      </c>
      <c r="E1248" s="28" t="n">
        <f aca="false">D1248-N(C1248)</f>
        <v>0</v>
      </c>
      <c r="F1248" s="2" t="str">
        <f aca="false">IF(AND(C1248&lt;&gt;"",ROUND(E1248,2)=0),"一致",IF(G1248&lt;&gt;"","変更（意図的）","★相違"))</f>
        <v>一致</v>
      </c>
      <c r="G1248" s="2"/>
    </row>
    <row r="1249" customFormat="false" ht="15" hidden="false" customHeight="false" outlineLevel="0" collapsed="false">
      <c r="A1249" s="2" t="s">
        <v>824</v>
      </c>
      <c r="B1249" s="27" t="s">
        <v>1046</v>
      </c>
      <c r="C1249" s="28" t="n">
        <v>0</v>
      </c>
      <c r="D1249" s="28" t="n">
        <f aca="false">'総括　6～7（メモあり）'!L42</f>
        <v>0</v>
      </c>
      <c r="E1249" s="28" t="n">
        <f aca="false">D1249-N(C1249)</f>
        <v>0</v>
      </c>
      <c r="F1249" s="2" t="str">
        <f aca="false">IF(AND(C1249&lt;&gt;"",ROUND(E1249,2)=0),"一致",IF(G1249&lt;&gt;"","変更（意図的）","★相違"))</f>
        <v>一致</v>
      </c>
      <c r="G1249" s="2"/>
    </row>
    <row r="1250" customFormat="false" ht="15" hidden="false" customHeight="false" outlineLevel="0" collapsed="false">
      <c r="A1250" s="2" t="s">
        <v>824</v>
      </c>
      <c r="B1250" s="27" t="s">
        <v>747</v>
      </c>
      <c r="C1250" s="28" t="n">
        <v>0</v>
      </c>
      <c r="D1250" s="28" t="n">
        <f aca="false">'総括　6～7（メモあり）'!M42</f>
        <v>0</v>
      </c>
      <c r="E1250" s="28" t="n">
        <f aca="false">D1250-N(C1250)</f>
        <v>0</v>
      </c>
      <c r="F1250" s="2" t="str">
        <f aca="false">IF(AND(C1250&lt;&gt;"",ROUND(E1250,2)=0),"一致",IF(G1250&lt;&gt;"","変更（意図的）","★相違"))</f>
        <v>一致</v>
      </c>
      <c r="G1250" s="2"/>
    </row>
    <row r="1251" customFormat="false" ht="15" hidden="false" customHeight="false" outlineLevel="0" collapsed="false">
      <c r="A1251" s="2" t="s">
        <v>824</v>
      </c>
      <c r="B1251" s="27" t="s">
        <v>1047</v>
      </c>
      <c r="C1251" s="28" t="n">
        <v>0</v>
      </c>
      <c r="D1251" s="28" t="n">
        <f aca="false">'総括　6～7（メモあり）'!N42</f>
        <v>0</v>
      </c>
      <c r="E1251" s="28" t="n">
        <f aca="false">D1251-N(C1251)</f>
        <v>0</v>
      </c>
      <c r="F1251" s="2" t="str">
        <f aca="false">IF(AND(C1251&lt;&gt;"",ROUND(E1251,2)=0),"一致",IF(G1251&lt;&gt;"","変更（意図的）","★相違"))</f>
        <v>一致</v>
      </c>
      <c r="G1251" s="2"/>
    </row>
    <row r="1252" customFormat="false" ht="15" hidden="false" customHeight="false" outlineLevel="0" collapsed="false">
      <c r="A1252" s="2" t="s">
        <v>824</v>
      </c>
      <c r="B1252" s="27" t="s">
        <v>1048</v>
      </c>
      <c r="C1252" s="28" t="n">
        <v>0</v>
      </c>
      <c r="D1252" s="28" t="n">
        <f aca="false">'総括　6～7（メモあり）'!O42</f>
        <v>0</v>
      </c>
      <c r="E1252" s="28" t="n">
        <f aca="false">D1252-N(C1252)</f>
        <v>0</v>
      </c>
      <c r="F1252" s="2" t="str">
        <f aca="false">IF(AND(C1252&lt;&gt;"",ROUND(E1252,2)=0),"一致",IF(G1252&lt;&gt;"","変更（意図的）","★相違"))</f>
        <v>一致</v>
      </c>
      <c r="G1252" s="2"/>
    </row>
    <row r="1253" customFormat="false" ht="15" hidden="false" customHeight="false" outlineLevel="0" collapsed="false">
      <c r="A1253" s="2" t="s">
        <v>824</v>
      </c>
      <c r="B1253" s="27" t="s">
        <v>748</v>
      </c>
      <c r="C1253" s="28" t="n">
        <v>0</v>
      </c>
      <c r="D1253" s="28" t="n">
        <f aca="false">'総括　6～7（メモあり）'!P42</f>
        <v>0</v>
      </c>
      <c r="E1253" s="28" t="n">
        <f aca="false">D1253-N(C1253)</f>
        <v>0</v>
      </c>
      <c r="F1253" s="2" t="str">
        <f aca="false">IF(AND(C1253&lt;&gt;"",ROUND(E1253,2)=0),"一致",IF(G1253&lt;&gt;"","変更（意図的）","★相違"))</f>
        <v>一致</v>
      </c>
      <c r="G1253" s="2"/>
    </row>
    <row r="1254" customFormat="false" ht="15" hidden="false" customHeight="false" outlineLevel="0" collapsed="false">
      <c r="A1254" s="2" t="s">
        <v>824</v>
      </c>
      <c r="B1254" s="27" t="s">
        <v>1049</v>
      </c>
      <c r="C1254" s="28" t="n">
        <v>0</v>
      </c>
      <c r="D1254" s="28" t="n">
        <f aca="false">'総括　6～7（メモあり）'!Q42</f>
        <v>0</v>
      </c>
      <c r="E1254" s="28" t="n">
        <f aca="false">D1254-N(C1254)</f>
        <v>0</v>
      </c>
      <c r="F1254" s="2" t="str">
        <f aca="false">IF(AND(C1254&lt;&gt;"",ROUND(E1254,2)=0),"一致",IF(G1254&lt;&gt;"","変更（意図的）","★相違"))</f>
        <v>一致</v>
      </c>
      <c r="G1254" s="2"/>
    </row>
    <row r="1255" customFormat="false" ht="15" hidden="false" customHeight="false" outlineLevel="0" collapsed="false">
      <c r="A1255" s="2" t="s">
        <v>824</v>
      </c>
      <c r="B1255" s="27" t="s">
        <v>1050</v>
      </c>
      <c r="C1255" s="28" t="n">
        <v>0</v>
      </c>
      <c r="D1255" s="28" t="n">
        <f aca="false">'総括　6～7（メモあり）'!R42</f>
        <v>0</v>
      </c>
      <c r="E1255" s="28" t="n">
        <f aca="false">D1255-N(C1255)</f>
        <v>0</v>
      </c>
      <c r="F1255" s="2" t="str">
        <f aca="false">IF(AND(C1255&lt;&gt;"",ROUND(E1255,2)=0),"一致",IF(G1255&lt;&gt;"","変更（意図的）","★相違"))</f>
        <v>一致</v>
      </c>
      <c r="G1255" s="2"/>
    </row>
    <row r="1256" customFormat="false" ht="15" hidden="false" customHeight="false" outlineLevel="0" collapsed="false">
      <c r="A1256" s="2" t="s">
        <v>824</v>
      </c>
      <c r="B1256" s="27" t="s">
        <v>749</v>
      </c>
      <c r="C1256" s="28" t="n">
        <v>0</v>
      </c>
      <c r="D1256" s="28" t="n">
        <f aca="false">'総括　6～7（メモあり）'!S42</f>
        <v>0</v>
      </c>
      <c r="E1256" s="28" t="n">
        <f aca="false">D1256-N(C1256)</f>
        <v>0</v>
      </c>
      <c r="F1256" s="2" t="str">
        <f aca="false">IF(AND(C1256&lt;&gt;"",ROUND(E1256,2)=0),"一致",IF(G1256&lt;&gt;"","変更（意図的）","★相違"))</f>
        <v>一致</v>
      </c>
      <c r="G1256" s="2"/>
    </row>
    <row r="1257" customFormat="false" ht="15" hidden="false" customHeight="false" outlineLevel="0" collapsed="false">
      <c r="A1257" s="2" t="s">
        <v>824</v>
      </c>
      <c r="B1257" s="27" t="s">
        <v>225</v>
      </c>
      <c r="C1257" s="28" t="n">
        <v>0</v>
      </c>
      <c r="D1257" s="28" t="n">
        <f aca="false">'総括　6～7（メモあり）'!E43</f>
        <v>0</v>
      </c>
      <c r="E1257" s="28" t="n">
        <f aca="false">D1257-N(C1257)</f>
        <v>0</v>
      </c>
      <c r="F1257" s="2" t="str">
        <f aca="false">IF(AND(C1257&lt;&gt;"",ROUND(E1257,2)=0),"一致",IF(G1257&lt;&gt;"","変更（意図的）","★相違"))</f>
        <v>一致</v>
      </c>
      <c r="G1257" s="2"/>
    </row>
    <row r="1258" customFormat="false" ht="15" hidden="false" customHeight="false" outlineLevel="0" collapsed="false">
      <c r="A1258" s="2" t="s">
        <v>824</v>
      </c>
      <c r="B1258" s="27" t="s">
        <v>1051</v>
      </c>
      <c r="C1258" s="28" t="n">
        <v>0</v>
      </c>
      <c r="D1258" s="28" t="n">
        <f aca="false">'総括　6～7（メモあり）'!F43</f>
        <v>0</v>
      </c>
      <c r="E1258" s="28" t="n">
        <f aca="false">D1258-N(C1258)</f>
        <v>0</v>
      </c>
      <c r="F1258" s="2" t="str">
        <f aca="false">IF(AND(C1258&lt;&gt;"",ROUND(E1258,2)=0),"一致",IF(G1258&lt;&gt;"","変更（意図的）","★相違"))</f>
        <v>一致</v>
      </c>
      <c r="G1258" s="2"/>
    </row>
    <row r="1259" customFormat="false" ht="15" hidden="false" customHeight="false" outlineLevel="0" collapsed="false">
      <c r="A1259" s="2" t="s">
        <v>824</v>
      </c>
      <c r="B1259" s="27" t="s">
        <v>226</v>
      </c>
      <c r="C1259" s="28" t="n">
        <v>0</v>
      </c>
      <c r="D1259" s="28" t="n">
        <f aca="false">'総括　6～7（メモあり）'!G43</f>
        <v>0</v>
      </c>
      <c r="E1259" s="28" t="n">
        <f aca="false">D1259-N(C1259)</f>
        <v>0</v>
      </c>
      <c r="F1259" s="2" t="str">
        <f aca="false">IF(AND(C1259&lt;&gt;"",ROUND(E1259,2)=0),"一致",IF(G1259&lt;&gt;"","変更（意図的）","★相違"))</f>
        <v>一致</v>
      </c>
      <c r="G1259" s="2"/>
    </row>
    <row r="1260" customFormat="false" ht="15" hidden="false" customHeight="false" outlineLevel="0" collapsed="false">
      <c r="A1260" s="2" t="s">
        <v>824</v>
      </c>
      <c r="B1260" s="27" t="s">
        <v>750</v>
      </c>
      <c r="C1260" s="28" t="n">
        <v>9574938</v>
      </c>
      <c r="D1260" s="28" t="n">
        <f aca="false">'総括　6～7（メモあり）'!K43</f>
        <v>9574938</v>
      </c>
      <c r="E1260" s="28" t="n">
        <f aca="false">D1260-N(C1260)</f>
        <v>0</v>
      </c>
      <c r="F1260" s="2" t="str">
        <f aca="false">IF(AND(C1260&lt;&gt;"",ROUND(E1260,2)=0),"一致",IF(G1260&lt;&gt;"","変更（意図的）","★相違"))</f>
        <v>一致</v>
      </c>
      <c r="G1260" s="2"/>
    </row>
    <row r="1261" customFormat="false" ht="15" hidden="false" customHeight="false" outlineLevel="0" collapsed="false">
      <c r="A1261" s="2" t="s">
        <v>824</v>
      </c>
      <c r="B1261" s="27" t="s">
        <v>751</v>
      </c>
      <c r="C1261" s="28" t="n">
        <v>7908615</v>
      </c>
      <c r="D1261" s="28" t="n">
        <f aca="false">'総括　6～7（メモあり）'!L43</f>
        <v>7908615</v>
      </c>
      <c r="E1261" s="28" t="n">
        <f aca="false">D1261-N(C1261)</f>
        <v>0</v>
      </c>
      <c r="F1261" s="2" t="str">
        <f aca="false">IF(AND(C1261&lt;&gt;"",ROUND(E1261,2)=0),"一致",IF(G1261&lt;&gt;"","変更（意図的）","★相違"))</f>
        <v>一致</v>
      </c>
      <c r="G1261" s="2"/>
    </row>
    <row r="1262" customFormat="false" ht="15" hidden="false" customHeight="false" outlineLevel="0" collapsed="false">
      <c r="A1262" s="2" t="s">
        <v>824</v>
      </c>
      <c r="B1262" s="27" t="s">
        <v>752</v>
      </c>
      <c r="C1262" s="28" t="n">
        <v>1666323</v>
      </c>
      <c r="D1262" s="28" t="n">
        <f aca="false">'総括　6～7（メモあり）'!M43</f>
        <v>1666323</v>
      </c>
      <c r="E1262" s="28" t="n">
        <f aca="false">D1262-N(C1262)</f>
        <v>0</v>
      </c>
      <c r="F1262" s="2" t="str">
        <f aca="false">IF(AND(C1262&lt;&gt;"",ROUND(E1262,2)=0),"一致",IF(G1262&lt;&gt;"","変更（意図的）","★相違"))</f>
        <v>一致</v>
      </c>
      <c r="G1262" s="2"/>
    </row>
    <row r="1263" customFormat="false" ht="15" hidden="false" customHeight="false" outlineLevel="0" collapsed="false">
      <c r="A1263" s="2" t="s">
        <v>824</v>
      </c>
      <c r="B1263" s="27" t="s">
        <v>1052</v>
      </c>
      <c r="C1263" s="28" t="n">
        <v>6040584</v>
      </c>
      <c r="D1263" s="28" t="n">
        <f aca="false">'総括　6～7（メモあり）'!N43</f>
        <v>6040584</v>
      </c>
      <c r="E1263" s="28" t="n">
        <f aca="false">D1263-N(C1263)</f>
        <v>0</v>
      </c>
      <c r="F1263" s="2" t="str">
        <f aca="false">IF(AND(C1263&lt;&gt;"",ROUND(E1263,2)=0),"一致",IF(G1263&lt;&gt;"","変更（意図的）","★相違"))</f>
        <v>一致</v>
      </c>
      <c r="G1263" s="2"/>
    </row>
    <row r="1264" customFormat="false" ht="15" hidden="false" customHeight="false" outlineLevel="0" collapsed="false">
      <c r="A1264" s="2" t="s">
        <v>824</v>
      </c>
      <c r="B1264" s="27" t="s">
        <v>753</v>
      </c>
      <c r="C1264" s="28" t="n">
        <v>5032581</v>
      </c>
      <c r="D1264" s="28" t="n">
        <f aca="false">'総括　6～7（メモあり）'!O43</f>
        <v>5032581</v>
      </c>
      <c r="E1264" s="28" t="n">
        <f aca="false">D1264-N(C1264)</f>
        <v>0</v>
      </c>
      <c r="F1264" s="2" t="str">
        <f aca="false">IF(AND(C1264&lt;&gt;"",ROUND(E1264,2)=0),"一致",IF(G1264&lt;&gt;"","変更（意図的）","★相違"))</f>
        <v>一致</v>
      </c>
      <c r="G1264" s="2"/>
    </row>
    <row r="1265" customFormat="false" ht="15" hidden="false" customHeight="false" outlineLevel="0" collapsed="false">
      <c r="A1265" s="2" t="s">
        <v>824</v>
      </c>
      <c r="B1265" s="27" t="s">
        <v>754</v>
      </c>
      <c r="C1265" s="28" t="n">
        <v>1008003</v>
      </c>
      <c r="D1265" s="28" t="n">
        <f aca="false">'総括　6～7（メモあり）'!P43</f>
        <v>1008003</v>
      </c>
      <c r="E1265" s="28" t="n">
        <f aca="false">D1265-N(C1265)</f>
        <v>0</v>
      </c>
      <c r="F1265" s="2" t="str">
        <f aca="false">IF(AND(C1265&lt;&gt;"",ROUND(E1265,2)=0),"一致",IF(G1265&lt;&gt;"","変更（意図的）","★相違"))</f>
        <v>一致</v>
      </c>
      <c r="G1265" s="2"/>
    </row>
    <row r="1266" customFormat="false" ht="15" hidden="false" customHeight="false" outlineLevel="0" collapsed="false">
      <c r="A1266" s="2" t="s">
        <v>824</v>
      </c>
      <c r="B1266" s="27" t="s">
        <v>1053</v>
      </c>
      <c r="C1266" s="28" t="n">
        <v>6160420</v>
      </c>
      <c r="D1266" s="28" t="n">
        <f aca="false">'総括　6～7（メモあり）'!Q43</f>
        <v>6160420</v>
      </c>
      <c r="E1266" s="28" t="n">
        <f aca="false">D1266-N(C1266)</f>
        <v>0</v>
      </c>
      <c r="F1266" s="2" t="str">
        <f aca="false">IF(AND(C1266&lt;&gt;"",ROUND(E1266,2)=0),"一致",IF(G1266&lt;&gt;"","変更（意図的）","★相違"))</f>
        <v>一致</v>
      </c>
      <c r="G1266" s="2"/>
    </row>
    <row r="1267" customFormat="false" ht="15" hidden="false" customHeight="false" outlineLevel="0" collapsed="false">
      <c r="A1267" s="2" t="s">
        <v>824</v>
      </c>
      <c r="B1267" s="27" t="s">
        <v>755</v>
      </c>
      <c r="C1267" s="28" t="n">
        <v>4862540</v>
      </c>
      <c r="D1267" s="28" t="n">
        <f aca="false">'総括　6～7（メモあり）'!R43</f>
        <v>4862540</v>
      </c>
      <c r="E1267" s="28" t="n">
        <f aca="false">D1267-N(C1267)</f>
        <v>0</v>
      </c>
      <c r="F1267" s="2" t="str">
        <f aca="false">IF(AND(C1267&lt;&gt;"",ROUND(E1267,2)=0),"一致",IF(G1267&lt;&gt;"","変更（意図的）","★相違"))</f>
        <v>一致</v>
      </c>
      <c r="G1267" s="2"/>
    </row>
    <row r="1268" customFormat="false" ht="15" hidden="false" customHeight="false" outlineLevel="0" collapsed="false">
      <c r="A1268" s="2" t="s">
        <v>824</v>
      </c>
      <c r="B1268" s="27" t="s">
        <v>756</v>
      </c>
      <c r="C1268" s="28" t="n">
        <v>1297880</v>
      </c>
      <c r="D1268" s="28" t="n">
        <f aca="false">'総括　6～7（メモあり）'!S43</f>
        <v>1297880</v>
      </c>
      <c r="E1268" s="28" t="n">
        <f aca="false">D1268-N(C1268)</f>
        <v>0</v>
      </c>
      <c r="F1268" s="2" t="str">
        <f aca="false">IF(AND(C1268&lt;&gt;"",ROUND(E1268,2)=0),"一致",IF(G1268&lt;&gt;"","変更（意図的）","★相違"))</f>
        <v>一致</v>
      </c>
      <c r="G1268" s="2"/>
    </row>
    <row r="1269" customFormat="false" ht="15" hidden="false" customHeight="false" outlineLevel="0" collapsed="false">
      <c r="A1269" s="2" t="s">
        <v>824</v>
      </c>
      <c r="B1269" s="27" t="s">
        <v>227</v>
      </c>
      <c r="C1269" s="28" t="n">
        <v>0</v>
      </c>
      <c r="D1269" s="28" t="n">
        <f aca="false">'総括　6～7（メモあり）'!E44</f>
        <v>0</v>
      </c>
      <c r="E1269" s="28" t="n">
        <f aca="false">D1269-N(C1269)</f>
        <v>0</v>
      </c>
      <c r="F1269" s="2" t="str">
        <f aca="false">IF(AND(C1269&lt;&gt;"",ROUND(E1269,2)=0),"一致",IF(G1269&lt;&gt;"","変更（意図的）","★相違"))</f>
        <v>一致</v>
      </c>
      <c r="G1269" s="2"/>
    </row>
    <row r="1270" customFormat="false" ht="15" hidden="false" customHeight="false" outlineLevel="0" collapsed="false">
      <c r="A1270" s="2" t="s">
        <v>824</v>
      </c>
      <c r="B1270" s="27" t="s">
        <v>228</v>
      </c>
      <c r="C1270" s="28" t="n">
        <v>0</v>
      </c>
      <c r="D1270" s="28" t="n">
        <f aca="false">'総括　6～7（メモあり）'!F44</f>
        <v>0</v>
      </c>
      <c r="E1270" s="28" t="n">
        <f aca="false">D1270-N(C1270)</f>
        <v>0</v>
      </c>
      <c r="F1270" s="2" t="str">
        <f aca="false">IF(AND(C1270&lt;&gt;"",ROUND(E1270,2)=0),"一致",IF(G1270&lt;&gt;"","変更（意図的）","★相違"))</f>
        <v>一致</v>
      </c>
      <c r="G1270" s="2"/>
    </row>
    <row r="1271" customFormat="false" ht="15" hidden="false" customHeight="false" outlineLevel="0" collapsed="false">
      <c r="A1271" s="2" t="s">
        <v>824</v>
      </c>
      <c r="B1271" s="27" t="s">
        <v>229</v>
      </c>
      <c r="C1271" s="28" t="n">
        <v>0</v>
      </c>
      <c r="D1271" s="28" t="n">
        <f aca="false">'総括　6～7（メモあり）'!G44</f>
        <v>0</v>
      </c>
      <c r="E1271" s="28" t="n">
        <f aca="false">D1271-N(C1271)</f>
        <v>0</v>
      </c>
      <c r="F1271" s="2" t="str">
        <f aca="false">IF(AND(C1271&lt;&gt;"",ROUND(E1271,2)=0),"一致",IF(G1271&lt;&gt;"","変更（意図的）","★相違"))</f>
        <v>一致</v>
      </c>
      <c r="G1271" s="2"/>
    </row>
    <row r="1272" customFormat="false" ht="15" hidden="false" customHeight="false" outlineLevel="0" collapsed="false">
      <c r="A1272" s="2" t="s">
        <v>824</v>
      </c>
      <c r="B1272" s="27" t="s">
        <v>757</v>
      </c>
      <c r="C1272" s="28" t="n">
        <v>101872292</v>
      </c>
      <c r="D1272" s="28" t="n">
        <f aca="false">'総括　6～7（メモあり）'!K44</f>
        <v>101872292</v>
      </c>
      <c r="E1272" s="28" t="n">
        <f aca="false">D1272-N(C1272)</f>
        <v>0</v>
      </c>
      <c r="F1272" s="2" t="str">
        <f aca="false">IF(AND(C1272&lt;&gt;"",ROUND(E1272,2)=0),"一致",IF(G1272&lt;&gt;"","変更（意図的）","★相違"))</f>
        <v>一致</v>
      </c>
      <c r="G1272" s="2"/>
    </row>
    <row r="1273" customFormat="false" ht="15" hidden="false" customHeight="false" outlineLevel="0" collapsed="false">
      <c r="A1273" s="2" t="s">
        <v>824</v>
      </c>
      <c r="B1273" s="27" t="s">
        <v>758</v>
      </c>
      <c r="C1273" s="28" t="n">
        <v>82657779</v>
      </c>
      <c r="D1273" s="28" t="n">
        <f aca="false">'総括　6～7（メモあり）'!L44</f>
        <v>82657779</v>
      </c>
      <c r="E1273" s="28" t="n">
        <f aca="false">D1273-N(C1273)</f>
        <v>0</v>
      </c>
      <c r="F1273" s="2" t="str">
        <f aca="false">IF(AND(C1273&lt;&gt;"",ROUND(E1273,2)=0),"一致",IF(G1273&lt;&gt;"","変更（意図的）","★相違"))</f>
        <v>一致</v>
      </c>
      <c r="G1273" s="2"/>
    </row>
    <row r="1274" customFormat="false" ht="15" hidden="false" customHeight="false" outlineLevel="0" collapsed="false">
      <c r="A1274" s="2" t="s">
        <v>824</v>
      </c>
      <c r="B1274" s="27" t="s">
        <v>759</v>
      </c>
      <c r="C1274" s="28" t="n">
        <v>19214513</v>
      </c>
      <c r="D1274" s="28" t="n">
        <f aca="false">'総括　6～7（メモあり）'!M44</f>
        <v>19214513</v>
      </c>
      <c r="E1274" s="28" t="n">
        <f aca="false">D1274-N(C1274)</f>
        <v>0</v>
      </c>
      <c r="F1274" s="2" t="str">
        <f aca="false">IF(AND(C1274&lt;&gt;"",ROUND(E1274,2)=0),"一致",IF(G1274&lt;&gt;"","変更（意図的）","★相違"))</f>
        <v>一致</v>
      </c>
      <c r="G1274" s="2"/>
    </row>
    <row r="1275" customFormat="false" ht="15" hidden="false" customHeight="false" outlineLevel="0" collapsed="false">
      <c r="A1275" s="2" t="s">
        <v>824</v>
      </c>
      <c r="B1275" s="27" t="s">
        <v>1054</v>
      </c>
      <c r="C1275" s="28" t="n">
        <v>608161999</v>
      </c>
      <c r="D1275" s="28" t="n">
        <f aca="false">'総括　6～7（メモあり）'!N44</f>
        <v>608161999</v>
      </c>
      <c r="E1275" s="28" t="n">
        <f aca="false">D1275-N(C1275)</f>
        <v>0</v>
      </c>
      <c r="F1275" s="2" t="str">
        <f aca="false">IF(AND(C1275&lt;&gt;"",ROUND(E1275,2)=0),"一致",IF(G1275&lt;&gt;"","変更（意図的）","★相違"))</f>
        <v>一致</v>
      </c>
      <c r="G1275" s="2"/>
    </row>
    <row r="1276" customFormat="false" ht="15" hidden="false" customHeight="false" outlineLevel="0" collapsed="false">
      <c r="A1276" s="2" t="s">
        <v>824</v>
      </c>
      <c r="B1276" s="27" t="s">
        <v>760</v>
      </c>
      <c r="C1276" s="28" t="n">
        <v>579831941</v>
      </c>
      <c r="D1276" s="28" t="n">
        <f aca="false">'総括　6～7（メモあり）'!O44</f>
        <v>579831941</v>
      </c>
      <c r="E1276" s="28" t="n">
        <f aca="false">D1276-N(C1276)</f>
        <v>0</v>
      </c>
      <c r="F1276" s="2" t="str">
        <f aca="false">IF(AND(C1276&lt;&gt;"",ROUND(E1276,2)=0),"一致",IF(G1276&lt;&gt;"","変更（意図的）","★相違"))</f>
        <v>一致</v>
      </c>
      <c r="G1276" s="2"/>
    </row>
    <row r="1277" customFormat="false" ht="15" hidden="false" customHeight="false" outlineLevel="0" collapsed="false">
      <c r="A1277" s="2" t="s">
        <v>824</v>
      </c>
      <c r="B1277" s="27" t="s">
        <v>761</v>
      </c>
      <c r="C1277" s="28" t="n">
        <v>28330058</v>
      </c>
      <c r="D1277" s="28" t="n">
        <f aca="false">'総括　6～7（メモあり）'!P44</f>
        <v>28330058</v>
      </c>
      <c r="E1277" s="28" t="n">
        <f aca="false">D1277-N(C1277)</f>
        <v>0</v>
      </c>
      <c r="F1277" s="2" t="str">
        <f aca="false">IF(AND(C1277&lt;&gt;"",ROUND(E1277,2)=0),"一致",IF(G1277&lt;&gt;"","変更（意図的）","★相違"))</f>
        <v>一致</v>
      </c>
      <c r="G1277" s="2"/>
    </row>
    <row r="1278" customFormat="false" ht="15" hidden="false" customHeight="false" outlineLevel="0" collapsed="false">
      <c r="A1278" s="2" t="s">
        <v>824</v>
      </c>
      <c r="B1278" s="27" t="s">
        <v>1055</v>
      </c>
      <c r="C1278" s="28" t="n">
        <v>11949705</v>
      </c>
      <c r="D1278" s="28" t="n">
        <f aca="false">'総括　6～7（メモあり）'!Q44</f>
        <v>11949705</v>
      </c>
      <c r="E1278" s="28" t="n">
        <f aca="false">D1278-N(C1278)</f>
        <v>0</v>
      </c>
      <c r="F1278" s="2" t="str">
        <f aca="false">IF(AND(C1278&lt;&gt;"",ROUND(E1278,2)=0),"一致",IF(G1278&lt;&gt;"","変更（意図的）","★相違"))</f>
        <v>一致</v>
      </c>
      <c r="G1278" s="2"/>
    </row>
    <row r="1279" customFormat="false" ht="15" hidden="false" customHeight="false" outlineLevel="0" collapsed="false">
      <c r="A1279" s="2" t="s">
        <v>824</v>
      </c>
      <c r="B1279" s="27" t="s">
        <v>762</v>
      </c>
      <c r="C1279" s="28" t="n">
        <v>8145032</v>
      </c>
      <c r="D1279" s="28" t="n">
        <f aca="false">'総括　6～7（メモあり）'!R44</f>
        <v>8145032</v>
      </c>
      <c r="E1279" s="28" t="n">
        <f aca="false">D1279-N(C1279)</f>
        <v>0</v>
      </c>
      <c r="F1279" s="2" t="str">
        <f aca="false">IF(AND(C1279&lt;&gt;"",ROUND(E1279,2)=0),"一致",IF(G1279&lt;&gt;"","変更（意図的）","★相違"))</f>
        <v>一致</v>
      </c>
      <c r="G1279" s="2"/>
    </row>
    <row r="1280" customFormat="false" ht="15" hidden="false" customHeight="false" outlineLevel="0" collapsed="false">
      <c r="A1280" s="2" t="s">
        <v>824</v>
      </c>
      <c r="B1280" s="27" t="s">
        <v>763</v>
      </c>
      <c r="C1280" s="28" t="n">
        <v>3804673</v>
      </c>
      <c r="D1280" s="28" t="n">
        <f aca="false">'総括　6～7（メモあり）'!S44</f>
        <v>3804673</v>
      </c>
      <c r="E1280" s="28" t="n">
        <f aca="false">D1280-N(C1280)</f>
        <v>0</v>
      </c>
      <c r="F1280" s="2" t="str">
        <f aca="false">IF(AND(C1280&lt;&gt;"",ROUND(E1280,2)=0),"一致",IF(G1280&lt;&gt;"","変更（意図的）","★相違"))</f>
        <v>一致</v>
      </c>
      <c r="G1280" s="2"/>
    </row>
    <row r="1281" customFormat="false" ht="15" hidden="false" customHeight="false" outlineLevel="0" collapsed="false">
      <c r="A1281" s="2" t="s">
        <v>824</v>
      </c>
      <c r="B1281" s="27" t="s">
        <v>230</v>
      </c>
      <c r="C1281" s="28" t="n">
        <v>0</v>
      </c>
      <c r="D1281" s="28" t="n">
        <f aca="false">'総括　6～7（メモあり）'!E45</f>
        <v>0</v>
      </c>
      <c r="E1281" s="28" t="n">
        <f aca="false">D1281-N(C1281)</f>
        <v>0</v>
      </c>
      <c r="F1281" s="2" t="str">
        <f aca="false">IF(AND(C1281&lt;&gt;"",ROUND(E1281,2)=0),"一致",IF(G1281&lt;&gt;"","変更（意図的）","★相違"))</f>
        <v>一致</v>
      </c>
      <c r="G1281" s="2"/>
    </row>
    <row r="1282" customFormat="false" ht="15" hidden="false" customHeight="false" outlineLevel="0" collapsed="false">
      <c r="A1282" s="2" t="s">
        <v>824</v>
      </c>
      <c r="B1282" s="27" t="s">
        <v>1056</v>
      </c>
      <c r="C1282" s="28" t="n">
        <v>0</v>
      </c>
      <c r="D1282" s="28" t="n">
        <f aca="false">'総括　6～7（メモあり）'!F45</f>
        <v>0</v>
      </c>
      <c r="E1282" s="28" t="n">
        <f aca="false">D1282-N(C1282)</f>
        <v>0</v>
      </c>
      <c r="F1282" s="2" t="str">
        <f aca="false">IF(AND(C1282&lt;&gt;"",ROUND(E1282,2)=0),"一致",IF(G1282&lt;&gt;"","変更（意図的）","★相違"))</f>
        <v>一致</v>
      </c>
      <c r="G1282" s="2"/>
    </row>
    <row r="1283" customFormat="false" ht="15" hidden="false" customHeight="false" outlineLevel="0" collapsed="false">
      <c r="A1283" s="2" t="s">
        <v>824</v>
      </c>
      <c r="B1283" s="27" t="s">
        <v>231</v>
      </c>
      <c r="C1283" s="28" t="n">
        <v>0</v>
      </c>
      <c r="D1283" s="28" t="n">
        <f aca="false">'総括　6～7（メモあり）'!G45</f>
        <v>0</v>
      </c>
      <c r="E1283" s="28" t="n">
        <f aca="false">D1283-N(C1283)</f>
        <v>0</v>
      </c>
      <c r="F1283" s="2" t="str">
        <f aca="false">IF(AND(C1283&lt;&gt;"",ROUND(E1283,2)=0),"一致",IF(G1283&lt;&gt;"","変更（意図的）","★相違"))</f>
        <v>一致</v>
      </c>
      <c r="G1283" s="2"/>
    </row>
    <row r="1284" customFormat="false" ht="15" hidden="false" customHeight="false" outlineLevel="0" collapsed="false">
      <c r="A1284" s="2" t="s">
        <v>824</v>
      </c>
      <c r="B1284" s="27" t="s">
        <v>1057</v>
      </c>
      <c r="C1284" s="28" t="n">
        <v>0</v>
      </c>
      <c r="D1284" s="28" t="n">
        <f aca="false">'総括　6～7（メモあり）'!K45</f>
        <v>0</v>
      </c>
      <c r="E1284" s="28" t="n">
        <f aca="false">D1284-N(C1284)</f>
        <v>0</v>
      </c>
      <c r="F1284" s="2" t="str">
        <f aca="false">IF(AND(C1284&lt;&gt;"",ROUND(E1284,2)=0),"一致",IF(G1284&lt;&gt;"","変更（意図的）","★相違"))</f>
        <v>一致</v>
      </c>
      <c r="G1284" s="2"/>
    </row>
    <row r="1285" customFormat="false" ht="15" hidden="false" customHeight="false" outlineLevel="0" collapsed="false">
      <c r="A1285" s="2" t="s">
        <v>824</v>
      </c>
      <c r="B1285" s="27" t="s">
        <v>1058</v>
      </c>
      <c r="C1285" s="28" t="n">
        <v>0</v>
      </c>
      <c r="D1285" s="28" t="n">
        <f aca="false">'総括　6～7（メモあり）'!L45</f>
        <v>0</v>
      </c>
      <c r="E1285" s="28" t="n">
        <f aca="false">D1285-N(C1285)</f>
        <v>0</v>
      </c>
      <c r="F1285" s="2" t="str">
        <f aca="false">IF(AND(C1285&lt;&gt;"",ROUND(E1285,2)=0),"一致",IF(G1285&lt;&gt;"","変更（意図的）","★相違"))</f>
        <v>一致</v>
      </c>
      <c r="G1285" s="2"/>
    </row>
    <row r="1286" customFormat="false" ht="15" hidden="false" customHeight="false" outlineLevel="0" collapsed="false">
      <c r="A1286" s="2" t="s">
        <v>824</v>
      </c>
      <c r="B1286" s="27" t="s">
        <v>764</v>
      </c>
      <c r="C1286" s="28" t="n">
        <v>0</v>
      </c>
      <c r="D1286" s="28" t="n">
        <f aca="false">'総括　6～7（メモあり）'!M45</f>
        <v>0</v>
      </c>
      <c r="E1286" s="28" t="n">
        <f aca="false">D1286-N(C1286)</f>
        <v>0</v>
      </c>
      <c r="F1286" s="2" t="str">
        <f aca="false">IF(AND(C1286&lt;&gt;"",ROUND(E1286,2)=0),"一致",IF(G1286&lt;&gt;"","変更（意図的）","★相違"))</f>
        <v>一致</v>
      </c>
      <c r="G1286" s="2"/>
    </row>
    <row r="1287" customFormat="false" ht="15" hidden="false" customHeight="false" outlineLevel="0" collapsed="false">
      <c r="A1287" s="2" t="s">
        <v>824</v>
      </c>
      <c r="B1287" s="27" t="s">
        <v>1059</v>
      </c>
      <c r="C1287" s="28" t="n">
        <v>0</v>
      </c>
      <c r="D1287" s="28" t="n">
        <f aca="false">'総括　6～7（メモあり）'!N45</f>
        <v>0</v>
      </c>
      <c r="E1287" s="28" t="n">
        <f aca="false">D1287-N(C1287)</f>
        <v>0</v>
      </c>
      <c r="F1287" s="2" t="str">
        <f aca="false">IF(AND(C1287&lt;&gt;"",ROUND(E1287,2)=0),"一致",IF(G1287&lt;&gt;"","変更（意図的）","★相違"))</f>
        <v>一致</v>
      </c>
      <c r="G1287" s="2"/>
    </row>
    <row r="1288" customFormat="false" ht="15" hidden="false" customHeight="false" outlineLevel="0" collapsed="false">
      <c r="A1288" s="2" t="s">
        <v>824</v>
      </c>
      <c r="B1288" s="27" t="s">
        <v>1060</v>
      </c>
      <c r="C1288" s="28" t="n">
        <v>0</v>
      </c>
      <c r="D1288" s="28" t="n">
        <f aca="false">'総括　6～7（メモあり）'!O45</f>
        <v>0</v>
      </c>
      <c r="E1288" s="28" t="n">
        <f aca="false">D1288-N(C1288)</f>
        <v>0</v>
      </c>
      <c r="F1288" s="2" t="str">
        <f aca="false">IF(AND(C1288&lt;&gt;"",ROUND(E1288,2)=0),"一致",IF(G1288&lt;&gt;"","変更（意図的）","★相違"))</f>
        <v>一致</v>
      </c>
      <c r="G1288" s="2"/>
    </row>
    <row r="1289" customFormat="false" ht="15" hidden="false" customHeight="false" outlineLevel="0" collapsed="false">
      <c r="A1289" s="2" t="s">
        <v>824</v>
      </c>
      <c r="B1289" s="27" t="s">
        <v>765</v>
      </c>
      <c r="C1289" s="28" t="n">
        <v>0</v>
      </c>
      <c r="D1289" s="28" t="n">
        <f aca="false">'総括　6～7（メモあり）'!P45</f>
        <v>0</v>
      </c>
      <c r="E1289" s="28" t="n">
        <f aca="false">D1289-N(C1289)</f>
        <v>0</v>
      </c>
      <c r="F1289" s="2" t="str">
        <f aca="false">IF(AND(C1289&lt;&gt;"",ROUND(E1289,2)=0),"一致",IF(G1289&lt;&gt;"","変更（意図的）","★相違"))</f>
        <v>一致</v>
      </c>
      <c r="G1289" s="2"/>
    </row>
    <row r="1290" customFormat="false" ht="15" hidden="false" customHeight="false" outlineLevel="0" collapsed="false">
      <c r="A1290" s="2" t="s">
        <v>824</v>
      </c>
      <c r="B1290" s="27" t="s">
        <v>1061</v>
      </c>
      <c r="C1290" s="28" t="n">
        <v>0</v>
      </c>
      <c r="D1290" s="28" t="n">
        <f aca="false">'総括　6～7（メモあり）'!Q45</f>
        <v>0</v>
      </c>
      <c r="E1290" s="28" t="n">
        <f aca="false">D1290-N(C1290)</f>
        <v>0</v>
      </c>
      <c r="F1290" s="2" t="str">
        <f aca="false">IF(AND(C1290&lt;&gt;"",ROUND(E1290,2)=0),"一致",IF(G1290&lt;&gt;"","変更（意図的）","★相違"))</f>
        <v>一致</v>
      </c>
      <c r="G1290" s="2"/>
    </row>
    <row r="1291" customFormat="false" ht="15" hidden="false" customHeight="false" outlineLevel="0" collapsed="false">
      <c r="A1291" s="2" t="s">
        <v>824</v>
      </c>
      <c r="B1291" s="27" t="s">
        <v>1062</v>
      </c>
      <c r="C1291" s="28" t="n">
        <v>0</v>
      </c>
      <c r="D1291" s="28" t="n">
        <f aca="false">'総括　6～7（メモあり）'!R45</f>
        <v>0</v>
      </c>
      <c r="E1291" s="28" t="n">
        <f aca="false">D1291-N(C1291)</f>
        <v>0</v>
      </c>
      <c r="F1291" s="2" t="str">
        <f aca="false">IF(AND(C1291&lt;&gt;"",ROUND(E1291,2)=0),"一致",IF(G1291&lt;&gt;"","変更（意図的）","★相違"))</f>
        <v>一致</v>
      </c>
      <c r="G1291" s="2"/>
    </row>
    <row r="1292" customFormat="false" ht="15" hidden="false" customHeight="false" outlineLevel="0" collapsed="false">
      <c r="A1292" s="2" t="s">
        <v>824</v>
      </c>
      <c r="B1292" s="27" t="s">
        <v>766</v>
      </c>
      <c r="C1292" s="28" t="n">
        <v>0</v>
      </c>
      <c r="D1292" s="28" t="n">
        <f aca="false">'総括　6～7（メモあり）'!S45</f>
        <v>0</v>
      </c>
      <c r="E1292" s="28" t="n">
        <f aca="false">D1292-N(C1292)</f>
        <v>0</v>
      </c>
      <c r="F1292" s="2" t="str">
        <f aca="false">IF(AND(C1292&lt;&gt;"",ROUND(E1292,2)=0),"一致",IF(G1292&lt;&gt;"","変更（意図的）","★相違"))</f>
        <v>一致</v>
      </c>
      <c r="G1292" s="2"/>
    </row>
    <row r="1293" customFormat="false" ht="15" hidden="false" customHeight="false" outlineLevel="0" collapsed="false">
      <c r="A1293" s="2" t="s">
        <v>824</v>
      </c>
      <c r="B1293" s="27" t="s">
        <v>232</v>
      </c>
      <c r="C1293" s="28" t="n">
        <v>0</v>
      </c>
      <c r="D1293" s="28" t="n">
        <f aca="false">'総括　6～7（メモあり）'!E46</f>
        <v>0</v>
      </c>
      <c r="E1293" s="28" t="n">
        <f aca="false">D1293-N(C1293)</f>
        <v>0</v>
      </c>
      <c r="F1293" s="2" t="str">
        <f aca="false">IF(AND(C1293&lt;&gt;"",ROUND(E1293,2)=0),"一致",IF(G1293&lt;&gt;"","変更（意図的）","★相違"))</f>
        <v>一致</v>
      </c>
      <c r="G1293" s="2"/>
    </row>
    <row r="1294" customFormat="false" ht="15" hidden="false" customHeight="false" outlineLevel="0" collapsed="false">
      <c r="A1294" s="2" t="s">
        <v>824</v>
      </c>
      <c r="B1294" s="27" t="s">
        <v>233</v>
      </c>
      <c r="C1294" s="28" t="n">
        <v>0</v>
      </c>
      <c r="D1294" s="28" t="n">
        <f aca="false">'総括　6～7（メモあり）'!F46</f>
        <v>0</v>
      </c>
      <c r="E1294" s="28" t="n">
        <f aca="false">D1294-N(C1294)</f>
        <v>0</v>
      </c>
      <c r="F1294" s="2" t="str">
        <f aca="false">IF(AND(C1294&lt;&gt;"",ROUND(E1294,2)=0),"一致",IF(G1294&lt;&gt;"","変更（意図的）","★相違"))</f>
        <v>一致</v>
      </c>
      <c r="G1294" s="2"/>
    </row>
    <row r="1295" customFormat="false" ht="15" hidden="false" customHeight="false" outlineLevel="0" collapsed="false">
      <c r="A1295" s="2" t="s">
        <v>824</v>
      </c>
      <c r="B1295" s="27" t="s">
        <v>234</v>
      </c>
      <c r="C1295" s="28" t="n">
        <v>0</v>
      </c>
      <c r="D1295" s="28" t="n">
        <f aca="false">'総括　6～7（メモあり）'!G46</f>
        <v>0</v>
      </c>
      <c r="E1295" s="28" t="n">
        <f aca="false">D1295-N(C1295)</f>
        <v>0</v>
      </c>
      <c r="F1295" s="2" t="str">
        <f aca="false">IF(AND(C1295&lt;&gt;"",ROUND(E1295,2)=0),"一致",IF(G1295&lt;&gt;"","変更（意図的）","★相違"))</f>
        <v>一致</v>
      </c>
      <c r="G1295" s="2"/>
    </row>
    <row r="1296" customFormat="false" ht="15" hidden="false" customHeight="false" outlineLevel="0" collapsed="false">
      <c r="A1296" s="2" t="s">
        <v>824</v>
      </c>
      <c r="B1296" s="27" t="s">
        <v>1063</v>
      </c>
      <c r="C1296" s="28" t="n">
        <v>0</v>
      </c>
      <c r="D1296" s="28" t="n">
        <f aca="false">'総括　6～7（メモあり）'!K46</f>
        <v>0</v>
      </c>
      <c r="E1296" s="28" t="n">
        <f aca="false">D1296-N(C1296)</f>
        <v>0</v>
      </c>
      <c r="F1296" s="2" t="str">
        <f aca="false">IF(AND(C1296&lt;&gt;"",ROUND(E1296,2)=0),"一致",IF(G1296&lt;&gt;"","変更（意図的）","★相違"))</f>
        <v>一致</v>
      </c>
      <c r="G1296" s="2"/>
    </row>
    <row r="1297" customFormat="false" ht="15" hidden="false" customHeight="false" outlineLevel="0" collapsed="false">
      <c r="A1297" s="2" t="s">
        <v>824</v>
      </c>
      <c r="B1297" s="27" t="s">
        <v>1064</v>
      </c>
      <c r="C1297" s="28" t="n">
        <v>0</v>
      </c>
      <c r="D1297" s="28" t="n">
        <f aca="false">'総括　6～7（メモあり）'!L46</f>
        <v>0</v>
      </c>
      <c r="E1297" s="28" t="n">
        <f aca="false">D1297-N(C1297)</f>
        <v>0</v>
      </c>
      <c r="F1297" s="2" t="str">
        <f aca="false">IF(AND(C1297&lt;&gt;"",ROUND(E1297,2)=0),"一致",IF(G1297&lt;&gt;"","変更（意図的）","★相違"))</f>
        <v>一致</v>
      </c>
      <c r="G1297" s="2"/>
    </row>
    <row r="1298" customFormat="false" ht="15" hidden="false" customHeight="false" outlineLevel="0" collapsed="false">
      <c r="A1298" s="2" t="s">
        <v>824</v>
      </c>
      <c r="B1298" s="27" t="s">
        <v>767</v>
      </c>
      <c r="C1298" s="28" t="n">
        <v>0</v>
      </c>
      <c r="D1298" s="28" t="n">
        <f aca="false">'総括　6～7（メモあり）'!M46</f>
        <v>0</v>
      </c>
      <c r="E1298" s="28" t="n">
        <f aca="false">D1298-N(C1298)</f>
        <v>0</v>
      </c>
      <c r="F1298" s="2" t="str">
        <f aca="false">IF(AND(C1298&lt;&gt;"",ROUND(E1298,2)=0),"一致",IF(G1298&lt;&gt;"","変更（意図的）","★相違"))</f>
        <v>一致</v>
      </c>
      <c r="G1298" s="2"/>
    </row>
    <row r="1299" customFormat="false" ht="15" hidden="false" customHeight="false" outlineLevel="0" collapsed="false">
      <c r="A1299" s="2" t="s">
        <v>824</v>
      </c>
      <c r="B1299" s="27" t="s">
        <v>1065</v>
      </c>
      <c r="C1299" s="28" t="n">
        <v>0</v>
      </c>
      <c r="D1299" s="28" t="n">
        <f aca="false">'総括　6～7（メモあり）'!N46</f>
        <v>0</v>
      </c>
      <c r="E1299" s="28" t="n">
        <f aca="false">D1299-N(C1299)</f>
        <v>0</v>
      </c>
      <c r="F1299" s="2" t="str">
        <f aca="false">IF(AND(C1299&lt;&gt;"",ROUND(E1299,2)=0),"一致",IF(G1299&lt;&gt;"","変更（意図的）","★相違"))</f>
        <v>一致</v>
      </c>
      <c r="G1299" s="2"/>
    </row>
    <row r="1300" customFormat="false" ht="15" hidden="false" customHeight="false" outlineLevel="0" collapsed="false">
      <c r="A1300" s="2" t="s">
        <v>824</v>
      </c>
      <c r="B1300" s="27" t="s">
        <v>1066</v>
      </c>
      <c r="C1300" s="28" t="n">
        <v>0</v>
      </c>
      <c r="D1300" s="28" t="n">
        <f aca="false">'総括　6～7（メモあり）'!O46</f>
        <v>0</v>
      </c>
      <c r="E1300" s="28" t="n">
        <f aca="false">D1300-N(C1300)</f>
        <v>0</v>
      </c>
      <c r="F1300" s="2" t="str">
        <f aca="false">IF(AND(C1300&lt;&gt;"",ROUND(E1300,2)=0),"一致",IF(G1300&lt;&gt;"","変更（意図的）","★相違"))</f>
        <v>一致</v>
      </c>
      <c r="G1300" s="2"/>
    </row>
    <row r="1301" customFormat="false" ht="15" hidden="false" customHeight="false" outlineLevel="0" collapsed="false">
      <c r="A1301" s="2" t="s">
        <v>824</v>
      </c>
      <c r="B1301" s="27" t="s">
        <v>768</v>
      </c>
      <c r="C1301" s="28" t="n">
        <v>0</v>
      </c>
      <c r="D1301" s="28" t="n">
        <f aca="false">'総括　6～7（メモあり）'!P46</f>
        <v>0</v>
      </c>
      <c r="E1301" s="28" t="n">
        <f aca="false">D1301-N(C1301)</f>
        <v>0</v>
      </c>
      <c r="F1301" s="2" t="str">
        <f aca="false">IF(AND(C1301&lt;&gt;"",ROUND(E1301,2)=0),"一致",IF(G1301&lt;&gt;"","変更（意図的）","★相違"))</f>
        <v>一致</v>
      </c>
      <c r="G1301" s="2"/>
    </row>
    <row r="1302" customFormat="false" ht="15" hidden="false" customHeight="false" outlineLevel="0" collapsed="false">
      <c r="A1302" s="2" t="s">
        <v>824</v>
      </c>
      <c r="B1302" s="27" t="s">
        <v>1067</v>
      </c>
      <c r="C1302" s="28" t="n">
        <v>0</v>
      </c>
      <c r="D1302" s="28" t="n">
        <f aca="false">'総括　6～7（メモあり）'!Q46</f>
        <v>0</v>
      </c>
      <c r="E1302" s="28" t="n">
        <f aca="false">D1302-N(C1302)</f>
        <v>0</v>
      </c>
      <c r="F1302" s="2" t="str">
        <f aca="false">IF(AND(C1302&lt;&gt;"",ROUND(E1302,2)=0),"一致",IF(G1302&lt;&gt;"","変更（意図的）","★相違"))</f>
        <v>一致</v>
      </c>
      <c r="G1302" s="2"/>
    </row>
    <row r="1303" customFormat="false" ht="15" hidden="false" customHeight="false" outlineLevel="0" collapsed="false">
      <c r="A1303" s="2" t="s">
        <v>824</v>
      </c>
      <c r="B1303" s="27" t="s">
        <v>1068</v>
      </c>
      <c r="C1303" s="28" t="n">
        <v>0</v>
      </c>
      <c r="D1303" s="28" t="n">
        <f aca="false">'総括　6～7（メモあり）'!R46</f>
        <v>0</v>
      </c>
      <c r="E1303" s="28" t="n">
        <f aca="false">D1303-N(C1303)</f>
        <v>0</v>
      </c>
      <c r="F1303" s="2" t="str">
        <f aca="false">IF(AND(C1303&lt;&gt;"",ROUND(E1303,2)=0),"一致",IF(G1303&lt;&gt;"","変更（意図的）","★相違"))</f>
        <v>一致</v>
      </c>
      <c r="G1303" s="2"/>
    </row>
    <row r="1304" customFormat="false" ht="15" hidden="false" customHeight="false" outlineLevel="0" collapsed="false">
      <c r="A1304" s="2" t="s">
        <v>824</v>
      </c>
      <c r="B1304" s="27" t="s">
        <v>769</v>
      </c>
      <c r="C1304" s="28" t="n">
        <v>0</v>
      </c>
      <c r="D1304" s="28" t="n">
        <f aca="false">'総括　6～7（メモあり）'!S46</f>
        <v>0</v>
      </c>
      <c r="E1304" s="28" t="n">
        <f aca="false">D1304-N(C1304)</f>
        <v>0</v>
      </c>
      <c r="F1304" s="2" t="str">
        <f aca="false">IF(AND(C1304&lt;&gt;"",ROUND(E1304,2)=0),"一致",IF(G1304&lt;&gt;"","変更（意図的）","★相違"))</f>
        <v>一致</v>
      </c>
      <c r="G1304" s="2"/>
    </row>
    <row r="1305" customFormat="false" ht="15" hidden="false" customHeight="false" outlineLevel="0" collapsed="false">
      <c r="A1305" s="2" t="s">
        <v>824</v>
      </c>
      <c r="B1305" s="27" t="s">
        <v>238</v>
      </c>
      <c r="C1305" s="28" t="n">
        <v>0</v>
      </c>
      <c r="D1305" s="28" t="n">
        <f aca="false">'総括　6～7（メモあり）'!E47</f>
        <v>0</v>
      </c>
      <c r="E1305" s="28" t="n">
        <f aca="false">D1305-N(C1305)</f>
        <v>0</v>
      </c>
      <c r="F1305" s="2" t="str">
        <f aca="false">IF(AND(C1305&lt;&gt;"",ROUND(E1305,2)=0),"一致",IF(G1305&lt;&gt;"","変更（意図的）","★相違"))</f>
        <v>一致</v>
      </c>
      <c r="G1305" s="2"/>
    </row>
    <row r="1306" customFormat="false" ht="15" hidden="false" customHeight="false" outlineLevel="0" collapsed="false">
      <c r="A1306" s="2" t="s">
        <v>824</v>
      </c>
      <c r="B1306" s="27" t="s">
        <v>239</v>
      </c>
      <c r="C1306" s="28" t="n">
        <v>40576</v>
      </c>
      <c r="D1306" s="28" t="n">
        <f aca="false">'総括　6～7（メモあり）'!F47</f>
        <v>40576</v>
      </c>
      <c r="E1306" s="28" t="n">
        <f aca="false">D1306-N(C1306)</f>
        <v>0</v>
      </c>
      <c r="F1306" s="2" t="str">
        <f aca="false">IF(AND(C1306&lt;&gt;"",ROUND(E1306,2)=0),"一致",IF(G1306&lt;&gt;"","変更（意図的）","★相違"))</f>
        <v>一致</v>
      </c>
      <c r="G1306" s="2"/>
    </row>
    <row r="1307" customFormat="false" ht="15" hidden="false" customHeight="false" outlineLevel="0" collapsed="false">
      <c r="A1307" s="2" t="s">
        <v>824</v>
      </c>
      <c r="B1307" s="27" t="s">
        <v>240</v>
      </c>
      <c r="C1307" s="28" t="n">
        <v>-40576</v>
      </c>
      <c r="D1307" s="28" t="n">
        <f aca="false">'総括　6～7（メモあり）'!G47</f>
        <v>-40576</v>
      </c>
      <c r="E1307" s="28" t="n">
        <f aca="false">D1307-N(C1307)</f>
        <v>0</v>
      </c>
      <c r="F1307" s="2" t="str">
        <f aca="false">IF(AND(C1307&lt;&gt;"",ROUND(E1307,2)=0),"一致",IF(G1307&lt;&gt;"","変更（意図的）","★相違"))</f>
        <v>一致</v>
      </c>
      <c r="G1307" s="2"/>
    </row>
    <row r="1308" customFormat="false" ht="15" hidden="false" customHeight="false" outlineLevel="0" collapsed="false">
      <c r="A1308" s="2" t="s">
        <v>824</v>
      </c>
      <c r="B1308" s="27" t="s">
        <v>770</v>
      </c>
      <c r="C1308" s="28" t="n">
        <v>0</v>
      </c>
      <c r="D1308" s="28" t="n">
        <f aca="false">'総括　6～7（メモあり）'!K47</f>
        <v>0</v>
      </c>
      <c r="E1308" s="28" t="n">
        <f aca="false">D1308-N(C1308)</f>
        <v>0</v>
      </c>
      <c r="F1308" s="2" t="str">
        <f aca="false">IF(AND(C1308&lt;&gt;"",ROUND(E1308,2)=0),"一致",IF(G1308&lt;&gt;"","変更（意図的）","★相違"))</f>
        <v>一致</v>
      </c>
      <c r="G1308" s="2"/>
    </row>
    <row r="1309" customFormat="false" ht="15" hidden="false" customHeight="false" outlineLevel="0" collapsed="false">
      <c r="A1309" s="2" t="s">
        <v>824</v>
      </c>
      <c r="B1309" s="27" t="s">
        <v>1069</v>
      </c>
      <c r="C1309" s="28" t="n">
        <v>0</v>
      </c>
      <c r="D1309" s="28" t="n">
        <f aca="false">'総括　6～7（メモあり）'!L47</f>
        <v>0</v>
      </c>
      <c r="E1309" s="28" t="n">
        <f aca="false">D1309-N(C1309)</f>
        <v>0</v>
      </c>
      <c r="F1309" s="2" t="str">
        <f aca="false">IF(AND(C1309&lt;&gt;"",ROUND(E1309,2)=0),"一致",IF(G1309&lt;&gt;"","変更（意図的）","★相違"))</f>
        <v>一致</v>
      </c>
      <c r="G1309" s="2"/>
    </row>
    <row r="1310" customFormat="false" ht="15" hidden="false" customHeight="false" outlineLevel="0" collapsed="false">
      <c r="A1310" s="2" t="s">
        <v>824</v>
      </c>
      <c r="B1310" s="27" t="s">
        <v>771</v>
      </c>
      <c r="C1310" s="28" t="n">
        <v>0</v>
      </c>
      <c r="D1310" s="28" t="n">
        <f aca="false">'総括　6～7（メモあり）'!M47</f>
        <v>0</v>
      </c>
      <c r="E1310" s="28" t="n">
        <f aca="false">D1310-N(C1310)</f>
        <v>0</v>
      </c>
      <c r="F1310" s="2" t="str">
        <f aca="false">IF(AND(C1310&lt;&gt;"",ROUND(E1310,2)=0),"一致",IF(G1310&lt;&gt;"","変更（意図的）","★相違"))</f>
        <v>一致</v>
      </c>
      <c r="G1310" s="2"/>
    </row>
    <row r="1311" customFormat="false" ht="15" hidden="false" customHeight="false" outlineLevel="0" collapsed="false">
      <c r="A1311" s="2" t="s">
        <v>824</v>
      </c>
      <c r="B1311" s="27" t="s">
        <v>1070</v>
      </c>
      <c r="C1311" s="28" t="n">
        <v>0</v>
      </c>
      <c r="D1311" s="28" t="n">
        <f aca="false">'総括　6～7（メモあり）'!N47</f>
        <v>0</v>
      </c>
      <c r="E1311" s="28" t="n">
        <f aca="false">D1311-N(C1311)</f>
        <v>0</v>
      </c>
      <c r="F1311" s="2" t="str">
        <f aca="false">IF(AND(C1311&lt;&gt;"",ROUND(E1311,2)=0),"一致",IF(G1311&lt;&gt;"","変更（意図的）","★相違"))</f>
        <v>一致</v>
      </c>
      <c r="G1311" s="2"/>
    </row>
    <row r="1312" customFormat="false" ht="15" hidden="false" customHeight="false" outlineLevel="0" collapsed="false">
      <c r="A1312" s="2" t="s">
        <v>824</v>
      </c>
      <c r="B1312" s="27" t="s">
        <v>772</v>
      </c>
      <c r="C1312" s="28" t="n">
        <v>19773</v>
      </c>
      <c r="D1312" s="28" t="n">
        <f aca="false">'総括　6～7（メモあり）'!O47</f>
        <v>19773</v>
      </c>
      <c r="E1312" s="28" t="n">
        <f aca="false">D1312-N(C1312)</f>
        <v>0</v>
      </c>
      <c r="F1312" s="2" t="str">
        <f aca="false">IF(AND(C1312&lt;&gt;"",ROUND(E1312,2)=0),"一致",IF(G1312&lt;&gt;"","変更（意図的）","★相違"))</f>
        <v>一致</v>
      </c>
      <c r="G1312" s="2"/>
    </row>
    <row r="1313" customFormat="false" ht="15" hidden="false" customHeight="false" outlineLevel="0" collapsed="false">
      <c r="A1313" s="2" t="s">
        <v>824</v>
      </c>
      <c r="B1313" s="27" t="s">
        <v>773</v>
      </c>
      <c r="C1313" s="28" t="n">
        <v>-19773</v>
      </c>
      <c r="D1313" s="28" t="n">
        <f aca="false">'総括　6～7（メモあり）'!P47</f>
        <v>-19773</v>
      </c>
      <c r="E1313" s="28" t="n">
        <f aca="false">D1313-N(C1313)</f>
        <v>0</v>
      </c>
      <c r="F1313" s="2" t="str">
        <f aca="false">IF(AND(C1313&lt;&gt;"",ROUND(E1313,2)=0),"一致",IF(G1313&lt;&gt;"","変更（意図的）","★相違"))</f>
        <v>一致</v>
      </c>
      <c r="G1313" s="2"/>
    </row>
    <row r="1314" customFormat="false" ht="15" hidden="false" customHeight="false" outlineLevel="0" collapsed="false">
      <c r="A1314" s="2" t="s">
        <v>824</v>
      </c>
      <c r="B1314" s="27" t="s">
        <v>1071</v>
      </c>
      <c r="C1314" s="28" t="n">
        <v>0</v>
      </c>
      <c r="D1314" s="28" t="n">
        <f aca="false">'総括　6～7（メモあり）'!Q47</f>
        <v>0</v>
      </c>
      <c r="E1314" s="28" t="n">
        <f aca="false">D1314-N(C1314)</f>
        <v>0</v>
      </c>
      <c r="F1314" s="2" t="str">
        <f aca="false">IF(AND(C1314&lt;&gt;"",ROUND(E1314,2)=0),"一致",IF(G1314&lt;&gt;"","変更（意図的）","★相違"))</f>
        <v>一致</v>
      </c>
      <c r="G1314" s="2"/>
    </row>
    <row r="1315" customFormat="false" ht="15" hidden="false" customHeight="false" outlineLevel="0" collapsed="false">
      <c r="A1315" s="2" t="s">
        <v>824</v>
      </c>
      <c r="B1315" s="27" t="s">
        <v>1072</v>
      </c>
      <c r="C1315" s="28" t="n">
        <v>0</v>
      </c>
      <c r="D1315" s="28" t="n">
        <f aca="false">'総括　6～7（メモあり）'!R47</f>
        <v>0</v>
      </c>
      <c r="E1315" s="28" t="n">
        <f aca="false">D1315-N(C1315)</f>
        <v>0</v>
      </c>
      <c r="F1315" s="2" t="str">
        <f aca="false">IF(AND(C1315&lt;&gt;"",ROUND(E1315,2)=0),"一致",IF(G1315&lt;&gt;"","変更（意図的）","★相違"))</f>
        <v>一致</v>
      </c>
      <c r="G1315" s="2"/>
    </row>
    <row r="1316" customFormat="false" ht="15" hidden="false" customHeight="false" outlineLevel="0" collapsed="false">
      <c r="A1316" s="2" t="s">
        <v>824</v>
      </c>
      <c r="B1316" s="27" t="s">
        <v>774</v>
      </c>
      <c r="C1316" s="28" t="n">
        <v>0</v>
      </c>
      <c r="D1316" s="28" t="n">
        <f aca="false">'総括　6～7（メモあり）'!S47</f>
        <v>0</v>
      </c>
      <c r="E1316" s="28" t="n">
        <f aca="false">D1316-N(C1316)</f>
        <v>0</v>
      </c>
      <c r="F1316" s="2" t="str">
        <f aca="false">IF(AND(C1316&lt;&gt;"",ROUND(E1316,2)=0),"一致",IF(G1316&lt;&gt;"","変更（意図的）","★相違"))</f>
        <v>一致</v>
      </c>
      <c r="G1316" s="2"/>
    </row>
    <row r="1317" customFormat="false" ht="15" hidden="false" customHeight="false" outlineLevel="0" collapsed="false">
      <c r="A1317" s="2" t="s">
        <v>824</v>
      </c>
      <c r="B1317" s="27" t="s">
        <v>244</v>
      </c>
      <c r="C1317" s="28" t="n">
        <v>876229790</v>
      </c>
      <c r="D1317" s="28" t="n">
        <f aca="false">'総括　6～7（メモあり）'!E48</f>
        <v>876229790</v>
      </c>
      <c r="E1317" s="28" t="n">
        <f aca="false">D1317-N(C1317)</f>
        <v>0</v>
      </c>
      <c r="F1317" s="2" t="str">
        <f aca="false">IF(AND(C1317&lt;&gt;"",ROUND(E1317,2)=0),"一致",IF(G1317&lt;&gt;"","変更（意図的）","★相違"))</f>
        <v>一致</v>
      </c>
      <c r="G1317" s="2"/>
    </row>
    <row r="1318" customFormat="false" ht="15" hidden="false" customHeight="false" outlineLevel="0" collapsed="false">
      <c r="A1318" s="2" t="s">
        <v>824</v>
      </c>
      <c r="B1318" s="27" t="s">
        <v>245</v>
      </c>
      <c r="C1318" s="28" t="n">
        <v>883951850</v>
      </c>
      <c r="D1318" s="28" t="n">
        <f aca="false">'総括　6～7（メモあり）'!F48</f>
        <v>883951850</v>
      </c>
      <c r="E1318" s="28" t="n">
        <f aca="false">D1318-N(C1318)</f>
        <v>0</v>
      </c>
      <c r="F1318" s="2" t="str">
        <f aca="false">IF(AND(C1318&lt;&gt;"",ROUND(E1318,2)=0),"一致",IF(G1318&lt;&gt;"","変更（意図的）","★相違"))</f>
        <v>一致</v>
      </c>
      <c r="G1318" s="2"/>
    </row>
    <row r="1319" customFormat="false" ht="15" hidden="false" customHeight="false" outlineLevel="0" collapsed="false">
      <c r="A1319" s="2" t="s">
        <v>824</v>
      </c>
      <c r="B1319" s="27" t="s">
        <v>246</v>
      </c>
      <c r="C1319" s="28" t="n">
        <v>-7722060</v>
      </c>
      <c r="D1319" s="28" t="n">
        <f aca="false">'総括　6～7（メモあり）'!G48</f>
        <v>-7722060</v>
      </c>
      <c r="E1319" s="28" t="n">
        <f aca="false">D1319-N(C1319)</f>
        <v>0</v>
      </c>
      <c r="F1319" s="2" t="str">
        <f aca="false">IF(AND(C1319&lt;&gt;"",ROUND(E1319,2)=0),"一致",IF(G1319&lt;&gt;"","変更（意図的）","★相違"))</f>
        <v>一致</v>
      </c>
      <c r="G1319" s="2"/>
    </row>
    <row r="1320" customFormat="false" ht="15" hidden="false" customHeight="false" outlineLevel="0" collapsed="false">
      <c r="A1320" s="2" t="s">
        <v>824</v>
      </c>
      <c r="B1320" s="27" t="s">
        <v>1073</v>
      </c>
      <c r="C1320" s="28" t="n">
        <v>0</v>
      </c>
      <c r="D1320" s="28" t="n">
        <f aca="false">'総括　6～7（メモあり）'!K48</f>
        <v>0</v>
      </c>
      <c r="E1320" s="28" t="n">
        <f aca="false">D1320-N(C1320)</f>
        <v>0</v>
      </c>
      <c r="F1320" s="2" t="str">
        <f aca="false">IF(AND(C1320&lt;&gt;"",ROUND(E1320,2)=0),"一致",IF(G1320&lt;&gt;"","変更（意図的）","★相違"))</f>
        <v>一致</v>
      </c>
      <c r="G1320" s="2"/>
    </row>
    <row r="1321" customFormat="false" ht="15" hidden="false" customHeight="false" outlineLevel="0" collapsed="false">
      <c r="A1321" s="2" t="s">
        <v>824</v>
      </c>
      <c r="B1321" s="27" t="s">
        <v>1074</v>
      </c>
      <c r="C1321" s="28" t="n">
        <v>0</v>
      </c>
      <c r="D1321" s="28" t="n">
        <f aca="false">'総括　6～7（メモあり）'!L48</f>
        <v>0</v>
      </c>
      <c r="E1321" s="28" t="n">
        <f aca="false">D1321-N(C1321)</f>
        <v>0</v>
      </c>
      <c r="F1321" s="2" t="str">
        <f aca="false">IF(AND(C1321&lt;&gt;"",ROUND(E1321,2)=0),"一致",IF(G1321&lt;&gt;"","変更（意図的）","★相違"))</f>
        <v>一致</v>
      </c>
      <c r="G1321" s="2"/>
    </row>
    <row r="1322" customFormat="false" ht="15" hidden="false" customHeight="false" outlineLevel="0" collapsed="false">
      <c r="A1322" s="2" t="s">
        <v>824</v>
      </c>
      <c r="B1322" s="27" t="s">
        <v>775</v>
      </c>
      <c r="C1322" s="28" t="n">
        <v>0</v>
      </c>
      <c r="D1322" s="28" t="n">
        <f aca="false">'総括　6～7（メモあり）'!M48</f>
        <v>0</v>
      </c>
      <c r="E1322" s="28" t="n">
        <f aca="false">D1322-N(C1322)</f>
        <v>0</v>
      </c>
      <c r="F1322" s="2" t="str">
        <f aca="false">IF(AND(C1322&lt;&gt;"",ROUND(E1322,2)=0),"一致",IF(G1322&lt;&gt;"","変更（意図的）","★相違"))</f>
        <v>一致</v>
      </c>
      <c r="G1322" s="2"/>
    </row>
    <row r="1323" customFormat="false" ht="15" hidden="false" customHeight="false" outlineLevel="0" collapsed="false">
      <c r="A1323" s="2" t="s">
        <v>824</v>
      </c>
      <c r="B1323" s="27" t="s">
        <v>1075</v>
      </c>
      <c r="C1323" s="28" t="n">
        <v>0</v>
      </c>
      <c r="D1323" s="28" t="n">
        <f aca="false">'総括　6～7（メモあり）'!N48</f>
        <v>0</v>
      </c>
      <c r="E1323" s="28" t="n">
        <f aca="false">D1323-N(C1323)</f>
        <v>0</v>
      </c>
      <c r="F1323" s="2" t="str">
        <f aca="false">IF(AND(C1323&lt;&gt;"",ROUND(E1323,2)=0),"一致",IF(G1323&lt;&gt;"","変更（意図的）","★相違"))</f>
        <v>一致</v>
      </c>
      <c r="G1323" s="2"/>
    </row>
    <row r="1324" customFormat="false" ht="15" hidden="false" customHeight="false" outlineLevel="0" collapsed="false">
      <c r="A1324" s="2" t="s">
        <v>824</v>
      </c>
      <c r="B1324" s="27" t="s">
        <v>1076</v>
      </c>
      <c r="C1324" s="28" t="n">
        <v>0</v>
      </c>
      <c r="D1324" s="28" t="n">
        <f aca="false">'総括　6～7（メモあり）'!O48</f>
        <v>0</v>
      </c>
      <c r="E1324" s="28" t="n">
        <f aca="false">D1324-N(C1324)</f>
        <v>0</v>
      </c>
      <c r="F1324" s="2" t="str">
        <f aca="false">IF(AND(C1324&lt;&gt;"",ROUND(E1324,2)=0),"一致",IF(G1324&lt;&gt;"","変更（意図的）","★相違"))</f>
        <v>一致</v>
      </c>
      <c r="G1324" s="2"/>
    </row>
    <row r="1325" customFormat="false" ht="15" hidden="false" customHeight="false" outlineLevel="0" collapsed="false">
      <c r="A1325" s="2" t="s">
        <v>824</v>
      </c>
      <c r="B1325" s="27" t="s">
        <v>776</v>
      </c>
      <c r="C1325" s="28" t="n">
        <v>0</v>
      </c>
      <c r="D1325" s="28" t="n">
        <f aca="false">'総括　6～7（メモあり）'!P48</f>
        <v>0</v>
      </c>
      <c r="E1325" s="28" t="n">
        <f aca="false">D1325-N(C1325)</f>
        <v>0</v>
      </c>
      <c r="F1325" s="2" t="str">
        <f aca="false">IF(AND(C1325&lt;&gt;"",ROUND(E1325,2)=0),"一致",IF(G1325&lt;&gt;"","変更（意図的）","★相違"))</f>
        <v>一致</v>
      </c>
      <c r="G1325" s="2"/>
    </row>
    <row r="1326" customFormat="false" ht="15" hidden="false" customHeight="false" outlineLevel="0" collapsed="false">
      <c r="A1326" s="2" t="s">
        <v>824</v>
      </c>
      <c r="B1326" s="27" t="s">
        <v>1077</v>
      </c>
      <c r="C1326" s="28" t="n">
        <v>0</v>
      </c>
      <c r="D1326" s="28" t="n">
        <f aca="false">'総括　6～7（メモあり）'!Q48</f>
        <v>0</v>
      </c>
      <c r="E1326" s="28" t="n">
        <f aca="false">D1326-N(C1326)</f>
        <v>0</v>
      </c>
      <c r="F1326" s="2" t="str">
        <f aca="false">IF(AND(C1326&lt;&gt;"",ROUND(E1326,2)=0),"一致",IF(G1326&lt;&gt;"","変更（意図的）","★相違"))</f>
        <v>一致</v>
      </c>
      <c r="G1326" s="2"/>
    </row>
    <row r="1327" customFormat="false" ht="15" hidden="false" customHeight="false" outlineLevel="0" collapsed="false">
      <c r="A1327" s="2" t="s">
        <v>824</v>
      </c>
      <c r="B1327" s="27" t="s">
        <v>1078</v>
      </c>
      <c r="C1327" s="28" t="n">
        <v>0</v>
      </c>
      <c r="D1327" s="28" t="n">
        <f aca="false">'総括　6～7（メモあり）'!R48</f>
        <v>0</v>
      </c>
      <c r="E1327" s="28" t="n">
        <f aca="false">D1327-N(C1327)</f>
        <v>0</v>
      </c>
      <c r="F1327" s="2" t="str">
        <f aca="false">IF(AND(C1327&lt;&gt;"",ROUND(E1327,2)=0),"一致",IF(G1327&lt;&gt;"","変更（意図的）","★相違"))</f>
        <v>一致</v>
      </c>
      <c r="G1327" s="2"/>
    </row>
    <row r="1328" customFormat="false" ht="15" hidden="false" customHeight="false" outlineLevel="0" collapsed="false">
      <c r="A1328" s="2" t="s">
        <v>824</v>
      </c>
      <c r="B1328" s="27" t="s">
        <v>777</v>
      </c>
      <c r="C1328" s="28" t="n">
        <v>0</v>
      </c>
      <c r="D1328" s="28" t="n">
        <f aca="false">'総括　6～7（メモあり）'!S48</f>
        <v>0</v>
      </c>
      <c r="E1328" s="28" t="n">
        <f aca="false">D1328-N(C1328)</f>
        <v>0</v>
      </c>
      <c r="F1328" s="2" t="str">
        <f aca="false">IF(AND(C1328&lt;&gt;"",ROUND(E1328,2)=0),"一致",IF(G1328&lt;&gt;"","変更（意図的）","★相違"))</f>
        <v>一致</v>
      </c>
      <c r="G1328" s="2"/>
    </row>
    <row r="1329" customFormat="false" ht="15" hidden="false" customHeight="false" outlineLevel="0" collapsed="false">
      <c r="A1329" s="2" t="s">
        <v>824</v>
      </c>
      <c r="B1329" s="27" t="s">
        <v>778</v>
      </c>
      <c r="C1329" s="28" t="n">
        <v>12539164712</v>
      </c>
      <c r="D1329" s="28" t="n">
        <f aca="false">'総括　6～7（メモあり）'!E49</f>
        <v>12539164712</v>
      </c>
      <c r="E1329" s="28" t="n">
        <f aca="false">D1329-N(C1329)</f>
        <v>0</v>
      </c>
      <c r="F1329" s="2" t="str">
        <f aca="false">IF(AND(C1329&lt;&gt;"",ROUND(E1329,2)=0),"一致",IF(G1329&lt;&gt;"","変更（意図的）","★相違"))</f>
        <v>一致</v>
      </c>
      <c r="G1329" s="2"/>
    </row>
    <row r="1330" customFormat="false" ht="15" hidden="false" customHeight="false" outlineLevel="0" collapsed="false">
      <c r="A1330" s="2" t="s">
        <v>824</v>
      </c>
      <c r="B1330" s="27" t="s">
        <v>779</v>
      </c>
      <c r="C1330" s="28" t="n">
        <v>11522650253</v>
      </c>
      <c r="D1330" s="28" t="n">
        <f aca="false">'総括　6～7（メモあり）'!F49</f>
        <v>11522650253</v>
      </c>
      <c r="E1330" s="28" t="n">
        <f aca="false">D1330-N(C1330)</f>
        <v>0</v>
      </c>
      <c r="F1330" s="2" t="str">
        <f aca="false">IF(AND(C1330&lt;&gt;"",ROUND(E1330,2)=0),"一致",IF(G1330&lt;&gt;"","変更（意図的）","★相違"))</f>
        <v>一致</v>
      </c>
      <c r="G1330" s="2"/>
    </row>
    <row r="1331" customFormat="false" ht="15" hidden="false" customHeight="false" outlineLevel="0" collapsed="false">
      <c r="A1331" s="2" t="s">
        <v>824</v>
      </c>
      <c r="B1331" s="27" t="s">
        <v>780</v>
      </c>
      <c r="C1331" s="28" t="n">
        <v>1016514459</v>
      </c>
      <c r="D1331" s="28" t="n">
        <f aca="false">'総括　6～7（メモあり）'!G49</f>
        <v>1016514459</v>
      </c>
      <c r="E1331" s="28" t="n">
        <f aca="false">D1331-N(C1331)</f>
        <v>0</v>
      </c>
      <c r="F1331" s="2" t="str">
        <f aca="false">IF(AND(C1331&lt;&gt;"",ROUND(E1331,2)=0),"一致",IF(G1331&lt;&gt;"","変更（意図的）","★相違"))</f>
        <v>一致</v>
      </c>
      <c r="G1331" s="2"/>
    </row>
    <row r="1332" customFormat="false" ht="15" hidden="false" customHeight="false" outlineLevel="0" collapsed="false">
      <c r="A1332" s="2" t="s">
        <v>824</v>
      </c>
      <c r="B1332" s="27" t="s">
        <v>279</v>
      </c>
      <c r="C1332" s="28" t="n">
        <v>9398399172</v>
      </c>
      <c r="D1332" s="28" t="n">
        <f aca="false">'総括　6～7（メモあり）'!H49</f>
        <v>9398399172</v>
      </c>
      <c r="E1332" s="28" t="n">
        <f aca="false">D1332-N(C1332)</f>
        <v>0</v>
      </c>
      <c r="F1332" s="2" t="str">
        <f aca="false">IF(AND(C1332&lt;&gt;"",ROUND(E1332,2)=0),"一致",IF(G1332&lt;&gt;"","変更（意図的）","★相違"))</f>
        <v>一致</v>
      </c>
      <c r="G1332" s="2"/>
    </row>
    <row r="1333" customFormat="false" ht="15" hidden="false" customHeight="false" outlineLevel="0" collapsed="false">
      <c r="A1333" s="2" t="s">
        <v>824</v>
      </c>
      <c r="B1333" s="27" t="s">
        <v>781</v>
      </c>
      <c r="C1333" s="28" t="n">
        <v>18547871319</v>
      </c>
      <c r="D1333" s="28" t="n">
        <f aca="false">'総括　6～7（メモあり）'!I49</f>
        <v>18547871319</v>
      </c>
      <c r="E1333" s="28" t="n">
        <f aca="false">D1333-N(C1333)</f>
        <v>0</v>
      </c>
      <c r="F1333" s="2" t="str">
        <f aca="false">IF(AND(C1333&lt;&gt;"",ROUND(E1333,2)=0),"一致",IF(G1333&lt;&gt;"","変更（意図的）","★相違"))</f>
        <v>一致</v>
      </c>
      <c r="G1333" s="2"/>
    </row>
    <row r="1334" customFormat="false" ht="15" hidden="false" customHeight="false" outlineLevel="0" collapsed="false">
      <c r="A1334" s="2" t="s">
        <v>824</v>
      </c>
      <c r="B1334" s="27" t="s">
        <v>782</v>
      </c>
      <c r="C1334" s="28" t="n">
        <v>-9149472147</v>
      </c>
      <c r="D1334" s="28" t="n">
        <f aca="false">'総括　6～7（メモあり）'!J49</f>
        <v>-9149472147</v>
      </c>
      <c r="E1334" s="28" t="n">
        <f aca="false">D1334-N(C1334)</f>
        <v>0</v>
      </c>
      <c r="F1334" s="2" t="str">
        <f aca="false">IF(AND(C1334&lt;&gt;"",ROUND(E1334,2)=0),"一致",IF(G1334&lt;&gt;"","変更（意図的）","★相違"))</f>
        <v>一致</v>
      </c>
      <c r="G1334" s="2"/>
    </row>
    <row r="1335" customFormat="false" ht="15" hidden="false" customHeight="false" outlineLevel="0" collapsed="false">
      <c r="A1335" s="2" t="s">
        <v>824</v>
      </c>
      <c r="B1335" s="27" t="s">
        <v>783</v>
      </c>
      <c r="C1335" s="28" t="n">
        <v>111447230</v>
      </c>
      <c r="D1335" s="28" t="n">
        <f aca="false">'総括　6～7（メモあり）'!K49</f>
        <v>111447230</v>
      </c>
      <c r="E1335" s="28" t="n">
        <f aca="false">D1335-N(C1335)</f>
        <v>0</v>
      </c>
      <c r="F1335" s="2" t="str">
        <f aca="false">IF(AND(C1335&lt;&gt;"",ROUND(E1335,2)=0),"一致",IF(G1335&lt;&gt;"","変更（意図的）","★相違"))</f>
        <v>一致</v>
      </c>
      <c r="G1335" s="2"/>
    </row>
    <row r="1336" customFormat="false" ht="15" hidden="false" customHeight="false" outlineLevel="0" collapsed="false">
      <c r="A1336" s="2" t="s">
        <v>824</v>
      </c>
      <c r="B1336" s="27" t="s">
        <v>784</v>
      </c>
      <c r="C1336" s="28" t="n">
        <v>90566394</v>
      </c>
      <c r="D1336" s="28" t="n">
        <f aca="false">'総括　6～7（メモあり）'!L49</f>
        <v>90566394</v>
      </c>
      <c r="E1336" s="28" t="n">
        <f aca="false">D1336-N(C1336)</f>
        <v>0</v>
      </c>
      <c r="F1336" s="2" t="str">
        <f aca="false">IF(AND(C1336&lt;&gt;"",ROUND(E1336,2)=0),"一致",IF(G1336&lt;&gt;"","変更（意図的）","★相違"))</f>
        <v>一致</v>
      </c>
      <c r="G1336" s="2"/>
    </row>
    <row r="1337" customFormat="false" ht="15" hidden="false" customHeight="false" outlineLevel="0" collapsed="false">
      <c r="A1337" s="2" t="s">
        <v>824</v>
      </c>
      <c r="B1337" s="27" t="s">
        <v>785</v>
      </c>
      <c r="C1337" s="28" t="n">
        <v>20880836</v>
      </c>
      <c r="D1337" s="28" t="n">
        <f aca="false">'総括　6～7（メモあり）'!M49</f>
        <v>20880836</v>
      </c>
      <c r="E1337" s="28" t="n">
        <f aca="false">D1337-N(C1337)</f>
        <v>0</v>
      </c>
      <c r="F1337" s="2" t="str">
        <f aca="false">IF(AND(C1337&lt;&gt;"",ROUND(E1337,2)=0),"一致",IF(G1337&lt;&gt;"","変更（意図的）","★相違"))</f>
        <v>一致</v>
      </c>
      <c r="G1337" s="2"/>
    </row>
    <row r="1338" customFormat="false" ht="15" hidden="false" customHeight="false" outlineLevel="0" collapsed="false">
      <c r="A1338" s="2" t="s">
        <v>824</v>
      </c>
      <c r="B1338" s="27" t="s">
        <v>786</v>
      </c>
      <c r="C1338" s="28" t="n">
        <v>614202583</v>
      </c>
      <c r="D1338" s="28" t="n">
        <f aca="false">'総括　6～7（メモあり）'!N49</f>
        <v>614202583</v>
      </c>
      <c r="E1338" s="28" t="n">
        <f aca="false">D1338-N(C1338)</f>
        <v>0</v>
      </c>
      <c r="F1338" s="2" t="str">
        <f aca="false">IF(AND(C1338&lt;&gt;"",ROUND(E1338,2)=0),"一致",IF(G1338&lt;&gt;"","変更（意図的）","★相違"))</f>
        <v>一致</v>
      </c>
      <c r="G1338" s="2"/>
    </row>
    <row r="1339" customFormat="false" ht="15" hidden="false" customHeight="false" outlineLevel="0" collapsed="false">
      <c r="A1339" s="2" t="s">
        <v>824</v>
      </c>
      <c r="B1339" s="27" t="s">
        <v>787</v>
      </c>
      <c r="C1339" s="28" t="n">
        <v>584884295</v>
      </c>
      <c r="D1339" s="28" t="n">
        <f aca="false">'総括　6～7（メモあり）'!O49</f>
        <v>584884295</v>
      </c>
      <c r="E1339" s="28" t="n">
        <f aca="false">D1339-N(C1339)</f>
        <v>0</v>
      </c>
      <c r="F1339" s="2" t="str">
        <f aca="false">IF(AND(C1339&lt;&gt;"",ROUND(E1339,2)=0),"一致",IF(G1339&lt;&gt;"","変更（意図的）","★相違"))</f>
        <v>一致</v>
      </c>
      <c r="G1339" s="2"/>
    </row>
    <row r="1340" customFormat="false" ht="15" hidden="false" customHeight="false" outlineLevel="0" collapsed="false">
      <c r="A1340" s="2" t="s">
        <v>824</v>
      </c>
      <c r="B1340" s="27" t="s">
        <v>788</v>
      </c>
      <c r="C1340" s="28" t="n">
        <v>29318288</v>
      </c>
      <c r="D1340" s="28" t="n">
        <f aca="false">'総括　6～7（メモあり）'!P49</f>
        <v>29318288</v>
      </c>
      <c r="E1340" s="28" t="n">
        <f aca="false">D1340-N(C1340)</f>
        <v>0</v>
      </c>
      <c r="F1340" s="2" t="str">
        <f aca="false">IF(AND(C1340&lt;&gt;"",ROUND(E1340,2)=0),"一致",IF(G1340&lt;&gt;"","変更（意図的）","★相違"))</f>
        <v>一致</v>
      </c>
      <c r="G1340" s="2"/>
    </row>
    <row r="1341" customFormat="false" ht="15" hidden="false" customHeight="false" outlineLevel="0" collapsed="false">
      <c r="A1341" s="2" t="s">
        <v>824</v>
      </c>
      <c r="B1341" s="27" t="s">
        <v>789</v>
      </c>
      <c r="C1341" s="28" t="n">
        <v>18110125</v>
      </c>
      <c r="D1341" s="28" t="n">
        <f aca="false">'総括　6～7（メモあり）'!Q49</f>
        <v>18110125</v>
      </c>
      <c r="E1341" s="28" t="n">
        <f aca="false">D1341-N(C1341)</f>
        <v>0</v>
      </c>
      <c r="F1341" s="2" t="str">
        <f aca="false">IF(AND(C1341&lt;&gt;"",ROUND(E1341,2)=0),"一致",IF(G1341&lt;&gt;"","変更（意図的）","★相違"))</f>
        <v>一致</v>
      </c>
      <c r="G1341" s="2"/>
    </row>
    <row r="1342" customFormat="false" ht="15" hidden="false" customHeight="false" outlineLevel="0" collapsed="false">
      <c r="A1342" s="2" t="s">
        <v>824</v>
      </c>
      <c r="B1342" s="27" t="s">
        <v>790</v>
      </c>
      <c r="C1342" s="28" t="n">
        <v>13472808</v>
      </c>
      <c r="D1342" s="28" t="n">
        <f aca="false">'総括　6～7（メモあり）'!R49</f>
        <v>13472808</v>
      </c>
      <c r="E1342" s="28" t="n">
        <f aca="false">D1342-N(C1342)</f>
        <v>0</v>
      </c>
      <c r="F1342" s="2" t="str">
        <f aca="false">IF(AND(C1342&lt;&gt;"",ROUND(E1342,2)=0),"一致",IF(G1342&lt;&gt;"","変更（意図的）","★相違"))</f>
        <v>一致</v>
      </c>
      <c r="G1342" s="2"/>
    </row>
    <row r="1343" customFormat="false" ht="15" hidden="false" customHeight="false" outlineLevel="0" collapsed="false">
      <c r="A1343" s="2" t="s">
        <v>824</v>
      </c>
      <c r="B1343" s="27" t="s">
        <v>791</v>
      </c>
      <c r="C1343" s="28" t="n">
        <v>4637317</v>
      </c>
      <c r="D1343" s="28" t="n">
        <f aca="false">'総括　6～7（メモあり）'!S49</f>
        <v>4637317</v>
      </c>
      <c r="E1343" s="28" t="n">
        <f aca="false">D1343-N(C1343)</f>
        <v>0</v>
      </c>
      <c r="F1343" s="2" t="str">
        <f aca="false">IF(AND(C1343&lt;&gt;"",ROUND(E1343,2)=0),"一致",IF(G1343&lt;&gt;"","変更（意図的）","★相違"))</f>
        <v>一致</v>
      </c>
      <c r="G1343" s="2"/>
    </row>
    <row r="1344" customFormat="false" ht="15" hidden="false" customHeight="false" outlineLevel="0" collapsed="false">
      <c r="A1344" s="2" t="s">
        <v>824</v>
      </c>
      <c r="B1344" s="27" t="s">
        <v>792</v>
      </c>
      <c r="C1344" s="28" t="n">
        <v>824180510</v>
      </c>
      <c r="D1344" s="28" t="n">
        <f aca="false">'総括　6～7（メモあり）'!E50</f>
        <v>824180510</v>
      </c>
      <c r="E1344" s="28" t="n">
        <f aca="false">D1344-N(C1344)</f>
        <v>0</v>
      </c>
      <c r="F1344" s="2" t="str">
        <f aca="false">IF(AND(C1344&lt;&gt;"",ROUND(E1344,2)=0),"一致",IF(G1344&lt;&gt;"","変更（意図的）","★相違"))</f>
        <v>一致</v>
      </c>
      <c r="G1344" s="2"/>
    </row>
    <row r="1345" customFormat="false" ht="15" hidden="false" customHeight="false" outlineLevel="0" collapsed="false">
      <c r="A1345" s="2" t="s">
        <v>824</v>
      </c>
      <c r="B1345" s="27" t="s">
        <v>793</v>
      </c>
      <c r="C1345" s="28" t="n">
        <v>-568037567</v>
      </c>
      <c r="D1345" s="28" t="n">
        <f aca="false">'総括　6～7（メモあり）'!F50</f>
        <v>-568037567</v>
      </c>
      <c r="E1345" s="28" t="n">
        <f aca="false">D1345-N(C1345)</f>
        <v>0</v>
      </c>
      <c r="F1345" s="2" t="str">
        <f aca="false">IF(AND(C1345&lt;&gt;"",ROUND(E1345,2)=0),"一致",IF(G1345&lt;&gt;"","変更（意図的）","★相違"))</f>
        <v>一致</v>
      </c>
      <c r="G1345" s="2"/>
    </row>
    <row r="1346" customFormat="false" ht="15" hidden="false" customHeight="false" outlineLevel="0" collapsed="false">
      <c r="A1346" s="2" t="s">
        <v>824</v>
      </c>
      <c r="B1346" s="27" t="s">
        <v>281</v>
      </c>
      <c r="C1346" s="28" t="n">
        <v>1392218077</v>
      </c>
      <c r="D1346" s="28" t="n">
        <f aca="false">'総括　6～7（メモあり）'!G50</f>
        <v>1392218077</v>
      </c>
      <c r="E1346" s="28" t="n">
        <f aca="false">D1346-N(C1346)</f>
        <v>0</v>
      </c>
      <c r="F1346" s="2" t="str">
        <f aca="false">IF(AND(C1346&lt;&gt;"",ROUND(E1346,2)=0),"一致",IF(G1346&lt;&gt;"","変更（意図的）","★相違"))</f>
        <v>一致</v>
      </c>
      <c r="G1346" s="2"/>
    </row>
    <row r="1347" customFormat="false" ht="15" hidden="false" customHeight="false" outlineLevel="0" collapsed="false">
      <c r="A1347" s="2" t="s">
        <v>824</v>
      </c>
      <c r="B1347" s="27" t="s">
        <v>794</v>
      </c>
      <c r="C1347" s="28" t="n">
        <v>944336817</v>
      </c>
      <c r="D1347" s="28" t="n">
        <f aca="false">'総括　6～7（メモあり）'!H50</f>
        <v>944336817</v>
      </c>
      <c r="E1347" s="28" t="n">
        <f aca="false">D1347-N(C1347)</f>
        <v>0</v>
      </c>
      <c r="F1347" s="2" t="str">
        <f aca="false">IF(AND(C1347&lt;&gt;"",ROUND(E1347,2)=0),"一致",IF(G1347&lt;&gt;"","変更（意図的）","★相違"))</f>
        <v>一致</v>
      </c>
      <c r="G1347" s="2"/>
    </row>
    <row r="1348" customFormat="false" ht="15" hidden="false" customHeight="false" outlineLevel="0" collapsed="false">
      <c r="A1348" s="2" t="s">
        <v>824</v>
      </c>
      <c r="B1348" s="27" t="s">
        <v>795</v>
      </c>
      <c r="C1348" s="28" t="n">
        <v>669911578</v>
      </c>
      <c r="D1348" s="28" t="n">
        <f aca="false">'総括　6～7（メモあり）'!I50</f>
        <v>669911578</v>
      </c>
      <c r="E1348" s="28" t="n">
        <f aca="false">D1348-N(C1348)</f>
        <v>0</v>
      </c>
      <c r="F1348" s="2" t="str">
        <f aca="false">IF(AND(C1348&lt;&gt;"",ROUND(E1348,2)=0),"一致",IF(G1348&lt;&gt;"","変更（意図的）","★相違"))</f>
        <v>一致</v>
      </c>
      <c r="G1348" s="2"/>
    </row>
    <row r="1349" customFormat="false" ht="15" hidden="false" customHeight="false" outlineLevel="0" collapsed="false">
      <c r="A1349" s="2" t="s">
        <v>824</v>
      </c>
      <c r="B1349" s="27" t="s">
        <v>796</v>
      </c>
      <c r="C1349" s="28" t="n">
        <v>274425239</v>
      </c>
      <c r="D1349" s="28" t="n">
        <f aca="false">'総括　6～7（メモあり）'!J50</f>
        <v>274425239</v>
      </c>
      <c r="E1349" s="28" t="n">
        <f aca="false">D1349-N(C1349)</f>
        <v>0</v>
      </c>
      <c r="F1349" s="2" t="str">
        <f aca="false">IF(AND(C1349&lt;&gt;"",ROUND(E1349,2)=0),"一致",IF(G1349&lt;&gt;"","変更（意図的）","★相違"))</f>
        <v>一致</v>
      </c>
      <c r="G1349" s="2"/>
    </row>
    <row r="1350" customFormat="false" ht="15" hidden="false" customHeight="false" outlineLevel="0" collapsed="false">
      <c r="A1350" s="2" t="s">
        <v>824</v>
      </c>
      <c r="B1350" s="27" t="s">
        <v>797</v>
      </c>
      <c r="C1350" s="28" t="n">
        <v>4500788</v>
      </c>
      <c r="D1350" s="28" t="n">
        <f aca="false">'総括　6～7（メモあり）'!K50</f>
        <v>4500788</v>
      </c>
      <c r="E1350" s="28" t="n">
        <f aca="false">D1350-N(C1350)</f>
        <v>0</v>
      </c>
      <c r="F1350" s="2" t="str">
        <f aca="false">IF(AND(C1350&lt;&gt;"",ROUND(E1350,2)=0),"一致",IF(G1350&lt;&gt;"","変更（意図的）","★相違"))</f>
        <v>一致</v>
      </c>
      <c r="G1350" s="2"/>
    </row>
    <row r="1351" customFormat="false" ht="15" hidden="false" customHeight="false" outlineLevel="0" collapsed="false">
      <c r="A1351" s="2" t="s">
        <v>824</v>
      </c>
      <c r="B1351" s="27" t="s">
        <v>798</v>
      </c>
      <c r="C1351" s="28" t="n">
        <v>5603393</v>
      </c>
      <c r="D1351" s="28" t="n">
        <f aca="false">'総括　6～7（メモあり）'!L50</f>
        <v>5603393</v>
      </c>
      <c r="E1351" s="28" t="n">
        <f aca="false">D1351-N(C1351)</f>
        <v>0</v>
      </c>
      <c r="F1351" s="2" t="str">
        <f aca="false">IF(AND(C1351&lt;&gt;"",ROUND(E1351,2)=0),"一致",IF(G1351&lt;&gt;"","変更（意図的）","★相違"))</f>
        <v>一致</v>
      </c>
      <c r="G1351" s="2"/>
    </row>
    <row r="1352" customFormat="false" ht="15" hidden="false" customHeight="false" outlineLevel="0" collapsed="false">
      <c r="A1352" s="2" t="s">
        <v>824</v>
      </c>
      <c r="B1352" s="27" t="s">
        <v>799</v>
      </c>
      <c r="C1352" s="28" t="n">
        <v>-1102605</v>
      </c>
      <c r="D1352" s="28" t="n">
        <f aca="false">'総括　6～7（メモあり）'!M50</f>
        <v>-1102605</v>
      </c>
      <c r="E1352" s="28" t="n">
        <f aca="false">D1352-N(C1352)</f>
        <v>0</v>
      </c>
      <c r="F1352" s="2" t="str">
        <f aca="false">IF(AND(C1352&lt;&gt;"",ROUND(E1352,2)=0),"一致",IF(G1352&lt;&gt;"","変更（意図的）","★相違"))</f>
        <v>一致</v>
      </c>
      <c r="G1352" s="2"/>
    </row>
    <row r="1353" customFormat="false" ht="15" hidden="false" customHeight="false" outlineLevel="0" collapsed="false">
      <c r="A1353" s="2" t="s">
        <v>824</v>
      </c>
      <c r="B1353" s="27" t="s">
        <v>800</v>
      </c>
      <c r="C1353" s="28" t="n">
        <v>-5288221</v>
      </c>
      <c r="D1353" s="28" t="n">
        <f aca="false">'総括　6～7（メモあり）'!N50</f>
        <v>-5288221</v>
      </c>
      <c r="E1353" s="28" t="n">
        <f aca="false">D1353-N(C1353)</f>
        <v>0</v>
      </c>
      <c r="F1353" s="2" t="str">
        <f aca="false">IF(AND(C1353&lt;&gt;"",ROUND(E1353,2)=0),"一致",IF(G1353&lt;&gt;"","変更（意図的）","★相違"))</f>
        <v>一致</v>
      </c>
      <c r="G1353" s="2"/>
    </row>
    <row r="1354" customFormat="false" ht="15" hidden="false" customHeight="false" outlineLevel="0" collapsed="false">
      <c r="A1354" s="2" t="s">
        <v>824</v>
      </c>
      <c r="B1354" s="27" t="s">
        <v>801</v>
      </c>
      <c r="C1354" s="28" t="n">
        <v>-89819680</v>
      </c>
      <c r="D1354" s="28" t="n">
        <f aca="false">'総括　6～7（メモあり）'!O50</f>
        <v>-89819680</v>
      </c>
      <c r="E1354" s="28" t="n">
        <f aca="false">D1354-N(C1354)</f>
        <v>0</v>
      </c>
      <c r="F1354" s="2" t="str">
        <f aca="false">IF(AND(C1354&lt;&gt;"",ROUND(E1354,2)=0),"一致",IF(G1354&lt;&gt;"","変更（意図的）","★相違"))</f>
        <v>一致</v>
      </c>
      <c r="G1354" s="2"/>
    </row>
    <row r="1355" customFormat="false" ht="15" hidden="false" customHeight="false" outlineLevel="0" collapsed="false">
      <c r="A1355" s="2" t="s">
        <v>824</v>
      </c>
      <c r="B1355" s="27" t="s">
        <v>802</v>
      </c>
      <c r="C1355" s="28" t="n">
        <v>84531459</v>
      </c>
      <c r="D1355" s="28" t="n">
        <f aca="false">'総括　6～7（メモあり）'!P50</f>
        <v>84531459</v>
      </c>
      <c r="E1355" s="28" t="n">
        <f aca="false">D1355-N(C1355)</f>
        <v>0</v>
      </c>
      <c r="F1355" s="2" t="str">
        <f aca="false">IF(AND(C1355&lt;&gt;"",ROUND(E1355,2)=0),"一致",IF(G1355&lt;&gt;"","変更（意図的）","★相違"))</f>
        <v>一致</v>
      </c>
      <c r="G1355" s="2"/>
    </row>
    <row r="1356" customFormat="false" ht="15" hidden="false" customHeight="false" outlineLevel="0" collapsed="false">
      <c r="A1356" s="2" t="s">
        <v>824</v>
      </c>
      <c r="B1356" s="27" t="s">
        <v>803</v>
      </c>
      <c r="C1356" s="28" t="n">
        <v>-5354125</v>
      </c>
      <c r="D1356" s="28" t="n">
        <f aca="false">'総括　6～7（メモあり）'!Q50</f>
        <v>-5354125</v>
      </c>
      <c r="E1356" s="28" t="n">
        <f aca="false">D1356-N(C1356)</f>
        <v>0</v>
      </c>
      <c r="F1356" s="2" t="str">
        <f aca="false">IF(AND(C1356&lt;&gt;"",ROUND(E1356,2)=0),"一致",IF(G1356&lt;&gt;"","変更（意図的）","★相違"))</f>
        <v>一致</v>
      </c>
      <c r="G1356" s="2"/>
    </row>
    <row r="1357" customFormat="false" ht="15" hidden="false" customHeight="false" outlineLevel="0" collapsed="false">
      <c r="A1357" s="2" t="s">
        <v>824</v>
      </c>
      <c r="B1357" s="27" t="s">
        <v>804</v>
      </c>
      <c r="C1357" s="28" t="n">
        <v>808378</v>
      </c>
      <c r="D1357" s="28" t="n">
        <f aca="false">'総括　6～7（メモあり）'!R50</f>
        <v>808378</v>
      </c>
      <c r="E1357" s="28" t="n">
        <f aca="false">D1357-N(C1357)</f>
        <v>0</v>
      </c>
      <c r="F1357" s="2" t="str">
        <f aca="false">IF(AND(C1357&lt;&gt;"",ROUND(E1357,2)=0),"一致",IF(G1357&lt;&gt;"","変更（意図的）","★相違"))</f>
        <v>一致</v>
      </c>
      <c r="G1357" s="2"/>
    </row>
    <row r="1358" customFormat="false" ht="15" hidden="false" customHeight="false" outlineLevel="0" collapsed="false">
      <c r="A1358" s="2" t="s">
        <v>824</v>
      </c>
      <c r="B1358" s="27" t="s">
        <v>805</v>
      </c>
      <c r="C1358" s="28" t="n">
        <v>-6162503</v>
      </c>
      <c r="D1358" s="28" t="n">
        <f aca="false">'総括　6～7（メモあり）'!S50</f>
        <v>-6162503</v>
      </c>
      <c r="E1358" s="28" t="n">
        <f aca="false">D1358-N(C1358)</f>
        <v>0</v>
      </c>
      <c r="F1358" s="2" t="str">
        <f aca="false">IF(AND(C1358&lt;&gt;"",ROUND(E1358,2)=0),"一致",IF(G1358&lt;&gt;"","変更（意図的）","★相違"))</f>
        <v>一致</v>
      </c>
      <c r="G1358" s="2"/>
    </row>
    <row r="1359" customFormat="false" ht="15" hidden="false" customHeight="false" outlineLevel="0" collapsed="false">
      <c r="A1359" s="2" t="s">
        <v>824</v>
      </c>
      <c r="B1359" s="27" t="s">
        <v>806</v>
      </c>
      <c r="C1359" s="28" t="n">
        <v>2237365593</v>
      </c>
      <c r="D1359" s="28" t="n">
        <f aca="false">'総括　6～7（メモあり）'!E51</f>
        <v>2237365593</v>
      </c>
      <c r="E1359" s="28" t="n">
        <f aca="false">D1359-N(C1359)</f>
        <v>0</v>
      </c>
      <c r="F1359" s="2" t="str">
        <f aca="false">IF(AND(C1359&lt;&gt;"",ROUND(E1359,2)=0),"一致",IF(G1359&lt;&gt;"","変更（意図的）","★相違"))</f>
        <v>一致</v>
      </c>
      <c r="G1359" s="2"/>
    </row>
    <row r="1360" customFormat="false" ht="15" hidden="false" customHeight="false" outlineLevel="0" collapsed="false">
      <c r="A1360" s="2" t="s">
        <v>824</v>
      </c>
      <c r="B1360" s="27" t="s">
        <v>807</v>
      </c>
      <c r="C1360" s="28" t="n">
        <v>1413185083</v>
      </c>
      <c r="D1360" s="28" t="n">
        <f aca="false">'総括　6～7（メモあり）'!F51</f>
        <v>1413185083</v>
      </c>
      <c r="E1360" s="28" t="n">
        <f aca="false">D1360-N(C1360)</f>
        <v>0</v>
      </c>
      <c r="F1360" s="2" t="str">
        <f aca="false">IF(AND(C1360&lt;&gt;"",ROUND(E1360,2)=0),"一致",IF(G1360&lt;&gt;"","変更（意図的）","★相違"))</f>
        <v>一致</v>
      </c>
      <c r="G1360" s="2"/>
    </row>
    <row r="1361" customFormat="false" ht="15" hidden="false" customHeight="false" outlineLevel="0" collapsed="false">
      <c r="A1361" s="2" t="s">
        <v>824</v>
      </c>
      <c r="B1361" s="27" t="s">
        <v>808</v>
      </c>
      <c r="C1361" s="28" t="n">
        <v>824180510</v>
      </c>
      <c r="D1361" s="28" t="n">
        <f aca="false">'総括　6～7（メモあり）'!G51</f>
        <v>824180510</v>
      </c>
      <c r="E1361" s="28" t="n">
        <f aca="false">D1361-N(C1361)</f>
        <v>0</v>
      </c>
      <c r="F1361" s="2" t="str">
        <f aca="false">IF(AND(C1361&lt;&gt;"",ROUND(E1361,2)=0),"一致",IF(G1361&lt;&gt;"","変更（意図的）","★相違"))</f>
        <v>一致</v>
      </c>
      <c r="G1361" s="2"/>
    </row>
    <row r="1362" customFormat="false" ht="15" hidden="false" customHeight="false" outlineLevel="0" collapsed="false">
      <c r="A1362" s="2" t="s">
        <v>824</v>
      </c>
      <c r="B1362" s="27" t="s">
        <v>809</v>
      </c>
      <c r="C1362" s="28" t="n">
        <v>116214028015</v>
      </c>
      <c r="D1362" s="28" t="n">
        <f aca="false">'総括　6～7（メモあり）'!H51</f>
        <v>116214028015</v>
      </c>
      <c r="E1362" s="28" t="n">
        <f aca="false">D1362-N(C1362)</f>
        <v>0</v>
      </c>
      <c r="F1362" s="2" t="str">
        <f aca="false">IF(AND(C1362&lt;&gt;"",ROUND(E1362,2)=0),"一致",IF(G1362&lt;&gt;"","変更（意図的）","★相違"))</f>
        <v>一致</v>
      </c>
      <c r="G1362" s="2"/>
    </row>
    <row r="1363" customFormat="false" ht="15" hidden="false" customHeight="false" outlineLevel="0" collapsed="false">
      <c r="A1363" s="2" t="s">
        <v>824</v>
      </c>
      <c r="B1363" s="27" t="s">
        <v>810</v>
      </c>
      <c r="C1363" s="28" t="n">
        <v>115269691198</v>
      </c>
      <c r="D1363" s="28" t="n">
        <f aca="false">'総括　6～7（メモあり）'!I51</f>
        <v>115269691198</v>
      </c>
      <c r="E1363" s="28" t="n">
        <f aca="false">D1363-N(C1363)</f>
        <v>0</v>
      </c>
      <c r="F1363" s="2" t="str">
        <f aca="false">IF(AND(C1363&lt;&gt;"",ROUND(E1363,2)=0),"一致",IF(G1363&lt;&gt;"","変更（意図的）","★相違"))</f>
        <v>一致</v>
      </c>
      <c r="G1363" s="2"/>
    </row>
    <row r="1364" customFormat="false" ht="15" hidden="false" customHeight="false" outlineLevel="0" collapsed="false">
      <c r="A1364" s="2" t="s">
        <v>824</v>
      </c>
      <c r="B1364" s="27" t="s">
        <v>811</v>
      </c>
      <c r="C1364" s="28" t="n">
        <v>944336817</v>
      </c>
      <c r="D1364" s="28" t="n">
        <f aca="false">'総括　6～7（メモあり）'!J51</f>
        <v>944336817</v>
      </c>
      <c r="E1364" s="28" t="n">
        <f aca="false">D1364-N(C1364)</f>
        <v>0</v>
      </c>
      <c r="F1364" s="2" t="str">
        <f aca="false">IF(AND(C1364&lt;&gt;"",ROUND(E1364,2)=0),"一致",IF(G1364&lt;&gt;"","変更（意図的）","★相違"))</f>
        <v>一致</v>
      </c>
      <c r="G1364" s="2"/>
    </row>
    <row r="1365" customFormat="false" ht="15" hidden="false" customHeight="false" outlineLevel="0" collapsed="false">
      <c r="A1365" s="2" t="s">
        <v>824</v>
      </c>
      <c r="B1365" s="27" t="s">
        <v>812</v>
      </c>
      <c r="C1365" s="28" t="n">
        <v>71093911</v>
      </c>
      <c r="D1365" s="28" t="n">
        <f aca="false">'総括　6～7（メモあり）'!K51</f>
        <v>71093911</v>
      </c>
      <c r="E1365" s="28" t="n">
        <f aca="false">D1365-N(C1365)</f>
        <v>0</v>
      </c>
      <c r="F1365" s="2" t="str">
        <f aca="false">IF(AND(C1365&lt;&gt;"",ROUND(E1365,2)=0),"一致",IF(G1365&lt;&gt;"","変更（意図的）","★相違"))</f>
        <v>一致</v>
      </c>
      <c r="G1365" s="2"/>
    </row>
    <row r="1366" customFormat="false" ht="15" hidden="false" customHeight="false" outlineLevel="0" collapsed="false">
      <c r="A1366" s="2" t="s">
        <v>824</v>
      </c>
      <c r="B1366" s="27" t="s">
        <v>813</v>
      </c>
      <c r="C1366" s="28" t="n">
        <v>66593123</v>
      </c>
      <c r="D1366" s="28" t="n">
        <f aca="false">'総括　6～7（メモあり）'!L51</f>
        <v>66593123</v>
      </c>
      <c r="E1366" s="28" t="n">
        <f aca="false">D1366-N(C1366)</f>
        <v>0</v>
      </c>
      <c r="F1366" s="2" t="str">
        <f aca="false">IF(AND(C1366&lt;&gt;"",ROUND(E1366,2)=0),"一致",IF(G1366&lt;&gt;"","変更（意図的）","★相違"))</f>
        <v>一致</v>
      </c>
      <c r="G1366" s="2"/>
    </row>
    <row r="1367" customFormat="false" ht="15" hidden="false" customHeight="false" outlineLevel="0" collapsed="false">
      <c r="A1367" s="2" t="s">
        <v>824</v>
      </c>
      <c r="B1367" s="27" t="s">
        <v>814</v>
      </c>
      <c r="C1367" s="28" t="n">
        <v>4500788</v>
      </c>
      <c r="D1367" s="28" t="n">
        <f aca="false">'総括　6～7（メモあり）'!M51</f>
        <v>4500788</v>
      </c>
      <c r="E1367" s="28" t="n">
        <f aca="false">D1367-N(C1367)</f>
        <v>0</v>
      </c>
      <c r="F1367" s="2" t="str">
        <f aca="false">IF(AND(C1367&lt;&gt;"",ROUND(E1367,2)=0),"一致",IF(G1367&lt;&gt;"","変更（意図的）","★相違"))</f>
        <v>一致</v>
      </c>
      <c r="G1367" s="2"/>
    </row>
    <row r="1368" customFormat="false" ht="15" hidden="false" customHeight="false" outlineLevel="0" collapsed="false">
      <c r="A1368" s="2" t="s">
        <v>824</v>
      </c>
      <c r="B1368" s="27" t="s">
        <v>815</v>
      </c>
      <c r="C1368" s="28" t="n">
        <v>270947604</v>
      </c>
      <c r="D1368" s="28" t="n">
        <f aca="false">'総括　6～7（メモあり）'!N51</f>
        <v>270947604</v>
      </c>
      <c r="E1368" s="28" t="n">
        <f aca="false">D1368-N(C1368)</f>
        <v>0</v>
      </c>
      <c r="F1368" s="2" t="str">
        <f aca="false">IF(AND(C1368&lt;&gt;"",ROUND(E1368,2)=0),"一致",IF(G1368&lt;&gt;"","変更（意図的）","★相違"))</f>
        <v>一致</v>
      </c>
      <c r="G1368" s="2"/>
    </row>
    <row r="1369" customFormat="false" ht="15" hidden="false" customHeight="false" outlineLevel="0" collapsed="false">
      <c r="A1369" s="2" t="s">
        <v>824</v>
      </c>
      <c r="B1369" s="27" t="s">
        <v>816</v>
      </c>
      <c r="C1369" s="28" t="n">
        <v>276235825</v>
      </c>
      <c r="D1369" s="28" t="n">
        <f aca="false">'総括　6～7（メモあり）'!O51</f>
        <v>276235825</v>
      </c>
      <c r="E1369" s="28" t="n">
        <f aca="false">D1369-N(C1369)</f>
        <v>0</v>
      </c>
      <c r="F1369" s="2" t="str">
        <f aca="false">IF(AND(C1369&lt;&gt;"",ROUND(E1369,2)=0),"一致",IF(G1369&lt;&gt;"","変更（意図的）","★相違"))</f>
        <v>一致</v>
      </c>
      <c r="G1369" s="2"/>
    </row>
    <row r="1370" customFormat="false" ht="15" hidden="false" customHeight="false" outlineLevel="0" collapsed="false">
      <c r="A1370" s="2" t="s">
        <v>824</v>
      </c>
      <c r="B1370" s="27" t="s">
        <v>817</v>
      </c>
      <c r="C1370" s="28" t="n">
        <v>-5288221</v>
      </c>
      <c r="D1370" s="28" t="n">
        <f aca="false">'総括　6～7（メモあり）'!P51</f>
        <v>-5288221</v>
      </c>
      <c r="E1370" s="28" t="n">
        <f aca="false">D1370-N(C1370)</f>
        <v>0</v>
      </c>
      <c r="F1370" s="2" t="str">
        <f aca="false">IF(AND(C1370&lt;&gt;"",ROUND(E1370,2)=0),"一致",IF(G1370&lt;&gt;"","変更（意図的）","★相違"))</f>
        <v>一致</v>
      </c>
      <c r="G1370" s="2"/>
    </row>
    <row r="1371" customFormat="false" ht="15" hidden="false" customHeight="false" outlineLevel="0" collapsed="false">
      <c r="A1371" s="2" t="s">
        <v>824</v>
      </c>
      <c r="B1371" s="27" t="s">
        <v>818</v>
      </c>
      <c r="C1371" s="28" t="n">
        <v>1961052168</v>
      </c>
      <c r="D1371" s="28" t="n">
        <f aca="false">'総括　6～7（メモあり）'!Q51</f>
        <v>1961052168</v>
      </c>
      <c r="E1371" s="28" t="n">
        <f aca="false">D1371-N(C1371)</f>
        <v>0</v>
      </c>
      <c r="F1371" s="2" t="str">
        <f aca="false">IF(AND(C1371&lt;&gt;"",ROUND(E1371,2)=0),"一致",IF(G1371&lt;&gt;"","変更（意図的）","★相違"))</f>
        <v>一致</v>
      </c>
      <c r="G1371" s="2"/>
    </row>
    <row r="1372" customFormat="false" ht="15" hidden="false" customHeight="false" outlineLevel="0" collapsed="false">
      <c r="A1372" s="2" t="s">
        <v>824</v>
      </c>
      <c r="B1372" s="27" t="s">
        <v>819</v>
      </c>
      <c r="C1372" s="28" t="n">
        <v>1966406293</v>
      </c>
      <c r="D1372" s="28" t="n">
        <f aca="false">'総括　6～7（メモあり）'!R51</f>
        <v>1966406293</v>
      </c>
      <c r="E1372" s="28" t="n">
        <f aca="false">D1372-N(C1372)</f>
        <v>0</v>
      </c>
      <c r="F1372" s="2" t="str">
        <f aca="false">IF(AND(C1372&lt;&gt;"",ROUND(E1372,2)=0),"一致",IF(G1372&lt;&gt;"","変更（意図的）","★相違"))</f>
        <v>一致</v>
      </c>
      <c r="G1372" s="2"/>
    </row>
    <row r="1373" customFormat="false" ht="15" hidden="false" customHeight="false" outlineLevel="0" collapsed="false">
      <c r="A1373" s="2" t="s">
        <v>824</v>
      </c>
      <c r="B1373" s="27" t="s">
        <v>820</v>
      </c>
      <c r="C1373" s="28" t="n">
        <v>-5354125</v>
      </c>
      <c r="D1373" s="28" t="n">
        <f aca="false">'総括　6～7（メモあり）'!S51</f>
        <v>-5354125</v>
      </c>
      <c r="E1373" s="28" t="n">
        <f aca="false">D1373-N(C1373)</f>
        <v>0</v>
      </c>
      <c r="F1373" s="2" t="str">
        <f aca="false">IF(AND(C1373&lt;&gt;"",ROUND(E1373,2)=0),"一致",IF(G1373&lt;&gt;"","変更（意図的）","★相違"))</f>
        <v>一致</v>
      </c>
      <c r="G1373" s="2"/>
    </row>
    <row r="1374" customFormat="false" ht="15" hidden="false" customHeight="false" outlineLevel="0" collapsed="false">
      <c r="A1374" s="2" t="s">
        <v>1079</v>
      </c>
      <c r="B1374" s="27" t="s">
        <v>556</v>
      </c>
      <c r="C1374" s="28" t="n">
        <v>1413185083</v>
      </c>
      <c r="D1374" s="28" t="n">
        <f aca="false">'○総括　5～6 (メモなし)'!E6</f>
        <v>1413185083</v>
      </c>
      <c r="E1374" s="28" t="n">
        <f aca="false">D1374-N(C1374)</f>
        <v>0</v>
      </c>
      <c r="F1374" s="2" t="str">
        <f aca="false">IF(AND(C1374&lt;&gt;"",ROUND(E1374,2)=0),"一致",IF(G1374&lt;&gt;"","変更（意図的）","★相違"))</f>
        <v>一致</v>
      </c>
      <c r="G1374" s="2"/>
    </row>
    <row r="1375" customFormat="false" ht="15" hidden="false" customHeight="false" outlineLevel="0" collapsed="false">
      <c r="A1375" s="2" t="s">
        <v>1079</v>
      </c>
      <c r="B1375" s="27" t="s">
        <v>557</v>
      </c>
      <c r="C1375" s="28" t="n">
        <v>1981222650</v>
      </c>
      <c r="D1375" s="28" t="n">
        <f aca="false">'○総括　5～6 (メモなし)'!F6</f>
        <v>1981222650</v>
      </c>
      <c r="E1375" s="28" t="n">
        <f aca="false">D1375-N(C1375)</f>
        <v>0</v>
      </c>
      <c r="F1375" s="2" t="str">
        <f aca="false">IF(AND(C1375&lt;&gt;"",ROUND(E1375,2)=0),"一致",IF(G1375&lt;&gt;"","変更（意図的）","★相違"))</f>
        <v>一致</v>
      </c>
      <c r="G1375" s="2"/>
    </row>
    <row r="1376" customFormat="false" ht="15" hidden="false" customHeight="false" outlineLevel="0" collapsed="false">
      <c r="A1376" s="2" t="s">
        <v>1079</v>
      </c>
      <c r="B1376" s="27" t="s">
        <v>558</v>
      </c>
      <c r="C1376" s="28" t="n">
        <v>-568037567</v>
      </c>
      <c r="D1376" s="28" t="n">
        <f aca="false">'○総括　5～6 (メモなし)'!G6</f>
        <v>-568037567</v>
      </c>
      <c r="E1376" s="28" t="n">
        <f aca="false">D1376-N(C1376)</f>
        <v>0</v>
      </c>
      <c r="F1376" s="2" t="str">
        <f aca="false">IF(AND(C1376&lt;&gt;"",ROUND(E1376,2)=0),"一致",IF(G1376&lt;&gt;"","変更（意図的）","★相違"))</f>
        <v>一致</v>
      </c>
      <c r="G1376" s="2"/>
    </row>
    <row r="1377" customFormat="false" ht="15" hidden="false" customHeight="false" outlineLevel="0" collapsed="false">
      <c r="A1377" s="2" t="s">
        <v>1079</v>
      </c>
      <c r="B1377" s="27" t="s">
        <v>249</v>
      </c>
      <c r="C1377" s="28" t="n">
        <v>115269691198</v>
      </c>
      <c r="D1377" s="28" t="n">
        <f aca="false">'○総括　5～6 (メモなし)'!H6</f>
        <v>115269691198</v>
      </c>
      <c r="E1377" s="28" t="n">
        <f aca="false">D1377-N(C1377)</f>
        <v>0</v>
      </c>
      <c r="F1377" s="2" t="str">
        <f aca="false">IF(AND(C1377&lt;&gt;"",ROUND(E1377,2)=0),"一致",IF(G1377&lt;&gt;"","変更（意図的）","★相違"))</f>
        <v>一致</v>
      </c>
      <c r="G1377" s="2"/>
    </row>
    <row r="1378" customFormat="false" ht="15" hidden="false" customHeight="false" outlineLevel="0" collapsed="false">
      <c r="A1378" s="2" t="s">
        <v>1079</v>
      </c>
      <c r="B1378" s="27" t="s">
        <v>559</v>
      </c>
      <c r="C1378" s="28" t="n">
        <v>114599779620</v>
      </c>
      <c r="D1378" s="28" t="n">
        <f aca="false">'○総括　5～6 (メモなし)'!I6</f>
        <v>114599779620</v>
      </c>
      <c r="E1378" s="28" t="n">
        <f aca="false">D1378-N(C1378)</f>
        <v>0</v>
      </c>
      <c r="F1378" s="2" t="str">
        <f aca="false">IF(AND(C1378&lt;&gt;"",ROUND(E1378,2)=0),"一致",IF(G1378&lt;&gt;"","変更（意図的）","★相違"))</f>
        <v>一致</v>
      </c>
      <c r="G1378" s="2"/>
    </row>
    <row r="1379" customFormat="false" ht="15" hidden="false" customHeight="false" outlineLevel="0" collapsed="false">
      <c r="A1379" s="2" t="s">
        <v>1079</v>
      </c>
      <c r="B1379" s="27" t="s">
        <v>560</v>
      </c>
      <c r="C1379" s="28" t="n">
        <v>669911578</v>
      </c>
      <c r="D1379" s="28" t="n">
        <f aca="false">'○総括　5～6 (メモなし)'!J6</f>
        <v>669911578</v>
      </c>
      <c r="E1379" s="28" t="n">
        <f aca="false">D1379-N(C1379)</f>
        <v>0</v>
      </c>
      <c r="F1379" s="2" t="str">
        <f aca="false">IF(AND(C1379&lt;&gt;"",ROUND(E1379,2)=0),"一致",IF(G1379&lt;&gt;"","変更（意図的）","★相違"))</f>
        <v>一致</v>
      </c>
      <c r="G1379" s="2"/>
    </row>
    <row r="1380" customFormat="false" ht="15" hidden="false" customHeight="false" outlineLevel="0" collapsed="false">
      <c r="A1380" s="2" t="s">
        <v>1079</v>
      </c>
      <c r="B1380" s="27" t="s">
        <v>561</v>
      </c>
      <c r="C1380" s="28" t="n">
        <v>66593123</v>
      </c>
      <c r="D1380" s="28" t="n">
        <f aca="false">'○総括　5～6 (メモなし)'!K6</f>
        <v>66593123</v>
      </c>
      <c r="E1380" s="28" t="n">
        <f aca="false">D1380-N(C1380)</f>
        <v>0</v>
      </c>
      <c r="F1380" s="2" t="str">
        <f aca="false">IF(AND(C1380&lt;&gt;"",ROUND(E1380,2)=0),"一致",IF(G1380&lt;&gt;"","変更（意図的）","★相違"))</f>
        <v>一致</v>
      </c>
      <c r="G1380" s="2"/>
    </row>
    <row r="1381" customFormat="false" ht="15" hidden="false" customHeight="false" outlineLevel="0" collapsed="false">
      <c r="A1381" s="2" t="s">
        <v>1079</v>
      </c>
      <c r="B1381" s="27" t="s">
        <v>562</v>
      </c>
      <c r="C1381" s="28" t="n">
        <v>60989730</v>
      </c>
      <c r="D1381" s="28" t="n">
        <f aca="false">'○総括　5～6 (メモなし)'!L6</f>
        <v>60989730</v>
      </c>
      <c r="E1381" s="28" t="n">
        <f aca="false">D1381-N(C1381)</f>
        <v>0</v>
      </c>
      <c r="F1381" s="2" t="str">
        <f aca="false">IF(AND(C1381&lt;&gt;"",ROUND(E1381,2)=0),"一致",IF(G1381&lt;&gt;"","変更（意図的）","★相違"))</f>
        <v>一致</v>
      </c>
      <c r="G1381" s="2"/>
    </row>
    <row r="1382" customFormat="false" ht="15" hidden="false" customHeight="false" outlineLevel="0" collapsed="false">
      <c r="A1382" s="2" t="s">
        <v>1079</v>
      </c>
      <c r="B1382" s="27" t="s">
        <v>294</v>
      </c>
      <c r="C1382" s="28" t="n">
        <v>5603393</v>
      </c>
      <c r="D1382" s="28" t="n">
        <f aca="false">'○総括　5～6 (メモなし)'!M6</f>
        <v>5603393</v>
      </c>
      <c r="E1382" s="28" t="n">
        <f aca="false">D1382-N(C1382)</f>
        <v>0</v>
      </c>
      <c r="F1382" s="2" t="str">
        <f aca="false">IF(AND(C1382&lt;&gt;"",ROUND(E1382,2)=0),"一致",IF(G1382&lt;&gt;"","変更（意図的）","★相違"))</f>
        <v>一致</v>
      </c>
      <c r="G1382" s="2"/>
    </row>
    <row r="1383" customFormat="false" ht="15" hidden="false" customHeight="false" outlineLevel="0" collapsed="false">
      <c r="A1383" s="2" t="s">
        <v>1079</v>
      </c>
      <c r="B1383" s="27" t="s">
        <v>563</v>
      </c>
      <c r="C1383" s="28" t="n">
        <v>276235825</v>
      </c>
      <c r="D1383" s="28" t="n">
        <f aca="false">'○総括　5～6 (メモなし)'!N6</f>
        <v>276235825</v>
      </c>
      <c r="E1383" s="28" t="n">
        <f aca="false">D1383-N(C1383)</f>
        <v>0</v>
      </c>
      <c r="F1383" s="2" t="str">
        <f aca="false">IF(AND(C1383&lt;&gt;"",ROUND(E1383,2)=0),"一致",IF(G1383&lt;&gt;"","変更（意図的）","★相違"))</f>
        <v>一致</v>
      </c>
      <c r="G1383" s="2"/>
    </row>
    <row r="1384" customFormat="false" ht="15" hidden="false" customHeight="false" outlineLevel="0" collapsed="false">
      <c r="A1384" s="2" t="s">
        <v>1079</v>
      </c>
      <c r="B1384" s="27" t="s">
        <v>564</v>
      </c>
      <c r="C1384" s="28" t="n">
        <v>366055505</v>
      </c>
      <c r="D1384" s="28" t="n">
        <f aca="false">'○総括　5～6 (メモなし)'!O6</f>
        <v>366055505</v>
      </c>
      <c r="E1384" s="28" t="n">
        <f aca="false">D1384-N(C1384)</f>
        <v>0</v>
      </c>
      <c r="F1384" s="2" t="str">
        <f aca="false">IF(AND(C1384&lt;&gt;"",ROUND(E1384,2)=0),"一致",IF(G1384&lt;&gt;"","変更（意図的）","★相違"))</f>
        <v>一致</v>
      </c>
      <c r="G1384" s="2"/>
    </row>
    <row r="1385" customFormat="false" ht="15" hidden="false" customHeight="false" outlineLevel="0" collapsed="false">
      <c r="A1385" s="2" t="s">
        <v>1079</v>
      </c>
      <c r="B1385" s="27" t="s">
        <v>565</v>
      </c>
      <c r="C1385" s="28" t="n">
        <v>-89819680</v>
      </c>
      <c r="D1385" s="28" t="n">
        <f aca="false">'○総括　5～6 (メモなし)'!P6</f>
        <v>-89819680</v>
      </c>
      <c r="E1385" s="28" t="n">
        <f aca="false">D1385-N(C1385)</f>
        <v>0</v>
      </c>
      <c r="F1385" s="2" t="str">
        <f aca="false">IF(AND(C1385&lt;&gt;"",ROUND(E1385,2)=0),"一致",IF(G1385&lt;&gt;"","変更（意図的）","★相違"))</f>
        <v>一致</v>
      </c>
      <c r="G1385" s="2"/>
    </row>
    <row r="1386" customFormat="false" ht="15" hidden="false" customHeight="false" outlineLevel="0" collapsed="false">
      <c r="A1386" s="2" t="s">
        <v>1079</v>
      </c>
      <c r="B1386" s="27" t="s">
        <v>566</v>
      </c>
      <c r="C1386" s="28" t="n">
        <v>1966406293</v>
      </c>
      <c r="D1386" s="28" t="n">
        <f aca="false">'○総括　5～6 (メモなし)'!Q6</f>
        <v>1966406293</v>
      </c>
      <c r="E1386" s="28" t="n">
        <f aca="false">D1386-N(C1386)</f>
        <v>0</v>
      </c>
      <c r="F1386" s="2" t="str">
        <f aca="false">IF(AND(C1386&lt;&gt;"",ROUND(E1386,2)=0),"一致",IF(G1386&lt;&gt;"","変更（意図的）","★相違"))</f>
        <v>一致</v>
      </c>
      <c r="G1386" s="2"/>
    </row>
    <row r="1387" customFormat="false" ht="15" hidden="false" customHeight="false" outlineLevel="0" collapsed="false">
      <c r="A1387" s="2" t="s">
        <v>1079</v>
      </c>
      <c r="B1387" s="27" t="s">
        <v>567</v>
      </c>
      <c r="C1387" s="28" t="n">
        <v>1965597915</v>
      </c>
      <c r="D1387" s="28" t="n">
        <f aca="false">'○総括　5～6 (メモなし)'!R6</f>
        <v>1965597915</v>
      </c>
      <c r="E1387" s="28" t="n">
        <f aca="false">D1387-N(C1387)</f>
        <v>0</v>
      </c>
      <c r="F1387" s="2" t="str">
        <f aca="false">IF(AND(C1387&lt;&gt;"",ROUND(E1387,2)=0),"一致",IF(G1387&lt;&gt;"","変更（意図的）","★相違"))</f>
        <v>一致</v>
      </c>
      <c r="G1387" s="2"/>
    </row>
    <row r="1388" customFormat="false" ht="15" hidden="false" customHeight="false" outlineLevel="0" collapsed="false">
      <c r="A1388" s="2" t="s">
        <v>1079</v>
      </c>
      <c r="B1388" s="27" t="s">
        <v>568</v>
      </c>
      <c r="C1388" s="28" t="n">
        <v>808378</v>
      </c>
      <c r="D1388" s="28" t="n">
        <f aca="false">'○総括　5～6 (メモなし)'!S6</f>
        <v>808378</v>
      </c>
      <c r="E1388" s="28" t="n">
        <f aca="false">D1388-N(C1388)</f>
        <v>0</v>
      </c>
      <c r="F1388" s="2" t="str">
        <f aca="false">IF(AND(C1388&lt;&gt;"",ROUND(E1388,2)=0),"一致",IF(G1388&lt;&gt;"","変更（意図的）","★相違"))</f>
        <v>一致</v>
      </c>
      <c r="G1388" s="2"/>
    </row>
    <row r="1389" customFormat="false" ht="15" hidden="false" customHeight="false" outlineLevel="0" collapsed="false">
      <c r="A1389" s="2" t="s">
        <v>1079</v>
      </c>
      <c r="B1389" s="27" t="s">
        <v>825</v>
      </c>
      <c r="C1389" s="28" t="n">
        <v>5910008304</v>
      </c>
      <c r="D1389" s="28" t="n">
        <f aca="false">'○総括　5～6 (メモなし)'!E7</f>
        <v>5910008304</v>
      </c>
      <c r="E1389" s="28" t="n">
        <f aca="false">D1389-N(C1389)</f>
        <v>0</v>
      </c>
      <c r="F1389" s="2" t="str">
        <f aca="false">IF(AND(C1389&lt;&gt;"",ROUND(E1389,2)=0),"一致",IF(G1389&lt;&gt;"","変更（意図的）","★相違"))</f>
        <v>一致</v>
      </c>
      <c r="G1389" s="2"/>
    </row>
    <row r="1390" customFormat="false" ht="15" hidden="false" customHeight="false" outlineLevel="0" collapsed="false">
      <c r="A1390" s="2" t="s">
        <v>1079</v>
      </c>
      <c r="B1390" s="27" t="s">
        <v>569</v>
      </c>
      <c r="C1390" s="28" t="n">
        <v>4825002280</v>
      </c>
      <c r="D1390" s="28" t="n">
        <f aca="false">'○総括　5～6 (メモなし)'!F7</f>
        <v>4825002280</v>
      </c>
      <c r="E1390" s="28" t="n">
        <f aca="false">D1390-N(C1390)</f>
        <v>0</v>
      </c>
      <c r="F1390" s="2" t="str">
        <f aca="false">IF(AND(C1390&lt;&gt;"",ROUND(E1390,2)=0),"一致",IF(G1390&lt;&gt;"","変更（意図的）","★相違"))</f>
        <v>一致</v>
      </c>
      <c r="G1390" s="2"/>
    </row>
    <row r="1391" customFormat="false" ht="15" hidden="false" customHeight="false" outlineLevel="0" collapsed="false">
      <c r="A1391" s="2" t="s">
        <v>1079</v>
      </c>
      <c r="B1391" s="27" t="s">
        <v>251</v>
      </c>
      <c r="C1391" s="28" t="n">
        <v>1085006024</v>
      </c>
      <c r="D1391" s="28" t="n">
        <f aca="false">'○総括　5～6 (メモなし)'!G7</f>
        <v>1085006024</v>
      </c>
      <c r="E1391" s="28" t="n">
        <f aca="false">D1391-N(C1391)</f>
        <v>0</v>
      </c>
      <c r="F1391" s="2" t="str">
        <f aca="false">IF(AND(C1391&lt;&gt;"",ROUND(E1391,2)=0),"一致",IF(G1391&lt;&gt;"","変更（意図的）","★相違"))</f>
        <v>一致</v>
      </c>
      <c r="G1391" s="2"/>
    </row>
    <row r="1392" customFormat="false" ht="15" hidden="false" customHeight="false" outlineLevel="0" collapsed="false">
      <c r="A1392" s="2" t="s">
        <v>1079</v>
      </c>
      <c r="B1392" s="27" t="s">
        <v>570</v>
      </c>
      <c r="C1392" s="28" t="n">
        <v>5874630086</v>
      </c>
      <c r="D1392" s="28" t="n">
        <f aca="false">'○総括　5～6 (メモなし)'!H7</f>
        <v>5874630086</v>
      </c>
      <c r="E1392" s="28" t="n">
        <f aca="false">D1392-N(C1392)</f>
        <v>0</v>
      </c>
      <c r="F1392" s="2" t="str">
        <f aca="false">IF(AND(C1392&lt;&gt;"",ROUND(E1392,2)=0),"一致",IF(G1392&lt;&gt;"","変更（意図的）","★相違"))</f>
        <v>一致</v>
      </c>
      <c r="G1392" s="2"/>
    </row>
    <row r="1393" customFormat="false" ht="15" hidden="false" customHeight="false" outlineLevel="0" collapsed="false">
      <c r="A1393" s="2" t="s">
        <v>1079</v>
      </c>
      <c r="B1393" s="27" t="s">
        <v>571</v>
      </c>
      <c r="C1393" s="28" t="n">
        <v>10209423196</v>
      </c>
      <c r="D1393" s="28" t="n">
        <f aca="false">'○総括　5～6 (メモなし)'!I7</f>
        <v>10209423196</v>
      </c>
      <c r="E1393" s="28" t="n">
        <f aca="false">D1393-N(C1393)</f>
        <v>0</v>
      </c>
      <c r="F1393" s="2" t="str">
        <f aca="false">IF(AND(C1393&lt;&gt;"",ROUND(E1393,2)=0),"一致",IF(G1393&lt;&gt;"","変更（意図的）","★相違"))</f>
        <v>一致</v>
      </c>
      <c r="G1393" s="2"/>
    </row>
    <row r="1394" customFormat="false" ht="15" hidden="false" customHeight="false" outlineLevel="0" collapsed="false">
      <c r="A1394" s="2" t="s">
        <v>1079</v>
      </c>
      <c r="B1394" s="27" t="s">
        <v>572</v>
      </c>
      <c r="C1394" s="28" t="n">
        <v>-4334793110</v>
      </c>
      <c r="D1394" s="28" t="n">
        <f aca="false">'○総括　5～6 (メモなし)'!J7</f>
        <v>-4334793110</v>
      </c>
      <c r="E1394" s="28" t="n">
        <f aca="false">D1394-N(C1394)</f>
        <v>0</v>
      </c>
      <c r="F1394" s="2" t="str">
        <f aca="false">IF(AND(C1394&lt;&gt;"",ROUND(E1394,2)=0),"一致",IF(G1394&lt;&gt;"","変更（意図的）","★相違"))</f>
        <v>一致</v>
      </c>
      <c r="G1394" s="2"/>
    </row>
    <row r="1395" customFormat="false" ht="15" hidden="false" customHeight="false" outlineLevel="0" collapsed="false">
      <c r="A1395" s="2" t="s">
        <v>1079</v>
      </c>
      <c r="B1395" s="27" t="s">
        <v>573</v>
      </c>
      <c r="C1395" s="28" t="n">
        <v>82167559</v>
      </c>
      <c r="D1395" s="28" t="n">
        <f aca="false">'○総括　5～6 (メモなし)'!K7</f>
        <v>82167559</v>
      </c>
      <c r="E1395" s="28" t="n">
        <f aca="false">D1395-N(C1395)</f>
        <v>0</v>
      </c>
      <c r="F1395" s="2" t="str">
        <f aca="false">IF(AND(C1395&lt;&gt;"",ROUND(E1395,2)=0),"一致",IF(G1395&lt;&gt;"","変更（意図的）","★相違"))</f>
        <v>一致</v>
      </c>
      <c r="G1395" s="2"/>
    </row>
    <row r="1396" customFormat="false" ht="15" hidden="false" customHeight="false" outlineLevel="0" collapsed="false">
      <c r="A1396" s="2" t="s">
        <v>1079</v>
      </c>
      <c r="B1396" s="27" t="s">
        <v>575</v>
      </c>
      <c r="C1396" s="28" t="n">
        <v>67101258</v>
      </c>
      <c r="D1396" s="28" t="n">
        <f aca="false">'○総括　5～6 (メモなし)'!L7</f>
        <v>67101258</v>
      </c>
      <c r="E1396" s="28" t="n">
        <f aca="false">D1396-N(C1396)</f>
        <v>0</v>
      </c>
      <c r="F1396" s="2" t="str">
        <f aca="false">IF(AND(C1396&lt;&gt;"",ROUND(E1396,2)=0),"一致",IF(G1396&lt;&gt;"","変更（意図的）","★相違"))</f>
        <v>一致</v>
      </c>
      <c r="G1396" s="2"/>
    </row>
    <row r="1397" customFormat="false" ht="15" hidden="false" customHeight="false" outlineLevel="0" collapsed="false">
      <c r="A1397" s="2" t="s">
        <v>1079</v>
      </c>
      <c r="B1397" s="27" t="s">
        <v>461</v>
      </c>
      <c r="C1397" s="28" t="n">
        <v>15066301</v>
      </c>
      <c r="D1397" s="28" t="n">
        <f aca="false">'○総括　5～6 (メモなし)'!M7</f>
        <v>15066301</v>
      </c>
      <c r="E1397" s="28" t="n">
        <f aca="false">D1397-N(C1397)</f>
        <v>0</v>
      </c>
      <c r="F1397" s="2" t="str">
        <f aca="false">IF(AND(C1397&lt;&gt;"",ROUND(E1397,2)=0),"一致",IF(G1397&lt;&gt;"","変更（意図的）","★相違"))</f>
        <v>一致</v>
      </c>
      <c r="G1397" s="2"/>
    </row>
    <row r="1398" customFormat="false" ht="15" hidden="false" customHeight="false" outlineLevel="0" collapsed="false">
      <c r="A1398" s="2" t="s">
        <v>1079</v>
      </c>
      <c r="B1398" s="27" t="s">
        <v>826</v>
      </c>
      <c r="C1398" s="28" t="n">
        <v>393344415</v>
      </c>
      <c r="D1398" s="28" t="n">
        <f aca="false">'○総括　5～6 (メモなし)'!N7</f>
        <v>393344415</v>
      </c>
      <c r="E1398" s="28" t="n">
        <f aca="false">D1398-N(C1398)</f>
        <v>0</v>
      </c>
      <c r="F1398" s="2" t="str">
        <f aca="false">IF(AND(C1398&lt;&gt;"",ROUND(E1398,2)=0),"一致",IF(G1398&lt;&gt;"","変更（意図的）","★相違"))</f>
        <v>一致</v>
      </c>
      <c r="G1398" s="2"/>
    </row>
    <row r="1399" customFormat="false" ht="15" hidden="false" customHeight="false" outlineLevel="0" collapsed="false">
      <c r="A1399" s="2" t="s">
        <v>1079</v>
      </c>
      <c r="B1399" s="27" t="s">
        <v>577</v>
      </c>
      <c r="C1399" s="28" t="n">
        <v>327613612</v>
      </c>
      <c r="D1399" s="28" t="n">
        <f aca="false">'○総括　5～6 (メモなし)'!O7</f>
        <v>327613612</v>
      </c>
      <c r="E1399" s="28" t="n">
        <f aca="false">D1399-N(C1399)</f>
        <v>0</v>
      </c>
      <c r="F1399" s="2" t="str">
        <f aca="false">IF(AND(C1399&lt;&gt;"",ROUND(E1399,2)=0),"一致",IF(G1399&lt;&gt;"","変更（意図的）","★相違"))</f>
        <v>一致</v>
      </c>
      <c r="G1399" s="2"/>
    </row>
    <row r="1400" customFormat="false" ht="15" hidden="false" customHeight="false" outlineLevel="0" collapsed="false">
      <c r="A1400" s="2" t="s">
        <v>1079</v>
      </c>
      <c r="B1400" s="27" t="s">
        <v>578</v>
      </c>
      <c r="C1400" s="28" t="n">
        <v>65730803</v>
      </c>
      <c r="D1400" s="28" t="n">
        <f aca="false">'○総括　5～6 (メモなし)'!P7</f>
        <v>65730803</v>
      </c>
      <c r="E1400" s="28" t="n">
        <f aca="false">D1400-N(C1400)</f>
        <v>0</v>
      </c>
      <c r="F1400" s="2" t="str">
        <f aca="false">IF(AND(C1400&lt;&gt;"",ROUND(E1400,2)=0),"一致",IF(G1400&lt;&gt;"","変更（意図的）","★相違"))</f>
        <v>一致</v>
      </c>
      <c r="G1400" s="2"/>
    </row>
    <row r="1401" customFormat="false" ht="15" hidden="false" customHeight="false" outlineLevel="0" collapsed="false">
      <c r="A1401" s="2" t="s">
        <v>1079</v>
      </c>
      <c r="B1401" s="27" t="s">
        <v>579</v>
      </c>
      <c r="C1401" s="28" t="n">
        <v>0</v>
      </c>
      <c r="D1401" s="28" t="n">
        <f aca="false">'○総括　5～6 (メモなし)'!S7</f>
        <v>0</v>
      </c>
      <c r="E1401" s="28" t="n">
        <f aca="false">D1401-N(C1401)</f>
        <v>0</v>
      </c>
      <c r="F1401" s="2" t="str">
        <f aca="false">IF(AND(C1401&lt;&gt;"",ROUND(E1401,2)=0),"一致",IF(G1401&lt;&gt;"","変更（意図的）","★相違"))</f>
        <v>一致</v>
      </c>
      <c r="G1401" s="2"/>
    </row>
    <row r="1402" customFormat="false" ht="15" hidden="false" customHeight="false" outlineLevel="0" collapsed="false">
      <c r="A1402" s="2" t="s">
        <v>1079</v>
      </c>
      <c r="B1402" s="27" t="s">
        <v>829</v>
      </c>
      <c r="C1402" s="28" t="n">
        <v>5945270515</v>
      </c>
      <c r="D1402" s="28" t="n">
        <f aca="false">'○総括　5～6 (メモなし)'!E8</f>
        <v>5945270515</v>
      </c>
      <c r="E1402" s="28" t="n">
        <f aca="false">D1402-N(C1402)</f>
        <v>0</v>
      </c>
      <c r="F1402" s="2" t="str">
        <f aca="false">IF(AND(C1402&lt;&gt;"",ROUND(E1402,2)=0),"一致",IF(G1402&lt;&gt;"","変更（意図的）","★相違"))</f>
        <v>一致</v>
      </c>
      <c r="G1402" s="2"/>
    </row>
    <row r="1403" customFormat="false" ht="15" hidden="false" customHeight="false" outlineLevel="0" collapsed="false">
      <c r="A1403" s="2" t="s">
        <v>1079</v>
      </c>
      <c r="B1403" s="27" t="s">
        <v>580</v>
      </c>
      <c r="C1403" s="28" t="n">
        <v>4874201257</v>
      </c>
      <c r="D1403" s="28" t="n">
        <f aca="false">'○総括　5～6 (メモなし)'!F8</f>
        <v>4874201257</v>
      </c>
      <c r="E1403" s="28" t="n">
        <f aca="false">D1403-N(C1403)</f>
        <v>0</v>
      </c>
      <c r="F1403" s="2" t="str">
        <f aca="false">IF(AND(C1403&lt;&gt;"",ROUND(E1403,2)=0),"一致",IF(G1403&lt;&gt;"","変更（意図的）","★相違"))</f>
        <v>一致</v>
      </c>
      <c r="G1403" s="2"/>
    </row>
    <row r="1404" customFormat="false" ht="15" hidden="false" customHeight="false" outlineLevel="0" collapsed="false">
      <c r="A1404" s="2" t="s">
        <v>1079</v>
      </c>
      <c r="B1404" s="27" t="s">
        <v>253</v>
      </c>
      <c r="C1404" s="28" t="n">
        <v>1071069258</v>
      </c>
      <c r="D1404" s="28" t="n">
        <f aca="false">'○総括　5～6 (メモなし)'!G8</f>
        <v>1071069258</v>
      </c>
      <c r="E1404" s="28" t="n">
        <f aca="false">D1404-N(C1404)</f>
        <v>0</v>
      </c>
      <c r="F1404" s="2" t="str">
        <f aca="false">IF(AND(C1404&lt;&gt;"",ROUND(E1404,2)=0),"一致",IF(G1404&lt;&gt;"","変更（意図的）","★相違"))</f>
        <v>一致</v>
      </c>
      <c r="G1404" s="2"/>
    </row>
    <row r="1405" customFormat="false" ht="15" hidden="false" customHeight="false" outlineLevel="0" collapsed="false">
      <c r="A1405" s="2" t="s">
        <v>1079</v>
      </c>
      <c r="B1405" s="27" t="s">
        <v>581</v>
      </c>
      <c r="C1405" s="28" t="n">
        <v>2964516955</v>
      </c>
      <c r="D1405" s="28" t="n">
        <f aca="false">'○総括　5～6 (メモなし)'!H8</f>
        <v>2964516955</v>
      </c>
      <c r="E1405" s="28" t="n">
        <f aca="false">D1405-N(C1405)</f>
        <v>0</v>
      </c>
      <c r="F1405" s="2" t="str">
        <f aca="false">IF(AND(C1405&lt;&gt;"",ROUND(E1405,2)=0),"一致",IF(G1405&lt;&gt;"","変更（意図的）","★相違"))</f>
        <v>一致</v>
      </c>
      <c r="G1405" s="2"/>
    </row>
    <row r="1406" customFormat="false" ht="15" hidden="false" customHeight="false" outlineLevel="0" collapsed="false">
      <c r="A1406" s="2" t="s">
        <v>1079</v>
      </c>
      <c r="B1406" s="27" t="s">
        <v>582</v>
      </c>
      <c r="C1406" s="28" t="n">
        <v>6009799333</v>
      </c>
      <c r="D1406" s="28" t="n">
        <f aca="false">'○総括　5～6 (メモなし)'!I8</f>
        <v>6009799333</v>
      </c>
      <c r="E1406" s="28" t="n">
        <f aca="false">D1406-N(C1406)</f>
        <v>0</v>
      </c>
      <c r="F1406" s="2" t="str">
        <f aca="false">IF(AND(C1406&lt;&gt;"",ROUND(E1406,2)=0),"一致",IF(G1406&lt;&gt;"","変更（意図的）","★相違"))</f>
        <v>一致</v>
      </c>
      <c r="G1406" s="2"/>
    </row>
    <row r="1407" customFormat="false" ht="15" hidden="false" customHeight="false" outlineLevel="0" collapsed="false">
      <c r="A1407" s="2" t="s">
        <v>1079</v>
      </c>
      <c r="B1407" s="27" t="s">
        <v>583</v>
      </c>
      <c r="C1407" s="28" t="n">
        <v>-3045282378</v>
      </c>
      <c r="D1407" s="28" t="n">
        <f aca="false">'○総括　5～6 (メモなし)'!J8</f>
        <v>-3045282378</v>
      </c>
      <c r="E1407" s="28" t="n">
        <f aca="false">D1407-N(C1407)</f>
        <v>0</v>
      </c>
      <c r="F1407" s="2" t="str">
        <f aca="false">IF(AND(C1407&lt;&gt;"",ROUND(E1407,2)=0),"一致",IF(G1407&lt;&gt;"","変更（意図的）","★相違"))</f>
        <v>一致</v>
      </c>
      <c r="G1407" s="2"/>
    </row>
    <row r="1408" customFormat="false" ht="15" hidden="false" customHeight="false" outlineLevel="0" collapsed="false">
      <c r="A1408" s="2" t="s">
        <v>1079</v>
      </c>
      <c r="B1408" s="27" t="s">
        <v>466</v>
      </c>
      <c r="C1408" s="28" t="n">
        <v>0</v>
      </c>
      <c r="D1408" s="28" t="n">
        <f aca="false">'○総括　5～6 (メモなし)'!M8</f>
        <v>0</v>
      </c>
      <c r="E1408" s="28" t="n">
        <f aca="false">D1408-N(C1408)</f>
        <v>0</v>
      </c>
      <c r="F1408" s="2" t="str">
        <f aca="false">IF(AND(C1408&lt;&gt;"",ROUND(E1408,2)=0),"一致",IF(G1408&lt;&gt;"","変更（意図的）","★相違"))</f>
        <v>一致</v>
      </c>
      <c r="G1408" s="2"/>
    </row>
    <row r="1409" customFormat="false" ht="15" hidden="false" customHeight="false" outlineLevel="0" collapsed="false">
      <c r="A1409" s="2" t="s">
        <v>1079</v>
      </c>
      <c r="B1409" s="27" t="s">
        <v>832</v>
      </c>
      <c r="C1409" s="28" t="n">
        <v>215569947</v>
      </c>
      <c r="D1409" s="28" t="n">
        <f aca="false">'○総括　5～6 (メモなし)'!N8</f>
        <v>215569947</v>
      </c>
      <c r="E1409" s="28" t="n">
        <f aca="false">D1409-N(C1409)</f>
        <v>0</v>
      </c>
      <c r="F1409" s="2" t="str">
        <f aca="false">IF(AND(C1409&lt;&gt;"",ROUND(E1409,2)=0),"一致",IF(G1409&lt;&gt;"","変更（意図的）","★相違"))</f>
        <v>一致</v>
      </c>
      <c r="G1409" s="2"/>
    </row>
    <row r="1410" customFormat="false" ht="15" hidden="false" customHeight="false" outlineLevel="0" collapsed="false">
      <c r="A1410" s="2" t="s">
        <v>1079</v>
      </c>
      <c r="B1410" s="27" t="s">
        <v>584</v>
      </c>
      <c r="C1410" s="28" t="n">
        <v>166041412</v>
      </c>
      <c r="D1410" s="28" t="n">
        <f aca="false">'○総括　5～6 (メモなし)'!O8</f>
        <v>166041412</v>
      </c>
      <c r="E1410" s="28" t="n">
        <f aca="false">D1410-N(C1410)</f>
        <v>0</v>
      </c>
      <c r="F1410" s="2" t="str">
        <f aca="false">IF(AND(C1410&lt;&gt;"",ROUND(E1410,2)=0),"一致",IF(G1410&lt;&gt;"","変更（意図的）","★相違"))</f>
        <v>一致</v>
      </c>
      <c r="G1410" s="2"/>
    </row>
    <row r="1411" customFormat="false" ht="15" hidden="false" customHeight="false" outlineLevel="0" collapsed="false">
      <c r="A1411" s="2" t="s">
        <v>1079</v>
      </c>
      <c r="B1411" s="27" t="s">
        <v>585</v>
      </c>
      <c r="C1411" s="28" t="n">
        <v>49528535</v>
      </c>
      <c r="D1411" s="28" t="n">
        <f aca="false">'○総括　5～6 (メモなし)'!P8</f>
        <v>49528535</v>
      </c>
      <c r="E1411" s="28" t="n">
        <f aca="false">D1411-N(C1411)</f>
        <v>0</v>
      </c>
      <c r="F1411" s="2" t="str">
        <f aca="false">IF(AND(C1411&lt;&gt;"",ROUND(E1411,2)=0),"一致",IF(G1411&lt;&gt;"","変更（意図的）","★相違"))</f>
        <v>一致</v>
      </c>
      <c r="G1411" s="2"/>
    </row>
    <row r="1412" customFormat="false" ht="15" hidden="false" customHeight="false" outlineLevel="0" collapsed="false">
      <c r="A1412" s="2" t="s">
        <v>1079</v>
      </c>
      <c r="B1412" s="27" t="s">
        <v>586</v>
      </c>
      <c r="C1412" s="28" t="n">
        <v>0</v>
      </c>
      <c r="D1412" s="28" t="n">
        <f aca="false">'○総括　5～6 (メモなし)'!S8</f>
        <v>0</v>
      </c>
      <c r="E1412" s="28" t="n">
        <f aca="false">D1412-N(C1412)</f>
        <v>0</v>
      </c>
      <c r="F1412" s="2" t="str">
        <f aca="false">IF(AND(C1412&lt;&gt;"",ROUND(E1412,2)=0),"一致",IF(G1412&lt;&gt;"","変更（意図的）","★相違"))</f>
        <v>一致</v>
      </c>
      <c r="G1412" s="2"/>
    </row>
    <row r="1413" customFormat="false" ht="15" hidden="false" customHeight="false" outlineLevel="0" collapsed="false">
      <c r="A1413" s="2" t="s">
        <v>1079</v>
      </c>
      <c r="B1413" s="27" t="s">
        <v>835</v>
      </c>
      <c r="C1413" s="28" t="n">
        <v>0</v>
      </c>
      <c r="D1413" s="28" t="n">
        <f aca="false">'○総括　5～6 (メモなし)'!E9</f>
        <v>0</v>
      </c>
      <c r="E1413" s="28" t="n">
        <f aca="false">D1413-N(C1413)</f>
        <v>0</v>
      </c>
      <c r="F1413" s="2" t="str">
        <f aca="false">IF(AND(C1413&lt;&gt;"",ROUND(E1413,2)=0),"一致",IF(G1413&lt;&gt;"","変更（意図的）","★相違"))</f>
        <v>一致</v>
      </c>
      <c r="G1413" s="2"/>
    </row>
    <row r="1414" customFormat="false" ht="15" hidden="false" customHeight="false" outlineLevel="0" collapsed="false">
      <c r="A1414" s="2" t="s">
        <v>1079</v>
      </c>
      <c r="B1414" s="27" t="s">
        <v>587</v>
      </c>
      <c r="C1414" s="28" t="n">
        <v>0</v>
      </c>
      <c r="D1414" s="28" t="n">
        <f aca="false">'○総括　5～6 (メモなし)'!F9</f>
        <v>0</v>
      </c>
      <c r="E1414" s="28" t="n">
        <f aca="false">D1414-N(C1414)</f>
        <v>0</v>
      </c>
      <c r="F1414" s="2" t="str">
        <f aca="false">IF(AND(C1414&lt;&gt;"",ROUND(E1414,2)=0),"一致",IF(G1414&lt;&gt;"","変更（意図的）","★相違"))</f>
        <v>一致</v>
      </c>
      <c r="G1414" s="2"/>
    </row>
    <row r="1415" customFormat="false" ht="15" hidden="false" customHeight="false" outlineLevel="0" collapsed="false">
      <c r="A1415" s="2" t="s">
        <v>1079</v>
      </c>
      <c r="B1415" s="27" t="s">
        <v>254</v>
      </c>
      <c r="C1415" s="28" t="n">
        <v>0</v>
      </c>
      <c r="D1415" s="28" t="n">
        <f aca="false">'○総括　5～6 (メモなし)'!G9</f>
        <v>0</v>
      </c>
      <c r="E1415" s="28" t="n">
        <f aca="false">D1415-N(C1415)</f>
        <v>0</v>
      </c>
      <c r="F1415" s="2" t="str">
        <f aca="false">IF(AND(C1415&lt;&gt;"",ROUND(E1415,2)=0),"一致",IF(G1415&lt;&gt;"","変更（意図的）","★相違"))</f>
        <v>一致</v>
      </c>
      <c r="G1415" s="2"/>
    </row>
    <row r="1416" customFormat="false" ht="15" hidden="false" customHeight="false" outlineLevel="0" collapsed="false">
      <c r="A1416" s="2" t="s">
        <v>1079</v>
      </c>
      <c r="B1416" s="27" t="s">
        <v>588</v>
      </c>
      <c r="C1416" s="28" t="n">
        <v>1204704253</v>
      </c>
      <c r="D1416" s="28" t="n">
        <f aca="false">'○総括　5～6 (メモなし)'!H9</f>
        <v>1204704253</v>
      </c>
      <c r="E1416" s="28" t="n">
        <f aca="false">D1416-N(C1416)</f>
        <v>0</v>
      </c>
      <c r="F1416" s="2" t="str">
        <f aca="false">IF(AND(C1416&lt;&gt;"",ROUND(E1416,2)=0),"一致",IF(G1416&lt;&gt;"","変更（意図的）","★相違"))</f>
        <v>一致</v>
      </c>
      <c r="G1416" s="2"/>
    </row>
    <row r="1417" customFormat="false" ht="15" hidden="false" customHeight="false" outlineLevel="0" collapsed="false">
      <c r="A1417" s="2" t="s">
        <v>1079</v>
      </c>
      <c r="B1417" s="27" t="s">
        <v>589</v>
      </c>
      <c r="C1417" s="28" t="n">
        <v>2333415822</v>
      </c>
      <c r="D1417" s="28" t="n">
        <f aca="false">'○総括　5～6 (メモなし)'!I9</f>
        <v>2333415822</v>
      </c>
      <c r="E1417" s="28" t="n">
        <f aca="false">D1417-N(C1417)</f>
        <v>0</v>
      </c>
      <c r="F1417" s="2" t="str">
        <f aca="false">IF(AND(C1417&lt;&gt;"",ROUND(E1417,2)=0),"一致",IF(G1417&lt;&gt;"","変更（意図的）","★相違"))</f>
        <v>一致</v>
      </c>
      <c r="G1417" s="2"/>
    </row>
    <row r="1418" customFormat="false" ht="15" hidden="false" customHeight="false" outlineLevel="0" collapsed="false">
      <c r="A1418" s="2" t="s">
        <v>1079</v>
      </c>
      <c r="B1418" s="27" t="s">
        <v>590</v>
      </c>
      <c r="C1418" s="28" t="n">
        <v>-1128711569</v>
      </c>
      <c r="D1418" s="28" t="n">
        <f aca="false">'○総括　5～6 (メモなし)'!J9</f>
        <v>-1128711569</v>
      </c>
      <c r="E1418" s="28" t="n">
        <f aca="false">D1418-N(C1418)</f>
        <v>0</v>
      </c>
      <c r="F1418" s="2" t="str">
        <f aca="false">IF(AND(C1418&lt;&gt;"",ROUND(E1418,2)=0),"一致",IF(G1418&lt;&gt;"","変更（意図的）","★相違"))</f>
        <v>一致</v>
      </c>
      <c r="G1418" s="2"/>
    </row>
    <row r="1419" customFormat="false" ht="15" hidden="false" customHeight="false" outlineLevel="0" collapsed="false">
      <c r="A1419" s="2" t="s">
        <v>1079</v>
      </c>
      <c r="B1419" s="27" t="s">
        <v>471</v>
      </c>
      <c r="C1419" s="28" t="n">
        <v>0</v>
      </c>
      <c r="D1419" s="28" t="n">
        <f aca="false">'○総括　5～6 (メモなし)'!M9</f>
        <v>0</v>
      </c>
      <c r="E1419" s="28" t="n">
        <f aca="false">D1419-N(C1419)</f>
        <v>0</v>
      </c>
      <c r="F1419" s="2" t="str">
        <f aca="false">IF(AND(C1419&lt;&gt;"",ROUND(E1419,2)=0),"一致",IF(G1419&lt;&gt;"","変更（意図的）","★相違"))</f>
        <v>一致</v>
      </c>
      <c r="G1419" s="2"/>
    </row>
    <row r="1420" customFormat="false" ht="15" hidden="false" customHeight="false" outlineLevel="0" collapsed="false">
      <c r="A1420" s="2" t="s">
        <v>1079</v>
      </c>
      <c r="B1420" s="27" t="s">
        <v>837</v>
      </c>
      <c r="C1420" s="28" t="n">
        <v>0</v>
      </c>
      <c r="D1420" s="28" t="n">
        <f aca="false">'○総括　5～6 (メモなし)'!N9</f>
        <v>0</v>
      </c>
      <c r="E1420" s="28" t="n">
        <f aca="false">D1420-N(C1420)</f>
        <v>0</v>
      </c>
      <c r="F1420" s="2" t="str">
        <f aca="false">IF(AND(C1420&lt;&gt;"",ROUND(E1420,2)=0),"一致",IF(G1420&lt;&gt;"","変更（意図的）","★相違"))</f>
        <v>一致</v>
      </c>
      <c r="G1420" s="2"/>
    </row>
    <row r="1421" customFormat="false" ht="15" hidden="false" customHeight="false" outlineLevel="0" collapsed="false">
      <c r="A1421" s="2" t="s">
        <v>1079</v>
      </c>
      <c r="B1421" s="27" t="s">
        <v>592</v>
      </c>
      <c r="C1421" s="28" t="n">
        <v>0</v>
      </c>
      <c r="D1421" s="28" t="n">
        <f aca="false">'○総括　5～6 (メモなし)'!O9</f>
        <v>0</v>
      </c>
      <c r="E1421" s="28" t="n">
        <f aca="false">D1421-N(C1421)</f>
        <v>0</v>
      </c>
      <c r="F1421" s="2" t="str">
        <f aca="false">IF(AND(C1421&lt;&gt;"",ROUND(E1421,2)=0),"一致",IF(G1421&lt;&gt;"","変更（意図的）","★相違"))</f>
        <v>一致</v>
      </c>
      <c r="G1421" s="2"/>
    </row>
    <row r="1422" customFormat="false" ht="15" hidden="false" customHeight="false" outlineLevel="0" collapsed="false">
      <c r="A1422" s="2" t="s">
        <v>1079</v>
      </c>
      <c r="B1422" s="27" t="s">
        <v>593</v>
      </c>
      <c r="C1422" s="28" t="n">
        <v>0</v>
      </c>
      <c r="D1422" s="28" t="n">
        <f aca="false">'○総括　5～6 (メモなし)'!P9</f>
        <v>0</v>
      </c>
      <c r="E1422" s="28" t="n">
        <f aca="false">D1422-N(C1422)</f>
        <v>0</v>
      </c>
      <c r="F1422" s="2" t="str">
        <f aca="false">IF(AND(C1422&lt;&gt;"",ROUND(E1422,2)=0),"一致",IF(G1422&lt;&gt;"","変更（意図的）","★相違"))</f>
        <v>一致</v>
      </c>
      <c r="G1422" s="2"/>
    </row>
    <row r="1423" customFormat="false" ht="15" hidden="false" customHeight="false" outlineLevel="0" collapsed="false">
      <c r="A1423" s="2" t="s">
        <v>1079</v>
      </c>
      <c r="B1423" s="27" t="s">
        <v>594</v>
      </c>
      <c r="C1423" s="28" t="n">
        <v>0</v>
      </c>
      <c r="D1423" s="28" t="n">
        <f aca="false">'○総括　5～6 (メモなし)'!S9</f>
        <v>0</v>
      </c>
      <c r="E1423" s="28" t="n">
        <f aca="false">D1423-N(C1423)</f>
        <v>0</v>
      </c>
      <c r="F1423" s="2" t="str">
        <f aca="false">IF(AND(C1423&lt;&gt;"",ROUND(E1423,2)=0),"一致",IF(G1423&lt;&gt;"","変更（意図的）","★相違"))</f>
        <v>一致</v>
      </c>
      <c r="G1423" s="2"/>
    </row>
    <row r="1424" customFormat="false" ht="15" hidden="false" customHeight="false" outlineLevel="0" collapsed="false">
      <c r="A1424" s="2" t="s">
        <v>1079</v>
      </c>
      <c r="B1424" s="27" t="s">
        <v>255</v>
      </c>
      <c r="C1424" s="28" t="n">
        <v>0</v>
      </c>
      <c r="D1424" s="28" t="n">
        <f aca="false">'○総括　5～6 (メモなし)'!G10</f>
        <v>0</v>
      </c>
      <c r="E1424" s="28" t="n">
        <f aca="false">D1424-N(C1424)</f>
        <v>0</v>
      </c>
      <c r="F1424" s="2" t="str">
        <f aca="false">IF(AND(C1424&lt;&gt;"",ROUND(E1424,2)=0),"一致",IF(G1424&lt;&gt;"","変更（意図的）","★相違"))</f>
        <v>一致</v>
      </c>
      <c r="G1424" s="2"/>
    </row>
    <row r="1425" customFormat="false" ht="15" hidden="false" customHeight="false" outlineLevel="0" collapsed="false">
      <c r="A1425" s="2" t="s">
        <v>1079</v>
      </c>
      <c r="B1425" s="27" t="s">
        <v>595</v>
      </c>
      <c r="C1425" s="28" t="n">
        <v>3820000</v>
      </c>
      <c r="D1425" s="28" t="n">
        <f aca="false">'○総括　5～6 (メモなし)'!H10</f>
        <v>3820000</v>
      </c>
      <c r="E1425" s="28" t="n">
        <f aca="false">D1425-N(C1425)</f>
        <v>0</v>
      </c>
      <c r="F1425" s="2" t="str">
        <f aca="false">IF(AND(C1425&lt;&gt;"",ROUND(E1425,2)=0),"一致",IF(G1425&lt;&gt;"","変更（意図的）","★相違"))</f>
        <v>一致</v>
      </c>
      <c r="G1425" s="2"/>
    </row>
    <row r="1426" customFormat="false" ht="15" hidden="false" customHeight="false" outlineLevel="0" collapsed="false">
      <c r="A1426" s="2" t="s">
        <v>1079</v>
      </c>
      <c r="B1426" s="27" t="s">
        <v>596</v>
      </c>
      <c r="C1426" s="28" t="n">
        <v>14466000</v>
      </c>
      <c r="D1426" s="28" t="n">
        <f aca="false">'○総括　5～6 (メモなし)'!I10</f>
        <v>14466000</v>
      </c>
      <c r="E1426" s="28" t="n">
        <f aca="false">D1426-N(C1426)</f>
        <v>0</v>
      </c>
      <c r="F1426" s="2" t="str">
        <f aca="false">IF(AND(C1426&lt;&gt;"",ROUND(E1426,2)=0),"一致",IF(G1426&lt;&gt;"","変更（意図的）","★相違"))</f>
        <v>一致</v>
      </c>
      <c r="G1426" s="2"/>
    </row>
    <row r="1427" customFormat="false" ht="15" hidden="false" customHeight="false" outlineLevel="0" collapsed="false">
      <c r="A1427" s="2" t="s">
        <v>1079</v>
      </c>
      <c r="B1427" s="27" t="s">
        <v>597</v>
      </c>
      <c r="C1427" s="28" t="n">
        <v>-10646000</v>
      </c>
      <c r="D1427" s="28" t="n">
        <f aca="false">'○総括　5～6 (メモなし)'!J10</f>
        <v>-10646000</v>
      </c>
      <c r="E1427" s="28" t="n">
        <f aca="false">D1427-N(C1427)</f>
        <v>0</v>
      </c>
      <c r="F1427" s="2" t="str">
        <f aca="false">IF(AND(C1427&lt;&gt;"",ROUND(E1427,2)=0),"一致",IF(G1427&lt;&gt;"","変更（意図的）","★相違"))</f>
        <v>一致</v>
      </c>
      <c r="G1427" s="2"/>
    </row>
    <row r="1428" customFormat="false" ht="15" hidden="false" customHeight="false" outlineLevel="0" collapsed="false">
      <c r="A1428" s="2" t="s">
        <v>1079</v>
      </c>
      <c r="B1428" s="27" t="s">
        <v>476</v>
      </c>
      <c r="C1428" s="28" t="n">
        <v>0</v>
      </c>
      <c r="D1428" s="28" t="n">
        <f aca="false">'○総括　5～6 (メモなし)'!M10</f>
        <v>0</v>
      </c>
      <c r="E1428" s="28" t="n">
        <f aca="false">D1428-N(C1428)</f>
        <v>0</v>
      </c>
      <c r="F1428" s="2" t="str">
        <f aca="false">IF(AND(C1428&lt;&gt;"",ROUND(E1428,2)=0),"一致",IF(G1428&lt;&gt;"","変更（意図的）","★相違"))</f>
        <v>一致</v>
      </c>
      <c r="G1428" s="2"/>
    </row>
    <row r="1429" customFormat="false" ht="15" hidden="false" customHeight="false" outlineLevel="0" collapsed="false">
      <c r="A1429" s="2" t="s">
        <v>1079</v>
      </c>
      <c r="B1429" s="27" t="s">
        <v>598</v>
      </c>
      <c r="C1429" s="28" t="n">
        <v>0</v>
      </c>
      <c r="D1429" s="28" t="n">
        <f aca="false">'○総括　5～6 (メモなし)'!P10</f>
        <v>0</v>
      </c>
      <c r="E1429" s="28" t="n">
        <f aca="false">D1429-N(C1429)</f>
        <v>0</v>
      </c>
      <c r="F1429" s="2" t="str">
        <f aca="false">IF(AND(C1429&lt;&gt;"",ROUND(E1429,2)=0),"一致",IF(G1429&lt;&gt;"","変更（意図的）","★相違"))</f>
        <v>一致</v>
      </c>
      <c r="G1429" s="2"/>
    </row>
    <row r="1430" customFormat="false" ht="15" hidden="false" customHeight="false" outlineLevel="0" collapsed="false">
      <c r="A1430" s="2" t="s">
        <v>1079</v>
      </c>
      <c r="B1430" s="27" t="s">
        <v>599</v>
      </c>
      <c r="C1430" s="28" t="n">
        <v>0</v>
      </c>
      <c r="D1430" s="28" t="n">
        <f aca="false">'○総括　5～6 (メモなし)'!S10</f>
        <v>0</v>
      </c>
      <c r="E1430" s="28" t="n">
        <f aca="false">D1430-N(C1430)</f>
        <v>0</v>
      </c>
      <c r="F1430" s="2" t="str">
        <f aca="false">IF(AND(C1430&lt;&gt;"",ROUND(E1430,2)=0),"一致",IF(G1430&lt;&gt;"","変更（意図的）","★相違"))</f>
        <v>一致</v>
      </c>
      <c r="G1430" s="2"/>
    </row>
    <row r="1431" customFormat="false" ht="15" hidden="false" customHeight="false" outlineLevel="0" collapsed="false">
      <c r="A1431" s="2" t="s">
        <v>1079</v>
      </c>
      <c r="B1431" s="27" t="s">
        <v>848</v>
      </c>
      <c r="C1431" s="28" t="n">
        <v>512653248</v>
      </c>
      <c r="D1431" s="28" t="n">
        <f aca="false">'○総括　5～6 (メモなし)'!E11</f>
        <v>512653248</v>
      </c>
      <c r="E1431" s="28" t="n">
        <f aca="false">D1431-N(C1431)</f>
        <v>0</v>
      </c>
      <c r="F1431" s="2" t="str">
        <f aca="false">IF(AND(C1431&lt;&gt;"",ROUND(E1431,2)=0),"一致",IF(G1431&lt;&gt;"","変更（意図的）","★相違"))</f>
        <v>一致</v>
      </c>
      <c r="G1431" s="2"/>
    </row>
    <row r="1432" customFormat="false" ht="15" hidden="false" customHeight="false" outlineLevel="0" collapsed="false">
      <c r="A1432" s="2" t="s">
        <v>1079</v>
      </c>
      <c r="B1432" s="27" t="s">
        <v>600</v>
      </c>
      <c r="C1432" s="28" t="n">
        <v>498922077</v>
      </c>
      <c r="D1432" s="28" t="n">
        <f aca="false">'○総括　5～6 (メモなし)'!F11</f>
        <v>498922077</v>
      </c>
      <c r="E1432" s="28" t="n">
        <f aca="false">D1432-N(C1432)</f>
        <v>0</v>
      </c>
      <c r="F1432" s="2" t="str">
        <f aca="false">IF(AND(C1432&lt;&gt;"",ROUND(E1432,2)=0),"一致",IF(G1432&lt;&gt;"","変更（意図的）","★相違"))</f>
        <v>一致</v>
      </c>
      <c r="G1432" s="2"/>
    </row>
    <row r="1433" customFormat="false" ht="15" hidden="false" customHeight="false" outlineLevel="0" collapsed="false">
      <c r="A1433" s="2" t="s">
        <v>1079</v>
      </c>
      <c r="B1433" s="27" t="s">
        <v>601</v>
      </c>
      <c r="C1433" s="28" t="n">
        <v>13731171</v>
      </c>
      <c r="D1433" s="28" t="n">
        <f aca="false">'○総括　5～6 (メモなし)'!G11</f>
        <v>13731171</v>
      </c>
      <c r="E1433" s="28" t="n">
        <f aca="false">D1433-N(C1433)</f>
        <v>0</v>
      </c>
      <c r="F1433" s="2" t="str">
        <f aca="false">IF(AND(C1433&lt;&gt;"",ROUND(E1433,2)=0),"一致",IF(G1433&lt;&gt;"","変更（意図的）","★相違"))</f>
        <v>一致</v>
      </c>
      <c r="G1433" s="2"/>
    </row>
    <row r="1434" customFormat="false" ht="15" hidden="false" customHeight="false" outlineLevel="0" collapsed="false">
      <c r="A1434" s="2" t="s">
        <v>1079</v>
      </c>
      <c r="B1434" s="27" t="s">
        <v>481</v>
      </c>
      <c r="C1434" s="28" t="n">
        <v>0</v>
      </c>
      <c r="D1434" s="28" t="n">
        <f aca="false">'○総括　5～6 (メモなし)'!M11</f>
        <v>0</v>
      </c>
      <c r="E1434" s="28" t="n">
        <f aca="false">D1434-N(C1434)</f>
        <v>0</v>
      </c>
      <c r="F1434" s="2" t="str">
        <f aca="false">IF(AND(C1434&lt;&gt;"",ROUND(E1434,2)=0),"一致",IF(G1434&lt;&gt;"","変更（意図的）","★相違"))</f>
        <v>一致</v>
      </c>
      <c r="G1434" s="2"/>
    </row>
    <row r="1435" customFormat="false" ht="15" hidden="false" customHeight="false" outlineLevel="0" collapsed="false">
      <c r="A1435" s="2" t="s">
        <v>1079</v>
      </c>
      <c r="B1435" s="27" t="s">
        <v>602</v>
      </c>
      <c r="C1435" s="28" t="n">
        <v>0</v>
      </c>
      <c r="D1435" s="28" t="n">
        <f aca="false">'○総括　5～6 (メモなし)'!P11</f>
        <v>0</v>
      </c>
      <c r="E1435" s="28" t="n">
        <f aca="false">D1435-N(C1435)</f>
        <v>0</v>
      </c>
      <c r="F1435" s="2" t="str">
        <f aca="false">IF(AND(C1435&lt;&gt;"",ROUND(E1435,2)=0),"一致",IF(G1435&lt;&gt;"","変更（意図的）","★相違"))</f>
        <v>一致</v>
      </c>
      <c r="G1435" s="2"/>
    </row>
    <row r="1436" customFormat="false" ht="15" hidden="false" customHeight="false" outlineLevel="0" collapsed="false">
      <c r="A1436" s="2" t="s">
        <v>1079</v>
      </c>
      <c r="B1436" s="27" t="s">
        <v>603</v>
      </c>
      <c r="C1436" s="28" t="n">
        <v>0</v>
      </c>
      <c r="D1436" s="28" t="n">
        <f aca="false">'○総括　5～6 (メモなし)'!S11</f>
        <v>0</v>
      </c>
      <c r="E1436" s="28" t="n">
        <f aca="false">D1436-N(C1436)</f>
        <v>0</v>
      </c>
      <c r="F1436" s="2" t="str">
        <f aca="false">IF(AND(C1436&lt;&gt;"",ROUND(E1436,2)=0),"一致",IF(G1436&lt;&gt;"","変更（意図的）","★相違"))</f>
        <v>一致</v>
      </c>
      <c r="G1436" s="2"/>
    </row>
    <row r="1437" customFormat="false" ht="15" hidden="false" customHeight="false" outlineLevel="0" collapsed="false">
      <c r="A1437" s="2" t="s">
        <v>1079</v>
      </c>
      <c r="B1437" s="27" t="s">
        <v>855</v>
      </c>
      <c r="C1437" s="28" t="n">
        <v>98548000</v>
      </c>
      <c r="D1437" s="28" t="n">
        <f aca="false">'○総括　5～6 (メモなし)'!E12</f>
        <v>98548000</v>
      </c>
      <c r="E1437" s="28" t="n">
        <f aca="false">D1437-N(C1437)</f>
        <v>0</v>
      </c>
      <c r="F1437" s="2" t="str">
        <f aca="false">IF(AND(C1437&lt;&gt;"",ROUND(E1437,2)=0),"一致",IF(G1437&lt;&gt;"","変更（意図的）","★相違"))</f>
        <v>一致</v>
      </c>
      <c r="G1437" s="2"/>
    </row>
    <row r="1438" customFormat="false" ht="15" hidden="false" customHeight="false" outlineLevel="0" collapsed="false">
      <c r="A1438" s="2" t="s">
        <v>1079</v>
      </c>
      <c r="B1438" s="27" t="s">
        <v>604</v>
      </c>
      <c r="C1438" s="28" t="n">
        <v>86648000</v>
      </c>
      <c r="D1438" s="28" t="n">
        <f aca="false">'○総括　5～6 (メモなし)'!F12</f>
        <v>86648000</v>
      </c>
      <c r="E1438" s="28" t="n">
        <f aca="false">D1438-N(C1438)</f>
        <v>0</v>
      </c>
      <c r="F1438" s="2" t="str">
        <f aca="false">IF(AND(C1438&lt;&gt;"",ROUND(E1438,2)=0),"一致",IF(G1438&lt;&gt;"","変更（意図的）","★相違"))</f>
        <v>一致</v>
      </c>
      <c r="G1438" s="2"/>
    </row>
    <row r="1439" customFormat="false" ht="15" hidden="false" customHeight="false" outlineLevel="0" collapsed="false">
      <c r="A1439" s="2" t="s">
        <v>1079</v>
      </c>
      <c r="B1439" s="27" t="s">
        <v>295</v>
      </c>
      <c r="C1439" s="28" t="n">
        <v>11900000</v>
      </c>
      <c r="D1439" s="28" t="n">
        <f aca="false">'○総括　5～6 (メモなし)'!G12</f>
        <v>11900000</v>
      </c>
      <c r="E1439" s="28" t="n">
        <f aca="false">D1439-N(C1439)</f>
        <v>0</v>
      </c>
      <c r="F1439" s="2" t="str">
        <f aca="false">IF(AND(C1439&lt;&gt;"",ROUND(E1439,2)=0),"一致",IF(G1439&lt;&gt;"","変更（意図的）","★相違"))</f>
        <v>一致</v>
      </c>
      <c r="G1439" s="2"/>
    </row>
    <row r="1440" customFormat="false" ht="15" hidden="false" customHeight="false" outlineLevel="0" collapsed="false">
      <c r="A1440" s="2" t="s">
        <v>1079</v>
      </c>
      <c r="B1440" s="27" t="s">
        <v>864</v>
      </c>
      <c r="C1440" s="28" t="n">
        <v>0</v>
      </c>
      <c r="D1440" s="28" t="n">
        <f aca="false">'○総括　5～6 (メモなし)'!E13</f>
        <v>0</v>
      </c>
      <c r="E1440" s="28" t="n">
        <f aca="false">D1440-N(C1440)</f>
        <v>0</v>
      </c>
      <c r="F1440" s="2" t="str">
        <f aca="false">IF(AND(C1440&lt;&gt;"",ROUND(E1440,2)=0),"一致",IF(G1440&lt;&gt;"","変更（意図的）","★相違"))</f>
        <v>一致</v>
      </c>
      <c r="G1440" s="2"/>
    </row>
    <row r="1441" customFormat="false" ht="15" hidden="false" customHeight="false" outlineLevel="0" collapsed="false">
      <c r="A1441" s="2" t="s">
        <v>1079</v>
      </c>
      <c r="B1441" s="27" t="s">
        <v>148</v>
      </c>
      <c r="C1441" s="28" t="n">
        <v>0</v>
      </c>
      <c r="D1441" s="28" t="n">
        <f aca="false">'○総括　5～6 (メモなし)'!F13</f>
        <v>0</v>
      </c>
      <c r="E1441" s="28" t="n">
        <f aca="false">D1441-N(C1441)</f>
        <v>0</v>
      </c>
      <c r="F1441" s="2" t="str">
        <f aca="false">IF(AND(C1441&lt;&gt;"",ROUND(E1441,2)=0),"一致",IF(G1441&lt;&gt;"","変更（意図的）","★相違"))</f>
        <v>一致</v>
      </c>
      <c r="G1441" s="2"/>
    </row>
    <row r="1442" customFormat="false" ht="15" hidden="false" customHeight="false" outlineLevel="0" collapsed="false">
      <c r="A1442" s="2" t="s">
        <v>1079</v>
      </c>
      <c r="B1442" s="27" t="s">
        <v>605</v>
      </c>
      <c r="C1442" s="28" t="n">
        <v>0</v>
      </c>
      <c r="D1442" s="28" t="n">
        <f aca="false">'○総括　5～6 (メモなし)'!G13</f>
        <v>0</v>
      </c>
      <c r="E1442" s="28" t="n">
        <f aca="false">D1442-N(C1442)</f>
        <v>0</v>
      </c>
      <c r="F1442" s="2" t="str">
        <f aca="false">IF(AND(C1442&lt;&gt;"",ROUND(E1442,2)=0),"一致",IF(G1442&lt;&gt;"","変更（意図的）","★相違"))</f>
        <v>一致</v>
      </c>
      <c r="G1442" s="2"/>
    </row>
    <row r="1443" customFormat="false" ht="15" hidden="false" customHeight="false" outlineLevel="0" collapsed="false">
      <c r="A1443" s="2" t="s">
        <v>1079</v>
      </c>
      <c r="B1443" s="27" t="s">
        <v>491</v>
      </c>
      <c r="C1443" s="28" t="n">
        <v>0</v>
      </c>
      <c r="D1443" s="28" t="n">
        <f aca="false">'○総括　5～6 (メモなし)'!M13</f>
        <v>0</v>
      </c>
      <c r="E1443" s="28" t="n">
        <f aca="false">D1443-N(C1443)</f>
        <v>0</v>
      </c>
      <c r="F1443" s="2" t="str">
        <f aca="false">IF(AND(C1443&lt;&gt;"",ROUND(E1443,2)=0),"一致",IF(G1443&lt;&gt;"","変更（意図的）","★相違"))</f>
        <v>一致</v>
      </c>
      <c r="G1443" s="2"/>
    </row>
    <row r="1444" customFormat="false" ht="15" hidden="false" customHeight="false" outlineLevel="0" collapsed="false">
      <c r="A1444" s="2" t="s">
        <v>1079</v>
      </c>
      <c r="B1444" s="27" t="s">
        <v>606</v>
      </c>
      <c r="C1444" s="28" t="n">
        <v>0</v>
      </c>
      <c r="D1444" s="28" t="n">
        <f aca="false">'○総括　5～6 (メモなし)'!P13</f>
        <v>0</v>
      </c>
      <c r="E1444" s="28" t="n">
        <f aca="false">D1444-N(C1444)</f>
        <v>0</v>
      </c>
      <c r="F1444" s="2" t="str">
        <f aca="false">IF(AND(C1444&lt;&gt;"",ROUND(E1444,2)=0),"一致",IF(G1444&lt;&gt;"","変更（意図的）","★相違"))</f>
        <v>一致</v>
      </c>
      <c r="G1444" s="2"/>
    </row>
    <row r="1445" customFormat="false" ht="15" hidden="false" customHeight="false" outlineLevel="0" collapsed="false">
      <c r="A1445" s="2" t="s">
        <v>1079</v>
      </c>
      <c r="B1445" s="27" t="s">
        <v>149</v>
      </c>
      <c r="C1445" s="28" t="n">
        <v>2621295</v>
      </c>
      <c r="D1445" s="28" t="n">
        <f aca="false">'○総括　5～6 (メモなし)'!E14</f>
        <v>2621295</v>
      </c>
      <c r="E1445" s="28" t="n">
        <f aca="false">D1445-N(C1445)</f>
        <v>0</v>
      </c>
      <c r="F1445" s="2" t="str">
        <f aca="false">IF(AND(C1445&lt;&gt;"",ROUND(E1445,2)=0),"一致",IF(G1445&lt;&gt;"","変更（意図的）","★相違"))</f>
        <v>一致</v>
      </c>
      <c r="G1445" s="2"/>
    </row>
    <row r="1446" customFormat="false" ht="15" hidden="false" customHeight="false" outlineLevel="0" collapsed="false">
      <c r="A1446" s="2" t="s">
        <v>1079</v>
      </c>
      <c r="B1446" s="27" t="s">
        <v>150</v>
      </c>
      <c r="C1446" s="28" t="n">
        <v>287297</v>
      </c>
      <c r="D1446" s="28" t="n">
        <f aca="false">'○総括　5～6 (メモなし)'!F14</f>
        <v>287297</v>
      </c>
      <c r="E1446" s="28" t="n">
        <f aca="false">D1446-N(C1446)</f>
        <v>0</v>
      </c>
      <c r="F1446" s="2" t="str">
        <f aca="false">IF(AND(C1446&lt;&gt;"",ROUND(E1446,2)=0),"一致",IF(G1446&lt;&gt;"","変更（意図的）","★相違"))</f>
        <v>一致</v>
      </c>
      <c r="G1446" s="2"/>
    </row>
    <row r="1447" customFormat="false" ht="15" hidden="false" customHeight="false" outlineLevel="0" collapsed="false">
      <c r="A1447" s="2" t="s">
        <v>1079</v>
      </c>
      <c r="B1447" s="27" t="s">
        <v>151</v>
      </c>
      <c r="C1447" s="28" t="n">
        <v>2333998</v>
      </c>
      <c r="D1447" s="28" t="n">
        <f aca="false">'○総括　5～6 (メモなし)'!G14</f>
        <v>2333998</v>
      </c>
      <c r="E1447" s="28" t="n">
        <f aca="false">D1447-N(C1447)</f>
        <v>0</v>
      </c>
      <c r="F1447" s="2" t="str">
        <f aca="false">IF(AND(C1447&lt;&gt;"",ROUND(E1447,2)=0),"一致",IF(G1447&lt;&gt;"","変更（意図的）","★相違"))</f>
        <v>一致</v>
      </c>
      <c r="G1447" s="2"/>
    </row>
    <row r="1448" customFormat="false" ht="15" hidden="false" customHeight="false" outlineLevel="0" collapsed="false">
      <c r="A1448" s="2" t="s">
        <v>1079</v>
      </c>
      <c r="B1448" s="27" t="s">
        <v>496</v>
      </c>
      <c r="C1448" s="28" t="n">
        <v>0</v>
      </c>
      <c r="D1448" s="28" t="n">
        <f aca="false">'○総括　5～6 (メモなし)'!M14</f>
        <v>0</v>
      </c>
      <c r="E1448" s="28" t="n">
        <f aca="false">D1448-N(C1448)</f>
        <v>0</v>
      </c>
      <c r="F1448" s="2" t="str">
        <f aca="false">IF(AND(C1448&lt;&gt;"",ROUND(E1448,2)=0),"一致",IF(G1448&lt;&gt;"","変更（意図的）","★相違"))</f>
        <v>一致</v>
      </c>
      <c r="G1448" s="2"/>
    </row>
    <row r="1449" customFormat="false" ht="15" hidden="false" customHeight="false" outlineLevel="0" collapsed="false">
      <c r="A1449" s="2" t="s">
        <v>1079</v>
      </c>
      <c r="B1449" s="27" t="s">
        <v>607</v>
      </c>
      <c r="C1449" s="28" t="n">
        <v>0</v>
      </c>
      <c r="D1449" s="28" t="n">
        <f aca="false">'○総括　5～6 (メモなし)'!P14</f>
        <v>0</v>
      </c>
      <c r="E1449" s="28" t="n">
        <f aca="false">D1449-N(C1449)</f>
        <v>0</v>
      </c>
      <c r="F1449" s="2" t="str">
        <f aca="false">IF(AND(C1449&lt;&gt;"",ROUND(E1449,2)=0),"一致",IF(G1449&lt;&gt;"","変更（意図的）","★相違"))</f>
        <v>一致</v>
      </c>
      <c r="G1449" s="2"/>
    </row>
    <row r="1450" customFormat="false" ht="15" hidden="false" customHeight="false" outlineLevel="0" collapsed="false">
      <c r="A1450" s="2" t="s">
        <v>1079</v>
      </c>
      <c r="B1450" s="27" t="s">
        <v>608</v>
      </c>
      <c r="C1450" s="28" t="n">
        <v>0</v>
      </c>
      <c r="D1450" s="28" t="n">
        <f aca="false">'○総括　5～6 (メモなし)'!S14</f>
        <v>0</v>
      </c>
      <c r="E1450" s="28" t="n">
        <f aca="false">D1450-N(C1450)</f>
        <v>0</v>
      </c>
      <c r="F1450" s="2" t="str">
        <f aca="false">IF(AND(C1450&lt;&gt;"",ROUND(E1450,2)=0),"一致",IF(G1450&lt;&gt;"","変更（意図的）","★相違"))</f>
        <v>一致</v>
      </c>
      <c r="G1450" s="2"/>
    </row>
    <row r="1451" customFormat="false" ht="15" hidden="false" customHeight="false" outlineLevel="0" collapsed="false">
      <c r="A1451" s="2" t="s">
        <v>1079</v>
      </c>
      <c r="B1451" s="27" t="s">
        <v>154</v>
      </c>
      <c r="C1451" s="28" t="n">
        <v>0</v>
      </c>
      <c r="D1451" s="28" t="n">
        <f aca="false">'○総括　5～6 (メモなし)'!G15</f>
        <v>0</v>
      </c>
      <c r="E1451" s="28" t="n">
        <f aca="false">D1451-N(C1451)</f>
        <v>0</v>
      </c>
      <c r="F1451" s="2" t="str">
        <f aca="false">IF(AND(C1451&lt;&gt;"",ROUND(E1451,2)=0),"一致",IF(G1451&lt;&gt;"","変更（意図的）","★相違"))</f>
        <v>一致</v>
      </c>
      <c r="G1451" s="2"/>
    </row>
    <row r="1452" customFormat="false" ht="15" hidden="false" customHeight="false" outlineLevel="0" collapsed="false">
      <c r="A1452" s="2" t="s">
        <v>1079</v>
      </c>
      <c r="B1452" s="27" t="s">
        <v>609</v>
      </c>
      <c r="C1452" s="28" t="n">
        <v>5464540</v>
      </c>
      <c r="D1452" s="28" t="n">
        <f aca="false">'○総括　5～6 (メモなし)'!H15</f>
        <v>5464540</v>
      </c>
      <c r="E1452" s="28" t="n">
        <f aca="false">D1452-N(C1452)</f>
        <v>0</v>
      </c>
      <c r="F1452" s="2" t="str">
        <f aca="false">IF(AND(C1452&lt;&gt;"",ROUND(E1452,2)=0),"一致",IF(G1452&lt;&gt;"","変更（意図的）","★相違"))</f>
        <v>一致</v>
      </c>
      <c r="G1452" s="2"/>
    </row>
    <row r="1453" customFormat="false" ht="15" hidden="false" customHeight="false" outlineLevel="0" collapsed="false">
      <c r="A1453" s="2" t="s">
        <v>1079</v>
      </c>
      <c r="B1453" s="27" t="s">
        <v>610</v>
      </c>
      <c r="C1453" s="28" t="n">
        <v>11601546</v>
      </c>
      <c r="D1453" s="28" t="n">
        <f aca="false">'○総括　5～6 (メモなし)'!I15</f>
        <v>11601546</v>
      </c>
      <c r="E1453" s="28" t="n">
        <f aca="false">D1453-N(C1453)</f>
        <v>0</v>
      </c>
      <c r="F1453" s="2" t="str">
        <f aca="false">IF(AND(C1453&lt;&gt;"",ROUND(E1453,2)=0),"一致",IF(G1453&lt;&gt;"","変更（意図的）","★相違"))</f>
        <v>一致</v>
      </c>
      <c r="G1453" s="2"/>
    </row>
    <row r="1454" customFormat="false" ht="15" hidden="false" customHeight="false" outlineLevel="0" collapsed="false">
      <c r="A1454" s="2" t="s">
        <v>1079</v>
      </c>
      <c r="B1454" s="27" t="s">
        <v>611</v>
      </c>
      <c r="C1454" s="28" t="n">
        <v>-6137006</v>
      </c>
      <c r="D1454" s="28" t="n">
        <f aca="false">'○総括　5～6 (メモなし)'!J15</f>
        <v>-6137006</v>
      </c>
      <c r="E1454" s="28" t="n">
        <f aca="false">D1454-N(C1454)</f>
        <v>0</v>
      </c>
      <c r="F1454" s="2" t="str">
        <f aca="false">IF(AND(C1454&lt;&gt;"",ROUND(E1454,2)=0),"一致",IF(G1454&lt;&gt;"","変更（意図的）","★相違"))</f>
        <v>一致</v>
      </c>
      <c r="G1454" s="2"/>
    </row>
    <row r="1455" customFormat="false" ht="15" hidden="false" customHeight="false" outlineLevel="0" collapsed="false">
      <c r="A1455" s="2" t="s">
        <v>1079</v>
      </c>
      <c r="B1455" s="27" t="s">
        <v>501</v>
      </c>
      <c r="C1455" s="28" t="n">
        <v>0</v>
      </c>
      <c r="D1455" s="28" t="n">
        <f aca="false">'○総括　5～6 (メモなし)'!M15</f>
        <v>0</v>
      </c>
      <c r="E1455" s="28" t="n">
        <f aca="false">D1455-N(C1455)</f>
        <v>0</v>
      </c>
      <c r="F1455" s="2" t="str">
        <f aca="false">IF(AND(C1455&lt;&gt;"",ROUND(E1455,2)=0),"一致",IF(G1455&lt;&gt;"","変更（意図的）","★相違"))</f>
        <v>一致</v>
      </c>
      <c r="G1455" s="2"/>
    </row>
    <row r="1456" customFormat="false" ht="15" hidden="false" customHeight="false" outlineLevel="0" collapsed="false">
      <c r="A1456" s="2" t="s">
        <v>1079</v>
      </c>
      <c r="B1456" s="27" t="s">
        <v>612</v>
      </c>
      <c r="C1456" s="28" t="n">
        <v>0</v>
      </c>
      <c r="D1456" s="28" t="n">
        <f aca="false">'○総括　5～6 (メモなし)'!P15</f>
        <v>0</v>
      </c>
      <c r="E1456" s="28" t="n">
        <f aca="false">D1456-N(C1456)</f>
        <v>0</v>
      </c>
      <c r="F1456" s="2" t="str">
        <f aca="false">IF(AND(C1456&lt;&gt;"",ROUND(E1456,2)=0),"一致",IF(G1456&lt;&gt;"","変更（意図的）","★相違"))</f>
        <v>一致</v>
      </c>
      <c r="G1456" s="2"/>
    </row>
    <row r="1457" customFormat="false" ht="15" hidden="false" customHeight="false" outlineLevel="0" collapsed="false">
      <c r="A1457" s="2" t="s">
        <v>1079</v>
      </c>
      <c r="B1457" s="27" t="s">
        <v>613</v>
      </c>
      <c r="C1457" s="28" t="n">
        <v>0</v>
      </c>
      <c r="D1457" s="28" t="n">
        <f aca="false">'○総括　5～6 (メモなし)'!S15</f>
        <v>0</v>
      </c>
      <c r="E1457" s="28" t="n">
        <f aca="false">D1457-N(C1457)</f>
        <v>0</v>
      </c>
      <c r="F1457" s="2" t="str">
        <f aca="false">IF(AND(C1457&lt;&gt;"",ROUND(E1457,2)=0),"一致",IF(G1457&lt;&gt;"","変更（意図的）","★相違"))</f>
        <v>一致</v>
      </c>
      <c r="G1457" s="2"/>
    </row>
    <row r="1458" customFormat="false" ht="15" hidden="false" customHeight="false" outlineLevel="0" collapsed="false">
      <c r="A1458" s="2" t="s">
        <v>1079</v>
      </c>
      <c r="B1458" s="27" t="s">
        <v>155</v>
      </c>
      <c r="C1458" s="28" t="n">
        <v>7979689</v>
      </c>
      <c r="D1458" s="28" t="n">
        <f aca="false">'○総括　5～6 (メモなし)'!E16</f>
        <v>7979689</v>
      </c>
      <c r="E1458" s="28" t="n">
        <f aca="false">D1458-N(C1458)</f>
        <v>0</v>
      </c>
      <c r="F1458" s="2" t="str">
        <f aca="false">IF(AND(C1458&lt;&gt;"",ROUND(E1458,2)=0),"一致",IF(G1458&lt;&gt;"","変更（意図的）","★相違"))</f>
        <v>一致</v>
      </c>
      <c r="G1458" s="2"/>
    </row>
    <row r="1459" customFormat="false" ht="15" hidden="false" customHeight="false" outlineLevel="0" collapsed="false">
      <c r="A1459" s="2" t="s">
        <v>1079</v>
      </c>
      <c r="B1459" s="27" t="s">
        <v>156</v>
      </c>
      <c r="C1459" s="28" t="n">
        <v>7979689</v>
      </c>
      <c r="D1459" s="28" t="n">
        <f aca="false">'○総括　5～6 (メモなし)'!G16</f>
        <v>7979689</v>
      </c>
      <c r="E1459" s="28" t="n">
        <f aca="false">D1459-N(C1459)</f>
        <v>0</v>
      </c>
      <c r="F1459" s="2" t="str">
        <f aca="false">IF(AND(C1459&lt;&gt;"",ROUND(E1459,2)=0),"一致",IF(G1459&lt;&gt;"","変更（意図的）","★相違"))</f>
        <v>一致</v>
      </c>
      <c r="G1459" s="2"/>
    </row>
    <row r="1460" customFormat="false" ht="15" hidden="false" customHeight="false" outlineLevel="0" collapsed="false">
      <c r="A1460" s="2" t="s">
        <v>1079</v>
      </c>
      <c r="B1460" s="27" t="s">
        <v>614</v>
      </c>
      <c r="C1460" s="28" t="n">
        <v>289600155</v>
      </c>
      <c r="D1460" s="28" t="n">
        <f aca="false">'○総括　5～6 (メモなし)'!H16</f>
        <v>289600155</v>
      </c>
      <c r="E1460" s="28" t="n">
        <f aca="false">D1460-N(C1460)</f>
        <v>0</v>
      </c>
      <c r="F1460" s="2" t="str">
        <f aca="false">IF(AND(C1460&lt;&gt;"",ROUND(E1460,2)=0),"一致",IF(G1460&lt;&gt;"","変更（意図的）","★相違"))</f>
        <v>一致</v>
      </c>
      <c r="G1460" s="2"/>
    </row>
    <row r="1461" customFormat="false" ht="15" hidden="false" customHeight="false" outlineLevel="0" collapsed="false">
      <c r="A1461" s="2" t="s">
        <v>1079</v>
      </c>
      <c r="B1461" s="27" t="s">
        <v>615</v>
      </c>
      <c r="C1461" s="28" t="n">
        <v>639077000</v>
      </c>
      <c r="D1461" s="28" t="n">
        <f aca="false">'○総括　5～6 (メモなし)'!I16</f>
        <v>639077000</v>
      </c>
      <c r="E1461" s="28" t="n">
        <f aca="false">D1461-N(C1461)</f>
        <v>0</v>
      </c>
      <c r="F1461" s="2" t="str">
        <f aca="false">IF(AND(C1461&lt;&gt;"",ROUND(E1461,2)=0),"一致",IF(G1461&lt;&gt;"","変更（意図的）","★相違"))</f>
        <v>一致</v>
      </c>
      <c r="G1461" s="2"/>
    </row>
    <row r="1462" customFormat="false" ht="15" hidden="false" customHeight="false" outlineLevel="0" collapsed="false">
      <c r="A1462" s="2" t="s">
        <v>1079</v>
      </c>
      <c r="B1462" s="27" t="s">
        <v>616</v>
      </c>
      <c r="C1462" s="28" t="n">
        <v>-349476845</v>
      </c>
      <c r="D1462" s="28" t="n">
        <f aca="false">'○総括　5～6 (メモなし)'!J16</f>
        <v>-349476845</v>
      </c>
      <c r="E1462" s="28" t="n">
        <f aca="false">D1462-N(C1462)</f>
        <v>0</v>
      </c>
      <c r="F1462" s="2" t="str">
        <f aca="false">IF(AND(C1462&lt;&gt;"",ROUND(E1462,2)=0),"一致",IF(G1462&lt;&gt;"","変更（意図的）","★相違"))</f>
        <v>一致</v>
      </c>
      <c r="G1462" s="2"/>
    </row>
    <row r="1463" customFormat="false" ht="15" hidden="false" customHeight="false" outlineLevel="0" collapsed="false">
      <c r="A1463" s="2" t="s">
        <v>1079</v>
      </c>
      <c r="B1463" s="27" t="s">
        <v>506</v>
      </c>
      <c r="C1463" s="28" t="n">
        <v>0</v>
      </c>
      <c r="D1463" s="28" t="n">
        <f aca="false">'○総括　5～6 (メモなし)'!M16</f>
        <v>0</v>
      </c>
      <c r="E1463" s="28" t="n">
        <f aca="false">D1463-N(C1463)</f>
        <v>0</v>
      </c>
      <c r="F1463" s="2" t="str">
        <f aca="false">IF(AND(C1463&lt;&gt;"",ROUND(E1463,2)=0),"一致",IF(G1463&lt;&gt;"","変更（意図的）","★相違"))</f>
        <v>一致</v>
      </c>
      <c r="G1463" s="2"/>
    </row>
    <row r="1464" customFormat="false" ht="15" hidden="false" customHeight="false" outlineLevel="0" collapsed="false">
      <c r="A1464" s="2" t="s">
        <v>1079</v>
      </c>
      <c r="B1464" s="27" t="s">
        <v>617</v>
      </c>
      <c r="C1464" s="28" t="n">
        <v>0</v>
      </c>
      <c r="D1464" s="28" t="n">
        <f aca="false">'○総括　5～6 (メモなし)'!P16</f>
        <v>0</v>
      </c>
      <c r="E1464" s="28" t="n">
        <f aca="false">D1464-N(C1464)</f>
        <v>0</v>
      </c>
      <c r="F1464" s="2" t="str">
        <f aca="false">IF(AND(C1464&lt;&gt;"",ROUND(E1464,2)=0),"一致",IF(G1464&lt;&gt;"","変更（意図的）","★相違"))</f>
        <v>一致</v>
      </c>
      <c r="G1464" s="2"/>
    </row>
    <row r="1465" customFormat="false" ht="15" hidden="false" customHeight="false" outlineLevel="0" collapsed="false">
      <c r="A1465" s="2" t="s">
        <v>1079</v>
      </c>
      <c r="B1465" s="27" t="s">
        <v>618</v>
      </c>
      <c r="C1465" s="28" t="n">
        <v>0</v>
      </c>
      <c r="D1465" s="28" t="n">
        <f aca="false">'○総括　5～6 (メモなし)'!S16</f>
        <v>0</v>
      </c>
      <c r="E1465" s="28" t="n">
        <f aca="false">D1465-N(C1465)</f>
        <v>0</v>
      </c>
      <c r="F1465" s="2" t="str">
        <f aca="false">IF(AND(C1465&lt;&gt;"",ROUND(E1465,2)=0),"一致",IF(G1465&lt;&gt;"","変更（意図的）","★相違"))</f>
        <v>一致</v>
      </c>
      <c r="G1465" s="2"/>
    </row>
    <row r="1466" customFormat="false" ht="15" hidden="false" customHeight="false" outlineLevel="0" collapsed="false">
      <c r="A1466" s="2" t="s">
        <v>1079</v>
      </c>
      <c r="B1466" s="27" t="s">
        <v>158</v>
      </c>
      <c r="C1466" s="28" t="n">
        <v>0</v>
      </c>
      <c r="D1466" s="28" t="n">
        <f aca="false">'○総括　5～6 (メモなし)'!G17</f>
        <v>0</v>
      </c>
      <c r="E1466" s="28" t="n">
        <f aca="false">D1466-N(C1466)</f>
        <v>0</v>
      </c>
      <c r="F1466" s="2" t="str">
        <f aca="false">IF(AND(C1466&lt;&gt;"",ROUND(E1466,2)=0),"一致",IF(G1466&lt;&gt;"","変更（意図的）","★相違"))</f>
        <v>一致</v>
      </c>
      <c r="G1466" s="2"/>
    </row>
    <row r="1467" customFormat="false" ht="15" hidden="false" customHeight="false" outlineLevel="0" collapsed="false">
      <c r="A1467" s="2" t="s">
        <v>1079</v>
      </c>
      <c r="B1467" s="27" t="s">
        <v>511</v>
      </c>
      <c r="C1467" s="28" t="n">
        <v>0</v>
      </c>
      <c r="D1467" s="28" t="n">
        <f aca="false">'○総括　5～6 (メモなし)'!M17</f>
        <v>0</v>
      </c>
      <c r="E1467" s="28" t="n">
        <f aca="false">D1467-N(C1467)</f>
        <v>0</v>
      </c>
      <c r="F1467" s="2" t="str">
        <f aca="false">IF(AND(C1467&lt;&gt;"",ROUND(E1467,2)=0),"一致",IF(G1467&lt;&gt;"","変更（意図的）","★相違"))</f>
        <v>一致</v>
      </c>
      <c r="G1467" s="2"/>
    </row>
    <row r="1468" customFormat="false" ht="15" hidden="false" customHeight="false" outlineLevel="0" collapsed="false">
      <c r="A1468" s="2" t="s">
        <v>1079</v>
      </c>
      <c r="B1468" s="27" t="s">
        <v>619</v>
      </c>
      <c r="C1468" s="28" t="n">
        <v>0</v>
      </c>
      <c r="D1468" s="28" t="n">
        <f aca="false">'○総括　5～6 (メモなし)'!N17</f>
        <v>0</v>
      </c>
      <c r="E1468" s="28" t="n">
        <f aca="false">D1468-N(C1468)</f>
        <v>0</v>
      </c>
      <c r="F1468" s="2" t="str">
        <f aca="false">IF(AND(C1468&lt;&gt;"",ROUND(E1468,2)=0),"一致",IF(G1468&lt;&gt;"","変更（意図的）","★相違"))</f>
        <v>一致</v>
      </c>
      <c r="G1468" s="2"/>
    </row>
    <row r="1469" customFormat="false" ht="15" hidden="false" customHeight="false" outlineLevel="0" collapsed="false">
      <c r="A1469" s="2" t="s">
        <v>1079</v>
      </c>
      <c r="B1469" s="27" t="s">
        <v>620</v>
      </c>
      <c r="C1469" s="28" t="n">
        <v>1334956</v>
      </c>
      <c r="D1469" s="28" t="n">
        <f aca="false">'○総括　5～6 (メモなし)'!O17</f>
        <v>1334956</v>
      </c>
      <c r="E1469" s="28" t="n">
        <f aca="false">D1469-N(C1469)</f>
        <v>0</v>
      </c>
      <c r="F1469" s="2" t="str">
        <f aca="false">IF(AND(C1469&lt;&gt;"",ROUND(E1469,2)=0),"一致",IF(G1469&lt;&gt;"","変更（意図的）","★相違"))</f>
        <v>一致</v>
      </c>
      <c r="G1469" s="2"/>
    </row>
    <row r="1470" customFormat="false" ht="15" hidden="false" customHeight="false" outlineLevel="0" collapsed="false">
      <c r="A1470" s="2" t="s">
        <v>1079</v>
      </c>
      <c r="B1470" s="27" t="s">
        <v>621</v>
      </c>
      <c r="C1470" s="28" t="n">
        <v>-1334956</v>
      </c>
      <c r="D1470" s="28" t="n">
        <f aca="false">'○総括　5～6 (メモなし)'!P17</f>
        <v>-1334956</v>
      </c>
      <c r="E1470" s="28" t="n">
        <f aca="false">D1470-N(C1470)</f>
        <v>0</v>
      </c>
      <c r="F1470" s="2" t="str">
        <f aca="false">IF(AND(C1470&lt;&gt;"",ROUND(E1470,2)=0),"一致",IF(G1470&lt;&gt;"","変更（意図的）","★相違"))</f>
        <v>一致</v>
      </c>
      <c r="G1470" s="2"/>
    </row>
    <row r="1471" customFormat="false" ht="15" hidden="false" customHeight="false" outlineLevel="0" collapsed="false">
      <c r="A1471" s="2" t="s">
        <v>1079</v>
      </c>
      <c r="B1471" s="27" t="s">
        <v>622</v>
      </c>
      <c r="C1471" s="28" t="n">
        <v>0</v>
      </c>
      <c r="D1471" s="28" t="n">
        <f aca="false">'○総括　5～6 (メモなし)'!S17</f>
        <v>0</v>
      </c>
      <c r="E1471" s="28" t="n">
        <f aca="false">D1471-N(C1471)</f>
        <v>0</v>
      </c>
      <c r="F1471" s="2" t="str">
        <f aca="false">IF(AND(C1471&lt;&gt;"",ROUND(E1471,2)=0),"一致",IF(G1471&lt;&gt;"","変更（意図的）","★相違"))</f>
        <v>一致</v>
      </c>
      <c r="G1471" s="2"/>
    </row>
    <row r="1472" customFormat="false" ht="15" hidden="false" customHeight="false" outlineLevel="0" collapsed="false">
      <c r="A1472" s="2" t="s">
        <v>1079</v>
      </c>
      <c r="B1472" s="27" t="s">
        <v>159</v>
      </c>
      <c r="C1472" s="28" t="n">
        <v>211390</v>
      </c>
      <c r="D1472" s="28" t="n">
        <f aca="false">'○総括　5～6 (メモなし)'!E18</f>
        <v>211390</v>
      </c>
      <c r="E1472" s="28" t="n">
        <f aca="false">D1472-N(C1472)</f>
        <v>0</v>
      </c>
      <c r="F1472" s="2" t="str">
        <f aca="false">IF(AND(C1472&lt;&gt;"",ROUND(E1472,2)=0),"一致",IF(G1472&lt;&gt;"","変更（意図的）","★相違"))</f>
        <v>一致</v>
      </c>
      <c r="G1472" s="2"/>
    </row>
    <row r="1473" customFormat="false" ht="15" hidden="false" customHeight="false" outlineLevel="0" collapsed="false">
      <c r="A1473" s="2" t="s">
        <v>1079</v>
      </c>
      <c r="B1473" s="27" t="s">
        <v>623</v>
      </c>
      <c r="C1473" s="28" t="n">
        <v>1374137</v>
      </c>
      <c r="D1473" s="28" t="n">
        <f aca="false">'○総括　5～6 (メモなし)'!F18</f>
        <v>1374137</v>
      </c>
      <c r="E1473" s="28" t="n">
        <f aca="false">D1473-N(C1473)</f>
        <v>0</v>
      </c>
      <c r="F1473" s="2" t="str">
        <f aca="false">IF(AND(C1473&lt;&gt;"",ROUND(E1473,2)=0),"一致",IF(G1473&lt;&gt;"","変更（意図的）","★相違"))</f>
        <v>一致</v>
      </c>
      <c r="G1473" s="2"/>
    </row>
    <row r="1474" customFormat="false" ht="15" hidden="false" customHeight="false" outlineLevel="0" collapsed="false">
      <c r="A1474" s="2" t="s">
        <v>1079</v>
      </c>
      <c r="B1474" s="27" t="s">
        <v>624</v>
      </c>
      <c r="C1474" s="28" t="n">
        <v>-1162747</v>
      </c>
      <c r="D1474" s="28" t="n">
        <f aca="false">'○総括　5～6 (メモなし)'!G18</f>
        <v>-1162747</v>
      </c>
      <c r="E1474" s="28" t="n">
        <f aca="false">D1474-N(C1474)</f>
        <v>0</v>
      </c>
      <c r="F1474" s="2" t="str">
        <f aca="false">IF(AND(C1474&lt;&gt;"",ROUND(E1474,2)=0),"一致",IF(G1474&lt;&gt;"","変更（意図的）","★相違"))</f>
        <v>一致</v>
      </c>
      <c r="G1474" s="2"/>
    </row>
    <row r="1475" customFormat="false" ht="15" hidden="false" customHeight="false" outlineLevel="0" collapsed="false">
      <c r="A1475" s="2" t="s">
        <v>1079</v>
      </c>
      <c r="B1475" s="27" t="s">
        <v>625</v>
      </c>
      <c r="C1475" s="28" t="n">
        <v>69345</v>
      </c>
      <c r="D1475" s="28" t="n">
        <f aca="false">'○総括　5～6 (メモなし)'!K18</f>
        <v>69345</v>
      </c>
      <c r="E1475" s="28" t="n">
        <f aca="false">D1475-N(C1475)</f>
        <v>0</v>
      </c>
      <c r="F1475" s="2" t="str">
        <f aca="false">IF(AND(C1475&lt;&gt;"",ROUND(E1475,2)=0),"一致",IF(G1475&lt;&gt;"","変更（意図的）","★相違"))</f>
        <v>一致</v>
      </c>
      <c r="G1475" s="2"/>
    </row>
    <row r="1476" customFormat="false" ht="15" hidden="false" customHeight="false" outlineLevel="0" collapsed="false">
      <c r="A1476" s="2" t="s">
        <v>1079</v>
      </c>
      <c r="B1476" s="27" t="s">
        <v>626</v>
      </c>
      <c r="C1476" s="28" t="n">
        <v>67154</v>
      </c>
      <c r="D1476" s="28" t="n">
        <f aca="false">'○総括　5～6 (メモなし)'!L18</f>
        <v>67154</v>
      </c>
      <c r="E1476" s="28" t="n">
        <f aca="false">D1476-N(C1476)</f>
        <v>0</v>
      </c>
      <c r="F1476" s="2" t="str">
        <f aca="false">IF(AND(C1476&lt;&gt;"",ROUND(E1476,2)=0),"一致",IF(G1476&lt;&gt;"","変更（意図的）","★相違"))</f>
        <v>一致</v>
      </c>
      <c r="G1476" s="2"/>
    </row>
    <row r="1477" customFormat="false" ht="15" hidden="false" customHeight="false" outlineLevel="0" collapsed="false">
      <c r="A1477" s="2" t="s">
        <v>1079</v>
      </c>
      <c r="B1477" s="27" t="s">
        <v>627</v>
      </c>
      <c r="C1477" s="28" t="n">
        <v>2191</v>
      </c>
      <c r="D1477" s="28" t="n">
        <f aca="false">'○総括　5～6 (メモなし)'!M18</f>
        <v>2191</v>
      </c>
      <c r="E1477" s="28" t="n">
        <f aca="false">D1477-N(C1477)</f>
        <v>0</v>
      </c>
      <c r="F1477" s="2" t="str">
        <f aca="false">IF(AND(C1477&lt;&gt;"",ROUND(E1477,2)=0),"一致",IF(G1477&lt;&gt;"","変更（意図的）","★相違"))</f>
        <v>一致</v>
      </c>
      <c r="G1477" s="2"/>
    </row>
    <row r="1478" customFormat="false" ht="15" hidden="false" customHeight="false" outlineLevel="0" collapsed="false">
      <c r="A1478" s="2" t="s">
        <v>1079</v>
      </c>
      <c r="B1478" s="27" t="s">
        <v>628</v>
      </c>
      <c r="C1478" s="28" t="n">
        <v>0</v>
      </c>
      <c r="D1478" s="28" t="n">
        <f aca="false">'○総括　5～6 (メモなし)'!P18</f>
        <v>0</v>
      </c>
      <c r="E1478" s="28" t="n">
        <f aca="false">D1478-N(C1478)</f>
        <v>0</v>
      </c>
      <c r="F1478" s="2" t="str">
        <f aca="false">IF(AND(C1478&lt;&gt;"",ROUND(E1478,2)=0),"一致",IF(G1478&lt;&gt;"","変更（意図的）","★相違"))</f>
        <v>一致</v>
      </c>
      <c r="G1478" s="2"/>
    </row>
    <row r="1479" customFormat="false" ht="15" hidden="false" customHeight="false" outlineLevel="0" collapsed="false">
      <c r="A1479" s="2" t="s">
        <v>1079</v>
      </c>
      <c r="B1479" s="27" t="s">
        <v>629</v>
      </c>
      <c r="C1479" s="28" t="n">
        <v>0</v>
      </c>
      <c r="D1479" s="28" t="n">
        <f aca="false">'○総括　5～6 (メモなし)'!S18</f>
        <v>0</v>
      </c>
      <c r="E1479" s="28" t="n">
        <f aca="false">D1479-N(C1479)</f>
        <v>0</v>
      </c>
      <c r="F1479" s="2" t="str">
        <f aca="false">IF(AND(C1479&lt;&gt;"",ROUND(E1479,2)=0),"一致",IF(G1479&lt;&gt;"","変更（意図的）","★相違"))</f>
        <v>一致</v>
      </c>
      <c r="G1479" s="2"/>
    </row>
    <row r="1480" customFormat="false" ht="15" hidden="false" customHeight="false" outlineLevel="0" collapsed="false">
      <c r="A1480" s="2" t="s">
        <v>1079</v>
      </c>
      <c r="B1480" s="27" t="s">
        <v>163</v>
      </c>
      <c r="C1480" s="28" t="n">
        <v>0</v>
      </c>
      <c r="D1480" s="28" t="n">
        <f aca="false">'○総括　5～6 (メモなし)'!G19</f>
        <v>0</v>
      </c>
      <c r="E1480" s="28" t="n">
        <f aca="false">D1480-N(C1480)</f>
        <v>0</v>
      </c>
      <c r="F1480" s="2" t="str">
        <f aca="false">IF(AND(C1480&lt;&gt;"",ROUND(E1480,2)=0),"一致",IF(G1480&lt;&gt;"","変更（意図的）","★相違"))</f>
        <v>一致</v>
      </c>
      <c r="G1480" s="2"/>
    </row>
    <row r="1481" customFormat="false" ht="15" hidden="false" customHeight="false" outlineLevel="0" collapsed="false">
      <c r="A1481" s="2" t="s">
        <v>1079</v>
      </c>
      <c r="B1481" s="27" t="s">
        <v>630</v>
      </c>
      <c r="C1481" s="28" t="n">
        <v>20856594</v>
      </c>
      <c r="D1481" s="28" t="n">
        <f aca="false">'○総括　5～6 (メモなし)'!K19</f>
        <v>20856594</v>
      </c>
      <c r="E1481" s="28" t="n">
        <f aca="false">D1481-N(C1481)</f>
        <v>0</v>
      </c>
      <c r="F1481" s="2" t="str">
        <f aca="false">IF(AND(C1481&lt;&gt;"",ROUND(E1481,2)=0),"一致",IF(G1481&lt;&gt;"","変更（意図的）","★相違"))</f>
        <v>一致</v>
      </c>
      <c r="G1481" s="2"/>
    </row>
    <row r="1482" customFormat="false" ht="15" hidden="false" customHeight="false" outlineLevel="0" collapsed="false">
      <c r="A1482" s="2" t="s">
        <v>1079</v>
      </c>
      <c r="B1482" s="27" t="s">
        <v>631</v>
      </c>
      <c r="C1482" s="28" t="n">
        <v>20847288</v>
      </c>
      <c r="D1482" s="28" t="n">
        <f aca="false">'○総括　5～6 (メモなし)'!L19</f>
        <v>20847288</v>
      </c>
      <c r="E1482" s="28" t="n">
        <f aca="false">D1482-N(C1482)</f>
        <v>0</v>
      </c>
      <c r="F1482" s="2" t="str">
        <f aca="false">IF(AND(C1482&lt;&gt;"",ROUND(E1482,2)=0),"一致",IF(G1482&lt;&gt;"","変更（意図的）","★相違"))</f>
        <v>一致</v>
      </c>
      <c r="G1482" s="2"/>
    </row>
    <row r="1483" customFormat="false" ht="15" hidden="false" customHeight="false" outlineLevel="0" collapsed="false">
      <c r="A1483" s="2" t="s">
        <v>1079</v>
      </c>
      <c r="B1483" s="27" t="s">
        <v>518</v>
      </c>
      <c r="C1483" s="28" t="n">
        <v>9306</v>
      </c>
      <c r="D1483" s="28" t="n">
        <f aca="false">'○総括　5～6 (メモなし)'!M19</f>
        <v>9306</v>
      </c>
      <c r="E1483" s="28" t="n">
        <f aca="false">D1483-N(C1483)</f>
        <v>0</v>
      </c>
      <c r="F1483" s="2" t="str">
        <f aca="false">IF(AND(C1483&lt;&gt;"",ROUND(E1483,2)=0),"一致",IF(G1483&lt;&gt;"","変更（意図的）","★相違"))</f>
        <v>一致</v>
      </c>
      <c r="G1483" s="2"/>
    </row>
    <row r="1484" customFormat="false" ht="15" hidden="false" customHeight="false" outlineLevel="0" collapsed="false">
      <c r="A1484" s="2" t="s">
        <v>1079</v>
      </c>
      <c r="B1484" s="27" t="s">
        <v>632</v>
      </c>
      <c r="C1484" s="28" t="n">
        <v>0</v>
      </c>
      <c r="D1484" s="28" t="n">
        <f aca="false">'○総括　5～6 (メモなし)'!P19</f>
        <v>0</v>
      </c>
      <c r="E1484" s="28" t="n">
        <f aca="false">D1484-N(C1484)</f>
        <v>0</v>
      </c>
      <c r="F1484" s="2" t="str">
        <f aca="false">IF(AND(C1484&lt;&gt;"",ROUND(E1484,2)=0),"一致",IF(G1484&lt;&gt;"","変更（意図的）","★相違"))</f>
        <v>一致</v>
      </c>
      <c r="G1484" s="2"/>
    </row>
    <row r="1485" customFormat="false" ht="15" hidden="false" customHeight="false" outlineLevel="0" collapsed="false">
      <c r="A1485" s="2" t="s">
        <v>1079</v>
      </c>
      <c r="B1485" s="27" t="s">
        <v>900</v>
      </c>
      <c r="C1485" s="28" t="n">
        <v>44000</v>
      </c>
      <c r="D1485" s="28" t="n">
        <f aca="false">'○総括　5～6 (メモなし)'!Q19</f>
        <v>44000</v>
      </c>
      <c r="E1485" s="28" t="n">
        <f aca="false">D1485-N(C1485)</f>
        <v>0</v>
      </c>
      <c r="F1485" s="2" t="str">
        <f aca="false">IF(AND(C1485&lt;&gt;"",ROUND(E1485,2)=0),"一致",IF(G1485&lt;&gt;"","変更（意図的）","★相違"))</f>
        <v>一致</v>
      </c>
      <c r="G1485" s="2"/>
    </row>
    <row r="1486" customFormat="false" ht="15" hidden="false" customHeight="false" outlineLevel="0" collapsed="false">
      <c r="A1486" s="2" t="s">
        <v>1079</v>
      </c>
      <c r="B1486" s="27" t="s">
        <v>633</v>
      </c>
      <c r="C1486" s="28" t="n">
        <v>53000</v>
      </c>
      <c r="D1486" s="28" t="n">
        <f aca="false">'○総括　5～6 (メモなし)'!R19</f>
        <v>53000</v>
      </c>
      <c r="E1486" s="28" t="n">
        <f aca="false">D1486-N(C1486)</f>
        <v>0</v>
      </c>
      <c r="F1486" s="2" t="str">
        <f aca="false">IF(AND(C1486&lt;&gt;"",ROUND(E1486,2)=0),"一致",IF(G1486&lt;&gt;"","変更（意図的）","★相違"))</f>
        <v>一致</v>
      </c>
      <c r="G1486" s="2"/>
    </row>
    <row r="1487" customFormat="false" ht="15" hidden="false" customHeight="false" outlineLevel="0" collapsed="false">
      <c r="A1487" s="2" t="s">
        <v>1079</v>
      </c>
      <c r="B1487" s="27" t="s">
        <v>634</v>
      </c>
      <c r="C1487" s="28" t="n">
        <v>-9000</v>
      </c>
      <c r="D1487" s="28" t="n">
        <f aca="false">'○総括　5～6 (メモなし)'!S19</f>
        <v>-9000</v>
      </c>
      <c r="E1487" s="28" t="n">
        <f aca="false">D1487-N(C1487)</f>
        <v>0</v>
      </c>
      <c r="F1487" s="2" t="str">
        <f aca="false">IF(AND(C1487&lt;&gt;"",ROUND(E1487,2)=0),"一致",IF(G1487&lt;&gt;"","変更（意図的）","★相違"))</f>
        <v>一致</v>
      </c>
      <c r="G1487" s="2"/>
    </row>
    <row r="1488" customFormat="false" ht="15" hidden="false" customHeight="false" outlineLevel="0" collapsed="false">
      <c r="A1488" s="2" t="s">
        <v>1079</v>
      </c>
      <c r="B1488" s="27" t="s">
        <v>169</v>
      </c>
      <c r="C1488" s="28" t="n">
        <v>0</v>
      </c>
      <c r="D1488" s="28" t="n">
        <f aca="false">'○総括　5～6 (メモなし)'!G20</f>
        <v>0</v>
      </c>
      <c r="E1488" s="28" t="n">
        <f aca="false">D1488-N(C1488)</f>
        <v>0</v>
      </c>
      <c r="F1488" s="2" t="str">
        <f aca="false">IF(AND(C1488&lt;&gt;"",ROUND(E1488,2)=0),"一致",IF(G1488&lt;&gt;"","変更（意図的）","★相違"))</f>
        <v>一致</v>
      </c>
      <c r="G1488" s="2"/>
    </row>
    <row r="1489" customFormat="false" ht="15" hidden="false" customHeight="false" outlineLevel="0" collapsed="false">
      <c r="A1489" s="2" t="s">
        <v>1079</v>
      </c>
      <c r="B1489" s="27" t="s">
        <v>635</v>
      </c>
      <c r="C1489" s="28" t="n">
        <v>11648520</v>
      </c>
      <c r="D1489" s="28" t="n">
        <f aca="false">'○総括　5～6 (メモなし)'!K20</f>
        <v>11648520</v>
      </c>
      <c r="E1489" s="28" t="n">
        <f aca="false">D1489-N(C1489)</f>
        <v>0</v>
      </c>
      <c r="F1489" s="2" t="str">
        <f aca="false">IF(AND(C1489&lt;&gt;"",ROUND(E1489,2)=0),"一致",IF(G1489&lt;&gt;"","変更（意図的）","★相違"))</f>
        <v>一致</v>
      </c>
      <c r="G1489" s="2"/>
    </row>
    <row r="1490" customFormat="false" ht="15" hidden="false" customHeight="false" outlineLevel="0" collapsed="false">
      <c r="A1490" s="2" t="s">
        <v>1079</v>
      </c>
      <c r="B1490" s="27" t="s">
        <v>636</v>
      </c>
      <c r="C1490" s="28" t="n">
        <v>8154087</v>
      </c>
      <c r="D1490" s="28" t="n">
        <f aca="false">'○総括　5～6 (メモなし)'!L20</f>
        <v>8154087</v>
      </c>
      <c r="E1490" s="28" t="n">
        <f aca="false">D1490-N(C1490)</f>
        <v>0</v>
      </c>
      <c r="F1490" s="2" t="str">
        <f aca="false">IF(AND(C1490&lt;&gt;"",ROUND(E1490,2)=0),"一致",IF(G1490&lt;&gt;"","変更（意図的）","★相違"))</f>
        <v>一致</v>
      </c>
      <c r="G1490" s="2"/>
    </row>
    <row r="1491" customFormat="false" ht="15" hidden="false" customHeight="false" outlineLevel="0" collapsed="false">
      <c r="A1491" s="2" t="s">
        <v>1079</v>
      </c>
      <c r="B1491" s="27" t="s">
        <v>523</v>
      </c>
      <c r="C1491" s="28" t="n">
        <v>3494433</v>
      </c>
      <c r="D1491" s="28" t="n">
        <f aca="false">'○総括　5～6 (メモなし)'!M20</f>
        <v>3494433</v>
      </c>
      <c r="E1491" s="28" t="n">
        <f aca="false">D1491-N(C1491)</f>
        <v>0</v>
      </c>
      <c r="F1491" s="2" t="str">
        <f aca="false">IF(AND(C1491&lt;&gt;"",ROUND(E1491,2)=0),"一致",IF(G1491&lt;&gt;"","変更（意図的）","★相違"))</f>
        <v>一致</v>
      </c>
      <c r="G1491" s="2"/>
    </row>
    <row r="1492" customFormat="false" ht="15" hidden="false" customHeight="false" outlineLevel="0" collapsed="false">
      <c r="A1492" s="2" t="s">
        <v>1079</v>
      </c>
      <c r="B1492" s="27" t="s">
        <v>637</v>
      </c>
      <c r="C1492" s="28" t="n">
        <v>0</v>
      </c>
      <c r="D1492" s="28" t="n">
        <f aca="false">'○総括　5～6 (メモなし)'!P20</f>
        <v>0</v>
      </c>
      <c r="E1492" s="28" t="n">
        <f aca="false">D1492-N(C1492)</f>
        <v>0</v>
      </c>
      <c r="F1492" s="2" t="str">
        <f aca="false">IF(AND(C1492&lt;&gt;"",ROUND(E1492,2)=0),"一致",IF(G1492&lt;&gt;"","変更（意図的）","★相違"))</f>
        <v>一致</v>
      </c>
      <c r="G1492" s="2"/>
    </row>
    <row r="1493" customFormat="false" ht="15" hidden="false" customHeight="false" outlineLevel="0" collapsed="false">
      <c r="A1493" s="2" t="s">
        <v>1079</v>
      </c>
      <c r="B1493" s="27" t="s">
        <v>638</v>
      </c>
      <c r="C1493" s="28" t="n">
        <v>0</v>
      </c>
      <c r="D1493" s="28" t="n">
        <f aca="false">'○総括　5～6 (メモなし)'!S20</f>
        <v>0</v>
      </c>
      <c r="E1493" s="28" t="n">
        <f aca="false">D1493-N(C1493)</f>
        <v>0</v>
      </c>
      <c r="F1493" s="2" t="str">
        <f aca="false">IF(AND(C1493&lt;&gt;"",ROUND(E1493,2)=0),"一致",IF(G1493&lt;&gt;"","変更（意図的）","★相違"))</f>
        <v>一致</v>
      </c>
      <c r="G1493" s="2"/>
    </row>
    <row r="1494" customFormat="false" ht="15" hidden="false" customHeight="false" outlineLevel="0" collapsed="false">
      <c r="A1494" s="2" t="s">
        <v>1079</v>
      </c>
      <c r="B1494" s="27" t="s">
        <v>639</v>
      </c>
      <c r="C1494" s="28" t="n">
        <v>0</v>
      </c>
      <c r="D1494" s="28" t="n">
        <f aca="false">'○総括　5～6 (メモなし)'!G21</f>
        <v>0</v>
      </c>
      <c r="E1494" s="28" t="n">
        <f aca="false">D1494-N(C1494)</f>
        <v>0</v>
      </c>
      <c r="F1494" s="2" t="str">
        <f aca="false">IF(AND(C1494&lt;&gt;"",ROUND(E1494,2)=0),"一致",IF(G1494&lt;&gt;"","変更（意図的）","★相違"))</f>
        <v>一致</v>
      </c>
      <c r="G1494" s="2"/>
    </row>
    <row r="1495" customFormat="false" ht="15" hidden="false" customHeight="false" outlineLevel="0" collapsed="false">
      <c r="A1495" s="2" t="s">
        <v>1079</v>
      </c>
      <c r="B1495" s="27" t="s">
        <v>528</v>
      </c>
      <c r="C1495" s="28" t="n">
        <v>0</v>
      </c>
      <c r="D1495" s="28" t="n">
        <f aca="false">'○総括　5～6 (メモなし)'!M21</f>
        <v>0</v>
      </c>
      <c r="E1495" s="28" t="n">
        <f aca="false">D1495-N(C1495)</f>
        <v>0</v>
      </c>
      <c r="F1495" s="2" t="str">
        <f aca="false">IF(AND(C1495&lt;&gt;"",ROUND(E1495,2)=0),"一致",IF(G1495&lt;&gt;"","変更（意図的）","★相違"))</f>
        <v>一致</v>
      </c>
      <c r="G1495" s="2"/>
    </row>
    <row r="1496" customFormat="false" ht="15" hidden="false" customHeight="false" outlineLevel="0" collapsed="false">
      <c r="A1496" s="2" t="s">
        <v>1079</v>
      </c>
      <c r="B1496" s="27" t="s">
        <v>640</v>
      </c>
      <c r="C1496" s="28" t="n">
        <v>0</v>
      </c>
      <c r="D1496" s="28" t="n">
        <f aca="false">'○総括　5～6 (メモなし)'!P21</f>
        <v>0</v>
      </c>
      <c r="E1496" s="28" t="n">
        <f aca="false">D1496-N(C1496)</f>
        <v>0</v>
      </c>
      <c r="F1496" s="2" t="str">
        <f aca="false">IF(AND(C1496&lt;&gt;"",ROUND(E1496,2)=0),"一致",IF(G1496&lt;&gt;"","変更（意図的）","★相違"))</f>
        <v>一致</v>
      </c>
      <c r="G1496" s="2"/>
    </row>
    <row r="1497" customFormat="false" ht="15" hidden="false" customHeight="false" outlineLevel="0" collapsed="false">
      <c r="A1497" s="2" t="s">
        <v>1079</v>
      </c>
      <c r="B1497" s="27" t="s">
        <v>641</v>
      </c>
      <c r="C1497" s="28" t="n">
        <v>0</v>
      </c>
      <c r="D1497" s="28" t="n">
        <f aca="false">'○総括　5～6 (メモなし)'!S21</f>
        <v>0</v>
      </c>
      <c r="E1497" s="28" t="n">
        <f aca="false">D1497-N(C1497)</f>
        <v>0</v>
      </c>
      <c r="F1497" s="2" t="str">
        <f aca="false">IF(AND(C1497&lt;&gt;"",ROUND(E1497,2)=0),"一致",IF(G1497&lt;&gt;"","変更（意図的）","★相違"))</f>
        <v>一致</v>
      </c>
      <c r="G1497" s="2"/>
    </row>
    <row r="1498" customFormat="false" ht="15" hidden="false" customHeight="false" outlineLevel="0" collapsed="false">
      <c r="A1498" s="2" t="s">
        <v>1079</v>
      </c>
      <c r="B1498" s="27" t="s">
        <v>642</v>
      </c>
      <c r="C1498" s="28" t="n">
        <v>0</v>
      </c>
      <c r="D1498" s="28" t="n">
        <f aca="false">'○総括　5～6 (メモなし)'!G22</f>
        <v>0</v>
      </c>
      <c r="E1498" s="28" t="n">
        <f aca="false">D1498-N(C1498)</f>
        <v>0</v>
      </c>
      <c r="F1498" s="2" t="str">
        <f aca="false">IF(AND(C1498&lt;&gt;"",ROUND(E1498,2)=0),"一致",IF(G1498&lt;&gt;"","変更（意図的）","★相違"))</f>
        <v>一致</v>
      </c>
      <c r="G1498" s="2"/>
    </row>
    <row r="1499" customFormat="false" ht="15" hidden="false" customHeight="false" outlineLevel="0" collapsed="false">
      <c r="A1499" s="2" t="s">
        <v>1079</v>
      </c>
      <c r="B1499" s="27" t="s">
        <v>643</v>
      </c>
      <c r="C1499" s="28" t="n">
        <v>0</v>
      </c>
      <c r="D1499" s="28" t="n">
        <f aca="false">'○総括　5～6 (メモなし)'!M22</f>
        <v>0</v>
      </c>
      <c r="E1499" s="28" t="n">
        <f aca="false">D1499-N(C1499)</f>
        <v>0</v>
      </c>
      <c r="F1499" s="2" t="str">
        <f aca="false">IF(AND(C1499&lt;&gt;"",ROUND(E1499,2)=0),"一致",IF(G1499&lt;&gt;"","変更（意図的）","★相違"))</f>
        <v>一致</v>
      </c>
      <c r="G1499" s="2"/>
    </row>
    <row r="1500" customFormat="false" ht="15" hidden="false" customHeight="false" outlineLevel="0" collapsed="false">
      <c r="A1500" s="2" t="s">
        <v>1079</v>
      </c>
      <c r="B1500" s="27" t="s">
        <v>644</v>
      </c>
      <c r="C1500" s="28" t="n">
        <v>0</v>
      </c>
      <c r="D1500" s="28" t="n">
        <f aca="false">'○総括　5～6 (メモなし)'!P22</f>
        <v>0</v>
      </c>
      <c r="E1500" s="28" t="n">
        <f aca="false">D1500-N(C1500)</f>
        <v>0</v>
      </c>
      <c r="F1500" s="2" t="str">
        <f aca="false">IF(AND(C1500&lt;&gt;"",ROUND(E1500,2)=0),"一致",IF(G1500&lt;&gt;"","変更（意図的）","★相違"))</f>
        <v>一致</v>
      </c>
      <c r="G1500" s="2"/>
    </row>
    <row r="1501" customFormat="false" ht="15" hidden="false" customHeight="false" outlineLevel="0" collapsed="false">
      <c r="A1501" s="2" t="s">
        <v>1079</v>
      </c>
      <c r="B1501" s="27" t="s">
        <v>919</v>
      </c>
      <c r="C1501" s="28" t="n">
        <v>12712000</v>
      </c>
      <c r="D1501" s="28" t="n">
        <f aca="false">'○総括　5～6 (メモなし)'!Q22</f>
        <v>12712000</v>
      </c>
      <c r="E1501" s="28" t="n">
        <f aca="false">D1501-N(C1501)</f>
        <v>0</v>
      </c>
      <c r="F1501" s="2" t="str">
        <f aca="false">IF(AND(C1501&lt;&gt;"",ROUND(E1501,2)=0),"一致",IF(G1501&lt;&gt;"","変更（意図的）","★相違"))</f>
        <v>一致</v>
      </c>
      <c r="G1501" s="2"/>
    </row>
    <row r="1502" customFormat="false" ht="15" hidden="false" customHeight="false" outlineLevel="0" collapsed="false">
      <c r="A1502" s="2" t="s">
        <v>1079</v>
      </c>
      <c r="B1502" s="27" t="s">
        <v>645</v>
      </c>
      <c r="C1502" s="28" t="n">
        <v>14228186</v>
      </c>
      <c r="D1502" s="28" t="n">
        <f aca="false">'○総括　5～6 (メモなし)'!R22</f>
        <v>14228186</v>
      </c>
      <c r="E1502" s="28" t="n">
        <f aca="false">D1502-N(C1502)</f>
        <v>0</v>
      </c>
      <c r="F1502" s="2" t="str">
        <f aca="false">IF(AND(C1502&lt;&gt;"",ROUND(E1502,2)=0),"一致",IF(G1502&lt;&gt;"","変更（意図的）","★相違"))</f>
        <v>一致</v>
      </c>
      <c r="G1502" s="2"/>
    </row>
    <row r="1503" customFormat="false" ht="15" hidden="false" customHeight="false" outlineLevel="0" collapsed="false">
      <c r="A1503" s="2" t="s">
        <v>1079</v>
      </c>
      <c r="B1503" s="27" t="s">
        <v>646</v>
      </c>
      <c r="C1503" s="28" t="n">
        <v>-1516186</v>
      </c>
      <c r="D1503" s="28" t="n">
        <f aca="false">'○総括　5～6 (メモなし)'!S22</f>
        <v>-1516186</v>
      </c>
      <c r="E1503" s="28" t="n">
        <f aca="false">D1503-N(C1503)</f>
        <v>0</v>
      </c>
      <c r="F1503" s="2" t="str">
        <f aca="false">IF(AND(C1503&lt;&gt;"",ROUND(E1503,2)=0),"一致",IF(G1503&lt;&gt;"","変更（意図的）","★相違"))</f>
        <v>一致</v>
      </c>
      <c r="G1503" s="2"/>
    </row>
    <row r="1504" customFormat="false" ht="15" hidden="false" customHeight="false" outlineLevel="0" collapsed="false">
      <c r="A1504" s="2" t="s">
        <v>1079</v>
      </c>
      <c r="B1504" s="27" t="s">
        <v>920</v>
      </c>
      <c r="C1504" s="28" t="n">
        <v>0</v>
      </c>
      <c r="D1504" s="28" t="n">
        <f aca="false">'○総括　5～6 (メモなし)'!E23</f>
        <v>0</v>
      </c>
      <c r="E1504" s="28" t="n">
        <f aca="false">D1504-N(C1504)</f>
        <v>0</v>
      </c>
      <c r="F1504" s="2" t="str">
        <f aca="false">IF(AND(C1504&lt;&gt;"",ROUND(E1504,2)=0),"一致",IF(G1504&lt;&gt;"","変更（意図的）","★相違"))</f>
        <v>一致</v>
      </c>
      <c r="G1504" s="2"/>
    </row>
    <row r="1505" customFormat="false" ht="15" hidden="false" customHeight="false" outlineLevel="0" collapsed="false">
      <c r="A1505" s="2" t="s">
        <v>1079</v>
      </c>
      <c r="B1505" s="27" t="s">
        <v>647</v>
      </c>
      <c r="C1505" s="28" t="n">
        <v>19595000</v>
      </c>
      <c r="D1505" s="28" t="n">
        <f aca="false">'○総括　5～6 (メモなし)'!F23</f>
        <v>19595000</v>
      </c>
      <c r="E1505" s="28" t="n">
        <f aca="false">D1505-N(C1505)</f>
        <v>0</v>
      </c>
      <c r="F1505" s="2" t="str">
        <f aca="false">IF(AND(C1505&lt;&gt;"",ROUND(E1505,2)=0),"一致",IF(G1505&lt;&gt;"","変更（意図的）","★相違"))</f>
        <v>一致</v>
      </c>
      <c r="G1505" s="2"/>
    </row>
    <row r="1506" customFormat="false" ht="15" hidden="false" customHeight="false" outlineLevel="0" collapsed="false">
      <c r="A1506" s="2" t="s">
        <v>1079</v>
      </c>
      <c r="B1506" s="27" t="s">
        <v>648</v>
      </c>
      <c r="C1506" s="28" t="n">
        <v>-19595000</v>
      </c>
      <c r="D1506" s="28" t="n">
        <f aca="false">'○総括　5～6 (メモなし)'!G23</f>
        <v>-19595000</v>
      </c>
      <c r="E1506" s="28" t="n">
        <f aca="false">D1506-N(C1506)</f>
        <v>0</v>
      </c>
      <c r="F1506" s="2" t="str">
        <f aca="false">IF(AND(C1506&lt;&gt;"",ROUND(E1506,2)=0),"一致",IF(G1506&lt;&gt;"","変更（意図的）","★相違"))</f>
        <v>一致</v>
      </c>
      <c r="G1506" s="2"/>
    </row>
    <row r="1507" customFormat="false" ht="15" hidden="false" customHeight="false" outlineLevel="0" collapsed="false">
      <c r="A1507" s="2" t="s">
        <v>1079</v>
      </c>
      <c r="B1507" s="27" t="s">
        <v>649</v>
      </c>
      <c r="C1507" s="28" t="n">
        <v>1206000</v>
      </c>
      <c r="D1507" s="28" t="n">
        <f aca="false">'○総括　5～6 (メモなし)'!K23</f>
        <v>1206000</v>
      </c>
      <c r="E1507" s="28" t="n">
        <f aca="false">D1507-N(C1507)</f>
        <v>0</v>
      </c>
      <c r="F1507" s="2" t="str">
        <f aca="false">IF(AND(C1507&lt;&gt;"",ROUND(E1507,2)=0),"一致",IF(G1507&lt;&gt;"","変更（意図的）","★相違"))</f>
        <v>一致</v>
      </c>
      <c r="G1507" s="2"/>
    </row>
    <row r="1508" customFormat="false" ht="15" hidden="false" customHeight="false" outlineLevel="0" collapsed="false">
      <c r="A1508" s="2" t="s">
        <v>1079</v>
      </c>
      <c r="B1508" s="27" t="s">
        <v>535</v>
      </c>
      <c r="C1508" s="28" t="n">
        <v>1206000</v>
      </c>
      <c r="D1508" s="28" t="n">
        <f aca="false">'○総括　5～6 (メモなし)'!M23</f>
        <v>1206000</v>
      </c>
      <c r="E1508" s="28" t="n">
        <f aca="false">D1508-N(C1508)</f>
        <v>0</v>
      </c>
      <c r="F1508" s="2" t="str">
        <f aca="false">IF(AND(C1508&lt;&gt;"",ROUND(E1508,2)=0),"一致",IF(G1508&lt;&gt;"","変更（意図的）","★相違"))</f>
        <v>一致</v>
      </c>
      <c r="G1508" s="2"/>
    </row>
    <row r="1509" customFormat="false" ht="15" hidden="false" customHeight="false" outlineLevel="0" collapsed="false">
      <c r="A1509" s="2" t="s">
        <v>1079</v>
      </c>
      <c r="B1509" s="27" t="s">
        <v>296</v>
      </c>
      <c r="C1509" s="28" t="n">
        <v>0</v>
      </c>
      <c r="D1509" s="28" t="n">
        <f aca="false">'○総括　5～6 (メモなし)'!P23</f>
        <v>0</v>
      </c>
      <c r="E1509" s="28" t="n">
        <f aca="false">D1509-N(C1509)</f>
        <v>0</v>
      </c>
      <c r="F1509" s="2" t="str">
        <f aca="false">IF(AND(C1509&lt;&gt;"",ROUND(E1509,2)=0),"一致",IF(G1509&lt;&gt;"","変更（意図的）","★相違"))</f>
        <v>一致</v>
      </c>
      <c r="G1509" s="2"/>
    </row>
    <row r="1510" customFormat="false" ht="15" hidden="false" customHeight="false" outlineLevel="0" collapsed="false">
      <c r="A1510" s="2" t="s">
        <v>1079</v>
      </c>
      <c r="B1510" s="27" t="s">
        <v>297</v>
      </c>
      <c r="C1510" s="28" t="n">
        <v>0</v>
      </c>
      <c r="D1510" s="28" t="n">
        <f aca="false">'○総括　5～6 (メモなし)'!S23</f>
        <v>0</v>
      </c>
      <c r="E1510" s="28" t="n">
        <f aca="false">D1510-N(C1510)</f>
        <v>0</v>
      </c>
      <c r="F1510" s="2" t="str">
        <f aca="false">IF(AND(C1510&lt;&gt;"",ROUND(E1510,2)=0),"一致",IF(G1510&lt;&gt;"","変更（意図的）","★相違"))</f>
        <v>一致</v>
      </c>
      <c r="G1510" s="2"/>
    </row>
    <row r="1511" customFormat="false" ht="15" hidden="false" customHeight="false" outlineLevel="0" collapsed="false">
      <c r="A1511" s="2" t="s">
        <v>1079</v>
      </c>
      <c r="B1511" s="27" t="s">
        <v>651</v>
      </c>
      <c r="C1511" s="28" t="n">
        <v>0</v>
      </c>
      <c r="D1511" s="28" t="n">
        <f aca="false">'○総括　5～6 (メモなし)'!G24</f>
        <v>0</v>
      </c>
      <c r="E1511" s="28" t="n">
        <f aca="false">D1511-N(C1511)</f>
        <v>0</v>
      </c>
      <c r="F1511" s="2" t="str">
        <f aca="false">IF(AND(C1511&lt;&gt;"",ROUND(E1511,2)=0),"一致",IF(G1511&lt;&gt;"","変更（意図的）","★相違"))</f>
        <v>一致</v>
      </c>
      <c r="G1511" s="2"/>
    </row>
    <row r="1512" customFormat="false" ht="15" hidden="false" customHeight="false" outlineLevel="0" collapsed="false">
      <c r="A1512" s="2" t="s">
        <v>1079</v>
      </c>
      <c r="B1512" s="27" t="s">
        <v>540</v>
      </c>
      <c r="C1512" s="28" t="n">
        <v>0</v>
      </c>
      <c r="D1512" s="28" t="n">
        <f aca="false">'○総括　5～6 (メモなし)'!M24</f>
        <v>0</v>
      </c>
      <c r="E1512" s="28" t="n">
        <f aca="false">D1512-N(C1512)</f>
        <v>0</v>
      </c>
      <c r="F1512" s="2" t="str">
        <f aca="false">IF(AND(C1512&lt;&gt;"",ROUND(E1512,2)=0),"一致",IF(G1512&lt;&gt;"","変更（意図的）","★相違"))</f>
        <v>一致</v>
      </c>
      <c r="G1512" s="2"/>
    </row>
    <row r="1513" customFormat="false" ht="15" hidden="false" customHeight="false" outlineLevel="0" collapsed="false">
      <c r="A1513" s="2" t="s">
        <v>1079</v>
      </c>
      <c r="B1513" s="27" t="s">
        <v>652</v>
      </c>
      <c r="C1513" s="28" t="n">
        <v>0</v>
      </c>
      <c r="D1513" s="28" t="n">
        <f aca="false">'○総括　5～6 (メモなし)'!P24</f>
        <v>0</v>
      </c>
      <c r="E1513" s="28" t="n">
        <f aca="false">D1513-N(C1513)</f>
        <v>0</v>
      </c>
      <c r="F1513" s="2" t="str">
        <f aca="false">IF(AND(C1513&lt;&gt;"",ROUND(E1513,2)=0),"一致",IF(G1513&lt;&gt;"","変更（意図的）","★相違"))</f>
        <v>一致</v>
      </c>
      <c r="G1513" s="2"/>
    </row>
    <row r="1514" customFormat="false" ht="15" hidden="false" customHeight="false" outlineLevel="0" collapsed="false">
      <c r="A1514" s="2" t="s">
        <v>1079</v>
      </c>
      <c r="B1514" s="27" t="s">
        <v>653</v>
      </c>
      <c r="C1514" s="28" t="n">
        <v>0</v>
      </c>
      <c r="D1514" s="28" t="n">
        <f aca="false">'○総括　5～6 (メモなし)'!G25</f>
        <v>0</v>
      </c>
      <c r="E1514" s="28" t="n">
        <f aca="false">D1514-N(C1514)</f>
        <v>0</v>
      </c>
      <c r="F1514" s="2" t="str">
        <f aca="false">IF(AND(C1514&lt;&gt;"",ROUND(E1514,2)=0),"一致",IF(G1514&lt;&gt;"","変更（意図的）","★相違"))</f>
        <v>一致</v>
      </c>
      <c r="G1514" s="2"/>
    </row>
    <row r="1515" customFormat="false" ht="15" hidden="false" customHeight="false" outlineLevel="0" collapsed="false">
      <c r="A1515" s="2" t="s">
        <v>1079</v>
      </c>
      <c r="B1515" s="27" t="s">
        <v>545</v>
      </c>
      <c r="C1515" s="28" t="n">
        <v>0</v>
      </c>
      <c r="D1515" s="28" t="n">
        <f aca="false">'○総括　5～6 (メモなし)'!M25</f>
        <v>0</v>
      </c>
      <c r="E1515" s="28" t="n">
        <f aca="false">D1515-N(C1515)</f>
        <v>0</v>
      </c>
      <c r="F1515" s="2" t="str">
        <f aca="false">IF(AND(C1515&lt;&gt;"",ROUND(E1515,2)=0),"一致",IF(G1515&lt;&gt;"","変更（意図的）","★相違"))</f>
        <v>一致</v>
      </c>
      <c r="G1515" s="2"/>
    </row>
    <row r="1516" customFormat="false" ht="15" hidden="false" customHeight="false" outlineLevel="0" collapsed="false">
      <c r="A1516" s="2" t="s">
        <v>1079</v>
      </c>
      <c r="B1516" s="27" t="s">
        <v>654</v>
      </c>
      <c r="C1516" s="28" t="n">
        <v>0</v>
      </c>
      <c r="D1516" s="28" t="n">
        <f aca="false">'○総括　5～6 (メモなし)'!P25</f>
        <v>0</v>
      </c>
      <c r="E1516" s="28" t="n">
        <f aca="false">D1516-N(C1516)</f>
        <v>0</v>
      </c>
      <c r="F1516" s="2" t="str">
        <f aca="false">IF(AND(C1516&lt;&gt;"",ROUND(E1516,2)=0),"一致",IF(G1516&lt;&gt;"","変更（意図的）","★相違"))</f>
        <v>一致</v>
      </c>
      <c r="G1516" s="2"/>
    </row>
    <row r="1517" customFormat="false" ht="15" hidden="false" customHeight="false" outlineLevel="0" collapsed="false">
      <c r="A1517" s="2" t="s">
        <v>1079</v>
      </c>
      <c r="B1517" s="27" t="s">
        <v>655</v>
      </c>
      <c r="C1517" s="28" t="n">
        <v>0</v>
      </c>
      <c r="D1517" s="28" t="n">
        <f aca="false">'○総括　5～6 (メモなし)'!S25</f>
        <v>0</v>
      </c>
      <c r="E1517" s="28" t="n">
        <f aca="false">D1517-N(C1517)</f>
        <v>0</v>
      </c>
      <c r="F1517" s="2" t="str">
        <f aca="false">IF(AND(C1517&lt;&gt;"",ROUND(E1517,2)=0),"一致",IF(G1517&lt;&gt;"","変更（意図的）","★相違"))</f>
        <v>一致</v>
      </c>
      <c r="G1517" s="2"/>
    </row>
    <row r="1518" customFormat="false" ht="15" hidden="false" customHeight="false" outlineLevel="0" collapsed="false">
      <c r="A1518" s="2" t="s">
        <v>1079</v>
      </c>
      <c r="B1518" s="27" t="s">
        <v>942</v>
      </c>
      <c r="C1518" s="28" t="n">
        <v>2100931</v>
      </c>
      <c r="D1518" s="28" t="n">
        <f aca="false">'○総括　5～6 (メモなし)'!E26</f>
        <v>2100931</v>
      </c>
      <c r="E1518" s="28" t="n">
        <f aca="false">D1518-N(C1518)</f>
        <v>0</v>
      </c>
      <c r="F1518" s="2" t="str">
        <f aca="false">IF(AND(C1518&lt;&gt;"",ROUND(E1518,2)=0),"一致",IF(G1518&lt;&gt;"","変更（意図的）","★相違"))</f>
        <v>一致</v>
      </c>
      <c r="G1518" s="2"/>
    </row>
    <row r="1519" customFormat="false" ht="15" hidden="false" customHeight="false" outlineLevel="0" collapsed="false">
      <c r="A1519" s="2" t="s">
        <v>1079</v>
      </c>
      <c r="B1519" s="27" t="s">
        <v>656</v>
      </c>
      <c r="C1519" s="28" t="n">
        <v>7326358</v>
      </c>
      <c r="D1519" s="28" t="n">
        <f aca="false">'○総括　5～6 (メモなし)'!F26</f>
        <v>7326358</v>
      </c>
      <c r="E1519" s="28" t="n">
        <f aca="false">D1519-N(C1519)</f>
        <v>0</v>
      </c>
      <c r="F1519" s="2" t="str">
        <f aca="false">IF(AND(C1519&lt;&gt;"",ROUND(E1519,2)=0),"一致",IF(G1519&lt;&gt;"","変更（意図的）","★相違"))</f>
        <v>一致</v>
      </c>
      <c r="G1519" s="2"/>
    </row>
    <row r="1520" customFormat="false" ht="15" hidden="false" customHeight="false" outlineLevel="0" collapsed="false">
      <c r="A1520" s="2" t="s">
        <v>1079</v>
      </c>
      <c r="B1520" s="27" t="s">
        <v>657</v>
      </c>
      <c r="C1520" s="28" t="n">
        <v>-5225427</v>
      </c>
      <c r="D1520" s="28" t="n">
        <f aca="false">'○総括　5～6 (メモなし)'!G26</f>
        <v>-5225427</v>
      </c>
      <c r="E1520" s="28" t="n">
        <f aca="false">D1520-N(C1520)</f>
        <v>0</v>
      </c>
      <c r="F1520" s="2" t="str">
        <f aca="false">IF(AND(C1520&lt;&gt;"",ROUND(E1520,2)=0),"一致",IF(G1520&lt;&gt;"","変更（意図的）","★相違"))</f>
        <v>一致</v>
      </c>
      <c r="G1520" s="2"/>
    </row>
    <row r="1521" customFormat="false" ht="15" hidden="false" customHeight="false" outlineLevel="0" collapsed="false">
      <c r="A1521" s="2" t="s">
        <v>1079</v>
      </c>
      <c r="B1521" s="27" t="s">
        <v>550</v>
      </c>
      <c r="C1521" s="28" t="n">
        <v>0</v>
      </c>
      <c r="D1521" s="28" t="n">
        <f aca="false">'○総括　5～6 (メモなし)'!M26</f>
        <v>0</v>
      </c>
      <c r="E1521" s="28" t="n">
        <f aca="false">D1521-N(C1521)</f>
        <v>0</v>
      </c>
      <c r="F1521" s="2" t="str">
        <f aca="false">IF(AND(C1521&lt;&gt;"",ROUND(E1521,2)=0),"一致",IF(G1521&lt;&gt;"","変更（意図的）","★相違"))</f>
        <v>一致</v>
      </c>
      <c r="G1521" s="2"/>
    </row>
    <row r="1522" customFormat="false" ht="15" hidden="false" customHeight="false" outlineLevel="0" collapsed="false">
      <c r="A1522" s="2" t="s">
        <v>1079</v>
      </c>
      <c r="B1522" s="27" t="s">
        <v>659</v>
      </c>
      <c r="C1522" s="28" t="n">
        <v>0</v>
      </c>
      <c r="D1522" s="28" t="n">
        <f aca="false">'○総括　5～6 (メモなし)'!N26</f>
        <v>0</v>
      </c>
      <c r="E1522" s="28" t="n">
        <f aca="false">D1522-N(C1522)</f>
        <v>0</v>
      </c>
      <c r="F1522" s="2" t="str">
        <f aca="false">IF(AND(C1522&lt;&gt;"",ROUND(E1522,2)=0),"一致",IF(G1522&lt;&gt;"","変更（意図的）","★相違"))</f>
        <v>一致</v>
      </c>
      <c r="G1522" s="2"/>
    </row>
    <row r="1523" customFormat="false" ht="15" hidden="false" customHeight="false" outlineLevel="0" collapsed="false">
      <c r="A1523" s="2" t="s">
        <v>1079</v>
      </c>
      <c r="B1523" s="27" t="s">
        <v>660</v>
      </c>
      <c r="C1523" s="28" t="n">
        <v>74635</v>
      </c>
      <c r="D1523" s="28" t="n">
        <f aca="false">'○総括　5～6 (メモなし)'!O26</f>
        <v>74635</v>
      </c>
      <c r="E1523" s="28" t="n">
        <f aca="false">D1523-N(C1523)</f>
        <v>0</v>
      </c>
      <c r="F1523" s="2" t="str">
        <f aca="false">IF(AND(C1523&lt;&gt;"",ROUND(E1523,2)=0),"一致",IF(G1523&lt;&gt;"","変更（意図的）","★相違"))</f>
        <v>一致</v>
      </c>
      <c r="G1523" s="2"/>
    </row>
    <row r="1524" customFormat="false" ht="15" hidden="false" customHeight="false" outlineLevel="0" collapsed="false">
      <c r="A1524" s="2" t="s">
        <v>1079</v>
      </c>
      <c r="B1524" s="27" t="s">
        <v>661</v>
      </c>
      <c r="C1524" s="28" t="n">
        <v>-74635</v>
      </c>
      <c r="D1524" s="28" t="n">
        <f aca="false">'○総括　5～6 (メモなし)'!P26</f>
        <v>-74635</v>
      </c>
      <c r="E1524" s="28" t="n">
        <f aca="false">D1524-N(C1524)</f>
        <v>0</v>
      </c>
      <c r="F1524" s="2" t="str">
        <f aca="false">IF(AND(C1524&lt;&gt;"",ROUND(E1524,2)=0),"一致",IF(G1524&lt;&gt;"","変更（意図的）","★相違"))</f>
        <v>一致</v>
      </c>
      <c r="G1524" s="2"/>
    </row>
    <row r="1525" customFormat="false" ht="15" hidden="false" customHeight="false" outlineLevel="0" collapsed="false">
      <c r="A1525" s="2" t="s">
        <v>1079</v>
      </c>
      <c r="B1525" s="27" t="s">
        <v>662</v>
      </c>
      <c r="C1525" s="28" t="n">
        <v>0</v>
      </c>
      <c r="D1525" s="28" t="n">
        <f aca="false">'○総括　5～6 (メモなし)'!S26</f>
        <v>0</v>
      </c>
      <c r="E1525" s="28" t="n">
        <f aca="false">D1525-N(C1525)</f>
        <v>0</v>
      </c>
      <c r="F1525" s="2" t="str">
        <f aca="false">IF(AND(C1525&lt;&gt;"",ROUND(E1525,2)=0),"一致",IF(G1525&lt;&gt;"","変更（意図的）","★相違"))</f>
        <v>一致</v>
      </c>
      <c r="G1525" s="2"/>
    </row>
    <row r="1526" customFormat="false" ht="15" hidden="false" customHeight="false" outlineLevel="0" collapsed="false">
      <c r="A1526" s="2" t="s">
        <v>1079</v>
      </c>
      <c r="B1526" s="27" t="s">
        <v>946</v>
      </c>
      <c r="C1526" s="28" t="n">
        <v>883951850</v>
      </c>
      <c r="D1526" s="28" t="n">
        <f aca="false">'○総括　5～6 (メモなし)'!E27</f>
        <v>883951850</v>
      </c>
      <c r="E1526" s="28" t="n">
        <f aca="false">D1526-N(C1526)</f>
        <v>0</v>
      </c>
      <c r="F1526" s="2" t="str">
        <f aca="false">IF(AND(C1526&lt;&gt;"",ROUND(E1526,2)=0),"一致",IF(G1526&lt;&gt;"","変更（意図的）","★相違"))</f>
        <v>一致</v>
      </c>
      <c r="G1526" s="2"/>
    </row>
    <row r="1527" customFormat="false" ht="15" hidden="false" customHeight="false" outlineLevel="0" collapsed="false">
      <c r="A1527" s="2" t="s">
        <v>1079</v>
      </c>
      <c r="B1527" s="27" t="s">
        <v>663</v>
      </c>
      <c r="C1527" s="28" t="n">
        <v>641256280</v>
      </c>
      <c r="D1527" s="28" t="n">
        <f aca="false">'○総括　5～6 (メモなし)'!F27</f>
        <v>641256280</v>
      </c>
      <c r="E1527" s="28" t="n">
        <f aca="false">D1527-N(C1527)</f>
        <v>0</v>
      </c>
      <c r="F1527" s="2" t="str">
        <f aca="false">IF(AND(C1527&lt;&gt;"",ROUND(E1527,2)=0),"一致",IF(G1527&lt;&gt;"","変更（意図的）","★相違"))</f>
        <v>一致</v>
      </c>
      <c r="G1527" s="2"/>
    </row>
    <row r="1528" customFormat="false" ht="15" hidden="false" customHeight="false" outlineLevel="0" collapsed="false">
      <c r="A1528" s="2" t="s">
        <v>1079</v>
      </c>
      <c r="B1528" s="27" t="s">
        <v>664</v>
      </c>
      <c r="C1528" s="28" t="n">
        <v>242695570</v>
      </c>
      <c r="D1528" s="28" t="n">
        <f aca="false">'○総括　5～6 (メモなし)'!G27</f>
        <v>242695570</v>
      </c>
      <c r="E1528" s="28" t="n">
        <f aca="false">D1528-N(C1528)</f>
        <v>0</v>
      </c>
      <c r="F1528" s="2" t="str">
        <f aca="false">IF(AND(C1528&lt;&gt;"",ROUND(E1528,2)=0),"一致",IF(G1528&lt;&gt;"","変更（意図的）","★相違"))</f>
        <v>一致</v>
      </c>
      <c r="G1528" s="2"/>
    </row>
    <row r="1529" customFormat="false" ht="15" hidden="false" customHeight="false" outlineLevel="0" collapsed="false">
      <c r="A1529" s="2" t="s">
        <v>1079</v>
      </c>
      <c r="B1529" s="27" t="s">
        <v>422</v>
      </c>
      <c r="C1529" s="28" t="n">
        <v>0</v>
      </c>
      <c r="D1529" s="28" t="n">
        <f aca="false">'○総括　5～6 (メモなし)'!M27</f>
        <v>0</v>
      </c>
      <c r="E1529" s="28" t="n">
        <f aca="false">D1529-N(C1529)</f>
        <v>0</v>
      </c>
      <c r="F1529" s="2" t="str">
        <f aca="false">IF(AND(C1529&lt;&gt;"",ROUND(E1529,2)=0),"一致",IF(G1529&lt;&gt;"","変更（意図的）","★相違"))</f>
        <v>一致</v>
      </c>
      <c r="G1529" s="2"/>
    </row>
    <row r="1530" customFormat="false" ht="15" hidden="false" customHeight="false" outlineLevel="0" collapsed="false">
      <c r="A1530" s="2" t="s">
        <v>1079</v>
      </c>
      <c r="B1530" s="27" t="s">
        <v>665</v>
      </c>
      <c r="C1530" s="28" t="n">
        <v>0</v>
      </c>
      <c r="D1530" s="28" t="n">
        <f aca="false">'○総括　5～6 (メモなし)'!P27</f>
        <v>0</v>
      </c>
      <c r="E1530" s="28" t="n">
        <f aca="false">D1530-N(C1530)</f>
        <v>0</v>
      </c>
      <c r="F1530" s="2" t="str">
        <f aca="false">IF(AND(C1530&lt;&gt;"",ROUND(E1530,2)=0),"一致",IF(G1530&lt;&gt;"","変更（意図的）","★相違"))</f>
        <v>一致</v>
      </c>
      <c r="G1530" s="2"/>
    </row>
    <row r="1531" customFormat="false" ht="15" hidden="false" customHeight="false" outlineLevel="0" collapsed="false">
      <c r="A1531" s="2" t="s">
        <v>1079</v>
      </c>
      <c r="B1531" s="27" t="s">
        <v>666</v>
      </c>
      <c r="C1531" s="28" t="n">
        <v>0</v>
      </c>
      <c r="D1531" s="28" t="n">
        <f aca="false">'○総括　5～6 (メモなし)'!S27</f>
        <v>0</v>
      </c>
      <c r="E1531" s="28" t="n">
        <f aca="false">D1531-N(C1531)</f>
        <v>0</v>
      </c>
      <c r="F1531" s="2" t="str">
        <f aca="false">IF(AND(C1531&lt;&gt;"",ROUND(E1531,2)=0),"一致",IF(G1531&lt;&gt;"","変更（意図的）","★相違"))</f>
        <v>一致</v>
      </c>
      <c r="G1531" s="2"/>
    </row>
    <row r="1532" customFormat="false" ht="15" hidden="false" customHeight="false" outlineLevel="0" collapsed="false">
      <c r="A1532" s="2" t="s">
        <v>1079</v>
      </c>
      <c r="B1532" s="27" t="s">
        <v>667</v>
      </c>
      <c r="C1532" s="28" t="n">
        <v>13363345222</v>
      </c>
      <c r="D1532" s="28" t="n">
        <f aca="false">'○総括　5～6 (メモなし)'!E28</f>
        <v>13363345222</v>
      </c>
      <c r="E1532" s="28" t="n">
        <f aca="false">D1532-N(C1532)</f>
        <v>0</v>
      </c>
      <c r="F1532" s="2" t="str">
        <f aca="false">IF(AND(C1532&lt;&gt;"",ROUND(E1532,2)=0),"一致",IF(G1532&lt;&gt;"","変更（意図的）","★相違"))</f>
        <v>一致</v>
      </c>
      <c r="G1532" s="2"/>
    </row>
    <row r="1533" customFormat="false" ht="15" hidden="false" customHeight="false" outlineLevel="0" collapsed="false">
      <c r="A1533" s="2" t="s">
        <v>1079</v>
      </c>
      <c r="B1533" s="27" t="s">
        <v>668</v>
      </c>
      <c r="C1533" s="28" t="n">
        <v>10954612686</v>
      </c>
      <c r="D1533" s="28" t="n">
        <f aca="false">'○総括　5～6 (メモなし)'!F28</f>
        <v>10954612686</v>
      </c>
      <c r="E1533" s="28" t="n">
        <f aca="false">D1533-N(C1533)</f>
        <v>0</v>
      </c>
      <c r="F1533" s="2" t="str">
        <f aca="false">IF(AND(C1533&lt;&gt;"",ROUND(E1533,2)=0),"一致",IF(G1533&lt;&gt;"","変更（意図的）","★相違"))</f>
        <v>一致</v>
      </c>
      <c r="G1533" s="2"/>
    </row>
    <row r="1534" customFormat="false" ht="15" hidden="false" customHeight="false" outlineLevel="0" collapsed="false">
      <c r="A1534" s="2" t="s">
        <v>1079</v>
      </c>
      <c r="B1534" s="27" t="s">
        <v>669</v>
      </c>
      <c r="C1534" s="28" t="n">
        <v>2408732536</v>
      </c>
      <c r="D1534" s="28" t="n">
        <f aca="false">'○総括　5～6 (メモなし)'!G28</f>
        <v>2408732536</v>
      </c>
      <c r="E1534" s="28" t="n">
        <f aca="false">D1534-N(C1534)</f>
        <v>0</v>
      </c>
      <c r="F1534" s="2" t="str">
        <f aca="false">IF(AND(C1534&lt;&gt;"",ROUND(E1534,2)=0),"一致",IF(G1534&lt;&gt;"","変更（意図的）","★相違"))</f>
        <v>一致</v>
      </c>
      <c r="G1534" s="2"/>
    </row>
    <row r="1535" customFormat="false" ht="15" hidden="false" customHeight="false" outlineLevel="0" collapsed="false">
      <c r="A1535" s="2" t="s">
        <v>1079</v>
      </c>
      <c r="B1535" s="27" t="s">
        <v>670</v>
      </c>
      <c r="C1535" s="28" t="n">
        <v>10342735989</v>
      </c>
      <c r="D1535" s="28" t="n">
        <f aca="false">'○総括　5～6 (メモなし)'!H28</f>
        <v>10342735989</v>
      </c>
      <c r="E1535" s="28" t="n">
        <f aca="false">D1535-N(C1535)</f>
        <v>0</v>
      </c>
      <c r="F1535" s="2" t="str">
        <f aca="false">IF(AND(C1535&lt;&gt;"",ROUND(E1535,2)=0),"一致",IF(G1535&lt;&gt;"","変更（意図的）","★相違"))</f>
        <v>一致</v>
      </c>
      <c r="G1535" s="2"/>
    </row>
    <row r="1536" customFormat="false" ht="15" hidden="false" customHeight="false" outlineLevel="0" collapsed="false">
      <c r="A1536" s="2" t="s">
        <v>1079</v>
      </c>
      <c r="B1536" s="27" t="s">
        <v>671</v>
      </c>
      <c r="C1536" s="28" t="n">
        <v>19217782897</v>
      </c>
      <c r="D1536" s="28" t="n">
        <f aca="false">'○総括　5～6 (メモなし)'!I28</f>
        <v>19217782897</v>
      </c>
      <c r="E1536" s="28" t="n">
        <f aca="false">D1536-N(C1536)</f>
        <v>0</v>
      </c>
      <c r="F1536" s="2" t="str">
        <f aca="false">IF(AND(C1536&lt;&gt;"",ROUND(E1536,2)=0),"一致",IF(G1536&lt;&gt;"","変更（意図的）","★相違"))</f>
        <v>一致</v>
      </c>
      <c r="G1536" s="2"/>
    </row>
    <row r="1537" customFormat="false" ht="15" hidden="false" customHeight="false" outlineLevel="0" collapsed="false">
      <c r="A1537" s="2" t="s">
        <v>1079</v>
      </c>
      <c r="B1537" s="27" t="s">
        <v>672</v>
      </c>
      <c r="C1537" s="28" t="n">
        <v>-8875046908</v>
      </c>
      <c r="D1537" s="28" t="n">
        <f aca="false">'○総括　5～6 (メモなし)'!J28</f>
        <v>-8875046908</v>
      </c>
      <c r="E1537" s="28" t="n">
        <f aca="false">D1537-N(C1537)</f>
        <v>0</v>
      </c>
      <c r="F1537" s="2" t="str">
        <f aca="false">IF(AND(C1537&lt;&gt;"",ROUND(E1537,2)=0),"一致",IF(G1537&lt;&gt;"","変更（意図的）","★相違"))</f>
        <v>一致</v>
      </c>
      <c r="G1537" s="2"/>
    </row>
    <row r="1538" customFormat="false" ht="15" hidden="false" customHeight="false" outlineLevel="0" collapsed="false">
      <c r="A1538" s="2" t="s">
        <v>1079</v>
      </c>
      <c r="B1538" s="27" t="s">
        <v>673</v>
      </c>
      <c r="C1538" s="28" t="n">
        <v>115948018</v>
      </c>
      <c r="D1538" s="28" t="n">
        <f aca="false">'○総括　5～6 (メモなし)'!K28</f>
        <v>115948018</v>
      </c>
      <c r="E1538" s="28" t="n">
        <f aca="false">D1538-N(C1538)</f>
        <v>0</v>
      </c>
      <c r="F1538" s="2" t="str">
        <f aca="false">IF(AND(C1538&lt;&gt;"",ROUND(E1538,2)=0),"一致",IF(G1538&lt;&gt;"","変更（意図的）","★相違"))</f>
        <v>一致</v>
      </c>
      <c r="G1538" s="2"/>
    </row>
    <row r="1539" customFormat="false" ht="15" hidden="false" customHeight="false" outlineLevel="0" collapsed="false">
      <c r="A1539" s="2" t="s">
        <v>1079</v>
      </c>
      <c r="B1539" s="27" t="s">
        <v>675</v>
      </c>
      <c r="C1539" s="28" t="n">
        <v>96169787</v>
      </c>
      <c r="D1539" s="28" t="n">
        <f aca="false">'○総括　5～6 (メモなし)'!L28</f>
        <v>96169787</v>
      </c>
      <c r="E1539" s="28" t="n">
        <f aca="false">D1539-N(C1539)</f>
        <v>0</v>
      </c>
      <c r="F1539" s="2" t="str">
        <f aca="false">IF(AND(C1539&lt;&gt;"",ROUND(E1539,2)=0),"一致",IF(G1539&lt;&gt;"","変更（意図的）","★相違"))</f>
        <v>一致</v>
      </c>
      <c r="G1539" s="2"/>
    </row>
    <row r="1540" customFormat="false" ht="15" hidden="false" customHeight="false" outlineLevel="0" collapsed="false">
      <c r="A1540" s="2" t="s">
        <v>1079</v>
      </c>
      <c r="B1540" s="27" t="s">
        <v>427</v>
      </c>
      <c r="C1540" s="28" t="n">
        <v>19778231</v>
      </c>
      <c r="D1540" s="28" t="n">
        <f aca="false">'○総括　5～6 (メモなし)'!M28</f>
        <v>19778231</v>
      </c>
      <c r="E1540" s="28" t="n">
        <f aca="false">D1540-N(C1540)</f>
        <v>0</v>
      </c>
      <c r="F1540" s="2" t="str">
        <f aca="false">IF(AND(C1540&lt;&gt;"",ROUND(E1540,2)=0),"一致",IF(G1540&lt;&gt;"","変更（意図的）","★相違"))</f>
        <v>一致</v>
      </c>
      <c r="G1540" s="2"/>
    </row>
    <row r="1541" customFormat="false" ht="15" hidden="false" customHeight="false" outlineLevel="0" collapsed="false">
      <c r="A1541" s="2" t="s">
        <v>1079</v>
      </c>
      <c r="B1541" s="27" t="s">
        <v>676</v>
      </c>
      <c r="C1541" s="28" t="n">
        <v>608914362</v>
      </c>
      <c r="D1541" s="28" t="n">
        <f aca="false">'○総括　5～6 (メモなし)'!N28</f>
        <v>608914362</v>
      </c>
      <c r="E1541" s="28" t="n">
        <f aca="false">D1541-N(C1541)</f>
        <v>0</v>
      </c>
      <c r="F1541" s="2" t="str">
        <f aca="false">IF(AND(C1541&lt;&gt;"",ROUND(E1541,2)=0),"一致",IF(G1541&lt;&gt;"","変更（意図的）","★相違"))</f>
        <v>一致</v>
      </c>
      <c r="G1541" s="2"/>
    </row>
    <row r="1542" customFormat="false" ht="15" hidden="false" customHeight="false" outlineLevel="0" collapsed="false">
      <c r="A1542" s="2" t="s">
        <v>1079</v>
      </c>
      <c r="B1542" s="27" t="s">
        <v>677</v>
      </c>
      <c r="C1542" s="28" t="n">
        <v>495064615</v>
      </c>
      <c r="D1542" s="28" t="n">
        <f aca="false">'○総括　5～6 (メモなし)'!O28</f>
        <v>495064615</v>
      </c>
      <c r="E1542" s="28" t="n">
        <f aca="false">D1542-N(C1542)</f>
        <v>0</v>
      </c>
      <c r="F1542" s="2" t="str">
        <f aca="false">IF(AND(C1542&lt;&gt;"",ROUND(E1542,2)=0),"一致",IF(G1542&lt;&gt;"","変更（意図的）","★相違"))</f>
        <v>一致</v>
      </c>
      <c r="G1542" s="2"/>
    </row>
    <row r="1543" customFormat="false" ht="15" hidden="false" customHeight="false" outlineLevel="0" collapsed="false">
      <c r="A1543" s="2" t="s">
        <v>1079</v>
      </c>
      <c r="B1543" s="27" t="s">
        <v>678</v>
      </c>
      <c r="C1543" s="28" t="n">
        <v>113849747</v>
      </c>
      <c r="D1543" s="28" t="n">
        <f aca="false">'○総括　5～6 (メモなし)'!P28</f>
        <v>113849747</v>
      </c>
      <c r="E1543" s="28" t="n">
        <f aca="false">D1543-N(C1543)</f>
        <v>0</v>
      </c>
      <c r="F1543" s="2" t="str">
        <f aca="false">IF(AND(C1543&lt;&gt;"",ROUND(E1543,2)=0),"一致",IF(G1543&lt;&gt;"","変更（意図的）","★相違"))</f>
        <v>一致</v>
      </c>
      <c r="G1543" s="2"/>
    </row>
    <row r="1544" customFormat="false" ht="15" hidden="false" customHeight="false" outlineLevel="0" collapsed="false">
      <c r="A1544" s="2" t="s">
        <v>1079</v>
      </c>
      <c r="B1544" s="27" t="s">
        <v>679</v>
      </c>
      <c r="C1544" s="28" t="n">
        <v>12756000</v>
      </c>
      <c r="D1544" s="28" t="n">
        <f aca="false">'○総括　5～6 (メモなし)'!Q28</f>
        <v>12756000</v>
      </c>
      <c r="E1544" s="28" t="n">
        <f aca="false">D1544-N(C1544)</f>
        <v>0</v>
      </c>
      <c r="F1544" s="2" t="str">
        <f aca="false">IF(AND(C1544&lt;&gt;"",ROUND(E1544,2)=0),"一致",IF(G1544&lt;&gt;"","変更（意図的）","★相違"))</f>
        <v>一致</v>
      </c>
      <c r="G1544" s="2"/>
    </row>
    <row r="1545" customFormat="false" ht="15" hidden="false" customHeight="false" outlineLevel="0" collapsed="false">
      <c r="A1545" s="2" t="s">
        <v>1079</v>
      </c>
      <c r="B1545" s="27" t="s">
        <v>680</v>
      </c>
      <c r="C1545" s="28" t="n">
        <v>14281186</v>
      </c>
      <c r="D1545" s="28" t="n">
        <f aca="false">'○総括　5～6 (メモなし)'!R28</f>
        <v>14281186</v>
      </c>
      <c r="E1545" s="28" t="n">
        <f aca="false">D1545-N(C1545)</f>
        <v>0</v>
      </c>
      <c r="F1545" s="2" t="str">
        <f aca="false">IF(AND(C1545&lt;&gt;"",ROUND(E1545,2)=0),"一致",IF(G1545&lt;&gt;"","変更（意図的）","★相違"))</f>
        <v>一致</v>
      </c>
      <c r="G1545" s="2"/>
    </row>
    <row r="1546" customFormat="false" ht="15" hidden="false" customHeight="false" outlineLevel="0" collapsed="false">
      <c r="A1546" s="2" t="s">
        <v>1079</v>
      </c>
      <c r="B1546" s="27" t="s">
        <v>681</v>
      </c>
      <c r="C1546" s="28" t="n">
        <v>-1525186</v>
      </c>
      <c r="D1546" s="28" t="n">
        <f aca="false">'○総括　5～6 (メモなし)'!S28</f>
        <v>-1525186</v>
      </c>
      <c r="E1546" s="28" t="n">
        <f aca="false">D1546-N(C1546)</f>
        <v>0</v>
      </c>
      <c r="F1546" s="2" t="str">
        <f aca="false">IF(AND(C1546&lt;&gt;"",ROUND(E1546,2)=0),"一致",IF(G1546&lt;&gt;"","変更（意図的）","★相違"))</f>
        <v>一致</v>
      </c>
      <c r="G1546" s="2"/>
    </row>
    <row r="1547" customFormat="false" ht="15" hidden="false" customHeight="false" outlineLevel="0" collapsed="false">
      <c r="A1547" s="2" t="s">
        <v>1079</v>
      </c>
      <c r="B1547" s="27" t="s">
        <v>953</v>
      </c>
      <c r="C1547" s="28" t="n">
        <v>5062957780</v>
      </c>
      <c r="D1547" s="28" t="n">
        <f aca="false">'○総括　5～6 (メモなし)'!E29</f>
        <v>5062957780</v>
      </c>
      <c r="E1547" s="28" t="n">
        <f aca="false">D1547-N(C1547)</f>
        <v>0</v>
      </c>
      <c r="F1547" s="2" t="str">
        <f aca="false">IF(AND(C1547&lt;&gt;"",ROUND(E1547,2)=0),"一致",IF(G1547&lt;&gt;"","変更（意図的）","★相違"))</f>
        <v>一致</v>
      </c>
      <c r="G1547" s="2"/>
    </row>
    <row r="1548" customFormat="false" ht="15" hidden="false" customHeight="false" outlineLevel="0" collapsed="false">
      <c r="A1548" s="2" t="s">
        <v>1079</v>
      </c>
      <c r="B1548" s="27" t="s">
        <v>682</v>
      </c>
      <c r="C1548" s="28" t="n">
        <v>5113593844</v>
      </c>
      <c r="D1548" s="28" t="n">
        <f aca="false">'○総括　5～6 (メモなし)'!F29</f>
        <v>5113593844</v>
      </c>
      <c r="E1548" s="28" t="n">
        <f aca="false">D1548-N(C1548)</f>
        <v>0</v>
      </c>
      <c r="F1548" s="2" t="str">
        <f aca="false">IF(AND(C1548&lt;&gt;"",ROUND(E1548,2)=0),"一致",IF(G1548&lt;&gt;"","変更（意図的）","★相違"))</f>
        <v>一致</v>
      </c>
      <c r="G1548" s="2"/>
    </row>
    <row r="1549" customFormat="false" ht="15" hidden="false" customHeight="false" outlineLevel="0" collapsed="false">
      <c r="A1549" s="2" t="s">
        <v>1079</v>
      </c>
      <c r="B1549" s="27" t="s">
        <v>683</v>
      </c>
      <c r="C1549" s="28" t="n">
        <v>-50636064</v>
      </c>
      <c r="D1549" s="28" t="n">
        <f aca="false">'○総括　5～6 (メモなし)'!G29</f>
        <v>-50636064</v>
      </c>
      <c r="E1549" s="28" t="n">
        <f aca="false">D1549-N(C1549)</f>
        <v>0</v>
      </c>
      <c r="F1549" s="2" t="str">
        <f aca="false">IF(AND(C1549&lt;&gt;"",ROUND(E1549,2)=0),"一致",IF(G1549&lt;&gt;"","変更（意図的）","★相違"))</f>
        <v>一致</v>
      </c>
      <c r="G1549" s="2"/>
    </row>
    <row r="1550" customFormat="false" ht="15" hidden="false" customHeight="false" outlineLevel="0" collapsed="false">
      <c r="A1550" s="2" t="s">
        <v>1079</v>
      </c>
      <c r="B1550" s="27" t="s">
        <v>432</v>
      </c>
      <c r="C1550" s="28" t="n">
        <v>0</v>
      </c>
      <c r="D1550" s="28" t="n">
        <f aca="false">'○総括　5～6 (メモなし)'!M29</f>
        <v>0</v>
      </c>
      <c r="E1550" s="28" t="n">
        <f aca="false">D1550-N(C1550)</f>
        <v>0</v>
      </c>
      <c r="F1550" s="2" t="str">
        <f aca="false">IF(AND(C1550&lt;&gt;"",ROUND(E1550,2)=0),"一致",IF(G1550&lt;&gt;"","変更（意図的）","★相違"))</f>
        <v>一致</v>
      </c>
      <c r="G1550" s="2"/>
    </row>
    <row r="1551" customFormat="false" ht="15" hidden="false" customHeight="false" outlineLevel="0" collapsed="false">
      <c r="A1551" s="2" t="s">
        <v>1079</v>
      </c>
      <c r="B1551" s="27" t="s">
        <v>684</v>
      </c>
      <c r="C1551" s="28" t="n">
        <v>0</v>
      </c>
      <c r="D1551" s="28" t="n">
        <f aca="false">'○総括　5～6 (メモなし)'!P29</f>
        <v>0</v>
      </c>
      <c r="E1551" s="28" t="n">
        <f aca="false">D1551-N(C1551)</f>
        <v>0</v>
      </c>
      <c r="F1551" s="2" t="str">
        <f aca="false">IF(AND(C1551&lt;&gt;"",ROUND(E1551,2)=0),"一致",IF(G1551&lt;&gt;"","変更（意図的）","★相違"))</f>
        <v>一致</v>
      </c>
      <c r="G1551" s="2"/>
    </row>
    <row r="1552" customFormat="false" ht="15" hidden="false" customHeight="false" outlineLevel="0" collapsed="false">
      <c r="A1552" s="2" t="s">
        <v>1079</v>
      </c>
      <c r="B1552" s="27" t="s">
        <v>685</v>
      </c>
      <c r="C1552" s="28" t="n">
        <v>0</v>
      </c>
      <c r="D1552" s="28" t="n">
        <f aca="false">'○総括　5～6 (メモなし)'!S29</f>
        <v>0</v>
      </c>
      <c r="E1552" s="28" t="n">
        <f aca="false">D1552-N(C1552)</f>
        <v>0</v>
      </c>
      <c r="F1552" s="2" t="str">
        <f aca="false">IF(AND(C1552&lt;&gt;"",ROUND(E1552,2)=0),"一致",IF(G1552&lt;&gt;"","変更（意図的）","★相違"))</f>
        <v>一致</v>
      </c>
      <c r="G1552" s="2"/>
    </row>
    <row r="1553" customFormat="false" ht="15" hidden="false" customHeight="false" outlineLevel="0" collapsed="false">
      <c r="A1553" s="2" t="s">
        <v>1079</v>
      </c>
      <c r="B1553" s="27" t="s">
        <v>960</v>
      </c>
      <c r="C1553" s="28" t="n">
        <v>596910377</v>
      </c>
      <c r="D1553" s="28" t="n">
        <f aca="false">'○総括　5～6 (メモなし)'!E30</f>
        <v>596910377</v>
      </c>
      <c r="E1553" s="28" t="n">
        <f aca="false">D1553-N(C1553)</f>
        <v>0</v>
      </c>
      <c r="F1553" s="2" t="str">
        <f aca="false">IF(AND(C1553&lt;&gt;"",ROUND(E1553,2)=0),"一致",IF(G1553&lt;&gt;"","変更（意図的）","★相違"))</f>
        <v>一致</v>
      </c>
      <c r="G1553" s="2"/>
    </row>
    <row r="1554" customFormat="false" ht="15" hidden="false" customHeight="false" outlineLevel="0" collapsed="false">
      <c r="A1554" s="2" t="s">
        <v>1079</v>
      </c>
      <c r="B1554" s="27" t="s">
        <v>686</v>
      </c>
      <c r="C1554" s="28" t="n">
        <v>577150282</v>
      </c>
      <c r="D1554" s="28" t="n">
        <f aca="false">'○総括　5～6 (メモなし)'!F30</f>
        <v>577150282</v>
      </c>
      <c r="E1554" s="28" t="n">
        <f aca="false">D1554-N(C1554)</f>
        <v>0</v>
      </c>
      <c r="F1554" s="2" t="str">
        <f aca="false">IF(AND(C1554&lt;&gt;"",ROUND(E1554,2)=0),"一致",IF(G1554&lt;&gt;"","変更（意図的）","★相違"))</f>
        <v>一致</v>
      </c>
      <c r="G1554" s="2"/>
    </row>
    <row r="1555" customFormat="false" ht="15" hidden="false" customHeight="false" outlineLevel="0" collapsed="false">
      <c r="A1555" s="2" t="s">
        <v>1079</v>
      </c>
      <c r="B1555" s="27" t="s">
        <v>687</v>
      </c>
      <c r="C1555" s="28" t="n">
        <v>19760095</v>
      </c>
      <c r="D1555" s="28" t="n">
        <f aca="false">'○総括　5～6 (メモなし)'!G30</f>
        <v>19760095</v>
      </c>
      <c r="E1555" s="28" t="n">
        <f aca="false">D1555-N(C1555)</f>
        <v>0</v>
      </c>
      <c r="F1555" s="2" t="str">
        <f aca="false">IF(AND(C1555&lt;&gt;"",ROUND(E1555,2)=0),"一致",IF(G1555&lt;&gt;"","変更（意図的）","★相違"))</f>
        <v>一致</v>
      </c>
      <c r="G1555" s="2"/>
    </row>
    <row r="1556" customFormat="false" ht="15" hidden="false" customHeight="false" outlineLevel="0" collapsed="false">
      <c r="A1556" s="2" t="s">
        <v>1079</v>
      </c>
      <c r="B1556" s="27" t="s">
        <v>437</v>
      </c>
      <c r="C1556" s="28" t="n">
        <v>0</v>
      </c>
      <c r="D1556" s="28" t="n">
        <f aca="false">'○総括　5～6 (メモなし)'!M30</f>
        <v>0</v>
      </c>
      <c r="E1556" s="28" t="n">
        <f aca="false">D1556-N(C1556)</f>
        <v>0</v>
      </c>
      <c r="F1556" s="2" t="str">
        <f aca="false">IF(AND(C1556&lt;&gt;"",ROUND(E1556,2)=0),"一致",IF(G1556&lt;&gt;"","変更（意図的）","★相違"))</f>
        <v>一致</v>
      </c>
      <c r="G1556" s="2"/>
    </row>
    <row r="1557" customFormat="false" ht="15" hidden="false" customHeight="false" outlineLevel="0" collapsed="false">
      <c r="A1557" s="2" t="s">
        <v>1079</v>
      </c>
      <c r="B1557" s="27" t="s">
        <v>688</v>
      </c>
      <c r="C1557" s="28" t="n">
        <v>0</v>
      </c>
      <c r="D1557" s="28" t="n">
        <f aca="false">'○総括　5～6 (メモなし)'!P30</f>
        <v>0</v>
      </c>
      <c r="E1557" s="28" t="n">
        <f aca="false">D1557-N(C1557)</f>
        <v>0</v>
      </c>
      <c r="F1557" s="2" t="str">
        <f aca="false">IF(AND(C1557&lt;&gt;"",ROUND(E1557,2)=0),"一致",IF(G1557&lt;&gt;"","変更（意図的）","★相違"))</f>
        <v>一致</v>
      </c>
      <c r="G1557" s="2"/>
    </row>
    <row r="1558" customFormat="false" ht="15" hidden="false" customHeight="false" outlineLevel="0" collapsed="false">
      <c r="A1558" s="2" t="s">
        <v>1079</v>
      </c>
      <c r="B1558" s="27" t="s">
        <v>689</v>
      </c>
      <c r="C1558" s="28" t="n">
        <v>0</v>
      </c>
      <c r="D1558" s="28" t="n">
        <f aca="false">'○総括　5～6 (メモなし)'!S30</f>
        <v>0</v>
      </c>
      <c r="E1558" s="28" t="n">
        <f aca="false">D1558-N(C1558)</f>
        <v>0</v>
      </c>
      <c r="F1558" s="2" t="str">
        <f aca="false">IF(AND(C1558&lt;&gt;"",ROUND(E1558,2)=0),"一致",IF(G1558&lt;&gt;"","変更（意図的）","★相違"))</f>
        <v>一致</v>
      </c>
      <c r="G1558" s="2"/>
    </row>
    <row r="1559" customFormat="false" ht="15" hidden="false" customHeight="false" outlineLevel="0" collapsed="false">
      <c r="A1559" s="2" t="s">
        <v>1079</v>
      </c>
      <c r="B1559" s="27" t="s">
        <v>967</v>
      </c>
      <c r="C1559" s="28" t="n">
        <v>0</v>
      </c>
      <c r="D1559" s="28" t="n">
        <f aca="false">'○総括　5～6 (メモなし)'!E31</f>
        <v>0</v>
      </c>
      <c r="E1559" s="28" t="n">
        <f aca="false">D1559-N(C1559)</f>
        <v>0</v>
      </c>
      <c r="F1559" s="2" t="str">
        <f aca="false">IF(AND(C1559&lt;&gt;"",ROUND(E1559,2)=0),"一致",IF(G1559&lt;&gt;"","変更（意図的）","★相違"))</f>
        <v>一致</v>
      </c>
      <c r="G1559" s="2"/>
    </row>
    <row r="1560" customFormat="false" ht="15" hidden="false" customHeight="false" outlineLevel="0" collapsed="false">
      <c r="A1560" s="2" t="s">
        <v>1079</v>
      </c>
      <c r="B1560" s="27" t="s">
        <v>690</v>
      </c>
      <c r="C1560" s="28" t="n">
        <v>0</v>
      </c>
      <c r="D1560" s="28" t="n">
        <f aca="false">'○総括　5～6 (メモなし)'!F31</f>
        <v>0</v>
      </c>
      <c r="E1560" s="28" t="n">
        <f aca="false">D1560-N(C1560)</f>
        <v>0</v>
      </c>
      <c r="F1560" s="2" t="str">
        <f aca="false">IF(AND(C1560&lt;&gt;"",ROUND(E1560,2)=0),"一致",IF(G1560&lt;&gt;"","変更（意図的）","★相違"))</f>
        <v>一致</v>
      </c>
      <c r="G1560" s="2"/>
    </row>
    <row r="1561" customFormat="false" ht="15" hidden="false" customHeight="false" outlineLevel="0" collapsed="false">
      <c r="A1561" s="2" t="s">
        <v>1079</v>
      </c>
      <c r="B1561" s="27" t="s">
        <v>298</v>
      </c>
      <c r="C1561" s="28" t="n">
        <v>0</v>
      </c>
      <c r="D1561" s="28" t="n">
        <f aca="false">'○総括　5～6 (メモなし)'!G31</f>
        <v>0</v>
      </c>
      <c r="E1561" s="28" t="n">
        <f aca="false">D1561-N(C1561)</f>
        <v>0</v>
      </c>
      <c r="F1561" s="2" t="str">
        <f aca="false">IF(AND(C1561&lt;&gt;"",ROUND(E1561,2)=0),"一致",IF(G1561&lt;&gt;"","変更（意図的）","★相違"))</f>
        <v>一致</v>
      </c>
      <c r="G1561" s="2"/>
    </row>
    <row r="1562" customFormat="false" ht="15" hidden="false" customHeight="false" outlineLevel="0" collapsed="false">
      <c r="A1562" s="2" t="s">
        <v>1079</v>
      </c>
      <c r="B1562" s="27" t="s">
        <v>442</v>
      </c>
      <c r="C1562" s="28" t="n">
        <v>0</v>
      </c>
      <c r="D1562" s="28" t="n">
        <f aca="false">'○総括　5～6 (メモなし)'!M31</f>
        <v>0</v>
      </c>
      <c r="E1562" s="28" t="n">
        <f aca="false">D1562-N(C1562)</f>
        <v>0</v>
      </c>
      <c r="F1562" s="2" t="str">
        <f aca="false">IF(AND(C1562&lt;&gt;"",ROUND(E1562,2)=0),"一致",IF(G1562&lt;&gt;"","変更（意図的）","★相違"))</f>
        <v>一致</v>
      </c>
      <c r="G1562" s="2"/>
    </row>
    <row r="1563" customFormat="false" ht="15" hidden="false" customHeight="false" outlineLevel="0" collapsed="false">
      <c r="A1563" s="2" t="s">
        <v>1079</v>
      </c>
      <c r="B1563" s="27" t="s">
        <v>691</v>
      </c>
      <c r="C1563" s="28" t="n">
        <v>0</v>
      </c>
      <c r="D1563" s="28" t="n">
        <f aca="false">'○総括　5～6 (メモなし)'!P31</f>
        <v>0</v>
      </c>
      <c r="E1563" s="28" t="n">
        <f aca="false">D1563-N(C1563)</f>
        <v>0</v>
      </c>
      <c r="F1563" s="2" t="str">
        <f aca="false">IF(AND(C1563&lt;&gt;"",ROUND(E1563,2)=0),"一致",IF(G1563&lt;&gt;"","変更（意図的）","★相違"))</f>
        <v>一致</v>
      </c>
      <c r="G1563" s="2"/>
    </row>
    <row r="1564" customFormat="false" ht="15" hidden="false" customHeight="false" outlineLevel="0" collapsed="false">
      <c r="A1564" s="2" t="s">
        <v>1079</v>
      </c>
      <c r="B1564" s="27" t="s">
        <v>692</v>
      </c>
      <c r="C1564" s="28" t="n">
        <v>0</v>
      </c>
      <c r="D1564" s="28" t="n">
        <f aca="false">'○総括　5～6 (メモなし)'!S31</f>
        <v>0</v>
      </c>
      <c r="E1564" s="28" t="n">
        <f aca="false">D1564-N(C1564)</f>
        <v>0</v>
      </c>
      <c r="F1564" s="2" t="str">
        <f aca="false">IF(AND(C1564&lt;&gt;"",ROUND(E1564,2)=0),"一致",IF(G1564&lt;&gt;"","変更（意図的）","★相違"))</f>
        <v>一致</v>
      </c>
      <c r="G1564" s="2"/>
    </row>
    <row r="1565" customFormat="false" ht="15" hidden="false" customHeight="false" outlineLevel="0" collapsed="false">
      <c r="A1565" s="2" t="s">
        <v>1079</v>
      </c>
      <c r="B1565" s="27" t="s">
        <v>974</v>
      </c>
      <c r="C1565" s="28" t="n">
        <v>36121513</v>
      </c>
      <c r="D1565" s="28" t="n">
        <f aca="false">'○総括　5～6 (メモなし)'!E32</f>
        <v>36121513</v>
      </c>
      <c r="E1565" s="28" t="n">
        <f aca="false">D1565-N(C1565)</f>
        <v>0</v>
      </c>
      <c r="F1565" s="2" t="str">
        <f aca="false">IF(AND(C1565&lt;&gt;"",ROUND(E1565,2)=0),"一致",IF(G1565&lt;&gt;"","変更（意図的）","★相違"))</f>
        <v>一致</v>
      </c>
      <c r="G1565" s="2"/>
    </row>
    <row r="1566" customFormat="false" ht="15" hidden="false" customHeight="false" outlineLevel="0" collapsed="false">
      <c r="A1566" s="2" t="s">
        <v>1079</v>
      </c>
      <c r="B1566" s="27" t="s">
        <v>693</v>
      </c>
      <c r="C1566" s="28" t="n">
        <v>41107601</v>
      </c>
      <c r="D1566" s="28" t="n">
        <f aca="false">'○総括　5～6 (メモなし)'!F32</f>
        <v>41107601</v>
      </c>
      <c r="E1566" s="28" t="n">
        <f aca="false">D1566-N(C1566)</f>
        <v>0</v>
      </c>
      <c r="F1566" s="2" t="str">
        <f aca="false">IF(AND(C1566&lt;&gt;"",ROUND(E1566,2)=0),"一致",IF(G1566&lt;&gt;"","変更（意図的）","★相違"))</f>
        <v>一致</v>
      </c>
      <c r="G1566" s="2"/>
    </row>
    <row r="1567" customFormat="false" ht="15" hidden="false" customHeight="false" outlineLevel="0" collapsed="false">
      <c r="A1567" s="2" t="s">
        <v>1079</v>
      </c>
      <c r="B1567" s="27" t="s">
        <v>299</v>
      </c>
      <c r="C1567" s="28" t="n">
        <v>-4986088</v>
      </c>
      <c r="D1567" s="28" t="n">
        <f aca="false">'○総括　5～6 (メモなし)'!G32</f>
        <v>-4986088</v>
      </c>
      <c r="E1567" s="28" t="n">
        <f aca="false">D1567-N(C1567)</f>
        <v>0</v>
      </c>
      <c r="F1567" s="2" t="str">
        <f aca="false">IF(AND(C1567&lt;&gt;"",ROUND(E1567,2)=0),"一致",IF(G1567&lt;&gt;"","変更（意図的）","★相違"))</f>
        <v>一致</v>
      </c>
      <c r="G1567" s="2"/>
    </row>
    <row r="1568" customFormat="false" ht="15" hidden="false" customHeight="false" outlineLevel="0" collapsed="false">
      <c r="A1568" s="2" t="s">
        <v>1079</v>
      </c>
      <c r="B1568" s="27" t="s">
        <v>447</v>
      </c>
      <c r="C1568" s="28" t="n">
        <v>0</v>
      </c>
      <c r="D1568" s="28" t="n">
        <f aca="false">'○総括　5～6 (メモなし)'!M32</f>
        <v>0</v>
      </c>
      <c r="E1568" s="28" t="n">
        <f aca="false">D1568-N(C1568)</f>
        <v>0</v>
      </c>
      <c r="F1568" s="2" t="str">
        <f aca="false">IF(AND(C1568&lt;&gt;"",ROUND(E1568,2)=0),"一致",IF(G1568&lt;&gt;"","変更（意図的）","★相違"))</f>
        <v>一致</v>
      </c>
      <c r="G1568" s="2"/>
    </row>
    <row r="1569" customFormat="false" ht="15" hidden="false" customHeight="false" outlineLevel="0" collapsed="false">
      <c r="A1569" s="2" t="s">
        <v>1079</v>
      </c>
      <c r="B1569" s="27" t="s">
        <v>694</v>
      </c>
      <c r="C1569" s="28" t="n">
        <v>0</v>
      </c>
      <c r="D1569" s="28" t="n">
        <f aca="false">'○総括　5～6 (メモなし)'!P32</f>
        <v>0</v>
      </c>
      <c r="E1569" s="28" t="n">
        <f aca="false">D1569-N(C1569)</f>
        <v>0</v>
      </c>
      <c r="F1569" s="2" t="str">
        <f aca="false">IF(AND(C1569&lt;&gt;"",ROUND(E1569,2)=0),"一致",IF(G1569&lt;&gt;"","変更（意図的）","★相違"))</f>
        <v>一致</v>
      </c>
      <c r="G1569" s="2"/>
    </row>
    <row r="1570" customFormat="false" ht="15" hidden="false" customHeight="false" outlineLevel="0" collapsed="false">
      <c r="A1570" s="2" t="s">
        <v>1079</v>
      </c>
      <c r="B1570" s="27" t="s">
        <v>695</v>
      </c>
      <c r="C1570" s="28" t="n">
        <v>0</v>
      </c>
      <c r="D1570" s="28" t="n">
        <f aca="false">'○総括　5～6 (メモなし)'!S32</f>
        <v>0</v>
      </c>
      <c r="E1570" s="28" t="n">
        <f aca="false">D1570-N(C1570)</f>
        <v>0</v>
      </c>
      <c r="F1570" s="2" t="str">
        <f aca="false">IF(AND(C1570&lt;&gt;"",ROUND(E1570,2)=0),"一致",IF(G1570&lt;&gt;"","変更（意図的）","★相違"))</f>
        <v>一致</v>
      </c>
      <c r="G1570" s="2"/>
    </row>
    <row r="1571" customFormat="false" ht="15" hidden="false" customHeight="false" outlineLevel="0" collapsed="false">
      <c r="A1571" s="2" t="s">
        <v>1079</v>
      </c>
      <c r="B1571" s="27" t="s">
        <v>981</v>
      </c>
      <c r="C1571" s="28" t="n">
        <v>74042318</v>
      </c>
      <c r="D1571" s="28" t="n">
        <f aca="false">'○総括　5～6 (メモなし)'!E33</f>
        <v>74042318</v>
      </c>
      <c r="E1571" s="28" t="n">
        <f aca="false">D1571-N(C1571)</f>
        <v>0</v>
      </c>
      <c r="F1571" s="2" t="str">
        <f aca="false">IF(AND(C1571&lt;&gt;"",ROUND(E1571,2)=0),"一致",IF(G1571&lt;&gt;"","変更（意図的）","★相違"))</f>
        <v>一致</v>
      </c>
      <c r="G1571" s="2"/>
    </row>
    <row r="1572" customFormat="false" ht="15" hidden="false" customHeight="false" outlineLevel="0" collapsed="false">
      <c r="A1572" s="2" t="s">
        <v>1079</v>
      </c>
      <c r="B1572" s="27" t="s">
        <v>696</v>
      </c>
      <c r="C1572" s="28" t="n">
        <v>70781450</v>
      </c>
      <c r="D1572" s="28" t="n">
        <f aca="false">'○総括　5～6 (メモなし)'!F33</f>
        <v>70781450</v>
      </c>
      <c r="E1572" s="28" t="n">
        <f aca="false">D1572-N(C1572)</f>
        <v>0</v>
      </c>
      <c r="F1572" s="2" t="str">
        <f aca="false">IF(AND(C1572&lt;&gt;"",ROUND(E1572,2)=0),"一致",IF(G1572&lt;&gt;"","変更（意図的）","★相違"))</f>
        <v>一致</v>
      </c>
      <c r="G1572" s="2"/>
    </row>
    <row r="1573" customFormat="false" ht="15" hidden="false" customHeight="false" outlineLevel="0" collapsed="false">
      <c r="A1573" s="2" t="s">
        <v>1079</v>
      </c>
      <c r="B1573" s="27" t="s">
        <v>697</v>
      </c>
      <c r="C1573" s="28" t="n">
        <v>3260868</v>
      </c>
      <c r="D1573" s="28" t="n">
        <f aca="false">'○総括　5～6 (メモなし)'!G33</f>
        <v>3260868</v>
      </c>
      <c r="E1573" s="28" t="n">
        <f aca="false">D1573-N(C1573)</f>
        <v>0</v>
      </c>
      <c r="F1573" s="2" t="str">
        <f aca="false">IF(AND(C1573&lt;&gt;"",ROUND(E1573,2)=0),"一致",IF(G1573&lt;&gt;"","変更（意図的）","★相違"))</f>
        <v>一致</v>
      </c>
      <c r="G1573" s="2"/>
    </row>
    <row r="1574" customFormat="false" ht="15" hidden="false" customHeight="false" outlineLevel="0" collapsed="false">
      <c r="A1574" s="2" t="s">
        <v>1079</v>
      </c>
      <c r="B1574" s="27" t="s">
        <v>698</v>
      </c>
      <c r="C1574" s="28" t="n">
        <v>0</v>
      </c>
      <c r="D1574" s="28" t="n">
        <f aca="false">'○総括　5～6 (メモなし)'!M33</f>
        <v>0</v>
      </c>
      <c r="E1574" s="28" t="n">
        <f aca="false">D1574-N(C1574)</f>
        <v>0</v>
      </c>
      <c r="F1574" s="2" t="str">
        <f aca="false">IF(AND(C1574&lt;&gt;"",ROUND(E1574,2)=0),"一致",IF(G1574&lt;&gt;"","変更（意図的）","★相違"))</f>
        <v>一致</v>
      </c>
      <c r="G1574" s="2"/>
    </row>
    <row r="1575" customFormat="false" ht="15" hidden="false" customHeight="false" outlineLevel="0" collapsed="false">
      <c r="A1575" s="2" t="s">
        <v>1079</v>
      </c>
      <c r="B1575" s="27" t="s">
        <v>699</v>
      </c>
      <c r="C1575" s="28" t="n">
        <v>0</v>
      </c>
      <c r="D1575" s="28" t="n">
        <f aca="false">'○総括　5～6 (メモなし)'!P33</f>
        <v>0</v>
      </c>
      <c r="E1575" s="28" t="n">
        <f aca="false">D1575-N(C1575)</f>
        <v>0</v>
      </c>
      <c r="F1575" s="2" t="str">
        <f aca="false">IF(AND(C1575&lt;&gt;"",ROUND(E1575,2)=0),"一致",IF(G1575&lt;&gt;"","変更（意図的）","★相違"))</f>
        <v>一致</v>
      </c>
      <c r="G1575" s="2"/>
    </row>
    <row r="1576" customFormat="false" ht="15" hidden="false" customHeight="false" outlineLevel="0" collapsed="false">
      <c r="A1576" s="2" t="s">
        <v>1079</v>
      </c>
      <c r="B1576" s="27" t="s">
        <v>700</v>
      </c>
      <c r="C1576" s="28" t="n">
        <v>0</v>
      </c>
      <c r="D1576" s="28" t="n">
        <f aca="false">'○総括　5～6 (メモなし)'!S33</f>
        <v>0</v>
      </c>
      <c r="E1576" s="28" t="n">
        <f aca="false">D1576-N(C1576)</f>
        <v>0</v>
      </c>
      <c r="F1576" s="2" t="str">
        <f aca="false">IF(AND(C1576&lt;&gt;"",ROUND(E1576,2)=0),"一致",IF(G1576&lt;&gt;"","変更（意図的）","★相違"))</f>
        <v>一致</v>
      </c>
      <c r="G1576" s="2"/>
    </row>
    <row r="1577" customFormat="false" ht="15" hidden="false" customHeight="false" outlineLevel="0" collapsed="false">
      <c r="A1577" s="2" t="s">
        <v>1079</v>
      </c>
      <c r="B1577" s="27" t="s">
        <v>988</v>
      </c>
      <c r="C1577" s="28" t="n">
        <v>5748963367</v>
      </c>
      <c r="D1577" s="28" t="n">
        <f aca="false">'○総括　5～6 (メモなし)'!E34</f>
        <v>5748963367</v>
      </c>
      <c r="E1577" s="28" t="n">
        <f aca="false">D1577-N(C1577)</f>
        <v>0</v>
      </c>
      <c r="F1577" s="2" t="str">
        <f aca="false">IF(AND(C1577&lt;&gt;"",ROUND(E1577,2)=0),"一致",IF(G1577&lt;&gt;"","変更（意図的）","★相違"))</f>
        <v>一致</v>
      </c>
      <c r="G1577" s="2"/>
    </row>
    <row r="1578" customFormat="false" ht="15" hidden="false" customHeight="false" outlineLevel="0" collapsed="false">
      <c r="A1578" s="2" t="s">
        <v>1079</v>
      </c>
      <c r="B1578" s="27" t="s">
        <v>701</v>
      </c>
      <c r="C1578" s="28" t="n">
        <v>4701751348</v>
      </c>
      <c r="D1578" s="28" t="n">
        <f aca="false">'○総括　5～6 (メモなし)'!F34</f>
        <v>4701751348</v>
      </c>
      <c r="E1578" s="28" t="n">
        <f aca="false">D1578-N(C1578)</f>
        <v>0</v>
      </c>
      <c r="F1578" s="2" t="str">
        <f aca="false">IF(AND(C1578&lt;&gt;"",ROUND(E1578,2)=0),"一致",IF(G1578&lt;&gt;"","変更（意図的）","★相違"))</f>
        <v>一致</v>
      </c>
      <c r="G1578" s="2"/>
    </row>
    <row r="1579" customFormat="false" ht="15" hidden="false" customHeight="false" outlineLevel="0" collapsed="false">
      <c r="A1579" s="2" t="s">
        <v>1079</v>
      </c>
      <c r="B1579" s="27" t="s">
        <v>702</v>
      </c>
      <c r="C1579" s="28" t="n">
        <v>1047212019</v>
      </c>
      <c r="D1579" s="28" t="n">
        <f aca="false">'○総括　5～6 (メモなし)'!G34</f>
        <v>1047212019</v>
      </c>
      <c r="E1579" s="28" t="n">
        <f aca="false">D1579-N(C1579)</f>
        <v>0</v>
      </c>
      <c r="F1579" s="2" t="str">
        <f aca="false">IF(AND(C1579&lt;&gt;"",ROUND(E1579,2)=0),"一致",IF(G1579&lt;&gt;"","変更（意図的）","★相違"))</f>
        <v>一致</v>
      </c>
      <c r="G1579" s="2"/>
    </row>
    <row r="1580" customFormat="false" ht="15" hidden="false" customHeight="false" outlineLevel="0" collapsed="false">
      <c r="A1580" s="2" t="s">
        <v>1079</v>
      </c>
      <c r="B1580" s="27" t="s">
        <v>703</v>
      </c>
      <c r="C1580" s="28" t="n">
        <v>0</v>
      </c>
      <c r="D1580" s="28" t="n">
        <f aca="false">'○総括　5～6 (メモなし)'!M34</f>
        <v>0</v>
      </c>
      <c r="E1580" s="28" t="n">
        <f aca="false">D1580-N(C1580)</f>
        <v>0</v>
      </c>
      <c r="F1580" s="2" t="str">
        <f aca="false">IF(AND(C1580&lt;&gt;"",ROUND(E1580,2)=0),"一致",IF(G1580&lt;&gt;"","変更（意図的）","★相違"))</f>
        <v>一致</v>
      </c>
      <c r="G1580" s="2"/>
    </row>
    <row r="1581" customFormat="false" ht="15" hidden="false" customHeight="false" outlineLevel="0" collapsed="false">
      <c r="A1581" s="2" t="s">
        <v>1079</v>
      </c>
      <c r="B1581" s="27" t="s">
        <v>704</v>
      </c>
      <c r="C1581" s="28" t="n">
        <v>0</v>
      </c>
      <c r="D1581" s="28" t="n">
        <f aca="false">'○総括　5～6 (メモなし)'!P34</f>
        <v>0</v>
      </c>
      <c r="E1581" s="28" t="n">
        <f aca="false">D1581-N(C1581)</f>
        <v>0</v>
      </c>
      <c r="F1581" s="2" t="str">
        <f aca="false">IF(AND(C1581&lt;&gt;"",ROUND(E1581,2)=0),"一致",IF(G1581&lt;&gt;"","変更（意図的）","★相違"))</f>
        <v>一致</v>
      </c>
      <c r="G1581" s="2"/>
    </row>
    <row r="1582" customFormat="false" ht="15" hidden="false" customHeight="false" outlineLevel="0" collapsed="false">
      <c r="A1582" s="2" t="s">
        <v>1079</v>
      </c>
      <c r="B1582" s="27" t="s">
        <v>705</v>
      </c>
      <c r="C1582" s="28" t="n">
        <v>0</v>
      </c>
      <c r="D1582" s="28" t="n">
        <f aca="false">'○総括　5～6 (メモなし)'!S34</f>
        <v>0</v>
      </c>
      <c r="E1582" s="28" t="n">
        <f aca="false">D1582-N(C1582)</f>
        <v>0</v>
      </c>
      <c r="F1582" s="2" t="str">
        <f aca="false">IF(AND(C1582&lt;&gt;"",ROUND(E1582,2)=0),"一致",IF(G1582&lt;&gt;"","変更（意図的）","★相違"))</f>
        <v>一致</v>
      </c>
      <c r="G1582" s="2"/>
    </row>
    <row r="1583" customFormat="false" ht="15" hidden="false" customHeight="false" outlineLevel="0" collapsed="false">
      <c r="A1583" s="2" t="s">
        <v>1079</v>
      </c>
      <c r="B1583" s="27" t="s">
        <v>706</v>
      </c>
      <c r="C1583" s="28" t="n">
        <v>0</v>
      </c>
      <c r="D1583" s="28" t="n">
        <f aca="false">'○総括　5～6 (メモなし)'!G35</f>
        <v>0</v>
      </c>
      <c r="E1583" s="28" t="n">
        <f aca="false">D1583-N(C1583)</f>
        <v>0</v>
      </c>
      <c r="F1583" s="2" t="str">
        <f aca="false">IF(AND(C1583&lt;&gt;"",ROUND(E1583,2)=0),"一致",IF(G1583&lt;&gt;"","変更（意図的）","★相違"))</f>
        <v>一致</v>
      </c>
      <c r="G1583" s="2"/>
    </row>
    <row r="1584" customFormat="false" ht="15" hidden="false" customHeight="false" outlineLevel="0" collapsed="false">
      <c r="A1584" s="2" t="s">
        <v>1079</v>
      </c>
      <c r="B1584" s="27" t="s">
        <v>707</v>
      </c>
      <c r="C1584" s="28" t="n">
        <v>0</v>
      </c>
      <c r="D1584" s="28" t="n">
        <f aca="false">'○総括　5～6 (メモなし)'!M35</f>
        <v>0</v>
      </c>
      <c r="E1584" s="28" t="n">
        <f aca="false">D1584-N(C1584)</f>
        <v>0</v>
      </c>
      <c r="F1584" s="2" t="str">
        <f aca="false">IF(AND(C1584&lt;&gt;"",ROUND(E1584,2)=0),"一致",IF(G1584&lt;&gt;"","変更（意図的）","★相違"))</f>
        <v>一致</v>
      </c>
      <c r="G1584" s="2"/>
    </row>
    <row r="1585" customFormat="false" ht="15" hidden="false" customHeight="false" outlineLevel="0" collapsed="false">
      <c r="A1585" s="2" t="s">
        <v>1079</v>
      </c>
      <c r="B1585" s="27" t="s">
        <v>708</v>
      </c>
      <c r="C1585" s="28" t="n">
        <v>0</v>
      </c>
      <c r="D1585" s="28" t="n">
        <f aca="false">'○総括　5～6 (メモなし)'!P35</f>
        <v>0</v>
      </c>
      <c r="E1585" s="28" t="n">
        <f aca="false">D1585-N(C1585)</f>
        <v>0</v>
      </c>
      <c r="F1585" s="2" t="str">
        <f aca="false">IF(AND(C1585&lt;&gt;"",ROUND(E1585,2)=0),"一致",IF(G1585&lt;&gt;"","変更（意図的）","★相違"))</f>
        <v>一致</v>
      </c>
      <c r="G1585" s="2"/>
    </row>
    <row r="1586" customFormat="false" ht="15" hidden="false" customHeight="false" outlineLevel="0" collapsed="false">
      <c r="A1586" s="2" t="s">
        <v>1079</v>
      </c>
      <c r="B1586" s="27" t="s">
        <v>709</v>
      </c>
      <c r="C1586" s="28" t="n">
        <v>0</v>
      </c>
      <c r="D1586" s="28" t="n">
        <f aca="false">'○総括　5～6 (メモなし)'!S35</f>
        <v>0</v>
      </c>
      <c r="E1586" s="28" t="n">
        <f aca="false">D1586-N(C1586)</f>
        <v>0</v>
      </c>
      <c r="F1586" s="2" t="str">
        <f aca="false">IF(AND(C1586&lt;&gt;"",ROUND(E1586,2)=0),"一致",IF(G1586&lt;&gt;"","変更（意図的）","★相違"))</f>
        <v>一致</v>
      </c>
      <c r="G1586" s="2"/>
    </row>
    <row r="1587" customFormat="false" ht="15" hidden="false" customHeight="false" outlineLevel="0" collapsed="false">
      <c r="A1587" s="2" t="s">
        <v>1079</v>
      </c>
      <c r="B1587" s="27" t="s">
        <v>710</v>
      </c>
      <c r="C1587" s="28" t="n">
        <v>0</v>
      </c>
      <c r="D1587" s="28" t="n">
        <f aca="false">'○総括　5～6 (メモなし)'!G36</f>
        <v>0</v>
      </c>
      <c r="E1587" s="28" t="n">
        <f aca="false">D1587-N(C1587)</f>
        <v>0</v>
      </c>
      <c r="F1587" s="2" t="str">
        <f aca="false">IF(AND(C1587&lt;&gt;"",ROUND(E1587,2)=0),"一致",IF(G1587&lt;&gt;"","変更（意図的）","★相違"))</f>
        <v>一致</v>
      </c>
      <c r="G1587" s="2"/>
    </row>
    <row r="1588" customFormat="false" ht="15" hidden="false" customHeight="false" outlineLevel="0" collapsed="false">
      <c r="A1588" s="2" t="s">
        <v>1079</v>
      </c>
      <c r="B1588" s="27" t="s">
        <v>265</v>
      </c>
      <c r="C1588" s="28" t="n">
        <v>5516016459</v>
      </c>
      <c r="D1588" s="28" t="n">
        <f aca="false">'○総括　5～6 (メモなし)'!H36</f>
        <v>5516016459</v>
      </c>
      <c r="E1588" s="28" t="n">
        <f aca="false">D1588-N(C1588)</f>
        <v>0</v>
      </c>
      <c r="F1588" s="2" t="str">
        <f aca="false">IF(AND(C1588&lt;&gt;"",ROUND(E1588,2)=0),"一致",IF(G1588&lt;&gt;"","変更（意図的）","★相違"))</f>
        <v>一致</v>
      </c>
      <c r="G1588" s="2"/>
    </row>
    <row r="1589" customFormat="false" ht="15" hidden="false" customHeight="false" outlineLevel="0" collapsed="false">
      <c r="A1589" s="2" t="s">
        <v>1079</v>
      </c>
      <c r="B1589" s="27" t="s">
        <v>711</v>
      </c>
      <c r="C1589" s="28" t="n">
        <v>10787321768</v>
      </c>
      <c r="D1589" s="28" t="n">
        <f aca="false">'○総括　5～6 (メモなし)'!I36</f>
        <v>10787321768</v>
      </c>
      <c r="E1589" s="28" t="n">
        <f aca="false">D1589-N(C1589)</f>
        <v>0</v>
      </c>
      <c r="F1589" s="2" t="str">
        <f aca="false">IF(AND(C1589&lt;&gt;"",ROUND(E1589,2)=0),"一致",IF(G1589&lt;&gt;"","変更（意図的）","★相違"))</f>
        <v>一致</v>
      </c>
      <c r="G1589" s="2"/>
    </row>
    <row r="1590" customFormat="false" ht="15" hidden="false" customHeight="false" outlineLevel="0" collapsed="false">
      <c r="A1590" s="2" t="s">
        <v>1079</v>
      </c>
      <c r="B1590" s="27" t="s">
        <v>712</v>
      </c>
      <c r="C1590" s="28" t="n">
        <v>-5271305309</v>
      </c>
      <c r="D1590" s="28" t="n">
        <f aca="false">'○総括　5～6 (メモなし)'!J36</f>
        <v>-5271305309</v>
      </c>
      <c r="E1590" s="28" t="n">
        <f aca="false">D1590-N(C1590)</f>
        <v>0</v>
      </c>
      <c r="F1590" s="2" t="str">
        <f aca="false">IF(AND(C1590&lt;&gt;"",ROUND(E1590,2)=0),"一致",IF(G1590&lt;&gt;"","変更（意図的）","★相違"))</f>
        <v>一致</v>
      </c>
      <c r="G1590" s="2"/>
    </row>
    <row r="1591" customFormat="false" ht="15" hidden="false" customHeight="false" outlineLevel="0" collapsed="false">
      <c r="A1591" s="2" t="s">
        <v>1079</v>
      </c>
      <c r="B1591" s="27" t="s">
        <v>713</v>
      </c>
      <c r="C1591" s="28" t="n">
        <v>0</v>
      </c>
      <c r="D1591" s="28" t="n">
        <f aca="false">'○総括　5～6 (メモなし)'!M36</f>
        <v>0</v>
      </c>
      <c r="E1591" s="28" t="n">
        <f aca="false">D1591-N(C1591)</f>
        <v>0</v>
      </c>
      <c r="F1591" s="2" t="str">
        <f aca="false">IF(AND(C1591&lt;&gt;"",ROUND(E1591,2)=0),"一致",IF(G1591&lt;&gt;"","変更（意図的）","★相違"))</f>
        <v>一致</v>
      </c>
      <c r="G1591" s="2"/>
    </row>
    <row r="1592" customFormat="false" ht="15" hidden="false" customHeight="false" outlineLevel="0" collapsed="false">
      <c r="A1592" s="2" t="s">
        <v>1079</v>
      </c>
      <c r="B1592" s="27" t="s">
        <v>714</v>
      </c>
      <c r="C1592" s="28" t="n">
        <v>0</v>
      </c>
      <c r="D1592" s="28" t="n">
        <f aca="false">'○総括　5～6 (メモなし)'!P36</f>
        <v>0</v>
      </c>
      <c r="E1592" s="28" t="n">
        <f aca="false">D1592-N(C1592)</f>
        <v>0</v>
      </c>
      <c r="F1592" s="2" t="str">
        <f aca="false">IF(AND(C1592&lt;&gt;"",ROUND(E1592,2)=0),"一致",IF(G1592&lt;&gt;"","変更（意図的）","★相違"))</f>
        <v>一致</v>
      </c>
      <c r="G1592" s="2"/>
    </row>
    <row r="1593" customFormat="false" ht="15" hidden="false" customHeight="false" outlineLevel="0" collapsed="false">
      <c r="A1593" s="2" t="s">
        <v>1079</v>
      </c>
      <c r="B1593" s="27" t="s">
        <v>715</v>
      </c>
      <c r="C1593" s="28" t="n">
        <v>0</v>
      </c>
      <c r="D1593" s="28" t="n">
        <f aca="false">'○総括　5～6 (メモなし)'!S36</f>
        <v>0</v>
      </c>
      <c r="E1593" s="28" t="n">
        <f aca="false">D1593-N(C1593)</f>
        <v>0</v>
      </c>
      <c r="F1593" s="2" t="str">
        <f aca="false">IF(AND(C1593&lt;&gt;"",ROUND(E1593,2)=0),"一致",IF(G1593&lt;&gt;"","変更（意図的）","★相違"))</f>
        <v>一致</v>
      </c>
      <c r="G1593" s="2"/>
    </row>
    <row r="1594" customFormat="false" ht="15" hidden="false" customHeight="false" outlineLevel="0" collapsed="false">
      <c r="A1594" s="2" t="s">
        <v>1079</v>
      </c>
      <c r="B1594" s="27" t="s">
        <v>266</v>
      </c>
      <c r="C1594" s="28" t="n">
        <v>0</v>
      </c>
      <c r="D1594" s="28" t="n">
        <f aca="false">'○総括　5～6 (メモなし)'!G37</f>
        <v>0</v>
      </c>
      <c r="E1594" s="28" t="n">
        <f aca="false">D1594-N(C1594)</f>
        <v>0</v>
      </c>
      <c r="F1594" s="2" t="str">
        <f aca="false">IF(AND(C1594&lt;&gt;"",ROUND(E1594,2)=0),"一致",IF(G1594&lt;&gt;"","変更（意図的）","★相違"))</f>
        <v>一致</v>
      </c>
      <c r="G1594" s="2"/>
    </row>
    <row r="1595" customFormat="false" ht="15" hidden="false" customHeight="false" outlineLevel="0" collapsed="false">
      <c r="A1595" s="2" t="s">
        <v>1079</v>
      </c>
      <c r="B1595" s="27" t="s">
        <v>716</v>
      </c>
      <c r="C1595" s="28" t="n">
        <v>45220684</v>
      </c>
      <c r="D1595" s="28" t="n">
        <f aca="false">'○総括　5～6 (メモなし)'!H37</f>
        <v>45220684</v>
      </c>
      <c r="E1595" s="28" t="n">
        <f aca="false">D1595-N(C1595)</f>
        <v>0</v>
      </c>
      <c r="F1595" s="2" t="str">
        <f aca="false">IF(AND(C1595&lt;&gt;"",ROUND(E1595,2)=0),"一致",IF(G1595&lt;&gt;"","変更（意図的）","★相違"))</f>
        <v>一致</v>
      </c>
      <c r="G1595" s="2"/>
    </row>
    <row r="1596" customFormat="false" ht="15" hidden="false" customHeight="false" outlineLevel="0" collapsed="false">
      <c r="A1596" s="2" t="s">
        <v>1079</v>
      </c>
      <c r="B1596" s="27" t="s">
        <v>717</v>
      </c>
      <c r="C1596" s="28" t="n">
        <v>87548431</v>
      </c>
      <c r="D1596" s="28" t="n">
        <f aca="false">'○総括　5～6 (メモなし)'!I37</f>
        <v>87548431</v>
      </c>
      <c r="E1596" s="28" t="n">
        <f aca="false">D1596-N(C1596)</f>
        <v>0</v>
      </c>
      <c r="F1596" s="2" t="str">
        <f aca="false">IF(AND(C1596&lt;&gt;"",ROUND(E1596,2)=0),"一致",IF(G1596&lt;&gt;"","変更（意図的）","★相違"))</f>
        <v>一致</v>
      </c>
      <c r="G1596" s="2"/>
    </row>
    <row r="1597" customFormat="false" ht="15" hidden="false" customHeight="false" outlineLevel="0" collapsed="false">
      <c r="A1597" s="2" t="s">
        <v>1079</v>
      </c>
      <c r="B1597" s="27" t="s">
        <v>718</v>
      </c>
      <c r="C1597" s="28" t="n">
        <v>-42327747</v>
      </c>
      <c r="D1597" s="28" t="n">
        <f aca="false">'○総括　5～6 (メモなし)'!J37</f>
        <v>-42327747</v>
      </c>
      <c r="E1597" s="28" t="n">
        <f aca="false">D1597-N(C1597)</f>
        <v>0</v>
      </c>
      <c r="F1597" s="2" t="str">
        <f aca="false">IF(AND(C1597&lt;&gt;"",ROUND(E1597,2)=0),"一致",IF(G1597&lt;&gt;"","変更（意図的）","★相違"))</f>
        <v>一致</v>
      </c>
      <c r="G1597" s="2"/>
    </row>
    <row r="1598" customFormat="false" ht="15" hidden="false" customHeight="false" outlineLevel="0" collapsed="false">
      <c r="A1598" s="2" t="s">
        <v>1079</v>
      </c>
      <c r="B1598" s="27" t="s">
        <v>719</v>
      </c>
      <c r="C1598" s="28" t="n">
        <v>0</v>
      </c>
      <c r="D1598" s="28" t="n">
        <f aca="false">'○総括　5～6 (メモなし)'!M37</f>
        <v>0</v>
      </c>
      <c r="E1598" s="28" t="n">
        <f aca="false">D1598-N(C1598)</f>
        <v>0</v>
      </c>
      <c r="F1598" s="2" t="str">
        <f aca="false">IF(AND(C1598&lt;&gt;"",ROUND(E1598,2)=0),"一致",IF(G1598&lt;&gt;"","変更（意図的）","★相違"))</f>
        <v>一致</v>
      </c>
      <c r="G1598" s="2"/>
    </row>
    <row r="1599" customFormat="false" ht="15" hidden="false" customHeight="false" outlineLevel="0" collapsed="false">
      <c r="A1599" s="2" t="s">
        <v>1079</v>
      </c>
      <c r="B1599" s="27" t="s">
        <v>720</v>
      </c>
      <c r="C1599" s="28" t="n">
        <v>0</v>
      </c>
      <c r="D1599" s="28" t="n">
        <f aca="false">'○総括　5～6 (メモなし)'!P37</f>
        <v>0</v>
      </c>
      <c r="E1599" s="28" t="n">
        <f aca="false">D1599-N(C1599)</f>
        <v>0</v>
      </c>
      <c r="F1599" s="2" t="str">
        <f aca="false">IF(AND(C1599&lt;&gt;"",ROUND(E1599,2)=0),"一致",IF(G1599&lt;&gt;"","変更（意図的）","★相違"))</f>
        <v>一致</v>
      </c>
      <c r="G1599" s="2"/>
    </row>
    <row r="1600" customFormat="false" ht="15" hidden="false" customHeight="false" outlineLevel="0" collapsed="false">
      <c r="A1600" s="2" t="s">
        <v>1079</v>
      </c>
      <c r="B1600" s="27" t="s">
        <v>721</v>
      </c>
      <c r="C1600" s="28" t="n">
        <v>0</v>
      </c>
      <c r="D1600" s="28" t="n">
        <f aca="false">'○総括　5～6 (メモなし)'!S37</f>
        <v>0</v>
      </c>
      <c r="E1600" s="28" t="n">
        <f aca="false">D1600-N(C1600)</f>
        <v>0</v>
      </c>
      <c r="F1600" s="2" t="str">
        <f aca="false">IF(AND(C1600&lt;&gt;"",ROUND(E1600,2)=0),"一致",IF(G1600&lt;&gt;"","変更（意図的）","★相違"))</f>
        <v>一致</v>
      </c>
      <c r="G1600" s="2"/>
    </row>
    <row r="1601" customFormat="false" ht="15" hidden="false" customHeight="false" outlineLevel="0" collapsed="false">
      <c r="A1601" s="2" t="s">
        <v>1079</v>
      </c>
      <c r="B1601" s="27" t="s">
        <v>300</v>
      </c>
      <c r="C1601" s="28" t="n">
        <v>0</v>
      </c>
      <c r="D1601" s="28" t="n">
        <f aca="false">'○総括　5～6 (メモなし)'!G38</f>
        <v>0</v>
      </c>
      <c r="E1601" s="28" t="n">
        <f aca="false">D1601-N(C1601)</f>
        <v>0</v>
      </c>
      <c r="F1601" s="2" t="str">
        <f aca="false">IF(AND(C1601&lt;&gt;"",ROUND(E1601,2)=0),"一致",IF(G1601&lt;&gt;"","変更（意図的）","★相違"))</f>
        <v>一致</v>
      </c>
      <c r="G1601" s="2"/>
    </row>
    <row r="1602" customFormat="false" ht="15" hidden="false" customHeight="false" outlineLevel="0" collapsed="false">
      <c r="A1602" s="2" t="s">
        <v>1079</v>
      </c>
      <c r="B1602" s="27" t="s">
        <v>722</v>
      </c>
      <c r="C1602" s="28" t="n">
        <v>995045755</v>
      </c>
      <c r="D1602" s="28" t="n">
        <f aca="false">'○総括　5～6 (メモなし)'!H38</f>
        <v>995045755</v>
      </c>
      <c r="E1602" s="28" t="n">
        <f aca="false">D1602-N(C1602)</f>
        <v>0</v>
      </c>
      <c r="F1602" s="2" t="str">
        <f aca="false">IF(AND(C1602&lt;&gt;"",ROUND(E1602,2)=0),"一致",IF(G1602&lt;&gt;"","変更（意図的）","★相違"))</f>
        <v>一致</v>
      </c>
      <c r="G1602" s="2"/>
    </row>
    <row r="1603" customFormat="false" ht="15" hidden="false" customHeight="false" outlineLevel="0" collapsed="false">
      <c r="A1603" s="2" t="s">
        <v>1079</v>
      </c>
      <c r="B1603" s="27" t="s">
        <v>723</v>
      </c>
      <c r="C1603" s="28" t="n">
        <v>2016533515</v>
      </c>
      <c r="D1603" s="28" t="n">
        <f aca="false">'○総括　5～6 (メモなし)'!I38</f>
        <v>2016533515</v>
      </c>
      <c r="E1603" s="28" t="n">
        <f aca="false">D1603-N(C1603)</f>
        <v>0</v>
      </c>
      <c r="F1603" s="2" t="str">
        <f aca="false">IF(AND(C1603&lt;&gt;"",ROUND(E1603,2)=0),"一致",IF(G1603&lt;&gt;"","変更（意図的）","★相違"))</f>
        <v>一致</v>
      </c>
      <c r="G1603" s="2"/>
    </row>
    <row r="1604" customFormat="false" ht="15" hidden="false" customHeight="false" outlineLevel="0" collapsed="false">
      <c r="A1604" s="2" t="s">
        <v>1079</v>
      </c>
      <c r="B1604" s="27" t="s">
        <v>724</v>
      </c>
      <c r="C1604" s="28" t="n">
        <v>-1021487760</v>
      </c>
      <c r="D1604" s="28" t="n">
        <f aca="false">'○総括　5～6 (メモなし)'!J38</f>
        <v>-1021487760</v>
      </c>
      <c r="E1604" s="28" t="n">
        <f aca="false">D1604-N(C1604)</f>
        <v>0</v>
      </c>
      <c r="F1604" s="2" t="str">
        <f aca="false">IF(AND(C1604&lt;&gt;"",ROUND(E1604,2)=0),"一致",IF(G1604&lt;&gt;"","変更（意図的）","★相違"))</f>
        <v>一致</v>
      </c>
      <c r="G1604" s="2"/>
    </row>
    <row r="1605" customFormat="false" ht="15" hidden="false" customHeight="false" outlineLevel="0" collapsed="false">
      <c r="A1605" s="2" t="s">
        <v>1079</v>
      </c>
      <c r="B1605" s="27" t="s">
        <v>725</v>
      </c>
      <c r="C1605" s="28" t="n">
        <v>0</v>
      </c>
      <c r="D1605" s="28" t="n">
        <f aca="false">'○総括　5～6 (メモなし)'!M38</f>
        <v>0</v>
      </c>
      <c r="E1605" s="28" t="n">
        <f aca="false">D1605-N(C1605)</f>
        <v>0</v>
      </c>
      <c r="F1605" s="2" t="str">
        <f aca="false">IF(AND(C1605&lt;&gt;"",ROUND(E1605,2)=0),"一致",IF(G1605&lt;&gt;"","変更（意図的）","★相違"))</f>
        <v>一致</v>
      </c>
      <c r="G1605" s="2"/>
    </row>
    <row r="1606" customFormat="false" ht="15" hidden="false" customHeight="false" outlineLevel="0" collapsed="false">
      <c r="A1606" s="2" t="s">
        <v>1079</v>
      </c>
      <c r="B1606" s="27" t="s">
        <v>726</v>
      </c>
      <c r="C1606" s="28" t="n">
        <v>0</v>
      </c>
      <c r="D1606" s="28" t="n">
        <f aca="false">'○総括　5～6 (メモなし)'!P38</f>
        <v>0</v>
      </c>
      <c r="E1606" s="28" t="n">
        <f aca="false">D1606-N(C1606)</f>
        <v>0</v>
      </c>
      <c r="F1606" s="2" t="str">
        <f aca="false">IF(AND(C1606&lt;&gt;"",ROUND(E1606,2)=0),"一致",IF(G1606&lt;&gt;"","変更（意図的）","★相違"))</f>
        <v>一致</v>
      </c>
      <c r="G1606" s="2"/>
    </row>
    <row r="1607" customFormat="false" ht="15" hidden="false" customHeight="false" outlineLevel="0" collapsed="false">
      <c r="A1607" s="2" t="s">
        <v>1079</v>
      </c>
      <c r="B1607" s="27" t="s">
        <v>727</v>
      </c>
      <c r="C1607" s="28" t="n">
        <v>0</v>
      </c>
      <c r="D1607" s="28" t="n">
        <f aca="false">'○総括　5～6 (メモなし)'!S38</f>
        <v>0</v>
      </c>
      <c r="E1607" s="28" t="n">
        <f aca="false">D1607-N(C1607)</f>
        <v>0</v>
      </c>
      <c r="F1607" s="2" t="str">
        <f aca="false">IF(AND(C1607&lt;&gt;"",ROUND(E1607,2)=0),"一致",IF(G1607&lt;&gt;"","変更（意図的）","★相違"))</f>
        <v>一致</v>
      </c>
      <c r="G1607" s="2"/>
    </row>
    <row r="1608" customFormat="false" ht="15" hidden="false" customHeight="false" outlineLevel="0" collapsed="false">
      <c r="A1608" s="2" t="s">
        <v>1079</v>
      </c>
      <c r="B1608" s="27" t="s">
        <v>218</v>
      </c>
      <c r="C1608" s="28" t="n">
        <v>0</v>
      </c>
      <c r="D1608" s="28" t="n">
        <f aca="false">'○総括　5～6 (メモなし)'!G39</f>
        <v>0</v>
      </c>
      <c r="E1608" s="28" t="n">
        <f aca="false">D1608-N(C1608)</f>
        <v>0</v>
      </c>
      <c r="F1608" s="2" t="str">
        <f aca="false">IF(AND(C1608&lt;&gt;"",ROUND(E1608,2)=0),"一致",IF(G1608&lt;&gt;"","変更（意図的）","★相違"))</f>
        <v>一致</v>
      </c>
      <c r="G1608" s="2"/>
    </row>
    <row r="1609" customFormat="false" ht="15" hidden="false" customHeight="false" outlineLevel="0" collapsed="false">
      <c r="A1609" s="2" t="s">
        <v>1079</v>
      </c>
      <c r="B1609" s="27" t="s">
        <v>728</v>
      </c>
      <c r="C1609" s="28" t="n">
        <v>2802837274</v>
      </c>
      <c r="D1609" s="28" t="n">
        <f aca="false">'○総括　5～6 (メモなし)'!H39</f>
        <v>2802837274</v>
      </c>
      <c r="E1609" s="28" t="n">
        <f aca="false">D1609-N(C1609)</f>
        <v>0</v>
      </c>
      <c r="F1609" s="2" t="str">
        <f aca="false">IF(AND(C1609&lt;&gt;"",ROUND(E1609,2)=0),"一致",IF(G1609&lt;&gt;"","変更（意図的）","★相違"))</f>
        <v>一致</v>
      </c>
      <c r="G1609" s="2"/>
    </row>
    <row r="1610" customFormat="false" ht="15" hidden="false" customHeight="false" outlineLevel="0" collapsed="false">
      <c r="A1610" s="2" t="s">
        <v>1079</v>
      </c>
      <c r="B1610" s="27" t="s">
        <v>729</v>
      </c>
      <c r="C1610" s="28" t="n">
        <v>5376398659</v>
      </c>
      <c r="D1610" s="28" t="n">
        <f aca="false">'○総括　5～6 (メモなし)'!I39</f>
        <v>5376398659</v>
      </c>
      <c r="E1610" s="28" t="n">
        <f aca="false">D1610-N(C1610)</f>
        <v>0</v>
      </c>
      <c r="F1610" s="2" t="str">
        <f aca="false">IF(AND(C1610&lt;&gt;"",ROUND(E1610,2)=0),"一致",IF(G1610&lt;&gt;"","変更（意図的）","★相違"))</f>
        <v>一致</v>
      </c>
      <c r="G1610" s="2"/>
    </row>
    <row r="1611" customFormat="false" ht="15" hidden="false" customHeight="false" outlineLevel="0" collapsed="false">
      <c r="A1611" s="2" t="s">
        <v>1079</v>
      </c>
      <c r="B1611" s="27" t="s">
        <v>730</v>
      </c>
      <c r="C1611" s="28" t="n">
        <v>-2573561385</v>
      </c>
      <c r="D1611" s="28" t="n">
        <f aca="false">'○総括　5～6 (メモなし)'!J39</f>
        <v>-2573561385</v>
      </c>
      <c r="E1611" s="28" t="n">
        <f aca="false">D1611-N(C1611)</f>
        <v>0</v>
      </c>
      <c r="F1611" s="2" t="str">
        <f aca="false">IF(AND(C1611&lt;&gt;"",ROUND(E1611,2)=0),"一致",IF(G1611&lt;&gt;"","変更（意図的）","★相違"))</f>
        <v>一致</v>
      </c>
      <c r="G1611" s="2"/>
    </row>
    <row r="1612" customFormat="false" ht="15" hidden="false" customHeight="false" outlineLevel="0" collapsed="false">
      <c r="A1612" s="2" t="s">
        <v>1079</v>
      </c>
      <c r="B1612" s="27" t="s">
        <v>731</v>
      </c>
      <c r="C1612" s="28" t="n">
        <v>0</v>
      </c>
      <c r="D1612" s="28" t="n">
        <f aca="false">'○総括　5～6 (メモなし)'!M39</f>
        <v>0</v>
      </c>
      <c r="E1612" s="28" t="n">
        <f aca="false">D1612-N(C1612)</f>
        <v>0</v>
      </c>
      <c r="F1612" s="2" t="str">
        <f aca="false">IF(AND(C1612&lt;&gt;"",ROUND(E1612,2)=0),"一致",IF(G1612&lt;&gt;"","変更（意図的）","★相違"))</f>
        <v>一致</v>
      </c>
      <c r="G1612" s="2"/>
    </row>
    <row r="1613" customFormat="false" ht="15" hidden="false" customHeight="false" outlineLevel="0" collapsed="false">
      <c r="A1613" s="2" t="s">
        <v>1079</v>
      </c>
      <c r="B1613" s="27" t="s">
        <v>732</v>
      </c>
      <c r="C1613" s="28" t="n">
        <v>0</v>
      </c>
      <c r="D1613" s="28" t="n">
        <f aca="false">'○総括　5～6 (メモなし)'!P39</f>
        <v>0</v>
      </c>
      <c r="E1613" s="28" t="n">
        <f aca="false">D1613-N(C1613)</f>
        <v>0</v>
      </c>
      <c r="F1613" s="2" t="str">
        <f aca="false">IF(AND(C1613&lt;&gt;"",ROUND(E1613,2)=0),"一致",IF(G1613&lt;&gt;"","変更（意図的）","★相違"))</f>
        <v>一致</v>
      </c>
      <c r="G1613" s="2"/>
    </row>
    <row r="1614" customFormat="false" ht="15" hidden="false" customHeight="false" outlineLevel="0" collapsed="false">
      <c r="A1614" s="2" t="s">
        <v>1079</v>
      </c>
      <c r="B1614" s="27" t="s">
        <v>733</v>
      </c>
      <c r="C1614" s="28" t="n">
        <v>0</v>
      </c>
      <c r="D1614" s="28" t="n">
        <f aca="false">'○総括　5～6 (メモなし)'!S39</f>
        <v>0</v>
      </c>
      <c r="E1614" s="28" t="n">
        <f aca="false">D1614-N(C1614)</f>
        <v>0</v>
      </c>
      <c r="F1614" s="2" t="str">
        <f aca="false">IF(AND(C1614&lt;&gt;"",ROUND(E1614,2)=0),"一致",IF(G1614&lt;&gt;"","変更（意図的）","★相違"))</f>
        <v>一致</v>
      </c>
      <c r="G1614" s="2"/>
    </row>
    <row r="1615" customFormat="false" ht="15" hidden="false" customHeight="false" outlineLevel="0" collapsed="false">
      <c r="A1615" s="2" t="s">
        <v>1079</v>
      </c>
      <c r="B1615" s="27" t="s">
        <v>220</v>
      </c>
      <c r="C1615" s="28" t="n">
        <v>0</v>
      </c>
      <c r="D1615" s="28" t="n">
        <f aca="false">'○総括　5～6 (メモなし)'!G40</f>
        <v>0</v>
      </c>
      <c r="E1615" s="28" t="n">
        <f aca="false">D1615-N(C1615)</f>
        <v>0</v>
      </c>
      <c r="F1615" s="2" t="str">
        <f aca="false">IF(AND(C1615&lt;&gt;"",ROUND(E1615,2)=0),"一致",IF(G1615&lt;&gt;"","変更（意図的）","★相違"))</f>
        <v>一致</v>
      </c>
      <c r="G1615" s="2"/>
    </row>
    <row r="1616" customFormat="false" ht="15" hidden="false" customHeight="false" outlineLevel="0" collapsed="false">
      <c r="A1616" s="2" t="s">
        <v>1079</v>
      </c>
      <c r="B1616" s="27" t="s">
        <v>734</v>
      </c>
      <c r="C1616" s="28" t="n">
        <v>0</v>
      </c>
      <c r="D1616" s="28" t="n">
        <f aca="false">'○総括　5～6 (メモなし)'!M40</f>
        <v>0</v>
      </c>
      <c r="E1616" s="28" t="n">
        <f aca="false">D1616-N(C1616)</f>
        <v>0</v>
      </c>
      <c r="F1616" s="2" t="str">
        <f aca="false">IF(AND(C1616&lt;&gt;"",ROUND(E1616,2)=0),"一致",IF(G1616&lt;&gt;"","変更（意図的）","★相違"))</f>
        <v>一致</v>
      </c>
      <c r="G1616" s="2"/>
    </row>
    <row r="1617" customFormat="false" ht="15" hidden="false" customHeight="false" outlineLevel="0" collapsed="false">
      <c r="A1617" s="2" t="s">
        <v>1079</v>
      </c>
      <c r="B1617" s="27" t="s">
        <v>735</v>
      </c>
      <c r="C1617" s="28" t="n">
        <v>0</v>
      </c>
      <c r="D1617" s="28" t="n">
        <f aca="false">'○総括　5～6 (メモなし)'!P40</f>
        <v>0</v>
      </c>
      <c r="E1617" s="28" t="n">
        <f aca="false">D1617-N(C1617)</f>
        <v>0</v>
      </c>
      <c r="F1617" s="2" t="str">
        <f aca="false">IF(AND(C1617&lt;&gt;"",ROUND(E1617,2)=0),"一致",IF(G1617&lt;&gt;"","変更（意図的）","★相違"))</f>
        <v>一致</v>
      </c>
      <c r="G1617" s="2"/>
    </row>
    <row r="1618" customFormat="false" ht="15" hidden="false" customHeight="false" outlineLevel="0" collapsed="false">
      <c r="A1618" s="2" t="s">
        <v>1079</v>
      </c>
      <c r="B1618" s="27" t="s">
        <v>736</v>
      </c>
      <c r="C1618" s="28" t="n">
        <v>0</v>
      </c>
      <c r="D1618" s="28" t="n">
        <f aca="false">'○総括　5～6 (メモなし)'!S40</f>
        <v>0</v>
      </c>
      <c r="E1618" s="28" t="n">
        <f aca="false">D1618-N(C1618)</f>
        <v>0</v>
      </c>
      <c r="F1618" s="2" t="str">
        <f aca="false">IF(AND(C1618&lt;&gt;"",ROUND(E1618,2)=0),"一致",IF(G1618&lt;&gt;"","変更（意図的）","★相違"))</f>
        <v>一致</v>
      </c>
      <c r="G1618" s="2"/>
    </row>
    <row r="1619" customFormat="false" ht="15" hidden="false" customHeight="false" outlineLevel="0" collapsed="false">
      <c r="A1619" s="2" t="s">
        <v>1079</v>
      </c>
      <c r="B1619" s="27" t="s">
        <v>221</v>
      </c>
      <c r="C1619" s="28" t="n">
        <v>132291047</v>
      </c>
      <c r="D1619" s="28" t="n">
        <f aca="false">'○総括　5～6 (メモなし)'!E41</f>
        <v>132291047</v>
      </c>
      <c r="E1619" s="28" t="n">
        <f aca="false">D1619-N(C1619)</f>
        <v>0</v>
      </c>
      <c r="F1619" s="2" t="str">
        <f aca="false">IF(AND(C1619&lt;&gt;"",ROUND(E1619,2)=0),"一致",IF(G1619&lt;&gt;"","変更（意図的）","★相違"))</f>
        <v>一致</v>
      </c>
      <c r="G1619" s="2"/>
    </row>
    <row r="1620" customFormat="false" ht="15" hidden="false" customHeight="false" outlineLevel="0" collapsed="false">
      <c r="A1620" s="2" t="s">
        <v>1079</v>
      </c>
      <c r="B1620" s="27" t="s">
        <v>737</v>
      </c>
      <c r="C1620" s="28" t="n">
        <v>126119215</v>
      </c>
      <c r="D1620" s="28" t="n">
        <f aca="false">'○総括　5～6 (メモなし)'!F41</f>
        <v>126119215</v>
      </c>
      <c r="E1620" s="28" t="n">
        <f aca="false">D1620-N(C1620)</f>
        <v>0</v>
      </c>
      <c r="F1620" s="2" t="str">
        <f aca="false">IF(AND(C1620&lt;&gt;"",ROUND(E1620,2)=0),"一致",IF(G1620&lt;&gt;"","変更（意図的）","★相違"))</f>
        <v>一致</v>
      </c>
      <c r="G1620" s="2"/>
    </row>
    <row r="1621" customFormat="false" ht="15" hidden="false" customHeight="false" outlineLevel="0" collapsed="false">
      <c r="A1621" s="2" t="s">
        <v>1079</v>
      </c>
      <c r="B1621" s="27" t="s">
        <v>222</v>
      </c>
      <c r="C1621" s="28" t="n">
        <v>6171832</v>
      </c>
      <c r="D1621" s="28" t="n">
        <f aca="false">'○総括　5～6 (メモなし)'!G41</f>
        <v>6171832</v>
      </c>
      <c r="E1621" s="28" t="n">
        <f aca="false">D1621-N(C1621)</f>
        <v>0</v>
      </c>
      <c r="F1621" s="2" t="str">
        <f aca="false">IF(AND(C1621&lt;&gt;"",ROUND(E1621,2)=0),"一致",IF(G1621&lt;&gt;"","変更（意図的）","★相違"))</f>
        <v>一致</v>
      </c>
      <c r="G1621" s="2"/>
    </row>
    <row r="1622" customFormat="false" ht="15" hidden="false" customHeight="false" outlineLevel="0" collapsed="false">
      <c r="A1622" s="2" t="s">
        <v>1079</v>
      </c>
      <c r="B1622" s="27" t="s">
        <v>738</v>
      </c>
      <c r="C1622" s="28" t="n">
        <v>26027000</v>
      </c>
      <c r="D1622" s="28" t="n">
        <f aca="false">'○総括　5～6 (メモなし)'!H41</f>
        <v>26027000</v>
      </c>
      <c r="E1622" s="28" t="n">
        <f aca="false">D1622-N(C1622)</f>
        <v>0</v>
      </c>
      <c r="F1622" s="2" t="str">
        <f aca="false">IF(AND(C1622&lt;&gt;"",ROUND(E1622,2)=0),"一致",IF(G1622&lt;&gt;"","変更（意図的）","★相違"))</f>
        <v>一致</v>
      </c>
      <c r="G1622" s="2"/>
    </row>
    <row r="1623" customFormat="false" ht="15" hidden="false" customHeight="false" outlineLevel="0" collapsed="false">
      <c r="A1623" s="2" t="s">
        <v>1079</v>
      </c>
      <c r="B1623" s="27" t="s">
        <v>739</v>
      </c>
      <c r="C1623" s="28" t="n">
        <v>249923000</v>
      </c>
      <c r="D1623" s="28" t="n">
        <f aca="false">'○総括　5～6 (メモなし)'!I41</f>
        <v>249923000</v>
      </c>
      <c r="E1623" s="28" t="n">
        <f aca="false">D1623-N(C1623)</f>
        <v>0</v>
      </c>
      <c r="F1623" s="2" t="str">
        <f aca="false">IF(AND(C1623&lt;&gt;"",ROUND(E1623,2)=0),"一致",IF(G1623&lt;&gt;"","変更（意図的）","★相違"))</f>
        <v>一致</v>
      </c>
      <c r="G1623" s="2"/>
    </row>
    <row r="1624" customFormat="false" ht="15" hidden="false" customHeight="false" outlineLevel="0" collapsed="false">
      <c r="A1624" s="2" t="s">
        <v>1079</v>
      </c>
      <c r="B1624" s="27" t="s">
        <v>740</v>
      </c>
      <c r="C1624" s="28" t="n">
        <v>-223896000</v>
      </c>
      <c r="D1624" s="28" t="n">
        <f aca="false">'○総括　5～6 (メモなし)'!J41</f>
        <v>-223896000</v>
      </c>
      <c r="E1624" s="28" t="n">
        <f aca="false">D1624-N(C1624)</f>
        <v>0</v>
      </c>
      <c r="F1624" s="2" t="str">
        <f aca="false">IF(AND(C1624&lt;&gt;"",ROUND(E1624,2)=0),"一致",IF(G1624&lt;&gt;"","変更（意図的）","★相違"))</f>
        <v>一致</v>
      </c>
      <c r="G1624" s="2"/>
    </row>
    <row r="1625" customFormat="false" ht="15" hidden="false" customHeight="false" outlineLevel="0" collapsed="false">
      <c r="A1625" s="2" t="s">
        <v>1079</v>
      </c>
      <c r="B1625" s="27" t="s">
        <v>741</v>
      </c>
      <c r="C1625" s="28" t="n">
        <v>0</v>
      </c>
      <c r="D1625" s="28" t="n">
        <f aca="false">'○総括　5～6 (メモなし)'!M41</f>
        <v>0</v>
      </c>
      <c r="E1625" s="28" t="n">
        <f aca="false">D1625-N(C1625)</f>
        <v>0</v>
      </c>
      <c r="F1625" s="2" t="str">
        <f aca="false">IF(AND(C1625&lt;&gt;"",ROUND(E1625,2)=0),"一致",IF(G1625&lt;&gt;"","変更（意図的）","★相違"))</f>
        <v>一致</v>
      </c>
      <c r="G1625" s="2"/>
    </row>
    <row r="1626" customFormat="false" ht="15" hidden="false" customHeight="false" outlineLevel="0" collapsed="false">
      <c r="A1626" s="2" t="s">
        <v>1079</v>
      </c>
      <c r="B1626" s="27" t="s">
        <v>742</v>
      </c>
      <c r="C1626" s="28" t="n">
        <v>0</v>
      </c>
      <c r="D1626" s="28" t="n">
        <f aca="false">'○総括　5～6 (メモなし)'!P41</f>
        <v>0</v>
      </c>
      <c r="E1626" s="28" t="n">
        <f aca="false">D1626-N(C1626)</f>
        <v>0</v>
      </c>
      <c r="F1626" s="2" t="str">
        <f aca="false">IF(AND(C1626&lt;&gt;"",ROUND(E1626,2)=0),"一致",IF(G1626&lt;&gt;"","変更（意図的）","★相違"))</f>
        <v>一致</v>
      </c>
      <c r="G1626" s="2"/>
    </row>
    <row r="1627" customFormat="false" ht="15" hidden="false" customHeight="false" outlineLevel="0" collapsed="false">
      <c r="A1627" s="2" t="s">
        <v>1079</v>
      </c>
      <c r="B1627" s="27" t="s">
        <v>1044</v>
      </c>
      <c r="C1627" s="28" t="n">
        <v>465236</v>
      </c>
      <c r="D1627" s="28" t="n">
        <f aca="false">'○総括　5～6 (メモなし)'!R41</f>
        <v>465236</v>
      </c>
      <c r="E1627" s="28" t="n">
        <f aca="false">D1627-N(C1627)</f>
        <v>0</v>
      </c>
      <c r="F1627" s="2" t="str">
        <f aca="false">IF(AND(C1627&lt;&gt;"",ROUND(E1627,2)=0),"一致",IF(G1627&lt;&gt;"","変更（意図的）","★相違"))</f>
        <v>一致</v>
      </c>
      <c r="G1627" s="2"/>
    </row>
    <row r="1628" customFormat="false" ht="15" hidden="false" customHeight="false" outlineLevel="0" collapsed="false">
      <c r="A1628" s="2" t="s">
        <v>1079</v>
      </c>
      <c r="B1628" s="27" t="s">
        <v>743</v>
      </c>
      <c r="C1628" s="28" t="n">
        <v>-465236</v>
      </c>
      <c r="D1628" s="28" t="n">
        <f aca="false">'○総括　5～6 (メモなし)'!S41</f>
        <v>-465236</v>
      </c>
      <c r="E1628" s="28" t="n">
        <f aca="false">D1628-N(C1628)</f>
        <v>0</v>
      </c>
      <c r="F1628" s="2" t="str">
        <f aca="false">IF(AND(C1628&lt;&gt;"",ROUND(E1628,2)=0),"一致",IF(G1628&lt;&gt;"","変更（意図的）","★相違"))</f>
        <v>一致</v>
      </c>
      <c r="G1628" s="2"/>
    </row>
    <row r="1629" customFormat="false" ht="15" hidden="false" customHeight="false" outlineLevel="0" collapsed="false">
      <c r="A1629" s="2" t="s">
        <v>1079</v>
      </c>
      <c r="B1629" s="27" t="s">
        <v>223</v>
      </c>
      <c r="C1629" s="28" t="n">
        <v>11648520</v>
      </c>
      <c r="D1629" s="28" t="n">
        <f aca="false">'○総括　5～6 (メモなし)'!E42</f>
        <v>11648520</v>
      </c>
      <c r="E1629" s="28" t="n">
        <f aca="false">D1629-N(C1629)</f>
        <v>0</v>
      </c>
      <c r="F1629" s="2" t="str">
        <f aca="false">IF(AND(C1629&lt;&gt;"",ROUND(E1629,2)=0),"一致",IF(G1629&lt;&gt;"","変更（意図的）","★相違"))</f>
        <v>一致</v>
      </c>
      <c r="G1629" s="2"/>
    </row>
    <row r="1630" customFormat="false" ht="15" hidden="false" customHeight="false" outlineLevel="0" collapsed="false">
      <c r="A1630" s="2" t="s">
        <v>1079</v>
      </c>
      <c r="B1630" s="27" t="s">
        <v>272</v>
      </c>
      <c r="C1630" s="28" t="n">
        <v>8154087</v>
      </c>
      <c r="D1630" s="28" t="n">
        <f aca="false">'○総括　5～6 (メモなし)'!F42</f>
        <v>8154087</v>
      </c>
      <c r="E1630" s="28" t="n">
        <f aca="false">D1630-N(C1630)</f>
        <v>0</v>
      </c>
      <c r="F1630" s="2" t="str">
        <f aca="false">IF(AND(C1630&lt;&gt;"",ROUND(E1630,2)=0),"一致",IF(G1630&lt;&gt;"","変更（意図的）","★相違"))</f>
        <v>一致</v>
      </c>
      <c r="G1630" s="2"/>
    </row>
    <row r="1631" customFormat="false" ht="15" hidden="false" customHeight="false" outlineLevel="0" collapsed="false">
      <c r="A1631" s="2" t="s">
        <v>1079</v>
      </c>
      <c r="B1631" s="27" t="s">
        <v>224</v>
      </c>
      <c r="C1631" s="28" t="n">
        <v>3494433</v>
      </c>
      <c r="D1631" s="28" t="n">
        <f aca="false">'○総括　5～6 (メモなし)'!G42</f>
        <v>3494433</v>
      </c>
      <c r="E1631" s="28" t="n">
        <f aca="false">D1631-N(C1631)</f>
        <v>0</v>
      </c>
      <c r="F1631" s="2" t="str">
        <f aca="false">IF(AND(C1631&lt;&gt;"",ROUND(E1631,2)=0),"一致",IF(G1631&lt;&gt;"","変更（意図的）","★相違"))</f>
        <v>一致</v>
      </c>
      <c r="G1631" s="2"/>
    </row>
    <row r="1632" customFormat="false" ht="15" hidden="false" customHeight="false" outlineLevel="0" collapsed="false">
      <c r="A1632" s="2" t="s">
        <v>1079</v>
      </c>
      <c r="B1632" s="27" t="s">
        <v>744</v>
      </c>
      <c r="C1632" s="28" t="n">
        <v>13252000</v>
      </c>
      <c r="D1632" s="28" t="n">
        <f aca="false">'○総括　5～6 (メモなし)'!H42</f>
        <v>13252000</v>
      </c>
      <c r="E1632" s="28" t="n">
        <f aca="false">D1632-N(C1632)</f>
        <v>0</v>
      </c>
      <c r="F1632" s="2" t="str">
        <f aca="false">IF(AND(C1632&lt;&gt;"",ROUND(E1632,2)=0),"一致",IF(G1632&lt;&gt;"","変更（意図的）","★相違"))</f>
        <v>一致</v>
      </c>
      <c r="G1632" s="2"/>
    </row>
    <row r="1633" customFormat="false" ht="15" hidden="false" customHeight="false" outlineLevel="0" collapsed="false">
      <c r="A1633" s="2" t="s">
        <v>1079</v>
      </c>
      <c r="B1633" s="27" t="s">
        <v>745</v>
      </c>
      <c r="C1633" s="28" t="n">
        <v>30145946</v>
      </c>
      <c r="D1633" s="28" t="n">
        <f aca="false">'○総括　5～6 (メモなし)'!I42</f>
        <v>30145946</v>
      </c>
      <c r="E1633" s="28" t="n">
        <f aca="false">D1633-N(C1633)</f>
        <v>0</v>
      </c>
      <c r="F1633" s="2" t="str">
        <f aca="false">IF(AND(C1633&lt;&gt;"",ROUND(E1633,2)=0),"一致",IF(G1633&lt;&gt;"","変更（意図的）","★相違"))</f>
        <v>一致</v>
      </c>
      <c r="G1633" s="2"/>
    </row>
    <row r="1634" customFormat="false" ht="15" hidden="false" customHeight="false" outlineLevel="0" collapsed="false">
      <c r="A1634" s="2" t="s">
        <v>1079</v>
      </c>
      <c r="B1634" s="27" t="s">
        <v>746</v>
      </c>
      <c r="C1634" s="28" t="n">
        <v>-16893946</v>
      </c>
      <c r="D1634" s="28" t="n">
        <f aca="false">'○総括　5～6 (メモなし)'!J42</f>
        <v>-16893946</v>
      </c>
      <c r="E1634" s="28" t="n">
        <f aca="false">D1634-N(C1634)</f>
        <v>0</v>
      </c>
      <c r="F1634" s="2" t="str">
        <f aca="false">IF(AND(C1634&lt;&gt;"",ROUND(E1634,2)=0),"一致",IF(G1634&lt;&gt;"","変更（意図的）","★相違"))</f>
        <v>一致</v>
      </c>
      <c r="G1634" s="2"/>
    </row>
    <row r="1635" customFormat="false" ht="15" hidden="false" customHeight="false" outlineLevel="0" collapsed="false">
      <c r="A1635" s="2" t="s">
        <v>1079</v>
      </c>
      <c r="B1635" s="27" t="s">
        <v>747</v>
      </c>
      <c r="C1635" s="28" t="n">
        <v>0</v>
      </c>
      <c r="D1635" s="28" t="n">
        <f aca="false">'○総括　5～6 (メモなし)'!M42</f>
        <v>0</v>
      </c>
      <c r="E1635" s="28" t="n">
        <f aca="false">D1635-N(C1635)</f>
        <v>0</v>
      </c>
      <c r="F1635" s="2" t="str">
        <f aca="false">IF(AND(C1635&lt;&gt;"",ROUND(E1635,2)=0),"一致",IF(G1635&lt;&gt;"","変更（意図的）","★相違"))</f>
        <v>一致</v>
      </c>
      <c r="G1635" s="2"/>
    </row>
    <row r="1636" customFormat="false" ht="15" hidden="false" customHeight="false" outlineLevel="0" collapsed="false">
      <c r="A1636" s="2" t="s">
        <v>1079</v>
      </c>
      <c r="B1636" s="27" t="s">
        <v>748</v>
      </c>
      <c r="C1636" s="28" t="n">
        <v>0</v>
      </c>
      <c r="D1636" s="28" t="n">
        <f aca="false">'○総括　5～6 (メモなし)'!P42</f>
        <v>0</v>
      </c>
      <c r="E1636" s="28" t="n">
        <f aca="false">D1636-N(C1636)</f>
        <v>0</v>
      </c>
      <c r="F1636" s="2" t="str">
        <f aca="false">IF(AND(C1636&lt;&gt;"",ROUND(E1636,2)=0),"一致",IF(G1636&lt;&gt;"","変更（意図的）","★相違"))</f>
        <v>一致</v>
      </c>
      <c r="G1636" s="2"/>
    </row>
    <row r="1637" customFormat="false" ht="15" hidden="false" customHeight="false" outlineLevel="0" collapsed="false">
      <c r="A1637" s="2" t="s">
        <v>1079</v>
      </c>
      <c r="B1637" s="27" t="s">
        <v>749</v>
      </c>
      <c r="C1637" s="28" t="n">
        <v>0</v>
      </c>
      <c r="D1637" s="28" t="n">
        <f aca="false">'○総括　5～6 (メモなし)'!S42</f>
        <v>0</v>
      </c>
      <c r="E1637" s="28" t="n">
        <f aca="false">D1637-N(C1637)</f>
        <v>0</v>
      </c>
      <c r="F1637" s="2" t="str">
        <f aca="false">IF(AND(C1637&lt;&gt;"",ROUND(E1637,2)=0),"一致",IF(G1637&lt;&gt;"","変更（意図的）","★相違"))</f>
        <v>一致</v>
      </c>
      <c r="G1637" s="2"/>
    </row>
    <row r="1638" customFormat="false" ht="15" hidden="false" customHeight="false" outlineLevel="0" collapsed="false">
      <c r="A1638" s="2" t="s">
        <v>1079</v>
      </c>
      <c r="B1638" s="27" t="s">
        <v>226</v>
      </c>
      <c r="C1638" s="28" t="n">
        <v>0</v>
      </c>
      <c r="D1638" s="28" t="n">
        <f aca="false">'○総括　5～6 (メモなし)'!G43</f>
        <v>0</v>
      </c>
      <c r="E1638" s="28" t="n">
        <f aca="false">D1638-N(C1638)</f>
        <v>0</v>
      </c>
      <c r="F1638" s="2" t="str">
        <f aca="false">IF(AND(C1638&lt;&gt;"",ROUND(E1638,2)=0),"一致",IF(G1638&lt;&gt;"","変更（意図的）","★相違"))</f>
        <v>一致</v>
      </c>
      <c r="G1638" s="2"/>
    </row>
    <row r="1639" customFormat="false" ht="15" hidden="false" customHeight="false" outlineLevel="0" collapsed="false">
      <c r="A1639" s="2" t="s">
        <v>1079</v>
      </c>
      <c r="B1639" s="27" t="s">
        <v>750</v>
      </c>
      <c r="C1639" s="28" t="n">
        <v>9574938</v>
      </c>
      <c r="D1639" s="28" t="n">
        <f aca="false">'○総括　5～6 (メモなし)'!K43</f>
        <v>9574938</v>
      </c>
      <c r="E1639" s="28" t="n">
        <f aca="false">D1639-N(C1639)</f>
        <v>0</v>
      </c>
      <c r="F1639" s="2" t="str">
        <f aca="false">IF(AND(C1639&lt;&gt;"",ROUND(E1639,2)=0),"一致",IF(G1639&lt;&gt;"","変更（意図的）","★相違"))</f>
        <v>一致</v>
      </c>
      <c r="G1639" s="2"/>
    </row>
    <row r="1640" customFormat="false" ht="15" hidden="false" customHeight="false" outlineLevel="0" collapsed="false">
      <c r="A1640" s="2" t="s">
        <v>1079</v>
      </c>
      <c r="B1640" s="27" t="s">
        <v>751</v>
      </c>
      <c r="C1640" s="28" t="n">
        <v>7908615</v>
      </c>
      <c r="D1640" s="28" t="n">
        <f aca="false">'○総括　5～6 (メモなし)'!L43</f>
        <v>7908615</v>
      </c>
      <c r="E1640" s="28" t="n">
        <f aca="false">D1640-N(C1640)</f>
        <v>0</v>
      </c>
      <c r="F1640" s="2" t="str">
        <f aca="false">IF(AND(C1640&lt;&gt;"",ROUND(E1640,2)=0),"一致",IF(G1640&lt;&gt;"","変更（意図的）","★相違"))</f>
        <v>一致</v>
      </c>
      <c r="G1640" s="2"/>
    </row>
    <row r="1641" customFormat="false" ht="15" hidden="false" customHeight="false" outlineLevel="0" collapsed="false">
      <c r="A1641" s="2" t="s">
        <v>1079</v>
      </c>
      <c r="B1641" s="27" t="s">
        <v>752</v>
      </c>
      <c r="C1641" s="28" t="n">
        <v>1666323</v>
      </c>
      <c r="D1641" s="28" t="n">
        <f aca="false">'○総括　5～6 (メモなし)'!M43</f>
        <v>1666323</v>
      </c>
      <c r="E1641" s="28" t="n">
        <f aca="false">D1641-N(C1641)</f>
        <v>0</v>
      </c>
      <c r="F1641" s="2" t="str">
        <f aca="false">IF(AND(C1641&lt;&gt;"",ROUND(E1641,2)=0),"一致",IF(G1641&lt;&gt;"","変更（意図的）","★相違"))</f>
        <v>一致</v>
      </c>
      <c r="G1641" s="2"/>
    </row>
    <row r="1642" customFormat="false" ht="15" hidden="false" customHeight="false" outlineLevel="0" collapsed="false">
      <c r="A1642" s="2" t="s">
        <v>1079</v>
      </c>
      <c r="B1642" s="27" t="s">
        <v>1052</v>
      </c>
      <c r="C1642" s="28" t="n">
        <v>6040584</v>
      </c>
      <c r="D1642" s="28" t="n">
        <f aca="false">'○総括　5～6 (メモなし)'!N43</f>
        <v>6040584</v>
      </c>
      <c r="E1642" s="28" t="n">
        <f aca="false">D1642-N(C1642)</f>
        <v>0</v>
      </c>
      <c r="F1642" s="2" t="str">
        <f aca="false">IF(AND(C1642&lt;&gt;"",ROUND(E1642,2)=0),"一致",IF(G1642&lt;&gt;"","変更（意図的）","★相違"))</f>
        <v>一致</v>
      </c>
      <c r="G1642" s="2"/>
    </row>
    <row r="1643" customFormat="false" ht="15" hidden="false" customHeight="false" outlineLevel="0" collapsed="false">
      <c r="A1643" s="2" t="s">
        <v>1079</v>
      </c>
      <c r="B1643" s="27" t="s">
        <v>753</v>
      </c>
      <c r="C1643" s="28" t="n">
        <v>5032581</v>
      </c>
      <c r="D1643" s="28" t="n">
        <f aca="false">'○総括　5～6 (メモなし)'!O43</f>
        <v>5032581</v>
      </c>
      <c r="E1643" s="28" t="n">
        <f aca="false">D1643-N(C1643)</f>
        <v>0</v>
      </c>
      <c r="F1643" s="2" t="str">
        <f aca="false">IF(AND(C1643&lt;&gt;"",ROUND(E1643,2)=0),"一致",IF(G1643&lt;&gt;"","変更（意図的）","★相違"))</f>
        <v>一致</v>
      </c>
      <c r="G1643" s="2"/>
    </row>
    <row r="1644" customFormat="false" ht="15" hidden="false" customHeight="false" outlineLevel="0" collapsed="false">
      <c r="A1644" s="2" t="s">
        <v>1079</v>
      </c>
      <c r="B1644" s="27" t="s">
        <v>754</v>
      </c>
      <c r="C1644" s="28" t="n">
        <v>1008003</v>
      </c>
      <c r="D1644" s="28" t="n">
        <f aca="false">'○総括　5～6 (メモなし)'!P43</f>
        <v>1008003</v>
      </c>
      <c r="E1644" s="28" t="n">
        <f aca="false">D1644-N(C1644)</f>
        <v>0</v>
      </c>
      <c r="F1644" s="2" t="str">
        <f aca="false">IF(AND(C1644&lt;&gt;"",ROUND(E1644,2)=0),"一致",IF(G1644&lt;&gt;"","変更（意図的）","★相違"))</f>
        <v>一致</v>
      </c>
      <c r="G1644" s="2"/>
    </row>
    <row r="1645" customFormat="false" ht="15" hidden="false" customHeight="false" outlineLevel="0" collapsed="false">
      <c r="A1645" s="2" t="s">
        <v>1079</v>
      </c>
      <c r="B1645" s="27" t="s">
        <v>1053</v>
      </c>
      <c r="C1645" s="28" t="n">
        <v>6160420</v>
      </c>
      <c r="D1645" s="28" t="n">
        <f aca="false">'○総括　5～6 (メモなし)'!Q43</f>
        <v>6160420</v>
      </c>
      <c r="E1645" s="28" t="n">
        <f aca="false">D1645-N(C1645)</f>
        <v>0</v>
      </c>
      <c r="F1645" s="2" t="str">
        <f aca="false">IF(AND(C1645&lt;&gt;"",ROUND(E1645,2)=0),"一致",IF(G1645&lt;&gt;"","変更（意図的）","★相違"))</f>
        <v>一致</v>
      </c>
      <c r="G1645" s="2"/>
    </row>
    <row r="1646" customFormat="false" ht="15" hidden="false" customHeight="false" outlineLevel="0" collapsed="false">
      <c r="A1646" s="2" t="s">
        <v>1079</v>
      </c>
      <c r="B1646" s="27" t="s">
        <v>755</v>
      </c>
      <c r="C1646" s="28" t="n">
        <v>4862540</v>
      </c>
      <c r="D1646" s="28" t="n">
        <f aca="false">'○総括　5～6 (メモなし)'!R43</f>
        <v>4862540</v>
      </c>
      <c r="E1646" s="28" t="n">
        <f aca="false">D1646-N(C1646)</f>
        <v>0</v>
      </c>
      <c r="F1646" s="2" t="str">
        <f aca="false">IF(AND(C1646&lt;&gt;"",ROUND(E1646,2)=0),"一致",IF(G1646&lt;&gt;"","変更（意図的）","★相違"))</f>
        <v>一致</v>
      </c>
      <c r="G1646" s="2"/>
    </row>
    <row r="1647" customFormat="false" ht="15" hidden="false" customHeight="false" outlineLevel="0" collapsed="false">
      <c r="A1647" s="2" t="s">
        <v>1079</v>
      </c>
      <c r="B1647" s="27" t="s">
        <v>756</v>
      </c>
      <c r="C1647" s="28" t="n">
        <v>1297880</v>
      </c>
      <c r="D1647" s="28" t="n">
        <f aca="false">'○総括　5～6 (メモなし)'!S43</f>
        <v>1297880</v>
      </c>
      <c r="E1647" s="28" t="n">
        <f aca="false">D1647-N(C1647)</f>
        <v>0</v>
      </c>
      <c r="F1647" s="2" t="str">
        <f aca="false">IF(AND(C1647&lt;&gt;"",ROUND(E1647,2)=0),"一致",IF(G1647&lt;&gt;"","変更（意図的）","★相違"))</f>
        <v>一致</v>
      </c>
      <c r="G1647" s="2"/>
    </row>
    <row r="1648" customFormat="false" ht="15" hidden="false" customHeight="false" outlineLevel="0" collapsed="false">
      <c r="A1648" s="2" t="s">
        <v>1079</v>
      </c>
      <c r="B1648" s="27" t="s">
        <v>229</v>
      </c>
      <c r="C1648" s="28" t="n">
        <v>0</v>
      </c>
      <c r="D1648" s="28" t="n">
        <f aca="false">'○総括　5～6 (メモなし)'!G44</f>
        <v>0</v>
      </c>
      <c r="E1648" s="28" t="n">
        <f aca="false">D1648-N(C1648)</f>
        <v>0</v>
      </c>
      <c r="F1648" s="2" t="str">
        <f aca="false">IF(AND(C1648&lt;&gt;"",ROUND(E1648,2)=0),"一致",IF(G1648&lt;&gt;"","変更（意図的）","★相違"))</f>
        <v>一致</v>
      </c>
      <c r="G1648" s="2"/>
    </row>
    <row r="1649" customFormat="false" ht="15" hidden="false" customHeight="false" outlineLevel="0" collapsed="false">
      <c r="A1649" s="2" t="s">
        <v>1079</v>
      </c>
      <c r="B1649" s="27" t="s">
        <v>757</v>
      </c>
      <c r="C1649" s="28" t="n">
        <v>101872292</v>
      </c>
      <c r="D1649" s="28" t="n">
        <f aca="false">'○総括　5～6 (メモなし)'!K44</f>
        <v>101872292</v>
      </c>
      <c r="E1649" s="28" t="n">
        <f aca="false">D1649-N(C1649)</f>
        <v>0</v>
      </c>
      <c r="F1649" s="2" t="str">
        <f aca="false">IF(AND(C1649&lt;&gt;"",ROUND(E1649,2)=0),"一致",IF(G1649&lt;&gt;"","変更（意図的）","★相違"))</f>
        <v>一致</v>
      </c>
      <c r="G1649" s="2"/>
    </row>
    <row r="1650" customFormat="false" ht="15" hidden="false" customHeight="false" outlineLevel="0" collapsed="false">
      <c r="A1650" s="2" t="s">
        <v>1079</v>
      </c>
      <c r="B1650" s="27" t="s">
        <v>758</v>
      </c>
      <c r="C1650" s="28" t="n">
        <v>82657779</v>
      </c>
      <c r="D1650" s="28" t="n">
        <f aca="false">'○総括　5～6 (メモなし)'!L44</f>
        <v>82657779</v>
      </c>
      <c r="E1650" s="28" t="n">
        <f aca="false">D1650-N(C1650)</f>
        <v>0</v>
      </c>
      <c r="F1650" s="2" t="str">
        <f aca="false">IF(AND(C1650&lt;&gt;"",ROUND(E1650,2)=0),"一致",IF(G1650&lt;&gt;"","変更（意図的）","★相違"))</f>
        <v>一致</v>
      </c>
      <c r="G1650" s="2"/>
    </row>
    <row r="1651" customFormat="false" ht="15" hidden="false" customHeight="false" outlineLevel="0" collapsed="false">
      <c r="A1651" s="2" t="s">
        <v>1079</v>
      </c>
      <c r="B1651" s="27" t="s">
        <v>759</v>
      </c>
      <c r="C1651" s="28" t="n">
        <v>19214513</v>
      </c>
      <c r="D1651" s="28" t="n">
        <f aca="false">'○総括　5～6 (メモなし)'!M44</f>
        <v>19214513</v>
      </c>
      <c r="E1651" s="28" t="n">
        <f aca="false">D1651-N(C1651)</f>
        <v>0</v>
      </c>
      <c r="F1651" s="2" t="str">
        <f aca="false">IF(AND(C1651&lt;&gt;"",ROUND(E1651,2)=0),"一致",IF(G1651&lt;&gt;"","変更（意図的）","★相違"))</f>
        <v>一致</v>
      </c>
      <c r="G1651" s="2"/>
    </row>
    <row r="1652" customFormat="false" ht="15" hidden="false" customHeight="false" outlineLevel="0" collapsed="false">
      <c r="A1652" s="2" t="s">
        <v>1079</v>
      </c>
      <c r="B1652" s="27" t="s">
        <v>1054</v>
      </c>
      <c r="C1652" s="28" t="n">
        <v>608161999</v>
      </c>
      <c r="D1652" s="28" t="n">
        <f aca="false">'○総括　5～6 (メモなし)'!N44</f>
        <v>608161999</v>
      </c>
      <c r="E1652" s="28" t="n">
        <f aca="false">D1652-N(C1652)</f>
        <v>0</v>
      </c>
      <c r="F1652" s="2" t="str">
        <f aca="false">IF(AND(C1652&lt;&gt;"",ROUND(E1652,2)=0),"一致",IF(G1652&lt;&gt;"","変更（意図的）","★相違"))</f>
        <v>一致</v>
      </c>
      <c r="G1652" s="2"/>
    </row>
    <row r="1653" customFormat="false" ht="15" hidden="false" customHeight="false" outlineLevel="0" collapsed="false">
      <c r="A1653" s="2" t="s">
        <v>1079</v>
      </c>
      <c r="B1653" s="27" t="s">
        <v>760</v>
      </c>
      <c r="C1653" s="28" t="n">
        <v>579831941</v>
      </c>
      <c r="D1653" s="28" t="n">
        <f aca="false">'○総括　5～6 (メモなし)'!O44</f>
        <v>579831941</v>
      </c>
      <c r="E1653" s="28" t="n">
        <f aca="false">D1653-N(C1653)</f>
        <v>0</v>
      </c>
      <c r="F1653" s="2" t="str">
        <f aca="false">IF(AND(C1653&lt;&gt;"",ROUND(E1653,2)=0),"一致",IF(G1653&lt;&gt;"","変更（意図的）","★相違"))</f>
        <v>一致</v>
      </c>
      <c r="G1653" s="2"/>
    </row>
    <row r="1654" customFormat="false" ht="15" hidden="false" customHeight="false" outlineLevel="0" collapsed="false">
      <c r="A1654" s="2" t="s">
        <v>1079</v>
      </c>
      <c r="B1654" s="27" t="s">
        <v>761</v>
      </c>
      <c r="C1654" s="28" t="n">
        <v>28330058</v>
      </c>
      <c r="D1654" s="28" t="n">
        <f aca="false">'○総括　5～6 (メモなし)'!P44</f>
        <v>28330058</v>
      </c>
      <c r="E1654" s="28" t="n">
        <f aca="false">D1654-N(C1654)</f>
        <v>0</v>
      </c>
      <c r="F1654" s="2" t="str">
        <f aca="false">IF(AND(C1654&lt;&gt;"",ROUND(E1654,2)=0),"一致",IF(G1654&lt;&gt;"","変更（意図的）","★相違"))</f>
        <v>一致</v>
      </c>
      <c r="G1654" s="2"/>
    </row>
    <row r="1655" customFormat="false" ht="15" hidden="false" customHeight="false" outlineLevel="0" collapsed="false">
      <c r="A1655" s="2" t="s">
        <v>1079</v>
      </c>
      <c r="B1655" s="27" t="s">
        <v>1055</v>
      </c>
      <c r="C1655" s="28" t="n">
        <v>11949705</v>
      </c>
      <c r="D1655" s="28" t="n">
        <f aca="false">'○総括　5～6 (メモなし)'!Q44</f>
        <v>11949705</v>
      </c>
      <c r="E1655" s="28" t="n">
        <f aca="false">D1655-N(C1655)</f>
        <v>0</v>
      </c>
      <c r="F1655" s="2" t="str">
        <f aca="false">IF(AND(C1655&lt;&gt;"",ROUND(E1655,2)=0),"一致",IF(G1655&lt;&gt;"","変更（意図的）","★相違"))</f>
        <v>一致</v>
      </c>
      <c r="G1655" s="2"/>
    </row>
    <row r="1656" customFormat="false" ht="15" hidden="false" customHeight="false" outlineLevel="0" collapsed="false">
      <c r="A1656" s="2" t="s">
        <v>1079</v>
      </c>
      <c r="B1656" s="27" t="s">
        <v>762</v>
      </c>
      <c r="C1656" s="28" t="n">
        <v>8145032</v>
      </c>
      <c r="D1656" s="28" t="n">
        <f aca="false">'○総括　5～6 (メモなし)'!R44</f>
        <v>8145032</v>
      </c>
      <c r="E1656" s="28" t="n">
        <f aca="false">D1656-N(C1656)</f>
        <v>0</v>
      </c>
      <c r="F1656" s="2" t="str">
        <f aca="false">IF(AND(C1656&lt;&gt;"",ROUND(E1656,2)=0),"一致",IF(G1656&lt;&gt;"","変更（意図的）","★相違"))</f>
        <v>一致</v>
      </c>
      <c r="G1656" s="2"/>
    </row>
    <row r="1657" customFormat="false" ht="15" hidden="false" customHeight="false" outlineLevel="0" collapsed="false">
      <c r="A1657" s="2" t="s">
        <v>1079</v>
      </c>
      <c r="B1657" s="27" t="s">
        <v>763</v>
      </c>
      <c r="C1657" s="28" t="n">
        <v>3804673</v>
      </c>
      <c r="D1657" s="28" t="n">
        <f aca="false">'○総括　5～6 (メモなし)'!S44</f>
        <v>3804673</v>
      </c>
      <c r="E1657" s="28" t="n">
        <f aca="false">D1657-N(C1657)</f>
        <v>0</v>
      </c>
      <c r="F1657" s="2" t="str">
        <f aca="false">IF(AND(C1657&lt;&gt;"",ROUND(E1657,2)=0),"一致",IF(G1657&lt;&gt;"","変更（意図的）","★相違"))</f>
        <v>一致</v>
      </c>
      <c r="G1657" s="2"/>
    </row>
    <row r="1658" customFormat="false" ht="15" hidden="false" customHeight="false" outlineLevel="0" collapsed="false">
      <c r="A1658" s="2" t="s">
        <v>1079</v>
      </c>
      <c r="B1658" s="27" t="s">
        <v>231</v>
      </c>
      <c r="C1658" s="28" t="n">
        <v>0</v>
      </c>
      <c r="D1658" s="28" t="n">
        <f aca="false">'○総括　5～6 (メモなし)'!G45</f>
        <v>0</v>
      </c>
      <c r="E1658" s="28" t="n">
        <f aca="false">D1658-N(C1658)</f>
        <v>0</v>
      </c>
      <c r="F1658" s="2" t="str">
        <f aca="false">IF(AND(C1658&lt;&gt;"",ROUND(E1658,2)=0),"一致",IF(G1658&lt;&gt;"","変更（意図的）","★相違"))</f>
        <v>一致</v>
      </c>
      <c r="G1658" s="2"/>
    </row>
    <row r="1659" customFormat="false" ht="15" hidden="false" customHeight="false" outlineLevel="0" collapsed="false">
      <c r="A1659" s="2" t="s">
        <v>1079</v>
      </c>
      <c r="B1659" s="27" t="s">
        <v>764</v>
      </c>
      <c r="C1659" s="28" t="n">
        <v>0</v>
      </c>
      <c r="D1659" s="28" t="n">
        <f aca="false">'○総括　5～6 (メモなし)'!M45</f>
        <v>0</v>
      </c>
      <c r="E1659" s="28" t="n">
        <f aca="false">D1659-N(C1659)</f>
        <v>0</v>
      </c>
      <c r="F1659" s="2" t="str">
        <f aca="false">IF(AND(C1659&lt;&gt;"",ROUND(E1659,2)=0),"一致",IF(G1659&lt;&gt;"","変更（意図的）","★相違"))</f>
        <v>一致</v>
      </c>
      <c r="G1659" s="2"/>
    </row>
    <row r="1660" customFormat="false" ht="15" hidden="false" customHeight="false" outlineLevel="0" collapsed="false">
      <c r="A1660" s="2" t="s">
        <v>1079</v>
      </c>
      <c r="B1660" s="27" t="s">
        <v>765</v>
      </c>
      <c r="C1660" s="28" t="n">
        <v>0</v>
      </c>
      <c r="D1660" s="28" t="n">
        <f aca="false">'○総括　5～6 (メモなし)'!P45</f>
        <v>0</v>
      </c>
      <c r="E1660" s="28" t="n">
        <f aca="false">D1660-N(C1660)</f>
        <v>0</v>
      </c>
      <c r="F1660" s="2" t="str">
        <f aca="false">IF(AND(C1660&lt;&gt;"",ROUND(E1660,2)=0),"一致",IF(G1660&lt;&gt;"","変更（意図的）","★相違"))</f>
        <v>一致</v>
      </c>
      <c r="G1660" s="2"/>
    </row>
    <row r="1661" customFormat="false" ht="15" hidden="false" customHeight="false" outlineLevel="0" collapsed="false">
      <c r="A1661" s="2" t="s">
        <v>1079</v>
      </c>
      <c r="B1661" s="27" t="s">
        <v>766</v>
      </c>
      <c r="C1661" s="28" t="n">
        <v>0</v>
      </c>
      <c r="D1661" s="28" t="n">
        <f aca="false">'○総括　5～6 (メモなし)'!S45</f>
        <v>0</v>
      </c>
      <c r="E1661" s="28" t="n">
        <f aca="false">D1661-N(C1661)</f>
        <v>0</v>
      </c>
      <c r="F1661" s="2" t="str">
        <f aca="false">IF(AND(C1661&lt;&gt;"",ROUND(E1661,2)=0),"一致",IF(G1661&lt;&gt;"","変更（意図的）","★相違"))</f>
        <v>一致</v>
      </c>
      <c r="G1661" s="2"/>
    </row>
    <row r="1662" customFormat="false" ht="15" hidden="false" customHeight="false" outlineLevel="0" collapsed="false">
      <c r="A1662" s="2" t="s">
        <v>1079</v>
      </c>
      <c r="B1662" s="27" t="s">
        <v>234</v>
      </c>
      <c r="C1662" s="28" t="n">
        <v>0</v>
      </c>
      <c r="D1662" s="28" t="n">
        <f aca="false">'○総括　5～6 (メモなし)'!G46</f>
        <v>0</v>
      </c>
      <c r="E1662" s="28" t="n">
        <f aca="false">D1662-N(C1662)</f>
        <v>0</v>
      </c>
      <c r="F1662" s="2" t="str">
        <f aca="false">IF(AND(C1662&lt;&gt;"",ROUND(E1662,2)=0),"一致",IF(G1662&lt;&gt;"","変更（意図的）","★相違"))</f>
        <v>一致</v>
      </c>
      <c r="G1662" s="2"/>
    </row>
    <row r="1663" customFormat="false" ht="15" hidden="false" customHeight="false" outlineLevel="0" collapsed="false">
      <c r="A1663" s="2" t="s">
        <v>1079</v>
      </c>
      <c r="B1663" s="27" t="s">
        <v>767</v>
      </c>
      <c r="C1663" s="28" t="n">
        <v>0</v>
      </c>
      <c r="D1663" s="28" t="n">
        <f aca="false">'○総括　5～6 (メモなし)'!M46</f>
        <v>0</v>
      </c>
      <c r="E1663" s="28" t="n">
        <f aca="false">D1663-N(C1663)</f>
        <v>0</v>
      </c>
      <c r="F1663" s="2" t="str">
        <f aca="false">IF(AND(C1663&lt;&gt;"",ROUND(E1663,2)=0),"一致",IF(G1663&lt;&gt;"","変更（意図的）","★相違"))</f>
        <v>一致</v>
      </c>
      <c r="G1663" s="2"/>
    </row>
    <row r="1664" customFormat="false" ht="15" hidden="false" customHeight="false" outlineLevel="0" collapsed="false">
      <c r="A1664" s="2" t="s">
        <v>1079</v>
      </c>
      <c r="B1664" s="27" t="s">
        <v>768</v>
      </c>
      <c r="C1664" s="28" t="n">
        <v>0</v>
      </c>
      <c r="D1664" s="28" t="n">
        <f aca="false">'○総括　5～6 (メモなし)'!P46</f>
        <v>0</v>
      </c>
      <c r="E1664" s="28" t="n">
        <f aca="false">D1664-N(C1664)</f>
        <v>0</v>
      </c>
      <c r="F1664" s="2" t="str">
        <f aca="false">IF(AND(C1664&lt;&gt;"",ROUND(E1664,2)=0),"一致",IF(G1664&lt;&gt;"","変更（意図的）","★相違"))</f>
        <v>一致</v>
      </c>
      <c r="G1664" s="2"/>
    </row>
    <row r="1665" customFormat="false" ht="15" hidden="false" customHeight="false" outlineLevel="0" collapsed="false">
      <c r="A1665" s="2" t="s">
        <v>1079</v>
      </c>
      <c r="B1665" s="27" t="s">
        <v>769</v>
      </c>
      <c r="C1665" s="28" t="n">
        <v>0</v>
      </c>
      <c r="D1665" s="28" t="n">
        <f aca="false">'○総括　5～6 (メモなし)'!S46</f>
        <v>0</v>
      </c>
      <c r="E1665" s="28" t="n">
        <f aca="false">D1665-N(C1665)</f>
        <v>0</v>
      </c>
      <c r="F1665" s="2" t="str">
        <f aca="false">IF(AND(C1665&lt;&gt;"",ROUND(E1665,2)=0),"一致",IF(G1665&lt;&gt;"","変更（意図的）","★相違"))</f>
        <v>一致</v>
      </c>
      <c r="G1665" s="2"/>
    </row>
    <row r="1666" customFormat="false" ht="15" hidden="false" customHeight="false" outlineLevel="0" collapsed="false">
      <c r="A1666" s="2" t="s">
        <v>1079</v>
      </c>
      <c r="B1666" s="27" t="s">
        <v>238</v>
      </c>
      <c r="C1666" s="28" t="n">
        <v>0</v>
      </c>
      <c r="D1666" s="28" t="n">
        <f aca="false">'○総括　5～6 (メモなし)'!E47</f>
        <v>0</v>
      </c>
      <c r="E1666" s="28" t="n">
        <f aca="false">D1666-N(C1666)</f>
        <v>0</v>
      </c>
      <c r="F1666" s="2" t="str">
        <f aca="false">IF(AND(C1666&lt;&gt;"",ROUND(E1666,2)=0),"一致",IF(G1666&lt;&gt;"","変更（意図的）","★相違"))</f>
        <v>一致</v>
      </c>
      <c r="G1666" s="2"/>
    </row>
    <row r="1667" customFormat="false" ht="15" hidden="false" customHeight="false" outlineLevel="0" collapsed="false">
      <c r="A1667" s="2" t="s">
        <v>1079</v>
      </c>
      <c r="B1667" s="27" t="s">
        <v>239</v>
      </c>
      <c r="C1667" s="28" t="n">
        <v>40576</v>
      </c>
      <c r="D1667" s="28" t="n">
        <f aca="false">'○総括　5～6 (メモなし)'!F47</f>
        <v>40576</v>
      </c>
      <c r="E1667" s="28" t="n">
        <f aca="false">D1667-N(C1667)</f>
        <v>0</v>
      </c>
      <c r="F1667" s="2" t="str">
        <f aca="false">IF(AND(C1667&lt;&gt;"",ROUND(E1667,2)=0),"一致",IF(G1667&lt;&gt;"","変更（意図的）","★相違"))</f>
        <v>一致</v>
      </c>
      <c r="G1667" s="2"/>
    </row>
    <row r="1668" customFormat="false" ht="15" hidden="false" customHeight="false" outlineLevel="0" collapsed="false">
      <c r="A1668" s="2" t="s">
        <v>1079</v>
      </c>
      <c r="B1668" s="27" t="s">
        <v>240</v>
      </c>
      <c r="C1668" s="28" t="n">
        <v>-40576</v>
      </c>
      <c r="D1668" s="28" t="n">
        <f aca="false">'○総括　5～6 (メモなし)'!G47</f>
        <v>-40576</v>
      </c>
      <c r="E1668" s="28" t="n">
        <f aca="false">D1668-N(C1668)</f>
        <v>0</v>
      </c>
      <c r="F1668" s="2" t="str">
        <f aca="false">IF(AND(C1668&lt;&gt;"",ROUND(E1668,2)=0),"一致",IF(G1668&lt;&gt;"","変更（意図的）","★相違"))</f>
        <v>一致</v>
      </c>
      <c r="G1668" s="2"/>
    </row>
    <row r="1669" customFormat="false" ht="15" hidden="false" customHeight="false" outlineLevel="0" collapsed="false">
      <c r="A1669" s="2" t="s">
        <v>1079</v>
      </c>
      <c r="B1669" s="27" t="s">
        <v>771</v>
      </c>
      <c r="C1669" s="28" t="n">
        <v>0</v>
      </c>
      <c r="D1669" s="28" t="n">
        <f aca="false">'○総括　5～6 (メモなし)'!M47</f>
        <v>0</v>
      </c>
      <c r="E1669" s="28" t="n">
        <f aca="false">D1669-N(C1669)</f>
        <v>0</v>
      </c>
      <c r="F1669" s="2" t="str">
        <f aca="false">IF(AND(C1669&lt;&gt;"",ROUND(E1669,2)=0),"一致",IF(G1669&lt;&gt;"","変更（意図的）","★相違"))</f>
        <v>一致</v>
      </c>
      <c r="G1669" s="2"/>
    </row>
    <row r="1670" customFormat="false" ht="15" hidden="false" customHeight="false" outlineLevel="0" collapsed="false">
      <c r="A1670" s="2" t="s">
        <v>1079</v>
      </c>
      <c r="B1670" s="27" t="s">
        <v>1070</v>
      </c>
      <c r="C1670" s="28" t="n">
        <v>0</v>
      </c>
      <c r="D1670" s="28" t="n">
        <f aca="false">'○総括　5～6 (メモなし)'!N47</f>
        <v>0</v>
      </c>
      <c r="E1670" s="28" t="n">
        <f aca="false">D1670-N(C1670)</f>
        <v>0</v>
      </c>
      <c r="F1670" s="2" t="str">
        <f aca="false">IF(AND(C1670&lt;&gt;"",ROUND(E1670,2)=0),"一致",IF(G1670&lt;&gt;"","変更（意図的）","★相違"))</f>
        <v>一致</v>
      </c>
      <c r="G1670" s="2"/>
    </row>
    <row r="1671" customFormat="false" ht="15" hidden="false" customHeight="false" outlineLevel="0" collapsed="false">
      <c r="A1671" s="2" t="s">
        <v>1079</v>
      </c>
      <c r="B1671" s="27" t="s">
        <v>772</v>
      </c>
      <c r="C1671" s="28" t="n">
        <v>19773</v>
      </c>
      <c r="D1671" s="28" t="n">
        <f aca="false">'○総括　5～6 (メモなし)'!O47</f>
        <v>19773</v>
      </c>
      <c r="E1671" s="28" t="n">
        <f aca="false">D1671-N(C1671)</f>
        <v>0</v>
      </c>
      <c r="F1671" s="2" t="str">
        <f aca="false">IF(AND(C1671&lt;&gt;"",ROUND(E1671,2)=0),"一致",IF(G1671&lt;&gt;"","変更（意図的）","★相違"))</f>
        <v>一致</v>
      </c>
      <c r="G1671" s="2"/>
    </row>
    <row r="1672" customFormat="false" ht="15" hidden="false" customHeight="false" outlineLevel="0" collapsed="false">
      <c r="A1672" s="2" t="s">
        <v>1079</v>
      </c>
      <c r="B1672" s="27" t="s">
        <v>773</v>
      </c>
      <c r="C1672" s="28" t="n">
        <v>-19773</v>
      </c>
      <c r="D1672" s="28" t="n">
        <f aca="false">'○総括　5～6 (メモなし)'!P47</f>
        <v>-19773</v>
      </c>
      <c r="E1672" s="28" t="n">
        <f aca="false">D1672-N(C1672)</f>
        <v>0</v>
      </c>
      <c r="F1672" s="2" t="str">
        <f aca="false">IF(AND(C1672&lt;&gt;"",ROUND(E1672,2)=0),"一致",IF(G1672&lt;&gt;"","変更（意図的）","★相違"))</f>
        <v>一致</v>
      </c>
      <c r="G1672" s="2"/>
    </row>
    <row r="1673" customFormat="false" ht="15" hidden="false" customHeight="false" outlineLevel="0" collapsed="false">
      <c r="A1673" s="2" t="s">
        <v>1079</v>
      </c>
      <c r="B1673" s="27" t="s">
        <v>774</v>
      </c>
      <c r="C1673" s="28" t="n">
        <v>0</v>
      </c>
      <c r="D1673" s="28" t="n">
        <f aca="false">'○総括　5～6 (メモなし)'!S47</f>
        <v>0</v>
      </c>
      <c r="E1673" s="28" t="n">
        <f aca="false">D1673-N(C1673)</f>
        <v>0</v>
      </c>
      <c r="F1673" s="2" t="str">
        <f aca="false">IF(AND(C1673&lt;&gt;"",ROUND(E1673,2)=0),"一致",IF(G1673&lt;&gt;"","変更（意図的）","★相違"))</f>
        <v>一致</v>
      </c>
      <c r="G1673" s="2"/>
    </row>
    <row r="1674" customFormat="false" ht="15" hidden="false" customHeight="false" outlineLevel="0" collapsed="false">
      <c r="A1674" s="2" t="s">
        <v>1079</v>
      </c>
      <c r="B1674" s="27" t="s">
        <v>244</v>
      </c>
      <c r="C1674" s="28" t="n">
        <v>876229790</v>
      </c>
      <c r="D1674" s="28" t="n">
        <f aca="false">'○総括　5～6 (メモなし)'!E48</f>
        <v>876229790</v>
      </c>
      <c r="E1674" s="28" t="n">
        <f aca="false">D1674-N(C1674)</f>
        <v>0</v>
      </c>
      <c r="F1674" s="2" t="str">
        <f aca="false">IF(AND(C1674&lt;&gt;"",ROUND(E1674,2)=0),"一致",IF(G1674&lt;&gt;"","変更（意図的）","★相違"))</f>
        <v>一致</v>
      </c>
      <c r="G1674" s="2"/>
    </row>
    <row r="1675" customFormat="false" ht="15" hidden="false" customHeight="false" outlineLevel="0" collapsed="false">
      <c r="A1675" s="2" t="s">
        <v>1079</v>
      </c>
      <c r="B1675" s="27" t="s">
        <v>245</v>
      </c>
      <c r="C1675" s="28" t="n">
        <v>883951850</v>
      </c>
      <c r="D1675" s="28" t="n">
        <f aca="false">'○総括　5～6 (メモなし)'!F48</f>
        <v>883951850</v>
      </c>
      <c r="E1675" s="28" t="n">
        <f aca="false">D1675-N(C1675)</f>
        <v>0</v>
      </c>
      <c r="F1675" s="2" t="str">
        <f aca="false">IF(AND(C1675&lt;&gt;"",ROUND(E1675,2)=0),"一致",IF(G1675&lt;&gt;"","変更（意図的）","★相違"))</f>
        <v>一致</v>
      </c>
      <c r="G1675" s="2"/>
    </row>
    <row r="1676" customFormat="false" ht="15" hidden="false" customHeight="false" outlineLevel="0" collapsed="false">
      <c r="A1676" s="2" t="s">
        <v>1079</v>
      </c>
      <c r="B1676" s="27" t="s">
        <v>246</v>
      </c>
      <c r="C1676" s="28" t="n">
        <v>-7722060</v>
      </c>
      <c r="D1676" s="28" t="n">
        <f aca="false">'○総括　5～6 (メモなし)'!G48</f>
        <v>-7722060</v>
      </c>
      <c r="E1676" s="28" t="n">
        <f aca="false">D1676-N(C1676)</f>
        <v>0</v>
      </c>
      <c r="F1676" s="2" t="str">
        <f aca="false">IF(AND(C1676&lt;&gt;"",ROUND(E1676,2)=0),"一致",IF(G1676&lt;&gt;"","変更（意図的）","★相違"))</f>
        <v>一致</v>
      </c>
      <c r="G1676" s="2"/>
    </row>
    <row r="1677" customFormat="false" ht="15" hidden="false" customHeight="false" outlineLevel="0" collapsed="false">
      <c r="A1677" s="2" t="s">
        <v>1079</v>
      </c>
      <c r="B1677" s="27" t="s">
        <v>775</v>
      </c>
      <c r="C1677" s="28" t="n">
        <v>0</v>
      </c>
      <c r="D1677" s="28" t="n">
        <f aca="false">'○総括　5～6 (メモなし)'!M48</f>
        <v>0</v>
      </c>
      <c r="E1677" s="28" t="n">
        <f aca="false">D1677-N(C1677)</f>
        <v>0</v>
      </c>
      <c r="F1677" s="2" t="str">
        <f aca="false">IF(AND(C1677&lt;&gt;"",ROUND(E1677,2)=0),"一致",IF(G1677&lt;&gt;"","変更（意図的）","★相違"))</f>
        <v>一致</v>
      </c>
      <c r="G1677" s="2"/>
    </row>
    <row r="1678" customFormat="false" ht="15" hidden="false" customHeight="false" outlineLevel="0" collapsed="false">
      <c r="A1678" s="2" t="s">
        <v>1079</v>
      </c>
      <c r="B1678" s="27" t="s">
        <v>776</v>
      </c>
      <c r="C1678" s="28" t="n">
        <v>0</v>
      </c>
      <c r="D1678" s="28" t="n">
        <f aca="false">'○総括　5～6 (メモなし)'!P48</f>
        <v>0</v>
      </c>
      <c r="E1678" s="28" t="n">
        <f aca="false">D1678-N(C1678)</f>
        <v>0</v>
      </c>
      <c r="F1678" s="2" t="str">
        <f aca="false">IF(AND(C1678&lt;&gt;"",ROUND(E1678,2)=0),"一致",IF(G1678&lt;&gt;"","変更（意図的）","★相違"))</f>
        <v>一致</v>
      </c>
      <c r="G1678" s="2"/>
    </row>
    <row r="1679" customFormat="false" ht="15" hidden="false" customHeight="false" outlineLevel="0" collapsed="false">
      <c r="A1679" s="2" t="s">
        <v>1079</v>
      </c>
      <c r="B1679" s="27" t="s">
        <v>777</v>
      </c>
      <c r="C1679" s="28" t="n">
        <v>0</v>
      </c>
      <c r="D1679" s="28" t="n">
        <f aca="false">'○総括　5～6 (メモなし)'!S48</f>
        <v>0</v>
      </c>
      <c r="E1679" s="28" t="n">
        <f aca="false">D1679-N(C1679)</f>
        <v>0</v>
      </c>
      <c r="F1679" s="2" t="str">
        <f aca="false">IF(AND(C1679&lt;&gt;"",ROUND(E1679,2)=0),"一致",IF(G1679&lt;&gt;"","変更（意図的）","★相違"))</f>
        <v>一致</v>
      </c>
      <c r="G1679" s="2"/>
    </row>
    <row r="1680" customFormat="false" ht="15" hidden="false" customHeight="false" outlineLevel="0" collapsed="false">
      <c r="A1680" s="2" t="s">
        <v>1079</v>
      </c>
      <c r="B1680" s="27" t="s">
        <v>778</v>
      </c>
      <c r="C1680" s="28" t="n">
        <v>12539164712</v>
      </c>
      <c r="D1680" s="28" t="n">
        <f aca="false">'○総括　5～6 (メモなし)'!E49</f>
        <v>12539164712</v>
      </c>
      <c r="E1680" s="28" t="n">
        <f aca="false">D1680-N(C1680)</f>
        <v>0</v>
      </c>
      <c r="F1680" s="2" t="str">
        <f aca="false">IF(AND(C1680&lt;&gt;"",ROUND(E1680,2)=0),"一致",IF(G1680&lt;&gt;"","変更（意図的）","★相違"))</f>
        <v>一致</v>
      </c>
      <c r="G1680" s="2"/>
    </row>
    <row r="1681" customFormat="false" ht="15" hidden="false" customHeight="false" outlineLevel="0" collapsed="false">
      <c r="A1681" s="2" t="s">
        <v>1079</v>
      </c>
      <c r="B1681" s="27" t="s">
        <v>779</v>
      </c>
      <c r="C1681" s="28" t="n">
        <v>11522650253</v>
      </c>
      <c r="D1681" s="28" t="n">
        <f aca="false">'○総括　5～6 (メモなし)'!F49</f>
        <v>11522650253</v>
      </c>
      <c r="E1681" s="28" t="n">
        <f aca="false">D1681-N(C1681)</f>
        <v>0</v>
      </c>
      <c r="F1681" s="2" t="str">
        <f aca="false">IF(AND(C1681&lt;&gt;"",ROUND(E1681,2)=0),"一致",IF(G1681&lt;&gt;"","変更（意図的）","★相違"))</f>
        <v>一致</v>
      </c>
      <c r="G1681" s="2"/>
    </row>
    <row r="1682" customFormat="false" ht="15" hidden="false" customHeight="false" outlineLevel="0" collapsed="false">
      <c r="A1682" s="2" t="s">
        <v>1079</v>
      </c>
      <c r="B1682" s="27" t="s">
        <v>780</v>
      </c>
      <c r="C1682" s="28" t="n">
        <v>1016514459</v>
      </c>
      <c r="D1682" s="28" t="n">
        <f aca="false">'○総括　5～6 (メモなし)'!G49</f>
        <v>1016514459</v>
      </c>
      <c r="E1682" s="28" t="n">
        <f aca="false">D1682-N(C1682)</f>
        <v>0</v>
      </c>
      <c r="F1682" s="2" t="str">
        <f aca="false">IF(AND(C1682&lt;&gt;"",ROUND(E1682,2)=0),"一致",IF(G1682&lt;&gt;"","変更（意図的）","★相違"))</f>
        <v>一致</v>
      </c>
      <c r="G1682" s="2"/>
    </row>
    <row r="1683" customFormat="false" ht="15" hidden="false" customHeight="false" outlineLevel="0" collapsed="false">
      <c r="A1683" s="2" t="s">
        <v>1079</v>
      </c>
      <c r="B1683" s="27" t="s">
        <v>279</v>
      </c>
      <c r="C1683" s="28" t="n">
        <v>9398399172</v>
      </c>
      <c r="D1683" s="28" t="n">
        <f aca="false">'○総括　5～6 (メモなし)'!H49</f>
        <v>9398399172</v>
      </c>
      <c r="E1683" s="28" t="n">
        <f aca="false">D1683-N(C1683)</f>
        <v>0</v>
      </c>
      <c r="F1683" s="2" t="str">
        <f aca="false">IF(AND(C1683&lt;&gt;"",ROUND(E1683,2)=0),"一致",IF(G1683&lt;&gt;"","変更（意図的）","★相違"))</f>
        <v>一致</v>
      </c>
      <c r="G1683" s="2"/>
    </row>
    <row r="1684" customFormat="false" ht="15" hidden="false" customHeight="false" outlineLevel="0" collapsed="false">
      <c r="A1684" s="2" t="s">
        <v>1079</v>
      </c>
      <c r="B1684" s="27" t="s">
        <v>781</v>
      </c>
      <c r="C1684" s="28" t="n">
        <v>18547871319</v>
      </c>
      <c r="D1684" s="28" t="n">
        <f aca="false">'○総括　5～6 (メモなし)'!I49</f>
        <v>18547871319</v>
      </c>
      <c r="E1684" s="28" t="n">
        <f aca="false">D1684-N(C1684)</f>
        <v>0</v>
      </c>
      <c r="F1684" s="2" t="str">
        <f aca="false">IF(AND(C1684&lt;&gt;"",ROUND(E1684,2)=0),"一致",IF(G1684&lt;&gt;"","変更（意図的）","★相違"))</f>
        <v>一致</v>
      </c>
      <c r="G1684" s="2"/>
    </row>
    <row r="1685" customFormat="false" ht="15" hidden="false" customHeight="false" outlineLevel="0" collapsed="false">
      <c r="A1685" s="2" t="s">
        <v>1079</v>
      </c>
      <c r="B1685" s="27" t="s">
        <v>782</v>
      </c>
      <c r="C1685" s="28" t="n">
        <v>-9149472147</v>
      </c>
      <c r="D1685" s="28" t="n">
        <f aca="false">'○総括　5～6 (メモなし)'!J49</f>
        <v>-9149472147</v>
      </c>
      <c r="E1685" s="28" t="n">
        <f aca="false">D1685-N(C1685)</f>
        <v>0</v>
      </c>
      <c r="F1685" s="2" t="str">
        <f aca="false">IF(AND(C1685&lt;&gt;"",ROUND(E1685,2)=0),"一致",IF(G1685&lt;&gt;"","変更（意図的）","★相違"))</f>
        <v>一致</v>
      </c>
      <c r="G1685" s="2"/>
    </row>
    <row r="1686" customFormat="false" ht="15" hidden="false" customHeight="false" outlineLevel="0" collapsed="false">
      <c r="A1686" s="2" t="s">
        <v>1079</v>
      </c>
      <c r="B1686" s="27" t="s">
        <v>783</v>
      </c>
      <c r="C1686" s="28" t="n">
        <v>111447230</v>
      </c>
      <c r="D1686" s="28" t="n">
        <f aca="false">'○総括　5～6 (メモなし)'!K49</f>
        <v>111447230</v>
      </c>
      <c r="E1686" s="28" t="n">
        <f aca="false">D1686-N(C1686)</f>
        <v>0</v>
      </c>
      <c r="F1686" s="2" t="str">
        <f aca="false">IF(AND(C1686&lt;&gt;"",ROUND(E1686,2)=0),"一致",IF(G1686&lt;&gt;"","変更（意図的）","★相違"))</f>
        <v>一致</v>
      </c>
      <c r="G1686" s="2"/>
    </row>
    <row r="1687" customFormat="false" ht="15" hidden="false" customHeight="false" outlineLevel="0" collapsed="false">
      <c r="A1687" s="2" t="s">
        <v>1079</v>
      </c>
      <c r="B1687" s="27" t="s">
        <v>784</v>
      </c>
      <c r="C1687" s="28" t="n">
        <v>90566394</v>
      </c>
      <c r="D1687" s="28" t="n">
        <f aca="false">'○総括　5～6 (メモなし)'!L49</f>
        <v>90566394</v>
      </c>
      <c r="E1687" s="28" t="n">
        <f aca="false">D1687-N(C1687)</f>
        <v>0</v>
      </c>
      <c r="F1687" s="2" t="str">
        <f aca="false">IF(AND(C1687&lt;&gt;"",ROUND(E1687,2)=0),"一致",IF(G1687&lt;&gt;"","変更（意図的）","★相違"))</f>
        <v>一致</v>
      </c>
      <c r="G1687" s="2"/>
    </row>
    <row r="1688" customFormat="false" ht="15" hidden="false" customHeight="false" outlineLevel="0" collapsed="false">
      <c r="A1688" s="2" t="s">
        <v>1079</v>
      </c>
      <c r="B1688" s="27" t="s">
        <v>785</v>
      </c>
      <c r="C1688" s="28" t="n">
        <v>20880836</v>
      </c>
      <c r="D1688" s="28" t="n">
        <f aca="false">'○総括　5～6 (メモなし)'!M49</f>
        <v>20880836</v>
      </c>
      <c r="E1688" s="28" t="n">
        <f aca="false">D1688-N(C1688)</f>
        <v>0</v>
      </c>
      <c r="F1688" s="2" t="str">
        <f aca="false">IF(AND(C1688&lt;&gt;"",ROUND(E1688,2)=0),"一致",IF(G1688&lt;&gt;"","変更（意図的）","★相違"))</f>
        <v>一致</v>
      </c>
      <c r="G1688" s="2"/>
    </row>
    <row r="1689" customFormat="false" ht="15" hidden="false" customHeight="false" outlineLevel="0" collapsed="false">
      <c r="A1689" s="2" t="s">
        <v>1079</v>
      </c>
      <c r="B1689" s="27" t="s">
        <v>786</v>
      </c>
      <c r="C1689" s="28" t="n">
        <v>614202583</v>
      </c>
      <c r="D1689" s="28" t="n">
        <f aca="false">'○総括　5～6 (メモなし)'!N49</f>
        <v>614202583</v>
      </c>
      <c r="E1689" s="28" t="n">
        <f aca="false">D1689-N(C1689)</f>
        <v>0</v>
      </c>
      <c r="F1689" s="2" t="str">
        <f aca="false">IF(AND(C1689&lt;&gt;"",ROUND(E1689,2)=0),"一致",IF(G1689&lt;&gt;"","変更（意図的）","★相違"))</f>
        <v>一致</v>
      </c>
      <c r="G1689" s="2"/>
    </row>
    <row r="1690" customFormat="false" ht="15" hidden="false" customHeight="false" outlineLevel="0" collapsed="false">
      <c r="A1690" s="2" t="s">
        <v>1079</v>
      </c>
      <c r="B1690" s="27" t="s">
        <v>787</v>
      </c>
      <c r="C1690" s="28" t="n">
        <v>584884295</v>
      </c>
      <c r="D1690" s="28" t="n">
        <f aca="false">'○総括　5～6 (メモなし)'!O49</f>
        <v>584884295</v>
      </c>
      <c r="E1690" s="28" t="n">
        <f aca="false">D1690-N(C1690)</f>
        <v>0</v>
      </c>
      <c r="F1690" s="2" t="str">
        <f aca="false">IF(AND(C1690&lt;&gt;"",ROUND(E1690,2)=0),"一致",IF(G1690&lt;&gt;"","変更（意図的）","★相違"))</f>
        <v>一致</v>
      </c>
      <c r="G1690" s="2"/>
    </row>
    <row r="1691" customFormat="false" ht="15" hidden="false" customHeight="false" outlineLevel="0" collapsed="false">
      <c r="A1691" s="2" t="s">
        <v>1079</v>
      </c>
      <c r="B1691" s="27" t="s">
        <v>788</v>
      </c>
      <c r="C1691" s="28" t="n">
        <v>29318288</v>
      </c>
      <c r="D1691" s="28" t="n">
        <f aca="false">'○総括　5～6 (メモなし)'!P49</f>
        <v>29318288</v>
      </c>
      <c r="E1691" s="28" t="n">
        <f aca="false">D1691-N(C1691)</f>
        <v>0</v>
      </c>
      <c r="F1691" s="2" t="str">
        <f aca="false">IF(AND(C1691&lt;&gt;"",ROUND(E1691,2)=0),"一致",IF(G1691&lt;&gt;"","変更（意図的）","★相違"))</f>
        <v>一致</v>
      </c>
      <c r="G1691" s="2"/>
    </row>
    <row r="1692" customFormat="false" ht="15" hidden="false" customHeight="false" outlineLevel="0" collapsed="false">
      <c r="A1692" s="2" t="s">
        <v>1079</v>
      </c>
      <c r="B1692" s="27" t="s">
        <v>789</v>
      </c>
      <c r="C1692" s="28" t="n">
        <v>18110125</v>
      </c>
      <c r="D1692" s="28" t="n">
        <f aca="false">'○総括　5～6 (メモなし)'!Q49</f>
        <v>18110125</v>
      </c>
      <c r="E1692" s="28" t="n">
        <f aca="false">D1692-N(C1692)</f>
        <v>0</v>
      </c>
      <c r="F1692" s="2" t="str">
        <f aca="false">IF(AND(C1692&lt;&gt;"",ROUND(E1692,2)=0),"一致",IF(G1692&lt;&gt;"","変更（意図的）","★相違"))</f>
        <v>一致</v>
      </c>
      <c r="G1692" s="2"/>
    </row>
    <row r="1693" customFormat="false" ht="15" hidden="false" customHeight="false" outlineLevel="0" collapsed="false">
      <c r="A1693" s="2" t="s">
        <v>1079</v>
      </c>
      <c r="B1693" s="27" t="s">
        <v>790</v>
      </c>
      <c r="C1693" s="28" t="n">
        <v>13472808</v>
      </c>
      <c r="D1693" s="28" t="n">
        <f aca="false">'○総括　5～6 (メモなし)'!R49</f>
        <v>13472808</v>
      </c>
      <c r="E1693" s="28" t="n">
        <f aca="false">D1693-N(C1693)</f>
        <v>0</v>
      </c>
      <c r="F1693" s="2" t="str">
        <f aca="false">IF(AND(C1693&lt;&gt;"",ROUND(E1693,2)=0),"一致",IF(G1693&lt;&gt;"","変更（意図的）","★相違"))</f>
        <v>一致</v>
      </c>
      <c r="G1693" s="2"/>
    </row>
    <row r="1694" customFormat="false" ht="15" hidden="false" customHeight="false" outlineLevel="0" collapsed="false">
      <c r="A1694" s="2" t="s">
        <v>1079</v>
      </c>
      <c r="B1694" s="27" t="s">
        <v>791</v>
      </c>
      <c r="C1694" s="28" t="n">
        <v>4637317</v>
      </c>
      <c r="D1694" s="28" t="n">
        <f aca="false">'○総括　5～6 (メモなし)'!S49</f>
        <v>4637317</v>
      </c>
      <c r="E1694" s="28" t="n">
        <f aca="false">D1694-N(C1694)</f>
        <v>0</v>
      </c>
      <c r="F1694" s="2" t="str">
        <f aca="false">IF(AND(C1694&lt;&gt;"",ROUND(E1694,2)=0),"一致",IF(G1694&lt;&gt;"","変更（意図的）","★相違"))</f>
        <v>一致</v>
      </c>
      <c r="G1694" s="2"/>
    </row>
    <row r="1695" customFormat="false" ht="15" hidden="false" customHeight="false" outlineLevel="0" collapsed="false">
      <c r="A1695" s="2" t="s">
        <v>1079</v>
      </c>
      <c r="B1695" s="27" t="s">
        <v>792</v>
      </c>
      <c r="C1695" s="28" t="n">
        <v>824180510</v>
      </c>
      <c r="D1695" s="28" t="n">
        <f aca="false">'○総括　5～6 (メモなし)'!E50</f>
        <v>824180510</v>
      </c>
      <c r="E1695" s="28" t="n">
        <f aca="false">D1695-N(C1695)</f>
        <v>0</v>
      </c>
      <c r="F1695" s="2" t="str">
        <f aca="false">IF(AND(C1695&lt;&gt;"",ROUND(E1695,2)=0),"一致",IF(G1695&lt;&gt;"","変更（意図的）","★相違"))</f>
        <v>一致</v>
      </c>
      <c r="G1695" s="2"/>
    </row>
    <row r="1696" customFormat="false" ht="15" hidden="false" customHeight="false" outlineLevel="0" collapsed="false">
      <c r="A1696" s="2" t="s">
        <v>1079</v>
      </c>
      <c r="B1696" s="27" t="s">
        <v>793</v>
      </c>
      <c r="C1696" s="28" t="n">
        <v>-568037567</v>
      </c>
      <c r="D1696" s="28" t="n">
        <f aca="false">'○総括　5～6 (メモなし)'!F50</f>
        <v>-568037567</v>
      </c>
      <c r="E1696" s="28" t="n">
        <f aca="false">D1696-N(C1696)</f>
        <v>0</v>
      </c>
      <c r="F1696" s="2" t="str">
        <f aca="false">IF(AND(C1696&lt;&gt;"",ROUND(E1696,2)=0),"一致",IF(G1696&lt;&gt;"","変更（意図的）","★相違"))</f>
        <v>一致</v>
      </c>
      <c r="G1696" s="2"/>
    </row>
    <row r="1697" customFormat="false" ht="15" hidden="false" customHeight="false" outlineLevel="0" collapsed="false">
      <c r="A1697" s="2" t="s">
        <v>1079</v>
      </c>
      <c r="B1697" s="27" t="s">
        <v>281</v>
      </c>
      <c r="C1697" s="28" t="n">
        <v>1392218077</v>
      </c>
      <c r="D1697" s="28" t="n">
        <f aca="false">'○総括　5～6 (メモなし)'!G50</f>
        <v>1392218077</v>
      </c>
      <c r="E1697" s="28" t="n">
        <f aca="false">D1697-N(C1697)</f>
        <v>0</v>
      </c>
      <c r="F1697" s="2" t="str">
        <f aca="false">IF(AND(C1697&lt;&gt;"",ROUND(E1697,2)=0),"一致",IF(G1697&lt;&gt;"","変更（意図的）","★相違"))</f>
        <v>一致</v>
      </c>
      <c r="G1697" s="2"/>
    </row>
    <row r="1698" customFormat="false" ht="15" hidden="false" customHeight="false" outlineLevel="0" collapsed="false">
      <c r="A1698" s="2" t="s">
        <v>1079</v>
      </c>
      <c r="B1698" s="27" t="s">
        <v>794</v>
      </c>
      <c r="C1698" s="28" t="n">
        <v>944336817</v>
      </c>
      <c r="D1698" s="28" t="n">
        <f aca="false">'○総括　5～6 (メモなし)'!H50</f>
        <v>944336817</v>
      </c>
      <c r="E1698" s="28" t="n">
        <f aca="false">D1698-N(C1698)</f>
        <v>0</v>
      </c>
      <c r="F1698" s="2" t="str">
        <f aca="false">IF(AND(C1698&lt;&gt;"",ROUND(E1698,2)=0),"一致",IF(G1698&lt;&gt;"","変更（意図的）","★相違"))</f>
        <v>一致</v>
      </c>
      <c r="G1698" s="2"/>
    </row>
    <row r="1699" customFormat="false" ht="15" hidden="false" customHeight="false" outlineLevel="0" collapsed="false">
      <c r="A1699" s="2" t="s">
        <v>1079</v>
      </c>
      <c r="B1699" s="27" t="s">
        <v>795</v>
      </c>
      <c r="C1699" s="28" t="n">
        <v>669911578</v>
      </c>
      <c r="D1699" s="28" t="n">
        <f aca="false">'○総括　5～6 (メモなし)'!I50</f>
        <v>669911578</v>
      </c>
      <c r="E1699" s="28" t="n">
        <f aca="false">D1699-N(C1699)</f>
        <v>0</v>
      </c>
      <c r="F1699" s="2" t="str">
        <f aca="false">IF(AND(C1699&lt;&gt;"",ROUND(E1699,2)=0),"一致",IF(G1699&lt;&gt;"","変更（意図的）","★相違"))</f>
        <v>一致</v>
      </c>
      <c r="G1699" s="2"/>
    </row>
    <row r="1700" customFormat="false" ht="15" hidden="false" customHeight="false" outlineLevel="0" collapsed="false">
      <c r="A1700" s="2" t="s">
        <v>1079</v>
      </c>
      <c r="B1700" s="27" t="s">
        <v>796</v>
      </c>
      <c r="C1700" s="28" t="n">
        <v>274425239</v>
      </c>
      <c r="D1700" s="28" t="n">
        <f aca="false">'○総括　5～6 (メモなし)'!J50</f>
        <v>274425239</v>
      </c>
      <c r="E1700" s="28" t="n">
        <f aca="false">D1700-N(C1700)</f>
        <v>0</v>
      </c>
      <c r="F1700" s="2" t="str">
        <f aca="false">IF(AND(C1700&lt;&gt;"",ROUND(E1700,2)=0),"一致",IF(G1700&lt;&gt;"","変更（意図的）","★相違"))</f>
        <v>一致</v>
      </c>
      <c r="G1700" s="2"/>
    </row>
    <row r="1701" customFormat="false" ht="15" hidden="false" customHeight="false" outlineLevel="0" collapsed="false">
      <c r="A1701" s="2" t="s">
        <v>1079</v>
      </c>
      <c r="B1701" s="27" t="s">
        <v>797</v>
      </c>
      <c r="C1701" s="28" t="n">
        <v>4500788</v>
      </c>
      <c r="D1701" s="28" t="n">
        <f aca="false">'○総括　5～6 (メモなし)'!K50</f>
        <v>4500788</v>
      </c>
      <c r="E1701" s="28" t="n">
        <f aca="false">D1701-N(C1701)</f>
        <v>0</v>
      </c>
      <c r="F1701" s="2" t="str">
        <f aca="false">IF(AND(C1701&lt;&gt;"",ROUND(E1701,2)=0),"一致",IF(G1701&lt;&gt;"","変更（意図的）","★相違"))</f>
        <v>一致</v>
      </c>
      <c r="G1701" s="2"/>
    </row>
    <row r="1702" customFormat="false" ht="15" hidden="false" customHeight="false" outlineLevel="0" collapsed="false">
      <c r="A1702" s="2" t="s">
        <v>1079</v>
      </c>
      <c r="B1702" s="27" t="s">
        <v>798</v>
      </c>
      <c r="C1702" s="28" t="n">
        <v>5603393</v>
      </c>
      <c r="D1702" s="28" t="n">
        <f aca="false">'○総括　5～6 (メモなし)'!L50</f>
        <v>5603393</v>
      </c>
      <c r="E1702" s="28" t="n">
        <f aca="false">D1702-N(C1702)</f>
        <v>0</v>
      </c>
      <c r="F1702" s="2" t="str">
        <f aca="false">IF(AND(C1702&lt;&gt;"",ROUND(E1702,2)=0),"一致",IF(G1702&lt;&gt;"","変更（意図的）","★相違"))</f>
        <v>一致</v>
      </c>
      <c r="G1702" s="2"/>
    </row>
    <row r="1703" customFormat="false" ht="15" hidden="false" customHeight="false" outlineLevel="0" collapsed="false">
      <c r="A1703" s="2" t="s">
        <v>1079</v>
      </c>
      <c r="B1703" s="27" t="s">
        <v>799</v>
      </c>
      <c r="C1703" s="28" t="n">
        <v>-1102605</v>
      </c>
      <c r="D1703" s="28" t="n">
        <f aca="false">'○総括　5～6 (メモなし)'!M50</f>
        <v>-1102605</v>
      </c>
      <c r="E1703" s="28" t="n">
        <f aca="false">D1703-N(C1703)</f>
        <v>0</v>
      </c>
      <c r="F1703" s="2" t="str">
        <f aca="false">IF(AND(C1703&lt;&gt;"",ROUND(E1703,2)=0),"一致",IF(G1703&lt;&gt;"","変更（意図的）","★相違"))</f>
        <v>一致</v>
      </c>
      <c r="G1703" s="2"/>
    </row>
    <row r="1704" customFormat="false" ht="15" hidden="false" customHeight="false" outlineLevel="0" collapsed="false">
      <c r="A1704" s="2" t="s">
        <v>1079</v>
      </c>
      <c r="B1704" s="27" t="s">
        <v>800</v>
      </c>
      <c r="C1704" s="28" t="n">
        <v>-5288221</v>
      </c>
      <c r="D1704" s="28" t="n">
        <f aca="false">'○総括　5～6 (メモなし)'!N50</f>
        <v>-5288221</v>
      </c>
      <c r="E1704" s="28" t="n">
        <f aca="false">D1704-N(C1704)</f>
        <v>0</v>
      </c>
      <c r="F1704" s="2" t="str">
        <f aca="false">IF(AND(C1704&lt;&gt;"",ROUND(E1704,2)=0),"一致",IF(G1704&lt;&gt;"","変更（意図的）","★相違"))</f>
        <v>一致</v>
      </c>
      <c r="G1704" s="2"/>
    </row>
    <row r="1705" customFormat="false" ht="15" hidden="false" customHeight="false" outlineLevel="0" collapsed="false">
      <c r="A1705" s="2" t="s">
        <v>1079</v>
      </c>
      <c r="B1705" s="27" t="s">
        <v>801</v>
      </c>
      <c r="C1705" s="28" t="n">
        <v>-89819680</v>
      </c>
      <c r="D1705" s="28" t="n">
        <f aca="false">'○総括　5～6 (メモなし)'!O50</f>
        <v>-89819680</v>
      </c>
      <c r="E1705" s="28" t="n">
        <f aca="false">D1705-N(C1705)</f>
        <v>0</v>
      </c>
      <c r="F1705" s="2" t="str">
        <f aca="false">IF(AND(C1705&lt;&gt;"",ROUND(E1705,2)=0),"一致",IF(G1705&lt;&gt;"","変更（意図的）","★相違"))</f>
        <v>一致</v>
      </c>
      <c r="G1705" s="2"/>
    </row>
    <row r="1706" customFormat="false" ht="15" hidden="false" customHeight="false" outlineLevel="0" collapsed="false">
      <c r="A1706" s="2" t="s">
        <v>1079</v>
      </c>
      <c r="B1706" s="27" t="s">
        <v>802</v>
      </c>
      <c r="C1706" s="28" t="n">
        <v>84531459</v>
      </c>
      <c r="D1706" s="28" t="n">
        <f aca="false">'○総括　5～6 (メモなし)'!P50</f>
        <v>84531459</v>
      </c>
      <c r="E1706" s="28" t="n">
        <f aca="false">D1706-N(C1706)</f>
        <v>0</v>
      </c>
      <c r="F1706" s="2" t="str">
        <f aca="false">IF(AND(C1706&lt;&gt;"",ROUND(E1706,2)=0),"一致",IF(G1706&lt;&gt;"","変更（意図的）","★相違"))</f>
        <v>一致</v>
      </c>
      <c r="G1706" s="2"/>
    </row>
    <row r="1707" customFormat="false" ht="15" hidden="false" customHeight="false" outlineLevel="0" collapsed="false">
      <c r="A1707" s="2" t="s">
        <v>1079</v>
      </c>
      <c r="B1707" s="27" t="s">
        <v>803</v>
      </c>
      <c r="C1707" s="28" t="n">
        <v>-5354125</v>
      </c>
      <c r="D1707" s="28" t="n">
        <f aca="false">'○総括　5～6 (メモなし)'!Q50</f>
        <v>-5354125</v>
      </c>
      <c r="E1707" s="28" t="n">
        <f aca="false">D1707-N(C1707)</f>
        <v>0</v>
      </c>
      <c r="F1707" s="2" t="str">
        <f aca="false">IF(AND(C1707&lt;&gt;"",ROUND(E1707,2)=0),"一致",IF(G1707&lt;&gt;"","変更（意図的）","★相違"))</f>
        <v>一致</v>
      </c>
      <c r="G1707" s="2"/>
    </row>
    <row r="1708" customFormat="false" ht="15" hidden="false" customHeight="false" outlineLevel="0" collapsed="false">
      <c r="A1708" s="2" t="s">
        <v>1079</v>
      </c>
      <c r="B1708" s="27" t="s">
        <v>804</v>
      </c>
      <c r="C1708" s="28" t="n">
        <v>808378</v>
      </c>
      <c r="D1708" s="28" t="n">
        <f aca="false">'○総括　5～6 (メモなし)'!R50</f>
        <v>808378</v>
      </c>
      <c r="E1708" s="28" t="n">
        <f aca="false">D1708-N(C1708)</f>
        <v>0</v>
      </c>
      <c r="F1708" s="2" t="str">
        <f aca="false">IF(AND(C1708&lt;&gt;"",ROUND(E1708,2)=0),"一致",IF(G1708&lt;&gt;"","変更（意図的）","★相違"))</f>
        <v>一致</v>
      </c>
      <c r="G1708" s="2"/>
    </row>
    <row r="1709" customFormat="false" ht="15" hidden="false" customHeight="false" outlineLevel="0" collapsed="false">
      <c r="A1709" s="2" t="s">
        <v>1079</v>
      </c>
      <c r="B1709" s="27" t="s">
        <v>805</v>
      </c>
      <c r="C1709" s="28" t="n">
        <v>-6162503</v>
      </c>
      <c r="D1709" s="28" t="n">
        <f aca="false">'○総括　5～6 (メモなし)'!S50</f>
        <v>-6162503</v>
      </c>
      <c r="E1709" s="28" t="n">
        <f aca="false">D1709-N(C1709)</f>
        <v>0</v>
      </c>
      <c r="F1709" s="2" t="str">
        <f aca="false">IF(AND(C1709&lt;&gt;"",ROUND(E1709,2)=0),"一致",IF(G1709&lt;&gt;"","変更（意図的）","★相違"))</f>
        <v>一致</v>
      </c>
      <c r="G1709" s="2"/>
    </row>
    <row r="1710" customFormat="false" ht="15" hidden="false" customHeight="false" outlineLevel="0" collapsed="false">
      <c r="A1710" s="2" t="s">
        <v>1079</v>
      </c>
      <c r="B1710" s="27" t="s">
        <v>806</v>
      </c>
      <c r="C1710" s="28" t="n">
        <v>2237365593</v>
      </c>
      <c r="D1710" s="28" t="n">
        <f aca="false">'○総括　5～6 (メモなし)'!E51</f>
        <v>2237365593</v>
      </c>
      <c r="E1710" s="28" t="n">
        <f aca="false">D1710-N(C1710)</f>
        <v>0</v>
      </c>
      <c r="F1710" s="2" t="str">
        <f aca="false">IF(AND(C1710&lt;&gt;"",ROUND(E1710,2)=0),"一致",IF(G1710&lt;&gt;"","変更（意図的）","★相違"))</f>
        <v>一致</v>
      </c>
      <c r="G1710" s="2"/>
    </row>
    <row r="1711" customFormat="false" ht="15" hidden="false" customHeight="false" outlineLevel="0" collapsed="false">
      <c r="A1711" s="2" t="s">
        <v>1079</v>
      </c>
      <c r="B1711" s="27" t="s">
        <v>807</v>
      </c>
      <c r="C1711" s="28" t="n">
        <v>1413185083</v>
      </c>
      <c r="D1711" s="28" t="n">
        <f aca="false">'○総括　5～6 (メモなし)'!F51</f>
        <v>1413185083</v>
      </c>
      <c r="E1711" s="28" t="n">
        <f aca="false">D1711-N(C1711)</f>
        <v>0</v>
      </c>
      <c r="F1711" s="2" t="str">
        <f aca="false">IF(AND(C1711&lt;&gt;"",ROUND(E1711,2)=0),"一致",IF(G1711&lt;&gt;"","変更（意図的）","★相違"))</f>
        <v>一致</v>
      </c>
      <c r="G1711" s="2"/>
    </row>
    <row r="1712" customFormat="false" ht="15" hidden="false" customHeight="false" outlineLevel="0" collapsed="false">
      <c r="A1712" s="2" t="s">
        <v>1079</v>
      </c>
      <c r="B1712" s="27" t="s">
        <v>808</v>
      </c>
      <c r="C1712" s="28" t="n">
        <v>824180510</v>
      </c>
      <c r="D1712" s="28" t="n">
        <f aca="false">'○総括　5～6 (メモなし)'!G51</f>
        <v>824180510</v>
      </c>
      <c r="E1712" s="28" t="n">
        <f aca="false">D1712-N(C1712)</f>
        <v>0</v>
      </c>
      <c r="F1712" s="2" t="str">
        <f aca="false">IF(AND(C1712&lt;&gt;"",ROUND(E1712,2)=0),"一致",IF(G1712&lt;&gt;"","変更（意図的）","★相違"))</f>
        <v>一致</v>
      </c>
      <c r="G1712" s="2"/>
    </row>
    <row r="1713" customFormat="false" ht="15" hidden="false" customHeight="false" outlineLevel="0" collapsed="false">
      <c r="A1713" s="2" t="s">
        <v>1079</v>
      </c>
      <c r="B1713" s="27" t="s">
        <v>809</v>
      </c>
      <c r="C1713" s="28" t="n">
        <v>116214028015</v>
      </c>
      <c r="D1713" s="28" t="n">
        <f aca="false">'○総括　5～6 (メモなし)'!H51</f>
        <v>116214028015</v>
      </c>
      <c r="E1713" s="28" t="n">
        <f aca="false">D1713-N(C1713)</f>
        <v>0</v>
      </c>
      <c r="F1713" s="2" t="str">
        <f aca="false">IF(AND(C1713&lt;&gt;"",ROUND(E1713,2)=0),"一致",IF(G1713&lt;&gt;"","変更（意図的）","★相違"))</f>
        <v>一致</v>
      </c>
      <c r="G1713" s="2"/>
    </row>
    <row r="1714" customFormat="false" ht="15" hidden="false" customHeight="false" outlineLevel="0" collapsed="false">
      <c r="A1714" s="2" t="s">
        <v>1079</v>
      </c>
      <c r="B1714" s="27" t="s">
        <v>810</v>
      </c>
      <c r="C1714" s="28" t="n">
        <v>115269691198</v>
      </c>
      <c r="D1714" s="28" t="n">
        <f aca="false">'○総括　5～6 (メモなし)'!I51</f>
        <v>115269691198</v>
      </c>
      <c r="E1714" s="28" t="n">
        <f aca="false">D1714-N(C1714)</f>
        <v>0</v>
      </c>
      <c r="F1714" s="2" t="str">
        <f aca="false">IF(AND(C1714&lt;&gt;"",ROUND(E1714,2)=0),"一致",IF(G1714&lt;&gt;"","変更（意図的）","★相違"))</f>
        <v>一致</v>
      </c>
      <c r="G1714" s="2"/>
    </row>
    <row r="1715" customFormat="false" ht="15" hidden="false" customHeight="false" outlineLevel="0" collapsed="false">
      <c r="A1715" s="2" t="s">
        <v>1079</v>
      </c>
      <c r="B1715" s="27" t="s">
        <v>811</v>
      </c>
      <c r="C1715" s="28" t="n">
        <v>944336817</v>
      </c>
      <c r="D1715" s="28" t="n">
        <f aca="false">'○総括　5～6 (メモなし)'!J51</f>
        <v>944336817</v>
      </c>
      <c r="E1715" s="28" t="n">
        <f aca="false">D1715-N(C1715)</f>
        <v>0</v>
      </c>
      <c r="F1715" s="2" t="str">
        <f aca="false">IF(AND(C1715&lt;&gt;"",ROUND(E1715,2)=0),"一致",IF(G1715&lt;&gt;"","変更（意図的）","★相違"))</f>
        <v>一致</v>
      </c>
      <c r="G1715" s="2"/>
    </row>
    <row r="1716" customFormat="false" ht="15" hidden="false" customHeight="false" outlineLevel="0" collapsed="false">
      <c r="A1716" s="2" t="s">
        <v>1079</v>
      </c>
      <c r="B1716" s="27" t="s">
        <v>812</v>
      </c>
      <c r="C1716" s="28" t="n">
        <v>71093911</v>
      </c>
      <c r="D1716" s="28" t="n">
        <f aca="false">'○総括　5～6 (メモなし)'!K51</f>
        <v>71093911</v>
      </c>
      <c r="E1716" s="28" t="n">
        <f aca="false">D1716-N(C1716)</f>
        <v>0</v>
      </c>
      <c r="F1716" s="2" t="str">
        <f aca="false">IF(AND(C1716&lt;&gt;"",ROUND(E1716,2)=0),"一致",IF(G1716&lt;&gt;"","変更（意図的）","★相違"))</f>
        <v>一致</v>
      </c>
      <c r="G1716" s="2"/>
    </row>
    <row r="1717" customFormat="false" ht="15" hidden="false" customHeight="false" outlineLevel="0" collapsed="false">
      <c r="A1717" s="2" t="s">
        <v>1079</v>
      </c>
      <c r="B1717" s="27" t="s">
        <v>813</v>
      </c>
      <c r="C1717" s="28" t="n">
        <v>66593123</v>
      </c>
      <c r="D1717" s="28" t="n">
        <f aca="false">'○総括　5～6 (メモなし)'!L51</f>
        <v>66593123</v>
      </c>
      <c r="E1717" s="28" t="n">
        <f aca="false">D1717-N(C1717)</f>
        <v>0</v>
      </c>
      <c r="F1717" s="2" t="str">
        <f aca="false">IF(AND(C1717&lt;&gt;"",ROUND(E1717,2)=0),"一致",IF(G1717&lt;&gt;"","変更（意図的）","★相違"))</f>
        <v>一致</v>
      </c>
      <c r="G1717" s="2"/>
    </row>
    <row r="1718" customFormat="false" ht="15" hidden="false" customHeight="false" outlineLevel="0" collapsed="false">
      <c r="A1718" s="2" t="s">
        <v>1079</v>
      </c>
      <c r="B1718" s="27" t="s">
        <v>814</v>
      </c>
      <c r="C1718" s="28" t="n">
        <v>4500788</v>
      </c>
      <c r="D1718" s="28" t="n">
        <f aca="false">'○総括　5～6 (メモなし)'!M51</f>
        <v>4500788</v>
      </c>
      <c r="E1718" s="28" t="n">
        <f aca="false">D1718-N(C1718)</f>
        <v>0</v>
      </c>
      <c r="F1718" s="2" t="str">
        <f aca="false">IF(AND(C1718&lt;&gt;"",ROUND(E1718,2)=0),"一致",IF(G1718&lt;&gt;"","変更（意図的）","★相違"))</f>
        <v>一致</v>
      </c>
      <c r="G1718" s="2"/>
    </row>
    <row r="1719" customFormat="false" ht="15" hidden="false" customHeight="false" outlineLevel="0" collapsed="false">
      <c r="A1719" s="2" t="s">
        <v>1079</v>
      </c>
      <c r="B1719" s="27" t="s">
        <v>815</v>
      </c>
      <c r="C1719" s="28" t="n">
        <v>270947604</v>
      </c>
      <c r="D1719" s="28" t="n">
        <f aca="false">'○総括　5～6 (メモなし)'!N51</f>
        <v>270947604</v>
      </c>
      <c r="E1719" s="28" t="n">
        <f aca="false">D1719-N(C1719)</f>
        <v>0</v>
      </c>
      <c r="F1719" s="2" t="str">
        <f aca="false">IF(AND(C1719&lt;&gt;"",ROUND(E1719,2)=0),"一致",IF(G1719&lt;&gt;"","変更（意図的）","★相違"))</f>
        <v>一致</v>
      </c>
      <c r="G1719" s="2"/>
    </row>
    <row r="1720" customFormat="false" ht="15" hidden="false" customHeight="false" outlineLevel="0" collapsed="false">
      <c r="A1720" s="2" t="s">
        <v>1079</v>
      </c>
      <c r="B1720" s="27" t="s">
        <v>816</v>
      </c>
      <c r="C1720" s="28" t="n">
        <v>276235825</v>
      </c>
      <c r="D1720" s="28" t="n">
        <f aca="false">'○総括　5～6 (メモなし)'!O51</f>
        <v>276235825</v>
      </c>
      <c r="E1720" s="28" t="n">
        <f aca="false">D1720-N(C1720)</f>
        <v>0</v>
      </c>
      <c r="F1720" s="2" t="str">
        <f aca="false">IF(AND(C1720&lt;&gt;"",ROUND(E1720,2)=0),"一致",IF(G1720&lt;&gt;"","変更（意図的）","★相違"))</f>
        <v>一致</v>
      </c>
      <c r="G1720" s="2"/>
    </row>
    <row r="1721" customFormat="false" ht="15" hidden="false" customHeight="false" outlineLevel="0" collapsed="false">
      <c r="A1721" s="2" t="s">
        <v>1079</v>
      </c>
      <c r="B1721" s="27" t="s">
        <v>817</v>
      </c>
      <c r="C1721" s="28" t="n">
        <v>-5288221</v>
      </c>
      <c r="D1721" s="28" t="n">
        <f aca="false">'○総括　5～6 (メモなし)'!P51</f>
        <v>-5288221</v>
      </c>
      <c r="E1721" s="28" t="n">
        <f aca="false">D1721-N(C1721)</f>
        <v>0</v>
      </c>
      <c r="F1721" s="2" t="str">
        <f aca="false">IF(AND(C1721&lt;&gt;"",ROUND(E1721,2)=0),"一致",IF(G1721&lt;&gt;"","変更（意図的）","★相違"))</f>
        <v>一致</v>
      </c>
      <c r="G1721" s="2"/>
    </row>
    <row r="1722" customFormat="false" ht="15" hidden="false" customHeight="false" outlineLevel="0" collapsed="false">
      <c r="A1722" s="2" t="s">
        <v>1079</v>
      </c>
      <c r="B1722" s="27" t="s">
        <v>818</v>
      </c>
      <c r="C1722" s="28" t="n">
        <v>1961052168</v>
      </c>
      <c r="D1722" s="28" t="n">
        <f aca="false">'○総括　5～6 (メモなし)'!Q51</f>
        <v>1961052168</v>
      </c>
      <c r="E1722" s="28" t="n">
        <f aca="false">D1722-N(C1722)</f>
        <v>0</v>
      </c>
      <c r="F1722" s="2" t="str">
        <f aca="false">IF(AND(C1722&lt;&gt;"",ROUND(E1722,2)=0),"一致",IF(G1722&lt;&gt;"","変更（意図的）","★相違"))</f>
        <v>一致</v>
      </c>
      <c r="G1722" s="2"/>
    </row>
    <row r="1723" customFormat="false" ht="15" hidden="false" customHeight="false" outlineLevel="0" collapsed="false">
      <c r="A1723" s="2" t="s">
        <v>1079</v>
      </c>
      <c r="B1723" s="27" t="s">
        <v>819</v>
      </c>
      <c r="C1723" s="28" t="n">
        <v>1966406293</v>
      </c>
      <c r="D1723" s="28" t="n">
        <f aca="false">'○総括　5～6 (メモなし)'!R51</f>
        <v>1966406293</v>
      </c>
      <c r="E1723" s="28" t="n">
        <f aca="false">D1723-N(C1723)</f>
        <v>0</v>
      </c>
      <c r="F1723" s="2" t="str">
        <f aca="false">IF(AND(C1723&lt;&gt;"",ROUND(E1723,2)=0),"一致",IF(G1723&lt;&gt;"","変更（意図的）","★相違"))</f>
        <v>一致</v>
      </c>
      <c r="G1723" s="2"/>
    </row>
    <row r="1724" customFormat="false" ht="15" hidden="false" customHeight="false" outlineLevel="0" collapsed="false">
      <c r="A1724" s="2" t="s">
        <v>1079</v>
      </c>
      <c r="B1724" s="27" t="s">
        <v>820</v>
      </c>
      <c r="C1724" s="28" t="n">
        <v>-5354125</v>
      </c>
      <c r="D1724" s="28" t="n">
        <f aca="false">'○総括　5～6 (メモなし)'!S51</f>
        <v>-5354125</v>
      </c>
      <c r="E1724" s="28" t="n">
        <f aca="false">D1724-N(C1724)</f>
        <v>0</v>
      </c>
      <c r="F1724" s="2" t="str">
        <f aca="false">IF(AND(C1724&lt;&gt;"",ROUND(E1724,2)=0),"一致",IF(G1724&lt;&gt;"","変更（意図的）","★相違"))</f>
        <v>一致</v>
      </c>
      <c r="G1724" s="2"/>
    </row>
    <row r="1725" customFormat="false" ht="15" hidden="false" customHeight="false" outlineLevel="0" collapsed="false">
      <c r="A1725" s="2" t="s">
        <v>1079</v>
      </c>
      <c r="B1725" s="27" t="s">
        <v>821</v>
      </c>
      <c r="C1725" s="28" t="n">
        <v>2569892204</v>
      </c>
      <c r="D1725" s="28" t="n">
        <f aca="false">'○総括　5～6 (メモなし)'!E53</f>
        <v>2569892204</v>
      </c>
      <c r="E1725" s="28" t="n">
        <f aca="false">D1725-N(C1725)</f>
        <v>0</v>
      </c>
      <c r="F1725" s="2" t="str">
        <f aca="false">IF(AND(C1725&lt;&gt;"",ROUND(E1725,2)=0),"一致",IF(G1725&lt;&gt;"","変更（意図的）","★相違"))</f>
        <v>一致</v>
      </c>
      <c r="G1725" s="2"/>
    </row>
    <row r="1726" customFormat="false" ht="15" hidden="false" customHeight="false" outlineLevel="0" collapsed="false">
      <c r="A1726" s="2" t="s">
        <v>1079</v>
      </c>
      <c r="B1726" s="27" t="s">
        <v>822</v>
      </c>
      <c r="C1726" s="28" t="n">
        <v>521829447</v>
      </c>
      <c r="D1726" s="28" t="n">
        <f aca="false">'○総括　5～6 (メモなし)'!N53</f>
        <v>521829447</v>
      </c>
      <c r="E1726" s="28" t="n">
        <f aca="false">D1726-N(C1726)</f>
        <v>0</v>
      </c>
      <c r="F1726" s="2" t="str">
        <f aca="false">IF(AND(C1726&lt;&gt;"",ROUND(E1726,2)=0),"一致",IF(G1726&lt;&gt;"","変更（意図的）","★相違"))</f>
        <v>一致</v>
      </c>
      <c r="G1726" s="2"/>
    </row>
    <row r="1727" customFormat="false" ht="15" hidden="false" customHeight="false" outlineLevel="0" collapsed="false">
      <c r="A1727" s="2" t="s">
        <v>1079</v>
      </c>
      <c r="B1727" s="27" t="s">
        <v>823</v>
      </c>
      <c r="C1727" s="28" t="n">
        <v>11651286402</v>
      </c>
      <c r="D1727" s="28" t="n">
        <f aca="false">'○総括　5～6 (メモなし)'!E54</f>
        <v>11651286402</v>
      </c>
      <c r="E1727" s="28" t="n">
        <f aca="false">D1727-N(C1727)</f>
        <v>0</v>
      </c>
      <c r="F1727" s="2" t="str">
        <f aca="false">IF(AND(C1727&lt;&gt;"",ROUND(E1727,2)=0),"一致",IF(G1727&lt;&gt;"","変更（意図的）","★相違"))</f>
        <v>一致</v>
      </c>
      <c r="G1727" s="2"/>
    </row>
  </sheetData>
  <sheetProtection sheet="true" formatCells="false" formatColumns="false" formatRows="false" sort="false" autoFilter="false"/>
  <autoFilter ref="A6:G1727"/>
  <conditionalFormatting sqref="F7:F1727">
    <cfRule type="cellIs" priority="2" operator="equal" aboveAverage="0" equalAverage="0" bottom="0" percent="0" rank="0" text="" dxfId="1">
      <formula>"★相違"</formula>
    </cfRule>
    <cfRule type="cellIs" priority="3" operator="equal" aboveAverage="0" equalAverage="0" bottom="0" percent="0" rank="0" text="" dxfId="7">
      <formula>"変更（意図的）"</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6"/>
  <sheetViews>
    <sheetView showFormulas="false" showGridLines="true" showRowColHeaders="true" showZeros="true" rightToLeft="false" tabSelected="false" showOutlineSymbols="true" defaultGridColor="true" view="normal" topLeftCell="A28" colorId="64" zoomScale="100" zoomScaleNormal="100" zoomScalePageLayoutView="100" workbookViewId="0">
      <selection pane="topLeft" activeCell="E51" activeCellId="0" sqref="E51"/>
    </sheetView>
  </sheetViews>
  <sheetFormatPr defaultColWidth="8.96484375" defaultRowHeight="13.5" zeroHeight="false" outlineLevelRow="0" outlineLevelCol="0"/>
  <cols>
    <col collapsed="false" customWidth="true" hidden="false" outlineLevel="0" max="3" min="1" style="29" width="12.36"/>
    <col collapsed="false" customWidth="true" hidden="false" outlineLevel="0" max="4" min="4" style="29" width="16.99"/>
    <col collapsed="false" customWidth="true" hidden="false" outlineLevel="0" max="7" min="5" style="29" width="12.36"/>
  </cols>
  <sheetData>
    <row r="1" customFormat="false" ht="24" hidden="false" customHeight="true" outlineLevel="0" collapsed="false">
      <c r="A1" s="30"/>
      <c r="B1" s="30"/>
      <c r="C1" s="31" t="s">
        <v>134</v>
      </c>
      <c r="D1" s="31"/>
      <c r="E1" s="31"/>
      <c r="F1" s="30"/>
      <c r="G1" s="30"/>
      <c r="H1" s="30"/>
    </row>
    <row r="2" customFormat="false" ht="12" hidden="false" customHeight="true" outlineLevel="0" collapsed="false">
      <c r="A2" s="30"/>
      <c r="B2" s="30"/>
      <c r="C2" s="32"/>
      <c r="D2" s="33"/>
      <c r="E2" s="33"/>
      <c r="F2" s="30"/>
      <c r="G2" s="30"/>
      <c r="H2" s="30"/>
    </row>
    <row r="3" customFormat="false" ht="21" hidden="false" customHeight="true" outlineLevel="0" collapsed="false">
      <c r="A3" s="34"/>
      <c r="B3" s="35"/>
      <c r="C3" s="36" t="s">
        <v>1080</v>
      </c>
      <c r="D3" s="36"/>
      <c r="E3" s="36"/>
      <c r="F3" s="37"/>
      <c r="G3" s="38"/>
      <c r="H3" s="30"/>
    </row>
    <row r="4" customFormat="false" ht="21" hidden="false" customHeight="true" outlineLevel="0" collapsed="false">
      <c r="A4" s="39"/>
      <c r="B4" s="40"/>
      <c r="C4" s="41"/>
      <c r="D4" s="42" t="str">
        <f aca="false">"令和"&amp;JIS(入力!$B$5)&amp;"年度分"</f>
        <v>令和７年度分</v>
      </c>
      <c r="E4" s="41"/>
      <c r="F4" s="33"/>
      <c r="G4" s="43"/>
      <c r="H4" s="30"/>
    </row>
    <row r="5" customFormat="false" ht="6" hidden="false" customHeight="true" outlineLevel="0" collapsed="false">
      <c r="A5" s="44"/>
      <c r="B5" s="33"/>
      <c r="C5" s="33"/>
      <c r="D5" s="33"/>
      <c r="E5" s="33"/>
      <c r="F5" s="33"/>
      <c r="G5" s="45"/>
      <c r="H5" s="30"/>
    </row>
    <row r="6" customFormat="false" ht="13.5" hidden="false" customHeight="true" outlineLevel="0" collapsed="false">
      <c r="A6" s="46" t="s">
        <v>1081</v>
      </c>
      <c r="B6" s="46"/>
      <c r="C6" s="46"/>
      <c r="D6" s="47" t="s">
        <v>1082</v>
      </c>
      <c r="E6" s="48" t="s">
        <v>1083</v>
      </c>
      <c r="F6" s="48"/>
      <c r="G6" s="48"/>
      <c r="H6" s="30"/>
    </row>
    <row r="7" customFormat="false" ht="13.5" hidden="false" customHeight="true" outlineLevel="0" collapsed="false">
      <c r="A7" s="49" t="s">
        <v>1084</v>
      </c>
      <c r="B7" s="50" t="s">
        <v>1085</v>
      </c>
      <c r="C7" s="51" t="s">
        <v>1086</v>
      </c>
      <c r="D7" s="47"/>
      <c r="E7" s="52" t="s">
        <v>1086</v>
      </c>
      <c r="F7" s="50" t="s">
        <v>1085</v>
      </c>
      <c r="G7" s="53" t="s">
        <v>1084</v>
      </c>
      <c r="H7" s="30"/>
    </row>
    <row r="8" customFormat="false" ht="13.5" hidden="false" customHeight="true" outlineLevel="0" collapsed="false">
      <c r="A8" s="54" t="s">
        <v>1087</v>
      </c>
      <c r="B8" s="55" t="s">
        <v>1087</v>
      </c>
      <c r="C8" s="56" t="s">
        <v>1087</v>
      </c>
      <c r="D8" s="57"/>
      <c r="E8" s="56" t="s">
        <v>1087</v>
      </c>
      <c r="F8" s="55" t="s">
        <v>1087</v>
      </c>
      <c r="G8" s="58" t="s">
        <v>1087</v>
      </c>
      <c r="H8" s="30"/>
    </row>
    <row r="9" customFormat="false" ht="13.5" hidden="false" customHeight="true" outlineLevel="0" collapsed="false">
      <c r="A9" s="59" t="n">
        <f aca="false">SUM(B9:C9)</f>
        <v>72939159</v>
      </c>
      <c r="B9" s="60"/>
      <c r="C9" s="61" t="n">
        <f aca="false">SUMPRODUCT(--(SUBSTITUTE(SUBSTITUTE(入力!$A$20:$A$219," ",""),"　","")=SUBSTITUTE(SUBSTITUTE($D9," ",""),"　","")),入力!$B$20:$B$219)</f>
        <v>72939159</v>
      </c>
      <c r="D9" s="62" t="s">
        <v>1088</v>
      </c>
      <c r="E9" s="63"/>
      <c r="F9" s="64"/>
      <c r="G9" s="65"/>
      <c r="H9" s="30"/>
    </row>
    <row r="10" customFormat="false" ht="17.25" hidden="false" customHeight="true" outlineLevel="0" collapsed="false">
      <c r="A10" s="59" t="n">
        <f aca="false">SUM(B10:C10)</f>
        <v>194420</v>
      </c>
      <c r="B10" s="66" t="n">
        <f aca="false">附属明細表!G38</f>
        <v>2356</v>
      </c>
      <c r="C10" s="67" t="n">
        <f aca="false">SUMPRODUCT(--(SUBSTITUTE(SUBSTITUTE(入力!$A$20:$A$219," ",""),"　","")=SUBSTITUTE(SUBSTITUTE($D10," ",""),"　","")),入力!$B$20:$B$219)</f>
        <v>192064</v>
      </c>
      <c r="D10" s="68" t="s">
        <v>76</v>
      </c>
      <c r="E10" s="69"/>
      <c r="F10" s="70"/>
      <c r="G10" s="71"/>
      <c r="H10" s="30"/>
    </row>
    <row r="11" customFormat="false" ht="17.25" hidden="false" customHeight="true" outlineLevel="0" collapsed="false">
      <c r="A11" s="59" t="n">
        <f aca="false">SUM(B11:C11)</f>
        <v>0</v>
      </c>
      <c r="B11" s="72"/>
      <c r="C11" s="67" t="n">
        <f aca="false">SUMPRODUCT(--(SUBSTITUTE(SUBSTITUTE(入力!$A$20:$A$219," ",""),"　","")=SUBSTITUTE(SUBSTITUTE($D11," ",""),"　","")),入力!$B$20:$B$219)</f>
        <v>0</v>
      </c>
      <c r="D11" s="68" t="s">
        <v>1089</v>
      </c>
      <c r="E11" s="69"/>
      <c r="F11" s="70"/>
      <c r="G11" s="65"/>
      <c r="H11" s="30"/>
    </row>
    <row r="12" customFormat="false" ht="17.25" hidden="false" customHeight="true" outlineLevel="0" collapsed="false">
      <c r="A12" s="59" t="n">
        <f aca="false">SUM(B12:C12)</f>
        <v>11834281</v>
      </c>
      <c r="B12" s="66" t="n">
        <f aca="false">附属明細表!G32</f>
        <v>11834281</v>
      </c>
      <c r="C12" s="67" t="n">
        <f aca="false">SUMPRODUCT(--(SUBSTITUTE(SUBSTITUTE(入力!$A$20:$A$219," ",""),"　","")=SUBSTITUTE(SUBSTITUTE($D12," ",""),"　","")),入力!$B$20:$B$219)</f>
        <v>0</v>
      </c>
      <c r="D12" s="68" t="s">
        <v>1090</v>
      </c>
      <c r="E12" s="69"/>
      <c r="F12" s="70"/>
      <c r="G12" s="65"/>
      <c r="H12" s="30"/>
    </row>
    <row r="13" customFormat="false" ht="17.25" hidden="false" customHeight="true" outlineLevel="0" collapsed="false">
      <c r="A13" s="59" t="n">
        <f aca="false">SUM(B13:C13)-F13</f>
        <v>207390</v>
      </c>
      <c r="B13" s="72"/>
      <c r="C13" s="67" t="n">
        <f aca="false">SUMPRODUCT(--(SUBSTITUTE(SUBSTITUTE(入力!$A$20:$A$219," ",""),"　","")=SUBSTITUTE(SUBSTITUTE($D13," ",""),"　","")),入力!$B$20:$B$219)</f>
        <v>383946</v>
      </c>
      <c r="D13" s="68" t="s">
        <v>77</v>
      </c>
      <c r="E13" s="73"/>
      <c r="F13" s="66" t="n">
        <f aca="false">附属明細表!P77</f>
        <v>176556</v>
      </c>
      <c r="G13" s="74" t="s">
        <v>1091</v>
      </c>
      <c r="H13" s="30"/>
    </row>
    <row r="14" customFormat="false" ht="17.25" hidden="false" customHeight="true" outlineLevel="0" collapsed="false">
      <c r="A14" s="75"/>
      <c r="B14" s="72"/>
      <c r="C14" s="76"/>
      <c r="D14" s="68" t="s">
        <v>1092</v>
      </c>
      <c r="E14" s="77" t="n">
        <f aca="false">SUMPRODUCT(--(SUBSTITUTE(SUBSTITUTE(入力!$A$20:$A$219," ",""),"　","")=SUBSTITUTE(SUBSTITUTE($D14," ",""),"　","")),入力!$C$20:$C$219)</f>
        <v>0</v>
      </c>
      <c r="F14" s="66" t="n">
        <f aca="false">附属明細表!G46</f>
        <v>9597685</v>
      </c>
      <c r="G14" s="78" t="n">
        <f aca="false">SUM(E14:F14)</f>
        <v>9597685</v>
      </c>
      <c r="H14" s="30"/>
    </row>
    <row r="15" customFormat="false" ht="17.25" hidden="false" customHeight="true" outlineLevel="0" collapsed="false">
      <c r="A15" s="75"/>
      <c r="B15" s="72"/>
      <c r="C15" s="76"/>
      <c r="D15" s="68" t="s">
        <v>1093</v>
      </c>
      <c r="E15" s="77" t="n">
        <f aca="false">SUMPRODUCT(--(SUBSTITUTE(SUBSTITUTE(入力!$A$20:$A$219," ",""),"　","")=SUBSTITUTE(SUBSTITUTE($D15," ",""),"　","")),入力!$C$20:$C$219)</f>
        <v>0</v>
      </c>
      <c r="F15" s="66" t="n">
        <f aca="false">附属明細表!G54</f>
        <v>435361</v>
      </c>
      <c r="G15" s="78" t="n">
        <f aca="false">SUM(E15:F15)</f>
        <v>435361</v>
      </c>
      <c r="H15" s="30"/>
    </row>
    <row r="16" customFormat="false" ht="17.25" hidden="false" customHeight="true" outlineLevel="0" collapsed="false">
      <c r="A16" s="75"/>
      <c r="B16" s="72"/>
      <c r="C16" s="76"/>
      <c r="D16" s="68" t="s">
        <v>92</v>
      </c>
      <c r="E16" s="77" t="n">
        <f aca="false">SUMPRODUCT(--(SUBSTITUTE(SUBSTITUTE(入力!$A$20:$A$219," ",""),"　","")=SUBSTITUTE(SUBSTITUTE($D16," ",""),"　","")),入力!$C$20:$C$219)</f>
        <v>227940</v>
      </c>
      <c r="F16" s="72"/>
      <c r="G16" s="78" t="n">
        <f aca="false">SUM(E16:F16)</f>
        <v>227940</v>
      </c>
      <c r="H16" s="30"/>
    </row>
    <row r="17" customFormat="false" ht="17.25" hidden="false" customHeight="true" outlineLevel="0" collapsed="false">
      <c r="A17" s="75"/>
      <c r="B17" s="72"/>
      <c r="C17" s="76"/>
      <c r="D17" s="68" t="s">
        <v>93</v>
      </c>
      <c r="E17" s="77" t="n">
        <f aca="false">SUMPRODUCT(--(SUBSTITUTE(SUBSTITUTE(入力!$A$20:$A$219," ",""),"　","")=SUBSTITUTE(SUBSTITUTE($D17," ",""),"　","")),入力!$C$20:$C$219)</f>
        <v>216843</v>
      </c>
      <c r="F17" s="72"/>
      <c r="G17" s="78" t="n">
        <f aca="false">SUM(E17:F17)</f>
        <v>216843</v>
      </c>
      <c r="H17" s="30"/>
    </row>
    <row r="18" customFormat="false" ht="17.25" hidden="true" customHeight="true" outlineLevel="0" collapsed="false">
      <c r="A18" s="75"/>
      <c r="B18" s="72"/>
      <c r="C18" s="76"/>
      <c r="D18" s="68" t="s">
        <v>1094</v>
      </c>
      <c r="E18" s="77" t="n">
        <f aca="false">SUMPRODUCT(--(SUBSTITUTE(SUBSTITUTE(入力!$A$20:$A$219," ",""),"　","")=SUBSTITUTE(SUBSTITUTE($D18," ",""),"　","")),入力!$C$20:$C$219)</f>
        <v>0</v>
      </c>
      <c r="F18" s="70"/>
      <c r="G18" s="74"/>
      <c r="H18" s="30"/>
    </row>
    <row r="19" customFormat="false" ht="17.25" hidden="false" customHeight="true" outlineLevel="0" collapsed="false">
      <c r="A19" s="75"/>
      <c r="B19" s="79" t="n">
        <f aca="false">B38</f>
        <v>3603510</v>
      </c>
      <c r="C19" s="76"/>
      <c r="D19" s="80" t="s">
        <v>94</v>
      </c>
      <c r="E19" s="77" t="n">
        <f aca="false">SUMPRODUCT(--(SUBSTITUTE(SUBSTITUTE(入力!$A$20:$A$219," ",""),"　","")=SUBSTITUTE(SUBSTITUTE($D19," ",""),"　","")),入力!$C$20:$C$219)</f>
        <v>71093911</v>
      </c>
      <c r="F19" s="79" t="n">
        <f aca="false">A38*2-F46</f>
        <v>7207020</v>
      </c>
      <c r="G19" s="78" t="n">
        <f aca="false">E19-B19+F19</f>
        <v>74697421</v>
      </c>
      <c r="H19" s="30"/>
    </row>
    <row r="20" customFormat="false" ht="18" hidden="false" customHeight="true" outlineLevel="0" collapsed="false">
      <c r="A20" s="81" t="n">
        <f aca="false">SUM(A9:A19)</f>
        <v>85175250</v>
      </c>
      <c r="B20" s="82" t="n">
        <f aca="false">SUM(B9:B19)</f>
        <v>15440147</v>
      </c>
      <c r="C20" s="83" t="n">
        <f aca="false">SUM(C9:C19)</f>
        <v>73515169</v>
      </c>
      <c r="D20" s="84" t="s">
        <v>1095</v>
      </c>
      <c r="E20" s="85" t="n">
        <f aca="false">SUM(E9:E19)</f>
        <v>71538694</v>
      </c>
      <c r="F20" s="82" t="n">
        <f aca="false">SUM(F9:F19)</f>
        <v>17416622</v>
      </c>
      <c r="G20" s="86" t="n">
        <f aca="false">SUM(G9:G19)</f>
        <v>85175250</v>
      </c>
      <c r="H20" s="30"/>
    </row>
    <row r="21" customFormat="false" ht="17.25" hidden="false" customHeight="true" outlineLevel="0" collapsed="false">
      <c r="A21" s="59" t="n">
        <f aca="false">SUM(B21:C21)</f>
        <v>33000</v>
      </c>
      <c r="B21" s="60"/>
      <c r="C21" s="61" t="n">
        <f aca="false">SUMPRODUCT(--(SUBSTITUTE(SUBSTITUTE(入力!$A$20:$A$219," ",""),"　","")=SUBSTITUTE(SUBSTITUTE($D21," ",""),"　","")),入力!$B$20:$B$219)</f>
        <v>33000</v>
      </c>
      <c r="D21" s="62" t="s">
        <v>78</v>
      </c>
      <c r="E21" s="63"/>
      <c r="F21" s="64"/>
      <c r="G21" s="65"/>
      <c r="H21" s="30"/>
    </row>
    <row r="22" customFormat="false" ht="17.25" hidden="false" customHeight="true" outlineLevel="0" collapsed="false">
      <c r="A22" s="87" t="n">
        <f aca="false">SUM(B22:C22)-F22</f>
        <v>10141337</v>
      </c>
      <c r="B22" s="66" t="n">
        <f aca="false">附属明細表!G52</f>
        <v>59015</v>
      </c>
      <c r="C22" s="67" t="n">
        <f aca="false">SUMPRODUCT(--(SUBSTITUTE(SUBSTITUTE(入力!$A$20:$A$219," ",""),"　","")=SUBSTITUTE(SUBSTITUTE($D22," ",""),"　","")),入力!$B$20:$B$219)</f>
        <v>10082322</v>
      </c>
      <c r="D22" s="62" t="s">
        <v>79</v>
      </c>
      <c r="E22" s="69"/>
      <c r="F22" s="70"/>
      <c r="G22" s="71"/>
      <c r="H22" s="30"/>
    </row>
    <row r="23" customFormat="false" ht="17.25" hidden="false" customHeight="true" outlineLevel="0" collapsed="false">
      <c r="A23" s="87" t="n">
        <f aca="false">SUM(B23:C23)</f>
        <v>9702</v>
      </c>
      <c r="B23" s="72"/>
      <c r="C23" s="67" t="n">
        <f aca="false">SUMPRODUCT(--(SUBSTITUTE(SUBSTITUTE(入力!$A$20:$A$219," ",""),"　","")=SUBSTITUTE(SUBSTITUTE($D23," ",""),"　","")),入力!$B$20:$B$219)</f>
        <v>9702</v>
      </c>
      <c r="D23" s="62" t="s">
        <v>80</v>
      </c>
      <c r="E23" s="69"/>
      <c r="F23" s="70"/>
      <c r="G23" s="71"/>
      <c r="H23" s="30"/>
    </row>
    <row r="24" customFormat="false" ht="17.25" hidden="false" customHeight="true" outlineLevel="0" collapsed="false">
      <c r="A24" s="87" t="n">
        <f aca="false">SUM(B24:C24)</f>
        <v>343112</v>
      </c>
      <c r="B24" s="72"/>
      <c r="C24" s="67" t="n">
        <f aca="false">SUMPRODUCT(--(SUBSTITUTE(SUBSTITUTE(入力!$A$20:$A$219," ",""),"　","")=SUBSTITUTE(SUBSTITUTE($D24," ",""),"　","")),入力!$B$20:$B$219)</f>
        <v>343112</v>
      </c>
      <c r="D24" s="68" t="s">
        <v>81</v>
      </c>
      <c r="E24" s="69"/>
      <c r="F24" s="70"/>
      <c r="G24" s="71"/>
      <c r="H24" s="30"/>
    </row>
    <row r="25" customFormat="false" ht="17.25" hidden="false" customHeight="true" outlineLevel="0" collapsed="false">
      <c r="A25" s="87" t="n">
        <f aca="false">SUM(B25:C25)</f>
        <v>13993113</v>
      </c>
      <c r="B25" s="66" t="n">
        <f aca="false">附属明細表!G39</f>
        <v>846685</v>
      </c>
      <c r="C25" s="67" t="n">
        <f aca="false">SUMPRODUCT(--(SUBSTITUTE(SUBSTITUTE(入力!$A$20:$A$219," ",""),"　","")=SUBSTITUTE(SUBSTITUTE($D25," ",""),"　","")),入力!$B$20:$B$219)</f>
        <v>13146428</v>
      </c>
      <c r="D25" s="68" t="s">
        <v>82</v>
      </c>
      <c r="E25" s="69"/>
      <c r="F25" s="70"/>
      <c r="G25" s="71"/>
      <c r="H25" s="30"/>
    </row>
    <row r="26" customFormat="false" ht="17.25" hidden="false" customHeight="true" outlineLevel="0" collapsed="false">
      <c r="A26" s="87" t="n">
        <f aca="false">SUM(B26:C26)</f>
        <v>4598066</v>
      </c>
      <c r="B26" s="66" t="n">
        <f aca="false">附属明細表!G53</f>
        <v>376346</v>
      </c>
      <c r="C26" s="67" t="n">
        <f aca="false">SUMPRODUCT(--(SUBSTITUTE(SUBSTITUTE(入力!$A$20:$A$219," ",""),"　","")=SUBSTITUTE(SUBSTITUTE($D26," ",""),"　","")),入力!$B$20:$B$219)</f>
        <v>4221720</v>
      </c>
      <c r="D26" s="68" t="s">
        <v>83</v>
      </c>
      <c r="E26" s="69"/>
      <c r="F26" s="70"/>
      <c r="G26" s="71"/>
      <c r="H26" s="30"/>
    </row>
    <row r="27" customFormat="false" ht="17.25" hidden="false" customHeight="true" outlineLevel="0" collapsed="false">
      <c r="A27" s="87" t="n">
        <f aca="false">SUM(B27:C27)</f>
        <v>10084438</v>
      </c>
      <c r="B27" s="66" t="n">
        <f aca="false">附属明細表!G40</f>
        <v>1576505</v>
      </c>
      <c r="C27" s="67" t="n">
        <f aca="false">SUMPRODUCT(--(SUBSTITUTE(SUBSTITUTE(入力!$A$20:$A$219," ",""),"　","")=SUBSTITUTE(SUBSTITUTE($D27," ",""),"　","")),入力!$B$20:$B$219)</f>
        <v>8507933</v>
      </c>
      <c r="D27" s="68" t="s">
        <v>84</v>
      </c>
      <c r="E27" s="69"/>
      <c r="F27" s="70"/>
      <c r="G27" s="71"/>
      <c r="H27" s="30"/>
    </row>
    <row r="28" customFormat="false" ht="17.25" hidden="false" customHeight="true" outlineLevel="0" collapsed="false">
      <c r="A28" s="87" t="n">
        <f aca="false">SUM(B28:C28)</f>
        <v>103921</v>
      </c>
      <c r="B28" s="66" t="n">
        <f aca="false">附属明細表!G41</f>
        <v>46537</v>
      </c>
      <c r="C28" s="67" t="n">
        <f aca="false">SUMPRODUCT(--(SUBSTITUTE(SUBSTITUTE(入力!$A$20:$A$219," ",""),"　","")=SUBSTITUTE(SUBSTITUTE($D28," ",""),"　","")),入力!$B$20:$B$219)</f>
        <v>57384</v>
      </c>
      <c r="D28" s="68" t="s">
        <v>85</v>
      </c>
      <c r="E28" s="69"/>
      <c r="F28" s="88"/>
      <c r="G28" s="71"/>
      <c r="H28" s="30"/>
    </row>
    <row r="29" customFormat="false" ht="17.25" hidden="false" customHeight="true" outlineLevel="0" collapsed="false">
      <c r="A29" s="89" t="n">
        <f aca="false">SUM(B29:C29)</f>
        <v>0</v>
      </c>
      <c r="B29" s="90"/>
      <c r="C29" s="91" t="n">
        <f aca="false">SUMPRODUCT(--(SUBSTITUTE(SUBSTITUTE(入力!$A$20:$A$219," ",""),"　","")=SUBSTITUTE(SUBSTITUTE($D29," ",""),"　","")),入力!$B$20:$B$219)</f>
        <v>0</v>
      </c>
      <c r="D29" s="68" t="s">
        <v>86</v>
      </c>
      <c r="E29" s="69"/>
      <c r="F29" s="88"/>
      <c r="G29" s="71"/>
      <c r="H29" s="30"/>
    </row>
    <row r="30" customFormat="false" ht="17.25" hidden="false" customHeight="true" outlineLevel="0" collapsed="false">
      <c r="A30" s="87" t="n">
        <f aca="false">SUM(B30:C30)</f>
        <v>9430768</v>
      </c>
      <c r="B30" s="66" t="n">
        <f aca="false">附属明細表!G42</f>
        <v>1020091</v>
      </c>
      <c r="C30" s="67" t="n">
        <f aca="false">SUMPRODUCT(--(SUBSTITUTE(SUBSTITUTE(入力!$A$20:$A$219," ",""),"　","")=SUBSTITUTE(SUBSTITUTE($D30," ",""),"　","")),入力!$B$20:$B$219)</f>
        <v>8410677</v>
      </c>
      <c r="D30" s="68" t="s">
        <v>87</v>
      </c>
      <c r="E30" s="69"/>
      <c r="F30" s="88"/>
      <c r="G30" s="71"/>
      <c r="H30" s="30"/>
    </row>
    <row r="31" customFormat="false" ht="17.25" hidden="false" customHeight="true" outlineLevel="0" collapsed="false">
      <c r="A31" s="87" t="n">
        <f aca="false">SUM(B31:C31)</f>
        <v>1884714</v>
      </c>
      <c r="B31" s="66" t="n">
        <f aca="false">附属明細表!G43</f>
        <v>689790</v>
      </c>
      <c r="C31" s="67" t="n">
        <f aca="false">SUMPRODUCT(--(SUBSTITUTE(SUBSTITUTE(入力!$A$20:$A$219," ",""),"　","")=SUBSTITUTE(SUBSTITUTE($D31," ",""),"　","")),入力!$B$20:$B$219)</f>
        <v>1194924</v>
      </c>
      <c r="D31" s="68" t="s">
        <v>88</v>
      </c>
      <c r="E31" s="69"/>
      <c r="F31" s="88"/>
      <c r="G31" s="71"/>
      <c r="H31" s="30"/>
    </row>
    <row r="32" customFormat="false" ht="17.25" hidden="false" customHeight="true" outlineLevel="0" collapsed="false">
      <c r="A32" s="87" t="n">
        <f aca="false">SUM(B32:C32)</f>
        <v>2453880</v>
      </c>
      <c r="B32" s="66" t="n">
        <f aca="false">附属明細表!G44</f>
        <v>103564</v>
      </c>
      <c r="C32" s="67" t="n">
        <f aca="false">SUMPRODUCT(--(SUBSTITUTE(SUBSTITUTE(入力!$A$20:$A$219," ",""),"　","")=SUBSTITUTE(SUBSTITUTE($D32," ",""),"　","")),入力!$B$20:$B$219)</f>
        <v>2350316</v>
      </c>
      <c r="D32" s="68" t="s">
        <v>89</v>
      </c>
      <c r="E32" s="69"/>
      <c r="F32" s="92"/>
      <c r="G32" s="71"/>
      <c r="H32" s="30"/>
    </row>
    <row r="33" customFormat="false" ht="17.25" hidden="false" customHeight="true" outlineLevel="0" collapsed="false">
      <c r="A33" s="87" t="n">
        <f aca="false">SUM(B33:C33)</f>
        <v>13718352</v>
      </c>
      <c r="B33" s="72"/>
      <c r="C33" s="67" t="n">
        <f aca="false">SUMPRODUCT(--(SUBSTITUTE(SUBSTITUTE(入力!$A$20:$A$219," ",""),"　","")=SUBSTITUTE(SUBSTITUTE($D33," ",""),"　","")),入力!$B$20:$B$219)</f>
        <v>13718352</v>
      </c>
      <c r="D33" s="68" t="s">
        <v>90</v>
      </c>
      <c r="E33" s="69"/>
      <c r="F33" s="93"/>
      <c r="G33" s="71"/>
      <c r="H33" s="30"/>
    </row>
    <row r="34" customFormat="false" ht="17.25" hidden="false" customHeight="true" outlineLevel="0" collapsed="false">
      <c r="A34" s="87" t="n">
        <f aca="false">SUM(B34:C34)</f>
        <v>54153000</v>
      </c>
      <c r="B34" s="72"/>
      <c r="C34" s="67" t="n">
        <f aca="false">SUMPRODUCT(--(SUBSTITUTE(SUBSTITUTE(入力!$A$20:$A$219," ",""),"　","")=SUBSTITUTE(SUBSTITUTE($D34," ",""),"　","")),入力!$B$20:$B$219)</f>
        <v>54153000</v>
      </c>
      <c r="D34" s="80" t="s">
        <v>91</v>
      </c>
      <c r="E34" s="69"/>
      <c r="F34" s="93"/>
      <c r="G34" s="71"/>
      <c r="H34" s="30"/>
    </row>
    <row r="35" customFormat="false" ht="17.25" hidden="false" customHeight="true" outlineLevel="0" collapsed="false">
      <c r="A35" s="87" t="n">
        <f aca="false">SUM(B35:C35)</f>
        <v>176556</v>
      </c>
      <c r="B35" s="66" t="n">
        <f aca="false">附属明細表!P77</f>
        <v>176556</v>
      </c>
      <c r="C35" s="67" t="n">
        <f aca="false">SUMPRODUCT(--(SUBSTITUTE(SUBSTITUTE(入力!$A$20:$A$219," ",""),"　","")=SUBSTITUTE(SUBSTITUTE($D35," ",""),"　","")),入力!$B$20:$B$219)</f>
        <v>0</v>
      </c>
      <c r="D35" s="94" t="s">
        <v>1096</v>
      </c>
      <c r="E35" s="69"/>
      <c r="F35" s="93"/>
      <c r="G35" s="71"/>
      <c r="H35" s="30"/>
    </row>
    <row r="36" customFormat="false" ht="17.25" hidden="false" customHeight="true" outlineLevel="0" collapsed="false">
      <c r="A36" s="87" t="n">
        <f aca="false">SUM(B36:C36)</f>
        <v>0</v>
      </c>
      <c r="B36" s="72"/>
      <c r="C36" s="67" t="n">
        <f aca="false">SUMPRODUCT(--(SUBSTITUTE(SUBSTITUTE(入力!$A$20:$A$219," ",""),"　","")=SUBSTITUTE(SUBSTITUTE($D36," ",""),"　","")),入力!$B$20:$B$219)</f>
        <v>0</v>
      </c>
      <c r="D36" s="94" t="s">
        <v>1097</v>
      </c>
      <c r="E36" s="69"/>
      <c r="F36" s="93"/>
      <c r="G36" s="71"/>
      <c r="H36" s="30"/>
    </row>
    <row r="37" customFormat="false" ht="17.25" hidden="true" customHeight="true" outlineLevel="0" collapsed="false">
      <c r="A37" s="87" t="n">
        <f aca="false">SUM(B37:C37)</f>
        <v>0</v>
      </c>
      <c r="B37" s="72" t="n">
        <v>0</v>
      </c>
      <c r="C37" s="67" t="n">
        <f aca="false">SUMPRODUCT(--(SUBSTITUTE(SUBSTITUTE(入力!$A$20:$A$219," ",""),"　","")=SUBSTITUTE(SUBSTITUTE($D37," ",""),"　","")),入力!$B$20:$B$219)</f>
        <v>0</v>
      </c>
      <c r="D37" s="68" t="s">
        <v>1098</v>
      </c>
      <c r="E37" s="69"/>
      <c r="F37" s="70"/>
      <c r="G37" s="71"/>
      <c r="H37" s="30"/>
    </row>
    <row r="38" customFormat="false" ht="17.25" hidden="false" customHeight="true" outlineLevel="0" collapsed="false">
      <c r="A38" s="87" t="n">
        <f aca="false">SUM(B38:C38)</f>
        <v>3603510</v>
      </c>
      <c r="B38" s="95" t="n">
        <f aca="false">MAX(SUM(G39:G45)-SUM(A21:A37),0)</f>
        <v>3603510</v>
      </c>
      <c r="C38" s="76"/>
      <c r="D38" s="68" t="s">
        <v>1099</v>
      </c>
      <c r="E38" s="69"/>
      <c r="F38" s="70"/>
      <c r="G38" s="71"/>
      <c r="H38" s="30"/>
    </row>
    <row r="39" customFormat="false" ht="17.25" hidden="false" customHeight="true" outlineLevel="0" collapsed="false">
      <c r="A39" s="96"/>
      <c r="B39" s="66" t="n">
        <f aca="false">附属明細表!G45</f>
        <v>5312157</v>
      </c>
      <c r="C39" s="97"/>
      <c r="D39" s="68" t="s">
        <v>89</v>
      </c>
      <c r="E39" s="77" t="n">
        <f aca="false">SUMPRODUCT(--(SUBSTITUTE(SUBSTITUTE(入力!$A$20:$A$219," ",""),"　","")=SUBSTITUTE(SUBSTITUTE($D39," ",""),"　","")),入力!$C$20:$C$219)</f>
        <v>94968000</v>
      </c>
      <c r="F39" s="72"/>
      <c r="G39" s="78" t="n">
        <f aca="false">SUM(E39:F39)-B39</f>
        <v>89655843</v>
      </c>
      <c r="H39" s="30"/>
    </row>
    <row r="40" customFormat="false" ht="17.25" hidden="false" customHeight="true" outlineLevel="0" collapsed="false">
      <c r="A40" s="75"/>
      <c r="B40" s="88"/>
      <c r="C40" s="97"/>
      <c r="D40" s="68" t="s">
        <v>95</v>
      </c>
      <c r="E40" s="77" t="n">
        <f aca="false">SUMPRODUCT(--(SUBSTITUTE(SUBSTITUTE(入力!$A$20:$A$219," ",""),"　","")=SUBSTITUTE(SUBSTITUTE($D40," ",""),"　","")),入力!$C$20:$C$219)</f>
        <v>77607</v>
      </c>
      <c r="F40" s="72"/>
      <c r="G40" s="78" t="n">
        <f aca="false">SUM(E40:F40)</f>
        <v>77607</v>
      </c>
      <c r="H40" s="30"/>
    </row>
    <row r="41" customFormat="false" ht="17.25" hidden="false" customHeight="true" outlineLevel="0" collapsed="false">
      <c r="A41" s="75"/>
      <c r="B41" s="88"/>
      <c r="C41" s="97"/>
      <c r="D41" s="68" t="s">
        <v>1100</v>
      </c>
      <c r="E41" s="77" t="n">
        <f aca="false">SUMPRODUCT(--(SUBSTITUTE(SUBSTITUTE(入力!$A$20:$A$219," ",""),"　","")=SUBSTITUTE(SUBSTITUTE($D41," ",""),"　","")),入力!$C$20:$C$219)</f>
        <v>0</v>
      </c>
      <c r="F41" s="72"/>
      <c r="G41" s="78" t="n">
        <f aca="false">SUM(E41:F41)</f>
        <v>0</v>
      </c>
      <c r="H41" s="30"/>
    </row>
    <row r="42" customFormat="false" ht="17.25" hidden="false" customHeight="true" outlineLevel="0" collapsed="false">
      <c r="A42" s="75"/>
      <c r="B42" s="88"/>
      <c r="C42" s="97"/>
      <c r="D42" s="68" t="s">
        <v>96</v>
      </c>
      <c r="E42" s="77" t="n">
        <f aca="false">SUMPRODUCT(--(SUBSTITUTE(SUBSTITUTE(入力!$A$20:$A$219," ",""),"　","")=SUBSTITUTE(SUBSTITUTE($D42," ",""),"　","")),入力!$C$20:$C$219)</f>
        <v>23159738</v>
      </c>
      <c r="F42" s="72"/>
      <c r="G42" s="78" t="n">
        <f aca="false">SUM(E42:F42)</f>
        <v>23159738</v>
      </c>
      <c r="H42" s="30"/>
    </row>
    <row r="43" customFormat="false" ht="17.25" hidden="true" customHeight="true" outlineLevel="0" collapsed="false">
      <c r="A43" s="75"/>
      <c r="B43" s="88"/>
      <c r="C43" s="97"/>
      <c r="D43" s="68" t="s">
        <v>1101</v>
      </c>
      <c r="E43" s="77" t="n">
        <f aca="false">SUMPRODUCT(--(SUBSTITUTE(SUBSTITUTE(入力!$A$20:$A$219," ",""),"　","")=SUBSTITUTE(SUBSTITUTE($D43," ",""),"　","")),入力!$C$20:$C$219)</f>
        <v>0</v>
      </c>
      <c r="F43" s="72"/>
      <c r="G43" s="78" t="n">
        <f aca="false">SUM(E43:F43)</f>
        <v>0</v>
      </c>
      <c r="H43" s="30"/>
    </row>
    <row r="44" customFormat="false" ht="17.25" hidden="false" customHeight="true" outlineLevel="0" collapsed="false">
      <c r="A44" s="75"/>
      <c r="B44" s="88"/>
      <c r="C44" s="97"/>
      <c r="D44" s="68" t="s">
        <v>1102</v>
      </c>
      <c r="E44" s="77" t="n">
        <f aca="false">SUMPRODUCT(--(SUBSTITUTE(SUBSTITUTE(入力!$A$20:$A$219," ",""),"　","")=SUBSTITUTE(SUBSTITUTE($D44," ",""),"　","")),入力!$C$20:$C$219)</f>
        <v>0</v>
      </c>
      <c r="F44" s="66" t="n">
        <f aca="false">附属明細表!G31</f>
        <v>11834281</v>
      </c>
      <c r="G44" s="78" t="n">
        <f aca="false">SUM(E44:F44)</f>
        <v>11834281</v>
      </c>
      <c r="H44" s="30"/>
    </row>
    <row r="45" customFormat="false" ht="17.25" hidden="false" customHeight="true" outlineLevel="0" collapsed="false">
      <c r="A45" s="75"/>
      <c r="B45" s="70"/>
      <c r="C45" s="98"/>
      <c r="D45" s="68" t="s">
        <v>1103</v>
      </c>
      <c r="E45" s="77" t="n">
        <f aca="false">SUMPRODUCT(--(SUBSTITUTE(SUBSTITUTE(入力!$A$20:$A$219," ",""),"　","")=SUBSTITUTE(SUBSTITUTE($D45," ",""),"　","")),入力!$C$20:$C$219)</f>
        <v>0</v>
      </c>
      <c r="F45" s="72"/>
      <c r="G45" s="78" t="n">
        <f aca="false">SUM(E45:F45)</f>
        <v>0</v>
      </c>
      <c r="H45" s="30"/>
    </row>
    <row r="46" customFormat="false" ht="17.25" hidden="false" customHeight="true" outlineLevel="0" collapsed="false">
      <c r="A46" s="75"/>
      <c r="B46" s="70"/>
      <c r="C46" s="97"/>
      <c r="D46" s="68" t="s">
        <v>1104</v>
      </c>
      <c r="E46" s="77" t="n">
        <f aca="false">SUMPRODUCT(--(SUBSTITUTE(SUBSTITUTE(入力!$A$20:$A$219," ",""),"　","")=SUBSTITUTE(SUBSTITUTE($D46," ",""),"　","")),入力!$C$20:$C$219)</f>
        <v>0</v>
      </c>
      <c r="F46" s="66" t="n">
        <f aca="false">MAX(SUM(A21:A37)-SUM(G39:G45),0)</f>
        <v>0</v>
      </c>
      <c r="G46" s="78" t="n">
        <f aca="false">SUM(E46:F46)</f>
        <v>0</v>
      </c>
      <c r="H46" s="30"/>
    </row>
    <row r="47" customFormat="false" ht="18" hidden="false" customHeight="true" outlineLevel="0" collapsed="false">
      <c r="A47" s="81" t="n">
        <f aca="false">SUM(A21:A46)</f>
        <v>124727469</v>
      </c>
      <c r="B47" s="82" t="n">
        <f aca="false">SUM(B21:B46)</f>
        <v>13810756</v>
      </c>
      <c r="C47" s="83" t="n">
        <f aca="false">SUM(C21:C46)</f>
        <v>116228870</v>
      </c>
      <c r="D47" s="84" t="s">
        <v>1095</v>
      </c>
      <c r="E47" s="85" t="n">
        <f aca="false">SUM(E21:E46)</f>
        <v>118205345</v>
      </c>
      <c r="F47" s="82" t="n">
        <f aca="false">SUM(F21:F46)</f>
        <v>11834281</v>
      </c>
      <c r="G47" s="86" t="n">
        <f aca="false">SUM(G21:G46)</f>
        <v>124727469</v>
      </c>
      <c r="H47" s="30"/>
    </row>
    <row r="48" customFormat="false" ht="18" hidden="false" customHeight="true" outlineLevel="0" collapsed="false">
      <c r="A48" s="81" t="n">
        <f aca="false">SUM(A20+A47)</f>
        <v>209902719</v>
      </c>
      <c r="B48" s="82" t="n">
        <f aca="false">SUM(B47,B20)</f>
        <v>29250903</v>
      </c>
      <c r="C48" s="83" t="n">
        <f aca="false">SUM(C47,C20)</f>
        <v>189744039</v>
      </c>
      <c r="D48" s="84" t="s">
        <v>1105</v>
      </c>
      <c r="E48" s="85" t="n">
        <f aca="false">SUM(E20+E47)</f>
        <v>189744039</v>
      </c>
      <c r="F48" s="82" t="n">
        <f aca="false">SUM(F47,F20)</f>
        <v>29250903</v>
      </c>
      <c r="G48" s="86" t="n">
        <f aca="false">SUM(G47,G20)</f>
        <v>209902719</v>
      </c>
      <c r="H48" s="30"/>
    </row>
    <row r="49" customFormat="false" ht="13.5" hidden="false" customHeight="true" outlineLevel="0" collapsed="false">
      <c r="A49" s="99"/>
      <c r="B49" s="100"/>
      <c r="C49" s="101"/>
      <c r="D49" s="102"/>
      <c r="E49" s="101"/>
      <c r="F49" s="101"/>
      <c r="G49" s="103"/>
      <c r="H49" s="30"/>
    </row>
    <row r="50" s="110" customFormat="true" ht="21" hidden="false" customHeight="true" outlineLevel="0" collapsed="false">
      <c r="A50" s="104" t="str">
        <f aca="false">入力!$B$6</f>
        <v>令和８年４月２２日</v>
      </c>
      <c r="B50" s="104"/>
      <c r="C50" s="105"/>
      <c r="D50" s="105"/>
      <c r="E50" s="106" t="str">
        <f aca="false">"    出納主任   "&amp;入力!$B$7</f>
        <v>    出納主任   村　井　慶　子</v>
      </c>
      <c r="F50" s="107"/>
      <c r="G50" s="108"/>
      <c r="H50" s="109"/>
    </row>
    <row r="51" customFormat="false" ht="13.5" hidden="false" customHeight="true" outlineLevel="0" collapsed="false">
      <c r="A51" s="111"/>
      <c r="B51" s="101"/>
      <c r="C51" s="101"/>
      <c r="D51" s="101"/>
      <c r="E51" s="101"/>
      <c r="F51" s="101"/>
      <c r="G51" s="103"/>
      <c r="H51" s="30"/>
    </row>
    <row r="52" customFormat="false" ht="13.5" hidden="false" customHeight="true" outlineLevel="0" collapsed="false">
      <c r="A52" s="112" t="s">
        <v>1106</v>
      </c>
      <c r="B52" s="112"/>
      <c r="C52" s="112"/>
      <c r="D52" s="112"/>
      <c r="E52" s="112"/>
      <c r="F52" s="112"/>
      <c r="G52" s="112"/>
      <c r="H52" s="30"/>
    </row>
    <row r="53" customFormat="false" ht="13.5" hidden="false" customHeight="true" outlineLevel="0" collapsed="false">
      <c r="A53" s="113" t="str">
        <f aca="false">入力!$B$6</f>
        <v>令和８年４月２２日</v>
      </c>
      <c r="B53" s="113"/>
      <c r="C53" s="114"/>
      <c r="D53" s="114"/>
      <c r="E53" s="114"/>
      <c r="F53" s="114"/>
      <c r="G53" s="115"/>
      <c r="H53" s="30"/>
    </row>
    <row r="54" s="110" customFormat="true" ht="21" hidden="false" customHeight="true" outlineLevel="0" collapsed="false">
      <c r="A54" s="116"/>
      <c r="B54" s="117"/>
      <c r="C54" s="117"/>
      <c r="D54" s="117"/>
      <c r="E54" s="118" t="str">
        <f aca="false">"    出 納 役   "&amp;入力!$B$8</f>
        <v>    出 納 役   榎　本　聡　子</v>
      </c>
      <c r="F54" s="118"/>
      <c r="G54" s="118"/>
      <c r="H54" s="109"/>
    </row>
    <row r="55" customFormat="false" ht="13.5" hidden="false" customHeight="true" outlineLevel="0" collapsed="false">
      <c r="A55" s="30"/>
      <c r="B55" s="30"/>
      <c r="C55" s="30"/>
      <c r="D55" s="30"/>
      <c r="E55" s="30"/>
      <c r="F55" s="30"/>
      <c r="G55" s="30"/>
      <c r="H55" s="30"/>
    </row>
    <row r="56" customFormat="false" ht="13.5" hidden="false" customHeight="true" outlineLevel="0" collapsed="false">
      <c r="A56" s="30"/>
      <c r="B56" s="30"/>
      <c r="C56" s="30"/>
      <c r="D56" s="30"/>
      <c r="E56" s="30"/>
      <c r="F56" s="30"/>
      <c r="G56" s="30"/>
      <c r="H56" s="30"/>
    </row>
  </sheetData>
  <sheetProtection sheet="true" formatCells="false" formatColumns="false" formatRows="false" sort="false" autoFilter="false"/>
  <mergeCells count="9">
    <mergeCell ref="C1:E1"/>
    <mergeCell ref="C3:E3"/>
    <mergeCell ref="A6:C6"/>
    <mergeCell ref="D6:D7"/>
    <mergeCell ref="E6:G6"/>
    <mergeCell ref="A50:B50"/>
    <mergeCell ref="A52:G52"/>
    <mergeCell ref="A53:B53"/>
    <mergeCell ref="E54:G54"/>
  </mergeCells>
  <printOptions headings="false" gridLines="false" gridLinesSet="true" horizontalCentered="false" verticalCentered="false"/>
  <pageMargins left="0.7875" right="0.39375" top="0" bottom="0.39375" header="0.511811023622047" footer="0.315277777777778"/>
  <pageSetup paperSize="9" scale="95" fitToWidth="1" fitToHeight="1" pageOrder="downThenOver" orientation="portrait" blackAndWhite="false" draft="false" cellComments="none" firstPageNumber="51" useFirstPageNumber="true" horizontalDpi="300" verticalDpi="300" copies="1"/>
  <headerFooter differentFirst="false" differentOddEven="false">
    <oddHeader/>
    <oddFooter>&amp;C&amp;"ＭＳ 明朝,Regular"- &amp;P -</oddFooter>
  </headerFooter>
  <rowBreaks count="1" manualBreakCount="1">
    <brk id="54" man="true" max="16383" min="0"/>
  </rowBreaks>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3671875" defaultRowHeight="10.5" zeroHeight="false" outlineLevelRow="0" outlineLevelCol="0"/>
  <cols>
    <col collapsed="false" customWidth="true" hidden="false" outlineLevel="0" max="1" min="1" style="119" width="11.99"/>
    <col collapsed="false" customWidth="true" hidden="false" outlineLevel="0" max="2" min="2" style="119" width="10.87"/>
    <col collapsed="false" customWidth="false" hidden="false" outlineLevel="0" max="4" min="3" style="119" width="11.37"/>
    <col collapsed="false" customWidth="true" hidden="false" outlineLevel="0" max="5" min="5" style="119" width="11.99"/>
    <col collapsed="false" customWidth="true" hidden="false" outlineLevel="0" max="6" min="6" style="119" width="10.87"/>
    <col collapsed="false" customWidth="false" hidden="false" outlineLevel="0" max="257" min="7" style="119" width="11.37"/>
  </cols>
  <sheetData>
    <row r="1" customFormat="false" ht="18.75" hidden="false" customHeight="true" outlineLevel="0" collapsed="false">
      <c r="A1" s="10"/>
      <c r="B1" s="120"/>
      <c r="C1" s="10"/>
      <c r="D1" s="121" t="s">
        <v>1107</v>
      </c>
      <c r="E1" s="121"/>
      <c r="F1" s="122"/>
      <c r="G1" s="120"/>
      <c r="H1" s="120"/>
      <c r="I1" s="10"/>
      <c r="J1" s="10"/>
      <c r="K1" s="10"/>
      <c r="L1" s="10"/>
      <c r="M1" s="10"/>
      <c r="N1" s="10"/>
      <c r="O1" s="10"/>
      <c r="P1" s="10"/>
      <c r="Q1" s="10"/>
      <c r="R1" s="10"/>
    </row>
    <row r="2" customFormat="false" ht="18.75" hidden="false" customHeight="true" outlineLevel="0" collapsed="false">
      <c r="A2" s="10"/>
      <c r="B2" s="120"/>
      <c r="C2" s="10"/>
      <c r="D2" s="123" t="s">
        <v>1108</v>
      </c>
      <c r="E2" s="123"/>
      <c r="F2" s="122"/>
      <c r="G2" s="120"/>
      <c r="H2" s="120"/>
      <c r="I2" s="10"/>
      <c r="J2" s="10"/>
      <c r="K2" s="10"/>
      <c r="L2" s="10"/>
      <c r="M2" s="10"/>
      <c r="N2" s="10"/>
      <c r="O2" s="10"/>
      <c r="P2" s="10"/>
      <c r="Q2" s="10"/>
      <c r="R2" s="10"/>
    </row>
    <row r="3" customFormat="false" ht="12" hidden="false" customHeight="true" outlineLevel="0" collapsed="false">
      <c r="A3" s="124"/>
      <c r="B3" s="124"/>
      <c r="C3" s="125"/>
      <c r="D3" s="125"/>
      <c r="E3" s="124"/>
      <c r="F3" s="124"/>
      <c r="G3" s="126" t="str">
        <f aca="false">"令和"&amp;JIS(入力!$B$5+1)&amp;"年３月３１日現在"</f>
        <v>令和８年３月３１日現在</v>
      </c>
      <c r="H3" s="126"/>
      <c r="I3" s="10"/>
      <c r="J3" s="10"/>
      <c r="K3" s="10"/>
      <c r="L3" s="10"/>
      <c r="M3" s="10"/>
      <c r="N3" s="10"/>
      <c r="O3" s="10"/>
      <c r="P3" s="10"/>
      <c r="Q3" s="10"/>
      <c r="R3" s="10"/>
    </row>
    <row r="4" s="130" customFormat="true" ht="13.5" hidden="false" customHeight="true" outlineLevel="0" collapsed="false">
      <c r="A4" s="127" t="s">
        <v>1109</v>
      </c>
      <c r="B4" s="127"/>
      <c r="C4" s="127"/>
      <c r="D4" s="128" t="s">
        <v>1110</v>
      </c>
      <c r="E4" s="129" t="s">
        <v>1111</v>
      </c>
      <c r="F4" s="129"/>
      <c r="G4" s="129"/>
      <c r="H4" s="127" t="s">
        <v>1110</v>
      </c>
      <c r="I4" s="10"/>
      <c r="J4" s="10"/>
      <c r="K4" s="10"/>
      <c r="L4" s="10"/>
      <c r="M4" s="10"/>
      <c r="N4" s="10"/>
      <c r="O4" s="10"/>
      <c r="P4" s="10"/>
      <c r="Q4" s="10"/>
      <c r="R4" s="10"/>
    </row>
    <row r="5" customFormat="false" ht="10.5" hidden="false" customHeight="true" outlineLevel="0" collapsed="false">
      <c r="A5" s="131"/>
      <c r="B5" s="132" t="s">
        <v>1087</v>
      </c>
      <c r="C5" s="133" t="s">
        <v>1087</v>
      </c>
      <c r="D5" s="134" t="s">
        <v>1087</v>
      </c>
      <c r="E5" s="135"/>
      <c r="F5" s="132" t="s">
        <v>1087</v>
      </c>
      <c r="G5" s="133" t="s">
        <v>1087</v>
      </c>
      <c r="H5" s="136" t="s">
        <v>1087</v>
      </c>
      <c r="I5" s="137"/>
      <c r="J5" s="137"/>
      <c r="K5" s="137"/>
      <c r="L5" s="137"/>
      <c r="M5" s="137"/>
      <c r="N5" s="137"/>
      <c r="O5" s="137"/>
      <c r="P5" s="137"/>
      <c r="Q5" s="137"/>
      <c r="R5" s="137"/>
    </row>
    <row r="6" customFormat="false" ht="15.75" hidden="false" customHeight="true" outlineLevel="0" collapsed="false">
      <c r="A6" s="138" t="s">
        <v>1112</v>
      </c>
      <c r="B6" s="139"/>
      <c r="C6" s="140"/>
      <c r="D6" s="141" t="n">
        <f aca="false">SUM(C7:C9)</f>
        <v>84967860</v>
      </c>
      <c r="E6" s="142" t="s">
        <v>1113</v>
      </c>
      <c r="F6" s="143"/>
      <c r="G6" s="144"/>
      <c r="H6" s="145" t="n">
        <f aca="false">SUM(G7:G10)</f>
        <v>10477829</v>
      </c>
      <c r="I6" s="137"/>
      <c r="J6" s="137"/>
      <c r="K6" s="137"/>
      <c r="L6" s="137"/>
      <c r="M6" s="137"/>
      <c r="N6" s="137"/>
      <c r="O6" s="137"/>
      <c r="P6" s="137"/>
      <c r="Q6" s="137"/>
      <c r="R6" s="137"/>
    </row>
    <row r="7" customFormat="false" ht="15.75" hidden="false" customHeight="true" outlineLevel="0" collapsed="false">
      <c r="A7" s="146" t="s">
        <v>75</v>
      </c>
      <c r="B7" s="124"/>
      <c r="C7" s="147" t="n">
        <f aca="false">決算精算表!A9</f>
        <v>72939159</v>
      </c>
      <c r="D7" s="148"/>
      <c r="E7" s="149" t="s">
        <v>1092</v>
      </c>
      <c r="F7" s="124"/>
      <c r="G7" s="150" t="n">
        <f aca="false">決算精算表!G14</f>
        <v>9597685</v>
      </c>
      <c r="H7" s="151"/>
      <c r="I7" s="137"/>
      <c r="J7" s="137"/>
      <c r="K7" s="137"/>
      <c r="L7" s="137"/>
      <c r="M7" s="137"/>
      <c r="N7" s="137"/>
      <c r="O7" s="137"/>
      <c r="P7" s="137"/>
      <c r="Q7" s="137"/>
      <c r="R7" s="137"/>
    </row>
    <row r="8" customFormat="false" ht="15.75" hidden="false" customHeight="true" outlineLevel="0" collapsed="false">
      <c r="A8" s="146" t="s">
        <v>76</v>
      </c>
      <c r="B8" s="124"/>
      <c r="C8" s="147" t="n">
        <f aca="false">決算精算表!A10</f>
        <v>194420</v>
      </c>
      <c r="D8" s="152"/>
      <c r="E8" s="149" t="s">
        <v>1093</v>
      </c>
      <c r="F8" s="143"/>
      <c r="G8" s="150" t="n">
        <f aca="false">決算精算表!G15</f>
        <v>435361</v>
      </c>
      <c r="H8" s="151"/>
      <c r="I8" s="137"/>
      <c r="J8" s="137"/>
      <c r="K8" s="137"/>
      <c r="L8" s="137"/>
      <c r="M8" s="137"/>
      <c r="N8" s="137"/>
      <c r="O8" s="137"/>
      <c r="P8" s="137"/>
      <c r="Q8" s="137"/>
      <c r="R8" s="137"/>
    </row>
    <row r="9" customFormat="false" ht="15.75" hidden="false" customHeight="true" outlineLevel="0" collapsed="false">
      <c r="A9" s="146" t="s">
        <v>1090</v>
      </c>
      <c r="B9" s="124"/>
      <c r="C9" s="147" t="n">
        <f aca="false">決算精算表!A12</f>
        <v>11834281</v>
      </c>
      <c r="D9" s="152"/>
      <c r="E9" s="149" t="s">
        <v>92</v>
      </c>
      <c r="F9" s="143"/>
      <c r="G9" s="150" t="n">
        <f aca="false">決算精算表!G16</f>
        <v>227940</v>
      </c>
      <c r="H9" s="151"/>
      <c r="I9" s="137"/>
      <c r="J9" s="137"/>
      <c r="K9" s="137"/>
      <c r="L9" s="137"/>
      <c r="M9" s="137"/>
      <c r="N9" s="137"/>
      <c r="O9" s="137"/>
      <c r="P9" s="137"/>
      <c r="Q9" s="137"/>
      <c r="R9" s="137"/>
    </row>
    <row r="10" customFormat="false" ht="15.75" hidden="false" customHeight="true" outlineLevel="0" collapsed="false">
      <c r="A10" s="153"/>
      <c r="B10" s="154"/>
      <c r="C10" s="155"/>
      <c r="D10" s="152"/>
      <c r="E10" s="149" t="s">
        <v>93</v>
      </c>
      <c r="F10" s="143"/>
      <c r="G10" s="150" t="n">
        <f aca="false">決算精算表!G17</f>
        <v>216843</v>
      </c>
      <c r="H10" s="151"/>
      <c r="I10" s="137"/>
      <c r="J10" s="137"/>
      <c r="K10" s="137"/>
      <c r="L10" s="137"/>
      <c r="M10" s="137"/>
      <c r="N10" s="137"/>
      <c r="O10" s="137"/>
      <c r="P10" s="137"/>
      <c r="Q10" s="137"/>
      <c r="R10" s="137"/>
    </row>
    <row r="11" customFormat="false" ht="9" hidden="false" customHeight="true" outlineLevel="0" collapsed="false">
      <c r="A11" s="138"/>
      <c r="B11" s="143"/>
      <c r="C11" s="156"/>
      <c r="D11" s="152"/>
      <c r="E11" s="149"/>
      <c r="F11" s="143"/>
      <c r="G11" s="143"/>
      <c r="H11" s="151"/>
      <c r="I11" s="137"/>
      <c r="J11" s="137"/>
      <c r="K11" s="137"/>
      <c r="L11" s="137"/>
      <c r="M11" s="137"/>
      <c r="N11" s="137"/>
      <c r="O11" s="137"/>
      <c r="P11" s="137"/>
      <c r="Q11" s="137"/>
      <c r="R11" s="137"/>
    </row>
    <row r="12" customFormat="false" ht="15.75" hidden="false" customHeight="true" outlineLevel="0" collapsed="false">
      <c r="A12" s="138" t="s">
        <v>1114</v>
      </c>
      <c r="B12" s="143"/>
      <c r="C12" s="156"/>
      <c r="D12" s="157" t="n">
        <f aca="false">SUM(C13)</f>
        <v>207390</v>
      </c>
      <c r="E12" s="158" t="s">
        <v>1115</v>
      </c>
      <c r="F12" s="143"/>
      <c r="G12" s="144"/>
      <c r="H12" s="145" t="n">
        <f aca="false">SUM(H2:H11)</f>
        <v>10477829</v>
      </c>
      <c r="I12" s="137"/>
      <c r="J12" s="137"/>
      <c r="K12" s="137"/>
      <c r="L12" s="137"/>
      <c r="M12" s="137"/>
      <c r="N12" s="137"/>
      <c r="O12" s="137"/>
      <c r="P12" s="137"/>
      <c r="Q12" s="137"/>
      <c r="R12" s="137"/>
    </row>
    <row r="13" customFormat="false" ht="15.75" hidden="false" customHeight="true" outlineLevel="0" collapsed="false">
      <c r="A13" s="159" t="s">
        <v>1116</v>
      </c>
      <c r="B13" s="143"/>
      <c r="C13" s="160" t="n">
        <f aca="false">SUM(B14)</f>
        <v>207390</v>
      </c>
      <c r="D13" s="152"/>
      <c r="E13" s="161"/>
      <c r="F13" s="143"/>
      <c r="G13" s="162"/>
      <c r="H13" s="151"/>
      <c r="I13" s="137"/>
      <c r="J13" s="137"/>
      <c r="K13" s="137"/>
      <c r="L13" s="137"/>
      <c r="M13" s="137"/>
      <c r="N13" s="137"/>
      <c r="O13" s="137"/>
      <c r="P13" s="137"/>
      <c r="Q13" s="137"/>
      <c r="R13" s="137"/>
    </row>
    <row r="14" customFormat="false" ht="15.75" hidden="false" customHeight="true" outlineLevel="0" collapsed="false">
      <c r="A14" s="146" t="s">
        <v>77</v>
      </c>
      <c r="B14" s="150" t="n">
        <f aca="false">決算精算表!A13</f>
        <v>207390</v>
      </c>
      <c r="C14" s="156"/>
      <c r="D14" s="152"/>
      <c r="E14" s="142" t="s">
        <v>1117</v>
      </c>
      <c r="F14" s="143"/>
      <c r="G14" s="144"/>
      <c r="H14" s="145" t="n">
        <f aca="false">SUM(G15:G16)</f>
        <v>74697421</v>
      </c>
      <c r="I14" s="137"/>
      <c r="J14" s="137"/>
      <c r="K14" s="137"/>
      <c r="L14" s="137"/>
      <c r="M14" s="137"/>
      <c r="N14" s="137"/>
      <c r="O14" s="137"/>
      <c r="P14" s="137"/>
      <c r="Q14" s="137"/>
      <c r="R14" s="137"/>
    </row>
    <row r="15" customFormat="false" ht="18" hidden="false" customHeight="true" outlineLevel="0" collapsed="false">
      <c r="A15" s="146"/>
      <c r="B15" s="143"/>
      <c r="C15" s="156"/>
      <c r="D15" s="152"/>
      <c r="E15" s="163" t="s">
        <v>94</v>
      </c>
      <c r="F15" s="143"/>
      <c r="G15" s="164" t="n">
        <f aca="false">F16+F17</f>
        <v>74697421</v>
      </c>
      <c r="H15" s="151"/>
      <c r="I15" s="137"/>
      <c r="J15" s="137"/>
      <c r="K15" s="137"/>
      <c r="L15" s="137"/>
      <c r="M15" s="137"/>
      <c r="N15" s="137"/>
      <c r="O15" s="137"/>
      <c r="P15" s="137"/>
      <c r="Q15" s="137"/>
      <c r="R15" s="137"/>
    </row>
    <row r="16" customFormat="false" ht="18" hidden="false" customHeight="true" outlineLevel="0" collapsed="false">
      <c r="A16" s="146"/>
      <c r="B16" s="143"/>
      <c r="C16" s="156"/>
      <c r="D16" s="152"/>
      <c r="E16" s="149" t="s">
        <v>1118</v>
      </c>
      <c r="F16" s="150" t="n">
        <f aca="false">決算精算表!G19</f>
        <v>74697421</v>
      </c>
      <c r="G16" s="144"/>
      <c r="H16" s="151"/>
      <c r="I16" s="137"/>
      <c r="J16" s="137"/>
      <c r="K16" s="137"/>
      <c r="L16" s="137"/>
      <c r="M16" s="137"/>
      <c r="N16" s="137"/>
      <c r="O16" s="137"/>
      <c r="P16" s="137"/>
      <c r="Q16" s="137"/>
      <c r="R16" s="137"/>
    </row>
    <row r="17" customFormat="false" ht="6.75" hidden="false" customHeight="true" outlineLevel="0" collapsed="false">
      <c r="A17" s="138"/>
      <c r="B17" s="143"/>
      <c r="C17" s="156"/>
      <c r="D17" s="165"/>
      <c r="E17" s="142"/>
      <c r="F17" s="143"/>
      <c r="G17" s="144"/>
      <c r="H17" s="151"/>
      <c r="I17" s="137"/>
      <c r="J17" s="137"/>
      <c r="K17" s="137"/>
      <c r="L17" s="137"/>
      <c r="M17" s="137"/>
      <c r="N17" s="137"/>
      <c r="O17" s="137"/>
      <c r="P17" s="137"/>
      <c r="Q17" s="137"/>
      <c r="R17" s="137"/>
    </row>
    <row r="18" customFormat="false" ht="15.75" hidden="false" customHeight="true" outlineLevel="0" collapsed="false">
      <c r="A18" s="159"/>
      <c r="B18" s="143"/>
      <c r="C18" s="156"/>
      <c r="D18" s="152"/>
      <c r="E18" s="158"/>
      <c r="F18" s="143"/>
      <c r="G18" s="143"/>
      <c r="H18" s="166"/>
      <c r="I18" s="137"/>
      <c r="J18" s="137"/>
      <c r="K18" s="137"/>
      <c r="L18" s="137"/>
      <c r="M18" s="137"/>
      <c r="N18" s="137"/>
      <c r="O18" s="137"/>
      <c r="P18" s="137"/>
      <c r="Q18" s="137"/>
      <c r="R18" s="137"/>
    </row>
    <row r="19" customFormat="false" ht="18" hidden="false" customHeight="true" outlineLevel="0" collapsed="false">
      <c r="A19" s="146"/>
      <c r="B19" s="143"/>
      <c r="C19" s="156"/>
      <c r="D19" s="152"/>
      <c r="E19" s="158" t="s">
        <v>1119</v>
      </c>
      <c r="F19" s="143"/>
      <c r="G19" s="143"/>
      <c r="H19" s="145" t="n">
        <f aca="false">SUM(H14:H18)</f>
        <v>74697421</v>
      </c>
      <c r="I19" s="137"/>
      <c r="J19" s="137"/>
      <c r="K19" s="137"/>
      <c r="L19" s="137"/>
      <c r="M19" s="137"/>
      <c r="N19" s="137"/>
      <c r="O19" s="137"/>
      <c r="P19" s="137"/>
      <c r="Q19" s="137"/>
      <c r="R19" s="137"/>
    </row>
    <row r="20" customFormat="false" ht="15.75" hidden="false" customHeight="true" outlineLevel="0" collapsed="false">
      <c r="A20" s="159"/>
      <c r="B20" s="143"/>
      <c r="C20" s="167"/>
      <c r="D20" s="152"/>
      <c r="E20" s="158"/>
      <c r="F20" s="143"/>
      <c r="G20" s="143"/>
      <c r="H20" s="166"/>
      <c r="I20" s="137"/>
      <c r="J20" s="137"/>
      <c r="K20" s="137"/>
      <c r="L20" s="137"/>
      <c r="M20" s="137"/>
      <c r="N20" s="137"/>
      <c r="O20" s="137"/>
      <c r="P20" s="137"/>
      <c r="Q20" s="137"/>
      <c r="R20" s="137"/>
    </row>
    <row r="21" customFormat="false" ht="15.75" hidden="false" customHeight="true" outlineLevel="0" collapsed="false">
      <c r="A21" s="159"/>
      <c r="B21" s="143"/>
      <c r="C21" s="167"/>
      <c r="D21" s="152"/>
      <c r="E21" s="149"/>
      <c r="F21" s="162"/>
      <c r="G21" s="144"/>
      <c r="H21" s="151"/>
      <c r="I21" s="137"/>
      <c r="J21" s="137"/>
      <c r="K21" s="137"/>
      <c r="L21" s="137"/>
      <c r="M21" s="137"/>
      <c r="N21" s="137"/>
      <c r="O21" s="137"/>
      <c r="P21" s="137"/>
      <c r="Q21" s="137"/>
      <c r="R21" s="137"/>
    </row>
    <row r="22" customFormat="false" ht="6" hidden="false" customHeight="true" outlineLevel="0" collapsed="false">
      <c r="A22" s="146"/>
      <c r="B22" s="143"/>
      <c r="C22" s="156"/>
      <c r="D22" s="152"/>
      <c r="E22" s="142"/>
      <c r="F22" s="143"/>
      <c r="G22" s="144"/>
      <c r="H22" s="151"/>
      <c r="I22" s="137"/>
      <c r="J22" s="137"/>
      <c r="K22" s="137"/>
      <c r="L22" s="137"/>
      <c r="M22" s="137"/>
      <c r="N22" s="137"/>
      <c r="O22" s="137"/>
      <c r="P22" s="137"/>
      <c r="Q22" s="137"/>
      <c r="R22" s="137"/>
    </row>
    <row r="23" customFormat="false" ht="15.75" hidden="false" customHeight="true" outlineLevel="0" collapsed="false">
      <c r="A23" s="131"/>
      <c r="B23" s="143"/>
      <c r="C23" s="167"/>
      <c r="D23" s="152"/>
      <c r="E23" s="158"/>
      <c r="F23" s="143"/>
      <c r="G23" s="143"/>
      <c r="H23" s="166"/>
      <c r="I23" s="137"/>
      <c r="J23" s="137"/>
      <c r="K23" s="137"/>
      <c r="L23" s="137"/>
      <c r="M23" s="137"/>
      <c r="N23" s="137"/>
      <c r="O23" s="137"/>
      <c r="P23" s="137"/>
      <c r="Q23" s="137"/>
      <c r="R23" s="137"/>
    </row>
    <row r="24" customFormat="false" ht="7.5" hidden="false" customHeight="true" outlineLevel="0" collapsed="false">
      <c r="A24" s="131"/>
      <c r="B24" s="143"/>
      <c r="C24" s="156"/>
      <c r="D24" s="152"/>
      <c r="E24" s="168"/>
      <c r="F24" s="143"/>
      <c r="G24" s="144"/>
      <c r="H24" s="151"/>
      <c r="I24" s="137"/>
      <c r="J24" s="137"/>
      <c r="K24" s="137"/>
      <c r="L24" s="137"/>
      <c r="M24" s="137"/>
      <c r="N24" s="137"/>
      <c r="O24" s="137"/>
      <c r="P24" s="137"/>
      <c r="Q24" s="137"/>
      <c r="R24" s="137"/>
    </row>
    <row r="25" customFormat="false" ht="15.75" hidden="false" customHeight="true" outlineLevel="0" collapsed="false">
      <c r="A25" s="169" t="s">
        <v>1120</v>
      </c>
      <c r="B25" s="169"/>
      <c r="C25" s="169"/>
      <c r="D25" s="170" t="n">
        <f aca="false">SUM(D6:D24)</f>
        <v>85175250</v>
      </c>
      <c r="E25" s="171" t="s">
        <v>1121</v>
      </c>
      <c r="F25" s="171"/>
      <c r="G25" s="171"/>
      <c r="H25" s="172" t="n">
        <f aca="false">H12+H19</f>
        <v>85175250</v>
      </c>
      <c r="I25" s="137"/>
      <c r="J25" s="137"/>
      <c r="K25" s="137"/>
      <c r="L25" s="137"/>
      <c r="M25" s="137"/>
      <c r="N25" s="137"/>
      <c r="O25" s="137"/>
      <c r="P25" s="137"/>
      <c r="Q25" s="137"/>
      <c r="R25" s="137"/>
    </row>
    <row r="26" customFormat="false" ht="24" hidden="true" customHeight="true" outlineLevel="0" collapsed="false">
      <c r="A26" s="173" t="s">
        <v>1122</v>
      </c>
      <c r="B26" s="173"/>
      <c r="C26" s="173"/>
      <c r="D26" s="173"/>
      <c r="E26" s="173"/>
      <c r="F26" s="173"/>
      <c r="G26" s="173"/>
      <c r="H26" s="173"/>
      <c r="I26" s="137"/>
      <c r="J26" s="137"/>
      <c r="K26" s="137"/>
      <c r="L26" s="137"/>
      <c r="M26" s="137"/>
      <c r="N26" s="137"/>
      <c r="O26" s="137"/>
      <c r="P26" s="137"/>
      <c r="Q26" s="137"/>
      <c r="R26" s="137"/>
    </row>
    <row r="27" customFormat="false" ht="15" hidden="true" customHeight="true" outlineLevel="0" collapsed="false">
      <c r="A27" s="124"/>
      <c r="B27" s="124"/>
      <c r="C27" s="124"/>
      <c r="D27" s="124"/>
      <c r="E27" s="174"/>
      <c r="F27" s="174"/>
      <c r="G27" s="124"/>
      <c r="H27" s="124"/>
      <c r="I27" s="137"/>
      <c r="J27" s="137"/>
      <c r="K27" s="137"/>
      <c r="L27" s="137"/>
      <c r="M27" s="137"/>
      <c r="N27" s="137"/>
      <c r="O27" s="137"/>
      <c r="P27" s="137"/>
      <c r="Q27" s="137"/>
      <c r="R27" s="137"/>
    </row>
    <row r="28" customFormat="false" ht="30" hidden="false" customHeight="true" outlineLevel="0" collapsed="false">
      <c r="A28" s="175" t="str">
        <f aca="false">"  （注）　固定資産の減価償却は、地方公務員等共済組合法施行規程第73条に基づき定額法により行っており、有形固定資産の減価償"&amp;CHAR(10)&amp;"　　　　却累計額は、"&amp;TEXT(附属明細表!Q116,"#,##0")&amp;"円である。"</f>
        <v>  （注）　固定資産の減価償却は、地方公務員等共済組合法施行規程第73条に基づき定額法により行っており、有形固定資産の減価償
　　　　却累計額は、643,460円である。</v>
      </c>
      <c r="B28" s="175"/>
      <c r="C28" s="175"/>
      <c r="D28" s="175"/>
      <c r="E28" s="175"/>
      <c r="F28" s="175"/>
      <c r="G28" s="175"/>
      <c r="H28" s="175"/>
      <c r="I28" s="137"/>
      <c r="J28" s="137"/>
      <c r="K28" s="137"/>
      <c r="L28" s="137"/>
      <c r="M28" s="137"/>
      <c r="N28" s="137"/>
      <c r="O28" s="137"/>
      <c r="P28" s="137"/>
      <c r="Q28" s="137"/>
      <c r="R28" s="137"/>
    </row>
    <row r="29" customFormat="false" ht="1.5" hidden="false" customHeight="true" outlineLevel="0" collapsed="false">
      <c r="A29" s="124"/>
      <c r="B29" s="124"/>
      <c r="C29" s="124"/>
      <c r="D29" s="124"/>
      <c r="E29" s="174"/>
      <c r="F29" s="174"/>
      <c r="G29" s="124"/>
      <c r="H29" s="124"/>
      <c r="I29" s="137"/>
      <c r="J29" s="137"/>
      <c r="K29" s="137"/>
      <c r="L29" s="137"/>
      <c r="M29" s="137"/>
      <c r="N29" s="137"/>
      <c r="O29" s="137"/>
      <c r="P29" s="137"/>
      <c r="Q29" s="137"/>
      <c r="R29" s="137"/>
    </row>
    <row r="30" customFormat="false" ht="18.75" hidden="false" customHeight="true" outlineLevel="0" collapsed="false">
      <c r="A30" s="10"/>
      <c r="B30" s="176"/>
      <c r="C30" s="10"/>
      <c r="D30" s="121" t="s">
        <v>1107</v>
      </c>
      <c r="E30" s="121"/>
      <c r="F30" s="122"/>
      <c r="G30" s="176"/>
      <c r="H30" s="176"/>
      <c r="I30" s="137"/>
      <c r="J30" s="137"/>
      <c r="K30" s="137"/>
      <c r="L30" s="137"/>
      <c r="M30" s="137"/>
      <c r="N30" s="137"/>
      <c r="O30" s="137"/>
      <c r="P30" s="137"/>
      <c r="Q30" s="137"/>
      <c r="R30" s="137"/>
    </row>
    <row r="31" customFormat="false" ht="18.75" hidden="false" customHeight="true" outlineLevel="0" collapsed="false">
      <c r="A31" s="10"/>
      <c r="B31" s="176"/>
      <c r="C31" s="10"/>
      <c r="D31" s="123" t="s">
        <v>1123</v>
      </c>
      <c r="E31" s="123"/>
      <c r="F31" s="122"/>
      <c r="G31" s="176"/>
      <c r="H31" s="176"/>
      <c r="I31" s="137"/>
      <c r="J31" s="137"/>
      <c r="K31" s="137"/>
      <c r="L31" s="137"/>
      <c r="M31" s="137"/>
      <c r="N31" s="137"/>
      <c r="O31" s="137"/>
      <c r="P31" s="137"/>
      <c r="Q31" s="137"/>
      <c r="R31" s="137"/>
    </row>
    <row r="32" customFormat="false" ht="10.5" hidden="false" customHeight="true" outlineLevel="0" collapsed="false">
      <c r="A32" s="125"/>
      <c r="B32" s="125"/>
      <c r="C32" s="125"/>
      <c r="D32" s="125"/>
      <c r="E32" s="125"/>
      <c r="F32" s="125"/>
      <c r="G32" s="177" t="str">
        <f aca="false">"自  令和"&amp;JIS(入力!$B$5)&amp;"年４月  １日"</f>
        <v>自  令和７年４月  １日</v>
      </c>
      <c r="H32" s="177"/>
      <c r="I32" s="137"/>
      <c r="J32" s="137"/>
      <c r="K32" s="137"/>
      <c r="L32" s="137"/>
      <c r="M32" s="137"/>
      <c r="N32" s="137"/>
      <c r="O32" s="137"/>
      <c r="P32" s="137"/>
      <c r="Q32" s="137"/>
      <c r="R32" s="137"/>
    </row>
    <row r="33" customFormat="false" ht="11.25" hidden="false" customHeight="true" outlineLevel="0" collapsed="false">
      <c r="A33" s="124"/>
      <c r="B33" s="124"/>
      <c r="C33" s="125"/>
      <c r="D33" s="125"/>
      <c r="E33" s="124"/>
      <c r="F33" s="124"/>
      <c r="G33" s="177" t="str">
        <f aca="false">"至  令和"&amp;JIS(入力!$B$5+1)&amp;"年３月３１日"</f>
        <v>至  令和８年３月３１日</v>
      </c>
      <c r="H33" s="177"/>
      <c r="I33" s="137"/>
      <c r="J33" s="137"/>
      <c r="K33" s="137"/>
      <c r="L33" s="137"/>
      <c r="M33" s="137"/>
      <c r="N33" s="137"/>
      <c r="O33" s="137"/>
      <c r="P33" s="137"/>
      <c r="Q33" s="137"/>
      <c r="R33" s="137"/>
    </row>
    <row r="34" customFormat="false" ht="11.25" hidden="false" customHeight="true" outlineLevel="0" collapsed="false">
      <c r="A34" s="178" t="s">
        <v>1124</v>
      </c>
      <c r="B34" s="178"/>
      <c r="C34" s="178"/>
      <c r="D34" s="128" t="s">
        <v>1110</v>
      </c>
      <c r="E34" s="179" t="s">
        <v>1125</v>
      </c>
      <c r="F34" s="179"/>
      <c r="G34" s="179"/>
      <c r="H34" s="127" t="s">
        <v>1110</v>
      </c>
      <c r="I34" s="137"/>
      <c r="J34" s="137"/>
      <c r="K34" s="137"/>
      <c r="L34" s="137"/>
      <c r="M34" s="137"/>
      <c r="N34" s="137"/>
      <c r="O34" s="137"/>
      <c r="P34" s="137"/>
      <c r="Q34" s="137"/>
      <c r="R34" s="137"/>
    </row>
    <row r="35" customFormat="false" ht="13.5" hidden="false" customHeight="true" outlineLevel="0" collapsed="false">
      <c r="A35" s="131"/>
      <c r="B35" s="132" t="s">
        <v>1087</v>
      </c>
      <c r="C35" s="180" t="s">
        <v>1087</v>
      </c>
      <c r="D35" s="134" t="s">
        <v>1087</v>
      </c>
      <c r="E35" s="135"/>
      <c r="F35" s="132" t="s">
        <v>1087</v>
      </c>
      <c r="G35" s="180" t="s">
        <v>1087</v>
      </c>
      <c r="H35" s="181" t="s">
        <v>1087</v>
      </c>
      <c r="I35" s="137"/>
      <c r="J35" s="137"/>
      <c r="K35" s="137"/>
      <c r="L35" s="137"/>
      <c r="M35" s="137"/>
      <c r="N35" s="137"/>
      <c r="O35" s="137"/>
      <c r="P35" s="137"/>
      <c r="Q35" s="137"/>
      <c r="R35" s="137"/>
    </row>
    <row r="36" customFormat="false" ht="15.75" hidden="false" customHeight="true" outlineLevel="0" collapsed="false">
      <c r="A36" s="138" t="s">
        <v>1126</v>
      </c>
      <c r="B36" s="143"/>
      <c r="C36" s="144"/>
      <c r="D36" s="157" t="n">
        <f aca="false">SUM(C37)</f>
        <v>121123959</v>
      </c>
      <c r="E36" s="142" t="s">
        <v>1127</v>
      </c>
      <c r="F36" s="182"/>
      <c r="G36" s="183"/>
      <c r="H36" s="184" t="n">
        <f aca="false">SUM(G37:G46)</f>
        <v>112893188</v>
      </c>
      <c r="I36" s="137"/>
      <c r="J36" s="137"/>
      <c r="K36" s="137"/>
      <c r="L36" s="137"/>
      <c r="M36" s="137"/>
      <c r="N36" s="137"/>
      <c r="O36" s="137"/>
      <c r="P36" s="137"/>
      <c r="Q36" s="137"/>
      <c r="R36" s="137"/>
    </row>
    <row r="37" customFormat="false" ht="15.75" hidden="false" customHeight="true" outlineLevel="0" collapsed="false">
      <c r="A37" s="159" t="s">
        <v>1128</v>
      </c>
      <c r="B37" s="143"/>
      <c r="C37" s="164" t="n">
        <f aca="false">SUM(B38:B52)</f>
        <v>121123959</v>
      </c>
      <c r="D37" s="152"/>
      <c r="E37" s="163" t="s">
        <v>1129</v>
      </c>
      <c r="F37" s="182"/>
      <c r="G37" s="185" t="n">
        <f aca="false">SUM(F38:F40)</f>
        <v>89733450</v>
      </c>
      <c r="H37" s="186"/>
      <c r="I37" s="137"/>
      <c r="J37" s="137"/>
      <c r="K37" s="137"/>
      <c r="L37" s="137"/>
      <c r="M37" s="137"/>
      <c r="N37" s="137"/>
      <c r="O37" s="137"/>
      <c r="P37" s="137"/>
      <c r="Q37" s="137"/>
      <c r="R37" s="137"/>
    </row>
    <row r="38" customFormat="false" ht="15.75" hidden="false" customHeight="true" outlineLevel="0" collapsed="false">
      <c r="A38" s="187" t="s">
        <v>78</v>
      </c>
      <c r="B38" s="150" t="n">
        <f aca="false">決算精算表!A21</f>
        <v>33000</v>
      </c>
      <c r="C38" s="144"/>
      <c r="D38" s="152"/>
      <c r="E38" s="149" t="s">
        <v>89</v>
      </c>
      <c r="F38" s="150" t="n">
        <f aca="false">決算精算表!G39</f>
        <v>89655843</v>
      </c>
      <c r="G38" s="144"/>
      <c r="H38" s="151"/>
      <c r="I38" s="137"/>
      <c r="J38" s="137"/>
      <c r="K38" s="137"/>
      <c r="L38" s="137"/>
      <c r="M38" s="137"/>
      <c r="N38" s="137"/>
      <c r="O38" s="137"/>
      <c r="P38" s="137"/>
      <c r="Q38" s="137"/>
      <c r="R38" s="137"/>
    </row>
    <row r="39" customFormat="false" ht="15.75" hidden="false" customHeight="true" outlineLevel="0" collapsed="false">
      <c r="A39" s="187" t="s">
        <v>79</v>
      </c>
      <c r="B39" s="150" t="n">
        <f aca="false">決算精算表!A22</f>
        <v>10141337</v>
      </c>
      <c r="C39" s="144"/>
      <c r="D39" s="152"/>
      <c r="E39" s="149" t="s">
        <v>95</v>
      </c>
      <c r="F39" s="150" t="n">
        <f aca="false">決算精算表!G40</f>
        <v>77607</v>
      </c>
      <c r="G39" s="144"/>
      <c r="H39" s="151"/>
      <c r="I39" s="137"/>
      <c r="J39" s="137"/>
      <c r="K39" s="137"/>
      <c r="L39" s="137"/>
      <c r="M39" s="137"/>
      <c r="N39" s="137"/>
      <c r="O39" s="137"/>
      <c r="P39" s="137"/>
      <c r="Q39" s="137"/>
      <c r="R39" s="137"/>
    </row>
    <row r="40" customFormat="false" ht="15.75" hidden="false" customHeight="true" outlineLevel="0" collapsed="false">
      <c r="A40" s="187" t="s">
        <v>80</v>
      </c>
      <c r="B40" s="150" t="n">
        <f aca="false">決算精算表!A23</f>
        <v>9702</v>
      </c>
      <c r="C40" s="144"/>
      <c r="D40" s="152"/>
      <c r="E40" s="149"/>
      <c r="F40" s="143"/>
      <c r="G40" s="144"/>
      <c r="H40" s="151"/>
      <c r="I40" s="137"/>
      <c r="J40" s="137"/>
      <c r="K40" s="137"/>
      <c r="L40" s="137"/>
      <c r="M40" s="137"/>
      <c r="N40" s="137"/>
      <c r="O40" s="137"/>
      <c r="P40" s="137"/>
      <c r="Q40" s="137"/>
      <c r="R40" s="137"/>
    </row>
    <row r="41" customFormat="false" ht="15.75" hidden="false" customHeight="true" outlineLevel="0" collapsed="false">
      <c r="A41" s="187" t="s">
        <v>81</v>
      </c>
      <c r="B41" s="150" t="n">
        <f aca="false">決算精算表!A24</f>
        <v>343112</v>
      </c>
      <c r="C41" s="144"/>
      <c r="D41" s="152"/>
      <c r="E41" s="163" t="s">
        <v>1130</v>
      </c>
      <c r="F41" s="143"/>
      <c r="G41" s="164" t="n">
        <f aca="false">SUM(F42:F43)</f>
        <v>23159738</v>
      </c>
      <c r="H41" s="151"/>
      <c r="I41" s="137"/>
      <c r="J41" s="137"/>
      <c r="K41" s="137"/>
      <c r="L41" s="137"/>
      <c r="M41" s="137"/>
      <c r="N41" s="137"/>
      <c r="O41" s="137"/>
      <c r="P41" s="137"/>
      <c r="Q41" s="137"/>
      <c r="R41" s="137"/>
    </row>
    <row r="42" customFormat="false" ht="15.75" hidden="false" customHeight="true" outlineLevel="0" collapsed="false">
      <c r="A42" s="187" t="s">
        <v>1131</v>
      </c>
      <c r="B42" s="150" t="n">
        <f aca="false">決算精算表!A25</f>
        <v>13993113</v>
      </c>
      <c r="C42" s="144"/>
      <c r="D42" s="152"/>
      <c r="E42" s="149" t="s">
        <v>96</v>
      </c>
      <c r="F42" s="150" t="n">
        <f aca="false">決算精算表!G42</f>
        <v>23159738</v>
      </c>
      <c r="G42" s="188"/>
      <c r="H42" s="151"/>
      <c r="I42" s="137"/>
      <c r="J42" s="137"/>
      <c r="K42" s="137"/>
      <c r="L42" s="137"/>
      <c r="M42" s="137"/>
      <c r="N42" s="137"/>
      <c r="O42" s="137"/>
      <c r="P42" s="137"/>
      <c r="Q42" s="137"/>
      <c r="R42" s="137"/>
    </row>
    <row r="43" customFormat="false" ht="15.75" hidden="false" customHeight="true" outlineLevel="0" collapsed="false">
      <c r="A43" s="189" t="s">
        <v>83</v>
      </c>
      <c r="B43" s="150" t="n">
        <f aca="false">決算精算表!A26</f>
        <v>4598066</v>
      </c>
      <c r="C43" s="144"/>
      <c r="D43" s="152"/>
      <c r="E43" s="190" t="s">
        <v>1132</v>
      </c>
      <c r="F43" s="143"/>
      <c r="G43" s="191" t="n">
        <f aca="false">SUM(F44)</f>
        <v>0</v>
      </c>
      <c r="H43" s="151"/>
      <c r="I43" s="137"/>
      <c r="J43" s="137"/>
      <c r="K43" s="137"/>
      <c r="L43" s="137"/>
      <c r="M43" s="137"/>
      <c r="N43" s="137"/>
      <c r="O43" s="137"/>
      <c r="P43" s="137"/>
      <c r="Q43" s="137"/>
      <c r="R43" s="137"/>
    </row>
    <row r="44" customFormat="false" ht="15.75" hidden="false" customHeight="true" outlineLevel="0" collapsed="false">
      <c r="A44" s="189" t="s">
        <v>1133</v>
      </c>
      <c r="B44" s="150" t="n">
        <f aca="false">決算精算表!A27</f>
        <v>10084438</v>
      </c>
      <c r="C44" s="144"/>
      <c r="D44" s="152"/>
      <c r="E44" s="192" t="s">
        <v>1134</v>
      </c>
      <c r="F44" s="193" t="n">
        <f aca="false">決算精算表!G43</f>
        <v>0</v>
      </c>
      <c r="G44" s="188"/>
      <c r="H44" s="151"/>
      <c r="I44" s="137"/>
      <c r="J44" s="137"/>
      <c r="K44" s="137"/>
      <c r="L44" s="137"/>
      <c r="M44" s="137"/>
      <c r="N44" s="137"/>
      <c r="O44" s="137"/>
      <c r="P44" s="137"/>
      <c r="Q44" s="137"/>
      <c r="R44" s="137"/>
    </row>
    <row r="45" customFormat="false" ht="15.75" hidden="false" customHeight="true" outlineLevel="0" collapsed="false">
      <c r="A45" s="189" t="s">
        <v>85</v>
      </c>
      <c r="B45" s="150" t="n">
        <f aca="false">決算精算表!A28</f>
        <v>103921</v>
      </c>
      <c r="C45" s="144"/>
      <c r="D45" s="152"/>
      <c r="E45" s="192"/>
      <c r="F45" s="143"/>
      <c r="G45" s="10"/>
      <c r="H45" s="166"/>
      <c r="I45" s="137"/>
      <c r="J45" s="137"/>
      <c r="K45" s="137"/>
      <c r="L45" s="137"/>
      <c r="M45" s="137"/>
      <c r="N45" s="137"/>
      <c r="O45" s="137"/>
      <c r="P45" s="137"/>
      <c r="Q45" s="137"/>
      <c r="R45" s="137"/>
    </row>
    <row r="46" customFormat="false" ht="15.75" hidden="false" customHeight="true" outlineLevel="0" collapsed="false">
      <c r="A46" s="189" t="s">
        <v>86</v>
      </c>
      <c r="B46" s="150" t="n">
        <f aca="false">決算精算表!A29</f>
        <v>0</v>
      </c>
      <c r="C46" s="144"/>
      <c r="D46" s="152"/>
      <c r="E46" s="142" t="s">
        <v>1135</v>
      </c>
      <c r="F46" s="143"/>
      <c r="G46" s="188"/>
      <c r="H46" s="145" t="n">
        <f aca="false">G47</f>
        <v>11834281</v>
      </c>
      <c r="I46" s="137"/>
      <c r="J46" s="137"/>
      <c r="K46" s="137"/>
      <c r="L46" s="137"/>
      <c r="M46" s="137"/>
      <c r="N46" s="137"/>
      <c r="O46" s="137"/>
      <c r="P46" s="137"/>
      <c r="Q46" s="137"/>
      <c r="R46" s="137"/>
    </row>
    <row r="47" customFormat="false" ht="15.75" hidden="false" customHeight="true" outlineLevel="0" collapsed="false">
      <c r="A47" s="187" t="s">
        <v>1136</v>
      </c>
      <c r="B47" s="150" t="n">
        <f aca="false">決算精算表!A30</f>
        <v>9430768</v>
      </c>
      <c r="C47" s="144"/>
      <c r="D47" s="152"/>
      <c r="E47" s="194" t="s">
        <v>1102</v>
      </c>
      <c r="F47" s="143"/>
      <c r="G47" s="195" t="n">
        <f aca="false">決算精算表!G44</f>
        <v>11834281</v>
      </c>
      <c r="H47" s="166"/>
      <c r="I47" s="137"/>
      <c r="J47" s="137"/>
      <c r="K47" s="137"/>
      <c r="L47" s="137"/>
      <c r="M47" s="137"/>
      <c r="N47" s="137"/>
      <c r="O47" s="137"/>
      <c r="P47" s="137"/>
      <c r="Q47" s="137"/>
      <c r="R47" s="137"/>
    </row>
    <row r="48" customFormat="false" ht="15.75" hidden="false" customHeight="true" outlineLevel="0" collapsed="false">
      <c r="A48" s="187" t="s">
        <v>1137</v>
      </c>
      <c r="B48" s="150" t="n">
        <f aca="false">決算精算表!A31</f>
        <v>1884714</v>
      </c>
      <c r="C48" s="144"/>
      <c r="D48" s="152"/>
      <c r="E48" s="194"/>
      <c r="F48" s="143"/>
      <c r="G48" s="196"/>
      <c r="H48" s="197"/>
      <c r="I48" s="137"/>
      <c r="J48" s="137"/>
      <c r="K48" s="137"/>
      <c r="L48" s="137"/>
      <c r="M48" s="137"/>
      <c r="N48" s="137"/>
      <c r="O48" s="137"/>
      <c r="P48" s="137"/>
      <c r="Q48" s="137"/>
      <c r="R48" s="137"/>
    </row>
    <row r="49" customFormat="false" ht="15.75" hidden="false" customHeight="true" outlineLevel="0" collapsed="false">
      <c r="A49" s="189" t="s">
        <v>1138</v>
      </c>
      <c r="B49" s="150" t="n">
        <f aca="false">決算精算表!A32</f>
        <v>2453880</v>
      </c>
      <c r="C49" s="144"/>
      <c r="D49" s="152"/>
      <c r="E49" s="138" t="s">
        <v>1139</v>
      </c>
      <c r="F49" s="143"/>
      <c r="G49" s="144"/>
      <c r="H49" s="145" t="n">
        <f aca="false">SUM(G50)</f>
        <v>0</v>
      </c>
      <c r="I49" s="137"/>
      <c r="J49" s="137"/>
      <c r="K49" s="137"/>
      <c r="L49" s="137"/>
      <c r="M49" s="137"/>
      <c r="N49" s="137"/>
      <c r="O49" s="137"/>
      <c r="P49" s="137"/>
      <c r="Q49" s="137"/>
      <c r="R49" s="137"/>
    </row>
    <row r="50" customFormat="false" ht="15.75" hidden="false" customHeight="true" outlineLevel="0" collapsed="false">
      <c r="A50" s="146" t="s">
        <v>90</v>
      </c>
      <c r="B50" s="150" t="n">
        <f aca="false">決算精算表!A33</f>
        <v>13718352</v>
      </c>
      <c r="C50" s="144"/>
      <c r="D50" s="152"/>
      <c r="E50" s="192" t="s">
        <v>1140</v>
      </c>
      <c r="F50" s="143"/>
      <c r="G50" s="198" t="n">
        <f aca="false">決算精算表!G45</f>
        <v>0</v>
      </c>
      <c r="H50" s="166"/>
      <c r="I50" s="137"/>
      <c r="J50" s="137"/>
      <c r="K50" s="137"/>
      <c r="L50" s="137"/>
      <c r="M50" s="137"/>
      <c r="N50" s="137"/>
      <c r="O50" s="137"/>
      <c r="P50" s="137"/>
      <c r="Q50" s="137"/>
      <c r="R50" s="137"/>
    </row>
    <row r="51" customFormat="false" ht="15.75" hidden="false" customHeight="true" outlineLevel="0" collapsed="false">
      <c r="A51" s="199" t="s">
        <v>1141</v>
      </c>
      <c r="B51" s="150" t="n">
        <f aca="false">決算精算表!A34</f>
        <v>54153000</v>
      </c>
      <c r="C51" s="144"/>
      <c r="D51" s="152"/>
      <c r="E51" s="192"/>
      <c r="F51" s="143"/>
      <c r="G51" s="144"/>
      <c r="H51" s="151"/>
      <c r="I51" s="137"/>
      <c r="J51" s="137"/>
      <c r="K51" s="137"/>
      <c r="L51" s="137"/>
      <c r="M51" s="137"/>
      <c r="N51" s="137"/>
      <c r="O51" s="137"/>
      <c r="P51" s="137"/>
      <c r="Q51" s="137"/>
      <c r="R51" s="137"/>
    </row>
    <row r="52" customFormat="false" ht="15.75" hidden="false" customHeight="true" outlineLevel="0" collapsed="false">
      <c r="A52" s="146" t="s">
        <v>1096</v>
      </c>
      <c r="B52" s="150" t="n">
        <f aca="false">決算精算表!A35</f>
        <v>176556</v>
      </c>
      <c r="C52" s="144"/>
      <c r="D52" s="152"/>
      <c r="E52" s="142"/>
      <c r="F52" s="143"/>
      <c r="G52" s="144"/>
      <c r="H52" s="166"/>
      <c r="I52" s="137"/>
      <c r="J52" s="137"/>
      <c r="K52" s="137"/>
      <c r="L52" s="137"/>
      <c r="M52" s="137"/>
      <c r="N52" s="137"/>
      <c r="O52" s="137"/>
      <c r="P52" s="137"/>
      <c r="Q52" s="137"/>
      <c r="R52" s="137"/>
    </row>
    <row r="53" customFormat="false" ht="15.75" hidden="false" customHeight="true" outlineLevel="0" collapsed="false">
      <c r="A53" s="138" t="s">
        <v>1142</v>
      </c>
      <c r="B53" s="143"/>
      <c r="C53" s="144"/>
      <c r="D53" s="157" t="n">
        <f aca="false">SUM(C54)</f>
        <v>0</v>
      </c>
      <c r="E53" s="142" t="s">
        <v>1104</v>
      </c>
      <c r="F53" s="143"/>
      <c r="G53" s="144"/>
      <c r="H53" s="145" t="n">
        <f aca="false">SUM(G54)</f>
        <v>0</v>
      </c>
      <c r="I53" s="137"/>
      <c r="J53" s="137"/>
      <c r="K53" s="137"/>
      <c r="L53" s="137"/>
      <c r="M53" s="137"/>
      <c r="N53" s="137"/>
      <c r="O53" s="137"/>
      <c r="P53" s="137"/>
      <c r="Q53" s="137"/>
      <c r="R53" s="137"/>
    </row>
    <row r="54" customFormat="false" ht="15.75" hidden="false" customHeight="true" outlineLevel="0" collapsed="false">
      <c r="A54" s="200" t="s">
        <v>1098</v>
      </c>
      <c r="B54" s="143"/>
      <c r="C54" s="198" t="n">
        <f aca="false">決算精算表!A37</f>
        <v>0</v>
      </c>
      <c r="D54" s="152"/>
      <c r="E54" s="190" t="s">
        <v>1143</v>
      </c>
      <c r="F54" s="143"/>
      <c r="G54" s="198" t="n">
        <f aca="false">決算精算表!G46</f>
        <v>0</v>
      </c>
      <c r="H54" s="166"/>
      <c r="I54" s="137"/>
      <c r="J54" s="137"/>
      <c r="K54" s="137"/>
      <c r="L54" s="137"/>
      <c r="M54" s="137"/>
      <c r="N54" s="137"/>
      <c r="O54" s="137"/>
      <c r="P54" s="137"/>
      <c r="Q54" s="137"/>
      <c r="R54" s="137"/>
    </row>
    <row r="55" customFormat="false" ht="8.25" hidden="false" customHeight="true" outlineLevel="0" collapsed="false">
      <c r="A55" s="201"/>
      <c r="B55" s="143"/>
      <c r="C55" s="144"/>
      <c r="D55" s="152"/>
      <c r="E55" s="142"/>
      <c r="F55" s="143"/>
      <c r="G55" s="144"/>
      <c r="H55" s="166"/>
      <c r="I55" s="137"/>
      <c r="J55" s="137"/>
      <c r="K55" s="137"/>
      <c r="L55" s="137"/>
      <c r="M55" s="137"/>
      <c r="N55" s="137"/>
      <c r="O55" s="137"/>
      <c r="P55" s="137"/>
      <c r="Q55" s="137"/>
      <c r="R55" s="137"/>
    </row>
    <row r="56" customFormat="false" ht="15.75" hidden="false" customHeight="true" outlineLevel="0" collapsed="false">
      <c r="A56" s="138" t="s">
        <v>1099</v>
      </c>
      <c r="B56" s="143"/>
      <c r="C56" s="144"/>
      <c r="D56" s="157" t="n">
        <f aca="false">C57</f>
        <v>3603510</v>
      </c>
      <c r="E56" s="142"/>
      <c r="F56" s="143"/>
      <c r="G56" s="144"/>
      <c r="H56" s="166"/>
      <c r="I56" s="137"/>
      <c r="J56" s="137"/>
      <c r="K56" s="137"/>
      <c r="L56" s="137"/>
      <c r="M56" s="137"/>
      <c r="N56" s="137"/>
      <c r="O56" s="137"/>
      <c r="P56" s="137"/>
      <c r="Q56" s="137"/>
      <c r="R56" s="137"/>
    </row>
    <row r="57" customFormat="false" ht="15.75" hidden="false" customHeight="true" outlineLevel="0" collapsed="false">
      <c r="A57" s="202" t="s">
        <v>1144</v>
      </c>
      <c r="B57" s="143"/>
      <c r="C57" s="198" t="n">
        <f aca="false">決算精算表!A38</f>
        <v>3603510</v>
      </c>
      <c r="D57" s="152"/>
      <c r="E57" s="190"/>
      <c r="F57" s="143"/>
      <c r="G57" s="144"/>
      <c r="H57" s="166"/>
      <c r="I57" s="137"/>
      <c r="J57" s="137"/>
      <c r="K57" s="137"/>
      <c r="L57" s="137"/>
      <c r="M57" s="137"/>
      <c r="N57" s="137"/>
      <c r="O57" s="137"/>
      <c r="P57" s="137"/>
      <c r="Q57" s="137"/>
      <c r="R57" s="137"/>
    </row>
    <row r="58" customFormat="false" ht="15.75" hidden="false" customHeight="true" outlineLevel="0" collapsed="false">
      <c r="A58" s="203"/>
      <c r="B58" s="143"/>
      <c r="C58" s="144"/>
      <c r="D58" s="204"/>
      <c r="E58" s="205"/>
      <c r="F58" s="143"/>
      <c r="G58" s="144"/>
      <c r="H58" s="151"/>
      <c r="I58" s="137"/>
      <c r="J58" s="137"/>
      <c r="K58" s="137"/>
      <c r="L58" s="137"/>
      <c r="M58" s="137"/>
      <c r="N58" s="137"/>
      <c r="O58" s="137"/>
      <c r="P58" s="137"/>
      <c r="Q58" s="137"/>
      <c r="R58" s="137"/>
    </row>
    <row r="59" customFormat="false" ht="15.75" hidden="false" customHeight="true" outlineLevel="0" collapsed="false">
      <c r="A59" s="169" t="s">
        <v>1145</v>
      </c>
      <c r="B59" s="169"/>
      <c r="C59" s="169"/>
      <c r="D59" s="170" t="n">
        <f aca="false">SUM(D36:D57)</f>
        <v>124727469</v>
      </c>
      <c r="E59" s="171" t="s">
        <v>1146</v>
      </c>
      <c r="F59" s="171"/>
      <c r="G59" s="171"/>
      <c r="H59" s="172" t="n">
        <f aca="false">SUM(H36:H58)</f>
        <v>124727469</v>
      </c>
      <c r="I59" s="137"/>
      <c r="J59" s="137"/>
      <c r="K59" s="137"/>
      <c r="L59" s="137"/>
      <c r="M59" s="137"/>
      <c r="N59" s="137"/>
      <c r="O59" s="137"/>
      <c r="P59" s="137"/>
      <c r="Q59" s="137"/>
      <c r="R59" s="137"/>
    </row>
    <row r="60" customFormat="false" ht="13.5" hidden="false" customHeight="true" outlineLevel="0" collapsed="false">
      <c r="A60" s="124"/>
      <c r="B60" s="124"/>
      <c r="C60" s="124"/>
      <c r="D60" s="124"/>
      <c r="E60" s="124"/>
      <c r="F60" s="124"/>
      <c r="G60" s="124"/>
      <c r="H60" s="124"/>
      <c r="I60" s="137"/>
      <c r="J60" s="137"/>
      <c r="K60" s="137"/>
      <c r="L60" s="137"/>
      <c r="M60" s="137"/>
      <c r="N60" s="137"/>
      <c r="O60" s="137"/>
      <c r="P60" s="137"/>
      <c r="Q60" s="137"/>
      <c r="R60" s="137"/>
    </row>
    <row r="61" customFormat="false" ht="10.5" hidden="false" customHeight="true" outlineLevel="0" collapsed="false">
      <c r="A61" s="124"/>
      <c r="B61" s="124"/>
      <c r="C61" s="124"/>
      <c r="D61" s="124"/>
      <c r="E61" s="124"/>
      <c r="F61" s="124"/>
      <c r="G61" s="124"/>
      <c r="H61" s="124"/>
      <c r="I61" s="137"/>
      <c r="J61" s="137"/>
      <c r="K61" s="137"/>
      <c r="L61" s="137"/>
      <c r="M61" s="137"/>
      <c r="N61" s="137"/>
      <c r="O61" s="137"/>
      <c r="P61" s="137"/>
      <c r="Q61" s="137"/>
      <c r="R61" s="137"/>
    </row>
    <row r="62" customFormat="false" ht="10.5" hidden="false" customHeight="true" outlineLevel="0" collapsed="false">
      <c r="A62" s="124"/>
      <c r="B62" s="124"/>
      <c r="C62" s="124"/>
      <c r="D62" s="124"/>
      <c r="E62" s="124"/>
      <c r="F62" s="124"/>
      <c r="G62" s="124"/>
      <c r="H62" s="124"/>
      <c r="I62" s="137"/>
      <c r="J62" s="137"/>
      <c r="K62" s="137"/>
      <c r="L62" s="137"/>
      <c r="M62" s="137"/>
      <c r="N62" s="137"/>
      <c r="O62" s="137"/>
      <c r="P62" s="137"/>
      <c r="Q62" s="137"/>
      <c r="R62" s="137"/>
    </row>
    <row r="63" customFormat="false" ht="10.5" hidden="false" customHeight="true" outlineLevel="0" collapsed="false">
      <c r="A63" s="124"/>
      <c r="B63" s="124"/>
      <c r="C63" s="124"/>
      <c r="D63" s="124"/>
      <c r="E63" s="124"/>
      <c r="F63" s="124"/>
      <c r="G63" s="124"/>
      <c r="H63" s="124"/>
      <c r="I63" s="10"/>
      <c r="J63" s="10"/>
      <c r="K63" s="10"/>
      <c r="L63" s="10"/>
      <c r="M63" s="10"/>
      <c r="N63" s="10"/>
      <c r="O63" s="10"/>
      <c r="P63" s="10"/>
      <c r="Q63" s="10"/>
      <c r="R63" s="10"/>
    </row>
    <row r="64" customFormat="false" ht="10.5" hidden="false" customHeight="true" outlineLevel="0" collapsed="false">
      <c r="A64" s="124"/>
      <c r="B64" s="124"/>
      <c r="C64" s="124"/>
      <c r="D64" s="124"/>
      <c r="E64" s="124"/>
      <c r="F64" s="124"/>
      <c r="G64" s="124"/>
      <c r="H64" s="124"/>
      <c r="I64" s="10"/>
      <c r="J64" s="10"/>
      <c r="K64" s="10"/>
      <c r="L64" s="10"/>
      <c r="M64" s="10"/>
      <c r="N64" s="10"/>
      <c r="O64" s="10"/>
      <c r="P64" s="10"/>
      <c r="Q64" s="10"/>
      <c r="R64" s="10"/>
    </row>
    <row r="65" customFormat="false" ht="10.5" hidden="false" customHeight="true" outlineLevel="0" collapsed="false">
      <c r="A65" s="124"/>
      <c r="B65" s="124"/>
      <c r="C65" s="124"/>
      <c r="D65" s="124"/>
      <c r="E65" s="124"/>
      <c r="F65" s="124"/>
      <c r="G65" s="124"/>
      <c r="H65" s="124"/>
      <c r="I65" s="10"/>
      <c r="J65" s="10"/>
      <c r="K65" s="10"/>
      <c r="L65" s="10"/>
      <c r="M65" s="10"/>
      <c r="N65" s="10"/>
      <c r="O65" s="10"/>
      <c r="P65" s="10"/>
      <c r="Q65" s="10"/>
      <c r="R65" s="10"/>
    </row>
  </sheetData>
  <sheetProtection sheet="true" formatCells="false" formatColumns="false" formatRows="false" sort="false" autoFilter="false"/>
  <mergeCells count="16">
    <mergeCell ref="D1:E1"/>
    <mergeCell ref="D2:E2"/>
    <mergeCell ref="G3:H3"/>
    <mergeCell ref="A4:C4"/>
    <mergeCell ref="E4:G4"/>
    <mergeCell ref="A25:C25"/>
    <mergeCell ref="E25:G25"/>
    <mergeCell ref="A28:H28"/>
    <mergeCell ref="D30:E30"/>
    <mergeCell ref="D31:E31"/>
    <mergeCell ref="G32:H32"/>
    <mergeCell ref="G33:H33"/>
    <mergeCell ref="A34:C34"/>
    <mergeCell ref="E34:G34"/>
    <mergeCell ref="A59:C59"/>
    <mergeCell ref="E59:G59"/>
  </mergeCells>
  <printOptions headings="false" gridLines="false" gridLinesSet="true" horizontalCentered="false" verticalCentered="false"/>
  <pageMargins left="0.7875" right="0.39375" top="0.275694444444444" bottom="0.315277777777778" header="0.511811023622047" footer="0.315277777777778"/>
  <pageSetup paperSize="9" scale="100" fitToWidth="1" fitToHeight="1" pageOrder="downThenOver" orientation="portrait" blackAndWhite="false" draft="false" cellComments="none" firstPageNumber="47" useFirstPageNumber="true" horizontalDpi="300" verticalDpi="300" copies="1"/>
  <headerFooter differentFirst="false" differentOddEven="false">
    <oddHeader/>
    <oddFooter>&amp;C&amp;"ＭＳ 明朝,Regular"- &amp;P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150"/>
  <sheetViews>
    <sheetView showFormulas="false" showGridLines="true" showRowColHeaders="true" showZeros="true" rightToLeft="false" tabSelected="false" showOutlineSymbols="true" defaultGridColor="true" view="normal" topLeftCell="A25" colorId="64" zoomScale="100" zoomScaleNormal="100" zoomScalePageLayoutView="100" workbookViewId="0">
      <selection pane="topLeft" activeCell="E126" activeCellId="0" sqref="E126"/>
    </sheetView>
  </sheetViews>
  <sheetFormatPr defaultColWidth="10.62109375" defaultRowHeight="13.5" zeroHeight="false" outlineLevelRow="0" outlineLevelCol="0"/>
  <cols>
    <col collapsed="false" customWidth="true" hidden="false" outlineLevel="0" max="6" min="1" style="206" width="3.74"/>
    <col collapsed="false" customWidth="true" hidden="false" outlineLevel="0" max="7" min="7" style="206" width="3.99"/>
    <col collapsed="false" customWidth="true" hidden="false" outlineLevel="0" max="23" min="8" style="206" width="3.74"/>
    <col collapsed="false" customWidth="true" hidden="false" outlineLevel="0" max="24" min="24" style="206" width="3.62"/>
    <col collapsed="false" customWidth="true" hidden="false" outlineLevel="0" max="25" min="25" style="206" width="2.99"/>
    <col collapsed="false" customWidth="true" hidden="false" outlineLevel="0" max="26" min="26" style="206" width="13.12"/>
    <col collapsed="false" customWidth="false" hidden="false" outlineLevel="0" max="257" min="27" style="206" width="10.62"/>
  </cols>
  <sheetData>
    <row r="1" customFormat="false" ht="21.75" hidden="false" customHeight="true" outlineLevel="0" collapsed="false">
      <c r="A1" s="10"/>
      <c r="B1" s="10"/>
      <c r="C1" s="10"/>
      <c r="D1" s="10"/>
      <c r="E1" s="10"/>
      <c r="F1" s="10"/>
      <c r="G1" s="10"/>
      <c r="H1" s="10"/>
      <c r="I1" s="207" t="s">
        <v>1147</v>
      </c>
      <c r="J1" s="207"/>
      <c r="K1" s="207"/>
      <c r="L1" s="207"/>
      <c r="M1" s="207"/>
      <c r="N1" s="207"/>
      <c r="O1" s="207"/>
      <c r="P1" s="207"/>
      <c r="Q1" s="208"/>
      <c r="R1" s="208"/>
      <c r="S1" s="208"/>
      <c r="T1" s="208"/>
      <c r="U1" s="208"/>
      <c r="V1" s="208"/>
      <c r="W1" s="208"/>
      <c r="X1" s="208"/>
      <c r="Y1" s="10"/>
    </row>
    <row r="2" customFormat="false" ht="9.75" hidden="false" customHeight="true" outlineLevel="0" collapsed="false">
      <c r="A2" s="209"/>
      <c r="B2" s="210"/>
      <c r="C2" s="210"/>
      <c r="D2" s="210"/>
      <c r="E2" s="210"/>
      <c r="F2" s="210"/>
      <c r="G2" s="210"/>
      <c r="H2" s="210"/>
      <c r="I2" s="210"/>
      <c r="J2" s="210"/>
      <c r="K2" s="210"/>
      <c r="L2" s="210"/>
      <c r="M2" s="210"/>
      <c r="N2" s="210"/>
      <c r="O2" s="210"/>
      <c r="P2" s="210"/>
      <c r="Q2" s="210"/>
      <c r="R2" s="210"/>
      <c r="S2" s="210"/>
      <c r="T2" s="210"/>
      <c r="U2" s="210"/>
      <c r="V2" s="210"/>
      <c r="W2" s="210"/>
      <c r="X2" s="210"/>
      <c r="Y2" s="10"/>
    </row>
    <row r="3" s="214" customFormat="true" ht="21" hidden="false" customHeight="true" outlineLevel="0" collapsed="false">
      <c r="A3" s="211" t="s">
        <v>1148</v>
      </c>
      <c r="B3" s="211"/>
      <c r="C3" s="211"/>
      <c r="D3" s="211"/>
      <c r="E3" s="211"/>
      <c r="F3" s="211"/>
      <c r="G3" s="212" t="s">
        <v>1149</v>
      </c>
      <c r="H3" s="212"/>
      <c r="I3" s="212"/>
      <c r="J3" s="212"/>
      <c r="K3" s="212"/>
      <c r="L3" s="212"/>
      <c r="M3" s="212" t="s">
        <v>1150</v>
      </c>
      <c r="N3" s="212"/>
      <c r="O3" s="212"/>
      <c r="P3" s="212"/>
      <c r="Q3" s="212"/>
      <c r="R3" s="212"/>
      <c r="S3" s="213" t="s">
        <v>1151</v>
      </c>
      <c r="T3" s="213"/>
      <c r="U3" s="213"/>
      <c r="V3" s="213"/>
      <c r="W3" s="213"/>
      <c r="X3" s="213"/>
      <c r="Y3" s="10"/>
    </row>
    <row r="4" s="214" customFormat="true" ht="9" hidden="false" customHeight="true" outlineLevel="0" collapsed="false">
      <c r="A4" s="215"/>
      <c r="B4" s="216"/>
      <c r="C4" s="216"/>
      <c r="D4" s="216"/>
      <c r="E4" s="216"/>
      <c r="F4" s="217"/>
      <c r="G4" s="218"/>
      <c r="H4" s="216"/>
      <c r="I4" s="216"/>
      <c r="J4" s="216"/>
      <c r="K4" s="216"/>
      <c r="L4" s="217"/>
      <c r="M4" s="218"/>
      <c r="N4" s="216"/>
      <c r="O4" s="216"/>
      <c r="P4" s="216"/>
      <c r="Q4" s="216"/>
      <c r="R4" s="219" t="s">
        <v>1087</v>
      </c>
      <c r="S4" s="218"/>
      <c r="T4" s="216"/>
      <c r="U4" s="216"/>
      <c r="V4" s="216"/>
      <c r="W4" s="216"/>
      <c r="X4" s="220"/>
      <c r="Y4" s="10"/>
    </row>
    <row r="5" s="226" customFormat="true" ht="21.75" hidden="false" customHeight="true" outlineLevel="0" collapsed="false">
      <c r="A5" s="221" t="s">
        <v>1152</v>
      </c>
      <c r="B5" s="221"/>
      <c r="C5" s="221"/>
      <c r="D5" s="221"/>
      <c r="E5" s="221"/>
      <c r="F5" s="221"/>
      <c r="G5" s="222" t="s">
        <v>1153</v>
      </c>
      <c r="H5" s="222"/>
      <c r="I5" s="222"/>
      <c r="J5" s="222"/>
      <c r="K5" s="222"/>
      <c r="L5" s="222"/>
      <c r="M5" s="223" t="n">
        <v>72939159</v>
      </c>
      <c r="N5" s="223"/>
      <c r="O5" s="223"/>
      <c r="P5" s="223"/>
      <c r="Q5" s="223"/>
      <c r="R5" s="224"/>
      <c r="S5" s="225" t="s">
        <v>1154</v>
      </c>
      <c r="T5" s="225"/>
      <c r="U5" s="225"/>
      <c r="V5" s="225"/>
      <c r="W5" s="225"/>
      <c r="X5" s="225"/>
      <c r="Y5" s="10"/>
    </row>
    <row r="6" s="214" customFormat="true" ht="18.75" hidden="false" customHeight="true" outlineLevel="0" collapsed="false">
      <c r="A6" s="227" t="s">
        <v>1155</v>
      </c>
      <c r="B6" s="227"/>
      <c r="C6" s="227"/>
      <c r="D6" s="227"/>
      <c r="E6" s="227"/>
      <c r="F6" s="227"/>
      <c r="G6" s="228"/>
      <c r="H6" s="228"/>
      <c r="I6" s="228"/>
      <c r="J6" s="228"/>
      <c r="K6" s="228"/>
      <c r="L6" s="228"/>
      <c r="M6" s="229" t="n">
        <f aca="false">SUM(M5)</f>
        <v>72939159</v>
      </c>
      <c r="N6" s="229"/>
      <c r="O6" s="229"/>
      <c r="P6" s="229"/>
      <c r="Q6" s="229"/>
      <c r="R6" s="230"/>
      <c r="S6" s="231"/>
      <c r="T6" s="231"/>
      <c r="U6" s="231"/>
      <c r="V6" s="231"/>
      <c r="W6" s="231"/>
      <c r="X6" s="231"/>
      <c r="Y6" s="10"/>
    </row>
    <row r="7" customFormat="false" ht="14.25" hidden="false" customHeight="true" outlineLevel="0" collapsed="false">
      <c r="A7" s="10"/>
      <c r="B7" s="232"/>
      <c r="C7" s="233"/>
      <c r="D7" s="233"/>
      <c r="E7" s="233"/>
      <c r="F7" s="233"/>
      <c r="G7" s="233"/>
      <c r="H7" s="10"/>
      <c r="I7" s="10"/>
      <c r="J7" s="10"/>
      <c r="K7" s="10"/>
      <c r="L7" s="10"/>
      <c r="M7" s="10"/>
      <c r="N7" s="10"/>
      <c r="O7" s="10"/>
      <c r="P7" s="10"/>
      <c r="Q7" s="10"/>
      <c r="R7" s="10"/>
      <c r="S7" s="10"/>
      <c r="T7" s="10"/>
      <c r="U7" s="10"/>
      <c r="V7" s="10"/>
      <c r="W7" s="10"/>
      <c r="X7" s="10"/>
      <c r="Y7" s="10"/>
    </row>
    <row r="8" customFormat="false" ht="21" hidden="false" customHeight="true" outlineLevel="0" collapsed="false">
      <c r="A8" s="10"/>
      <c r="B8" s="10"/>
      <c r="C8" s="10"/>
      <c r="D8" s="10"/>
      <c r="E8" s="10"/>
      <c r="F8" s="10"/>
      <c r="G8" s="10"/>
      <c r="H8" s="10"/>
      <c r="I8" s="207" t="s">
        <v>1156</v>
      </c>
      <c r="J8" s="207"/>
      <c r="K8" s="207"/>
      <c r="L8" s="207"/>
      <c r="M8" s="207"/>
      <c r="N8" s="207"/>
      <c r="O8" s="207"/>
      <c r="P8" s="207"/>
      <c r="Q8" s="208"/>
      <c r="R8" s="208"/>
      <c r="S8" s="208"/>
      <c r="T8" s="208"/>
      <c r="U8" s="208"/>
      <c r="V8" s="208"/>
      <c r="W8" s="208"/>
      <c r="X8" s="208"/>
      <c r="Y8" s="10"/>
    </row>
    <row r="9" customFormat="false" ht="9.75" hidden="false" customHeight="true" outlineLevel="0" collapsed="false">
      <c r="A9" s="10"/>
      <c r="B9" s="10"/>
      <c r="C9" s="10"/>
      <c r="D9" s="10"/>
      <c r="E9" s="10"/>
      <c r="F9" s="10"/>
      <c r="G9" s="10"/>
      <c r="H9" s="10"/>
      <c r="I9" s="10"/>
      <c r="J9" s="10"/>
      <c r="K9" s="10"/>
      <c r="L9" s="10"/>
      <c r="M9" s="10"/>
      <c r="N9" s="10"/>
      <c r="O9" s="10"/>
      <c r="P9" s="10"/>
      <c r="Q9" s="10"/>
      <c r="R9" s="10"/>
      <c r="S9" s="10"/>
      <c r="T9" s="10"/>
      <c r="U9" s="10"/>
      <c r="V9" s="10"/>
      <c r="W9" s="10"/>
      <c r="X9" s="10"/>
      <c r="Y9" s="10"/>
    </row>
    <row r="10" customFormat="false" ht="20.25" hidden="false" customHeight="true" outlineLevel="0" collapsed="false">
      <c r="A10" s="234" t="s">
        <v>1157</v>
      </c>
      <c r="B10" s="234"/>
      <c r="C10" s="234"/>
      <c r="D10" s="234"/>
      <c r="E10" s="234"/>
      <c r="F10" s="234"/>
      <c r="G10" s="212" t="s">
        <v>1150</v>
      </c>
      <c r="H10" s="212"/>
      <c r="I10" s="212"/>
      <c r="J10" s="212"/>
      <c r="K10" s="212"/>
      <c r="L10" s="212"/>
      <c r="M10" s="212" t="s">
        <v>1158</v>
      </c>
      <c r="N10" s="212"/>
      <c r="O10" s="212"/>
      <c r="P10" s="212"/>
      <c r="Q10" s="212"/>
      <c r="R10" s="212"/>
      <c r="S10" s="213" t="s">
        <v>1151</v>
      </c>
      <c r="T10" s="213"/>
      <c r="U10" s="213"/>
      <c r="V10" s="213"/>
      <c r="W10" s="213"/>
      <c r="X10" s="213"/>
      <c r="Y10" s="10"/>
    </row>
    <row r="11" customFormat="false" ht="9" hidden="false" customHeight="true" outlineLevel="0" collapsed="false">
      <c r="A11" s="215"/>
      <c r="B11" s="216"/>
      <c r="C11" s="216"/>
      <c r="D11" s="216"/>
      <c r="E11" s="216"/>
      <c r="F11" s="217"/>
      <c r="G11" s="218"/>
      <c r="H11" s="216"/>
      <c r="I11" s="216"/>
      <c r="J11" s="216"/>
      <c r="K11" s="216"/>
      <c r="L11" s="219" t="s">
        <v>1087</v>
      </c>
      <c r="M11" s="218"/>
      <c r="N11" s="216"/>
      <c r="O11" s="216"/>
      <c r="P11" s="216"/>
      <c r="Q11" s="216"/>
      <c r="R11" s="235"/>
      <c r="S11" s="218"/>
      <c r="T11" s="216"/>
      <c r="U11" s="216"/>
      <c r="V11" s="216"/>
      <c r="W11" s="216"/>
      <c r="X11" s="220"/>
      <c r="Y11" s="10"/>
    </row>
    <row r="12" s="226" customFormat="true" ht="21.75" hidden="false" customHeight="true" outlineLevel="0" collapsed="false">
      <c r="A12" s="236" t="s">
        <v>76</v>
      </c>
      <c r="B12" s="236"/>
      <c r="C12" s="236"/>
      <c r="D12" s="236"/>
      <c r="E12" s="236"/>
      <c r="F12" s="236"/>
      <c r="G12" s="223" t="n">
        <v>194420</v>
      </c>
      <c r="H12" s="223"/>
      <c r="I12" s="223"/>
      <c r="J12" s="223"/>
      <c r="K12" s="223"/>
      <c r="L12" s="237"/>
      <c r="M12" s="238" t="s">
        <v>1159</v>
      </c>
      <c r="N12" s="238"/>
      <c r="O12" s="238"/>
      <c r="P12" s="238"/>
      <c r="Q12" s="238"/>
      <c r="R12" s="238"/>
      <c r="S12" s="239" t="s">
        <v>1160</v>
      </c>
      <c r="T12" s="239"/>
      <c r="U12" s="239"/>
      <c r="V12" s="239"/>
      <c r="W12" s="239"/>
      <c r="X12" s="239"/>
      <c r="Y12" s="10"/>
    </row>
    <row r="13" s="226" customFormat="true" ht="21.75" hidden="true" customHeight="true" outlineLevel="0" collapsed="false">
      <c r="A13" s="236" t="s">
        <v>1161</v>
      </c>
      <c r="B13" s="236"/>
      <c r="C13" s="236"/>
      <c r="D13" s="236"/>
      <c r="E13" s="236"/>
      <c r="F13" s="236"/>
      <c r="G13" s="223"/>
      <c r="H13" s="223"/>
      <c r="I13" s="223"/>
      <c r="J13" s="223"/>
      <c r="K13" s="223"/>
      <c r="L13" s="237"/>
      <c r="M13" s="238" t="s">
        <v>1162</v>
      </c>
      <c r="N13" s="238"/>
      <c r="O13" s="238"/>
      <c r="P13" s="238"/>
      <c r="Q13" s="238"/>
      <c r="R13" s="238"/>
      <c r="S13" s="239" t="s">
        <v>1163</v>
      </c>
      <c r="T13" s="239"/>
      <c r="U13" s="239"/>
      <c r="V13" s="239"/>
      <c r="W13" s="239"/>
      <c r="X13" s="239"/>
      <c r="Y13" s="10"/>
    </row>
    <row r="14" customFormat="false" ht="21" hidden="false" customHeight="true" outlineLevel="0" collapsed="false">
      <c r="A14" s="227" t="s">
        <v>1155</v>
      </c>
      <c r="B14" s="227"/>
      <c r="C14" s="227"/>
      <c r="D14" s="227"/>
      <c r="E14" s="227"/>
      <c r="F14" s="227"/>
      <c r="G14" s="229" t="n">
        <f aca="false">SUM(G12:K13)</f>
        <v>194420</v>
      </c>
      <c r="H14" s="229"/>
      <c r="I14" s="229"/>
      <c r="J14" s="229"/>
      <c r="K14" s="229"/>
      <c r="L14" s="240"/>
      <c r="M14" s="241"/>
      <c r="N14" s="241"/>
      <c r="O14" s="241"/>
      <c r="P14" s="241"/>
      <c r="Q14" s="241"/>
      <c r="R14" s="241"/>
      <c r="S14" s="231"/>
      <c r="T14" s="231"/>
      <c r="U14" s="231"/>
      <c r="V14" s="231"/>
      <c r="W14" s="231"/>
      <c r="X14" s="231"/>
      <c r="Y14" s="10"/>
    </row>
    <row r="15" customFormat="false" ht="14.25" hidden="false" customHeight="true" outlineLevel="0" collapsed="false">
      <c r="A15" s="10"/>
      <c r="B15" s="10"/>
      <c r="C15" s="10"/>
      <c r="D15" s="10"/>
      <c r="E15" s="10"/>
      <c r="F15" s="10"/>
      <c r="G15" s="10"/>
      <c r="H15" s="10"/>
      <c r="I15" s="10"/>
      <c r="J15" s="10"/>
      <c r="K15" s="10"/>
      <c r="L15" s="10"/>
      <c r="M15" s="10"/>
      <c r="N15" s="10"/>
      <c r="O15" s="10"/>
      <c r="P15" s="10"/>
      <c r="Q15" s="10"/>
      <c r="R15" s="10"/>
      <c r="S15" s="10"/>
      <c r="T15" s="10"/>
      <c r="U15" s="10"/>
      <c r="V15" s="10"/>
      <c r="W15" s="10"/>
      <c r="X15" s="10"/>
      <c r="Y15" s="10"/>
    </row>
    <row r="16" customFormat="false" ht="21" hidden="true" customHeight="true" outlineLevel="0" collapsed="false">
      <c r="A16" s="10"/>
      <c r="B16" s="10"/>
      <c r="C16" s="10"/>
      <c r="D16" s="10"/>
      <c r="E16" s="10"/>
      <c r="F16" s="10"/>
      <c r="G16" s="10"/>
      <c r="H16" s="10"/>
      <c r="I16" s="207" t="s">
        <v>1164</v>
      </c>
      <c r="J16" s="207"/>
      <c r="K16" s="207"/>
      <c r="L16" s="207"/>
      <c r="M16" s="207"/>
      <c r="N16" s="207"/>
      <c r="O16" s="207"/>
      <c r="P16" s="207"/>
      <c r="Q16" s="208"/>
      <c r="R16" s="208"/>
      <c r="S16" s="208"/>
      <c r="T16" s="208"/>
      <c r="U16" s="208"/>
      <c r="V16" s="208"/>
      <c r="W16" s="208"/>
      <c r="X16" s="208"/>
      <c r="Y16" s="10"/>
    </row>
    <row r="17" customFormat="false" ht="9.75" hidden="true" customHeight="true" outlineLevel="0" collapsed="false">
      <c r="A17" s="10"/>
      <c r="B17" s="10"/>
      <c r="C17" s="10"/>
      <c r="D17" s="10"/>
      <c r="E17" s="10"/>
      <c r="F17" s="10"/>
      <c r="G17" s="10"/>
      <c r="H17" s="10"/>
      <c r="I17" s="10"/>
      <c r="J17" s="10"/>
      <c r="K17" s="10"/>
      <c r="L17" s="10"/>
      <c r="M17" s="10"/>
      <c r="N17" s="10"/>
      <c r="O17" s="10"/>
      <c r="P17" s="10"/>
      <c r="Q17" s="10"/>
      <c r="R17" s="10"/>
      <c r="S17" s="10"/>
      <c r="T17" s="10"/>
      <c r="U17" s="10"/>
      <c r="V17" s="10"/>
      <c r="W17" s="10"/>
      <c r="X17" s="10"/>
      <c r="Y17" s="10"/>
    </row>
    <row r="18" customFormat="false" ht="20.25" hidden="true" customHeight="true" outlineLevel="0" collapsed="false">
      <c r="A18" s="234" t="s">
        <v>1165</v>
      </c>
      <c r="B18" s="234"/>
      <c r="C18" s="234"/>
      <c r="D18" s="212" t="s">
        <v>1166</v>
      </c>
      <c r="E18" s="212"/>
      <c r="F18" s="212"/>
      <c r="G18" s="212"/>
      <c r="H18" s="212"/>
      <c r="I18" s="212"/>
      <c r="J18" s="212"/>
      <c r="K18" s="212" t="s">
        <v>1167</v>
      </c>
      <c r="L18" s="212"/>
      <c r="M18" s="212"/>
      <c r="N18" s="212"/>
      <c r="O18" s="212"/>
      <c r="P18" s="212"/>
      <c r="Q18" s="212"/>
      <c r="R18" s="212"/>
      <c r="S18" s="242" t="s">
        <v>1168</v>
      </c>
      <c r="T18" s="242"/>
      <c r="U18" s="242"/>
      <c r="V18" s="213" t="s">
        <v>1169</v>
      </c>
      <c r="W18" s="213"/>
      <c r="X18" s="213"/>
      <c r="Y18" s="10"/>
    </row>
    <row r="19" customFormat="false" ht="20.25" hidden="true" customHeight="true" outlineLevel="0" collapsed="false">
      <c r="A19" s="234"/>
      <c r="B19" s="234"/>
      <c r="C19" s="234"/>
      <c r="D19" s="212"/>
      <c r="E19" s="212"/>
      <c r="F19" s="212"/>
      <c r="G19" s="212"/>
      <c r="H19" s="212"/>
      <c r="I19" s="212"/>
      <c r="J19" s="212"/>
      <c r="K19" s="243" t="s">
        <v>1170</v>
      </c>
      <c r="L19" s="243"/>
      <c r="M19" s="243"/>
      <c r="N19" s="243" t="s">
        <v>1171</v>
      </c>
      <c r="O19" s="243"/>
      <c r="P19" s="243" t="s">
        <v>1172</v>
      </c>
      <c r="Q19" s="243"/>
      <c r="R19" s="243"/>
      <c r="S19" s="242"/>
      <c r="T19" s="242"/>
      <c r="U19" s="242"/>
      <c r="V19" s="213"/>
      <c r="W19" s="213"/>
      <c r="X19" s="213"/>
      <c r="Y19" s="10"/>
    </row>
    <row r="20" customFormat="false" ht="9" hidden="true" customHeight="true" outlineLevel="0" collapsed="false">
      <c r="A20" s="215"/>
      <c r="B20" s="216"/>
      <c r="C20" s="217"/>
      <c r="D20" s="218"/>
      <c r="E20" s="216"/>
      <c r="F20" s="216"/>
      <c r="G20" s="216"/>
      <c r="H20" s="216"/>
      <c r="I20" s="216"/>
      <c r="J20" s="217"/>
      <c r="K20" s="216"/>
      <c r="L20" s="244"/>
      <c r="M20" s="216"/>
      <c r="N20" s="218"/>
      <c r="O20" s="217"/>
      <c r="P20" s="218"/>
      <c r="Q20" s="216"/>
      <c r="R20" s="219" t="s">
        <v>1087</v>
      </c>
      <c r="S20" s="218"/>
      <c r="T20" s="216"/>
      <c r="U20" s="219" t="s">
        <v>1087</v>
      </c>
      <c r="V20" s="218"/>
      <c r="W20" s="216"/>
      <c r="X20" s="220"/>
      <c r="Y20" s="10"/>
    </row>
    <row r="21" s="226" customFormat="true" ht="21.75" hidden="true" customHeight="true" outlineLevel="0" collapsed="false">
      <c r="A21" s="245" t="s">
        <v>1173</v>
      </c>
      <c r="B21" s="245"/>
      <c r="C21" s="245"/>
      <c r="D21" s="246"/>
      <c r="E21" s="246"/>
      <c r="F21" s="246"/>
      <c r="G21" s="246"/>
      <c r="H21" s="246"/>
      <c r="I21" s="246"/>
      <c r="J21" s="246"/>
      <c r="K21" s="247"/>
      <c r="L21" s="247"/>
      <c r="M21" s="247"/>
      <c r="N21" s="248"/>
      <c r="O21" s="248"/>
      <c r="P21" s="249"/>
      <c r="Q21" s="249"/>
      <c r="R21" s="250"/>
      <c r="S21" s="249"/>
      <c r="T21" s="249"/>
      <c r="U21" s="251"/>
      <c r="V21" s="252"/>
      <c r="W21" s="252"/>
      <c r="X21" s="252"/>
      <c r="Y21" s="10"/>
    </row>
    <row r="22" s="226" customFormat="true" ht="21.75" hidden="true" customHeight="true" outlineLevel="0" collapsed="false">
      <c r="A22" s="245" t="s">
        <v>1173</v>
      </c>
      <c r="B22" s="245"/>
      <c r="C22" s="245"/>
      <c r="D22" s="253"/>
      <c r="E22" s="253"/>
      <c r="F22" s="253"/>
      <c r="G22" s="253"/>
      <c r="H22" s="253"/>
      <c r="I22" s="253"/>
      <c r="J22" s="253"/>
      <c r="K22" s="247"/>
      <c r="L22" s="247"/>
      <c r="M22" s="247"/>
      <c r="N22" s="248"/>
      <c r="O22" s="248"/>
      <c r="P22" s="254"/>
      <c r="Q22" s="254"/>
      <c r="R22" s="255"/>
      <c r="S22" s="254"/>
      <c r="T22" s="254"/>
      <c r="U22" s="256"/>
      <c r="V22" s="257"/>
      <c r="W22" s="257"/>
      <c r="X22" s="257"/>
      <c r="Y22" s="10"/>
    </row>
    <row r="23" customFormat="false" ht="21" hidden="true" customHeight="true" outlineLevel="0" collapsed="false">
      <c r="A23" s="227" t="s">
        <v>1174</v>
      </c>
      <c r="B23" s="227"/>
      <c r="C23" s="227"/>
      <c r="D23" s="227"/>
      <c r="E23" s="227"/>
      <c r="F23" s="227"/>
      <c r="G23" s="227"/>
      <c r="H23" s="227"/>
      <c r="I23" s="227"/>
      <c r="J23" s="227"/>
      <c r="K23" s="227"/>
      <c r="L23" s="227"/>
      <c r="M23" s="227"/>
      <c r="N23" s="227"/>
      <c r="O23" s="227"/>
      <c r="P23" s="229" t="n">
        <f aca="false">SUM(P21:Q22)</f>
        <v>0</v>
      </c>
      <c r="Q23" s="229"/>
      <c r="R23" s="258"/>
      <c r="S23" s="259" t="n">
        <f aca="false">SUM(S21:T22)</f>
        <v>0</v>
      </c>
      <c r="T23" s="259"/>
      <c r="U23" s="260"/>
      <c r="V23" s="261"/>
      <c r="W23" s="261"/>
      <c r="X23" s="261"/>
      <c r="Y23" s="10"/>
    </row>
    <row r="24" customFormat="false" ht="14.25" hidden="true" customHeight="true" outlineLevel="0" collapsed="false">
      <c r="A24" s="10"/>
      <c r="B24" s="10"/>
      <c r="C24" s="10"/>
      <c r="D24" s="10"/>
      <c r="E24" s="10"/>
      <c r="F24" s="10"/>
      <c r="G24" s="10"/>
      <c r="H24" s="10"/>
      <c r="I24" s="10"/>
      <c r="J24" s="10"/>
      <c r="K24" s="10"/>
      <c r="L24" s="10"/>
      <c r="M24" s="10"/>
      <c r="N24" s="10"/>
      <c r="O24" s="10"/>
      <c r="P24" s="10"/>
      <c r="Q24" s="10"/>
      <c r="R24" s="10"/>
      <c r="S24" s="10"/>
      <c r="T24" s="10"/>
      <c r="U24" s="10"/>
      <c r="V24" s="10"/>
      <c r="W24" s="10"/>
      <c r="X24" s="10"/>
      <c r="Y24" s="10"/>
    </row>
    <row r="25" customFormat="false" ht="21" hidden="false" customHeight="true" outlineLevel="0" collapsed="false">
      <c r="A25" s="10"/>
      <c r="B25" s="10"/>
      <c r="C25" s="10"/>
      <c r="D25" s="10"/>
      <c r="E25" s="10"/>
      <c r="F25" s="10"/>
      <c r="G25" s="10"/>
      <c r="H25" s="10"/>
      <c r="I25" s="207" t="s">
        <v>1175</v>
      </c>
      <c r="J25" s="207"/>
      <c r="K25" s="207"/>
      <c r="L25" s="207"/>
      <c r="M25" s="207"/>
      <c r="N25" s="207"/>
      <c r="O25" s="207"/>
      <c r="P25" s="207"/>
      <c r="Q25" s="208"/>
      <c r="R25" s="208"/>
      <c r="S25" s="208"/>
      <c r="T25" s="208"/>
      <c r="U25" s="208"/>
      <c r="V25" s="208"/>
      <c r="W25" s="208"/>
      <c r="X25" s="208"/>
      <c r="Y25" s="10"/>
    </row>
    <row r="26" customFormat="false" ht="9.75" hidden="false" customHeight="true" outlineLevel="0" collapsed="false">
      <c r="A26" s="209"/>
      <c r="B26" s="210"/>
      <c r="C26" s="210"/>
      <c r="D26" s="210"/>
      <c r="E26" s="210"/>
      <c r="F26" s="210"/>
      <c r="G26" s="210"/>
      <c r="H26" s="210"/>
      <c r="I26" s="210"/>
      <c r="J26" s="210"/>
      <c r="K26" s="210"/>
      <c r="L26" s="210"/>
      <c r="M26" s="210"/>
      <c r="N26" s="210"/>
      <c r="O26" s="210"/>
      <c r="P26" s="210"/>
      <c r="Q26" s="210"/>
      <c r="R26" s="210"/>
      <c r="S26" s="210"/>
      <c r="T26" s="210"/>
      <c r="U26" s="210"/>
      <c r="V26" s="210"/>
      <c r="W26" s="210"/>
      <c r="X26" s="210"/>
      <c r="Y26" s="10"/>
    </row>
    <row r="27" s="214" customFormat="true" ht="21" hidden="false" customHeight="true" outlineLevel="0" collapsed="false">
      <c r="A27" s="234" t="s">
        <v>1157</v>
      </c>
      <c r="B27" s="234"/>
      <c r="C27" s="234"/>
      <c r="D27" s="234"/>
      <c r="E27" s="234"/>
      <c r="F27" s="234"/>
      <c r="G27" s="212" t="s">
        <v>1150</v>
      </c>
      <c r="H27" s="212"/>
      <c r="I27" s="212"/>
      <c r="J27" s="212"/>
      <c r="K27" s="212"/>
      <c r="L27" s="212"/>
      <c r="M27" s="212" t="s">
        <v>1158</v>
      </c>
      <c r="N27" s="212"/>
      <c r="O27" s="212"/>
      <c r="P27" s="212"/>
      <c r="Q27" s="212"/>
      <c r="R27" s="212"/>
      <c r="S27" s="213" t="s">
        <v>1151</v>
      </c>
      <c r="T27" s="213"/>
      <c r="U27" s="213"/>
      <c r="V27" s="213"/>
      <c r="W27" s="213"/>
      <c r="X27" s="213"/>
      <c r="Y27" s="10"/>
    </row>
    <row r="28" s="214" customFormat="true" ht="9" hidden="false" customHeight="true" outlineLevel="0" collapsed="false">
      <c r="A28" s="215"/>
      <c r="B28" s="216"/>
      <c r="C28" s="216"/>
      <c r="D28" s="216"/>
      <c r="E28" s="216"/>
      <c r="F28" s="217"/>
      <c r="G28" s="218"/>
      <c r="H28" s="216"/>
      <c r="I28" s="216"/>
      <c r="J28" s="216"/>
      <c r="K28" s="216"/>
      <c r="L28" s="219" t="s">
        <v>1087</v>
      </c>
      <c r="M28" s="218"/>
      <c r="N28" s="216"/>
      <c r="O28" s="216"/>
      <c r="P28" s="216"/>
      <c r="Q28" s="216"/>
      <c r="R28" s="235"/>
      <c r="S28" s="218"/>
      <c r="T28" s="216"/>
      <c r="U28" s="216"/>
      <c r="V28" s="216"/>
      <c r="W28" s="216"/>
      <c r="X28" s="220"/>
      <c r="Y28" s="10"/>
    </row>
    <row r="29" s="214" customFormat="true" ht="21.75" hidden="true" customHeight="true" outlineLevel="0" collapsed="false">
      <c r="A29" s="236" t="s">
        <v>89</v>
      </c>
      <c r="B29" s="236"/>
      <c r="C29" s="236"/>
      <c r="D29" s="236"/>
      <c r="E29" s="236"/>
      <c r="F29" s="236"/>
      <c r="G29" s="223"/>
      <c r="H29" s="223"/>
      <c r="I29" s="223"/>
      <c r="J29" s="223"/>
      <c r="K29" s="223"/>
      <c r="L29" s="237"/>
      <c r="M29" s="262" t="s">
        <v>1176</v>
      </c>
      <c r="N29" s="262"/>
      <c r="O29" s="262"/>
      <c r="P29" s="262"/>
      <c r="Q29" s="262"/>
      <c r="R29" s="262"/>
      <c r="S29" s="263" t="s">
        <v>1177</v>
      </c>
      <c r="T29" s="263"/>
      <c r="U29" s="263"/>
      <c r="V29" s="263"/>
      <c r="W29" s="263"/>
      <c r="X29" s="263"/>
      <c r="Y29" s="10"/>
    </row>
    <row r="30" s="214" customFormat="true" ht="21.75" hidden="true" customHeight="true" outlineLevel="0" collapsed="false">
      <c r="A30" s="236" t="s">
        <v>89</v>
      </c>
      <c r="B30" s="236"/>
      <c r="C30" s="236"/>
      <c r="D30" s="236"/>
      <c r="E30" s="236"/>
      <c r="F30" s="236"/>
      <c r="G30" s="223"/>
      <c r="H30" s="223"/>
      <c r="I30" s="223"/>
      <c r="J30" s="223"/>
      <c r="K30" s="223"/>
      <c r="L30" s="237"/>
      <c r="M30" s="262" t="s">
        <v>1178</v>
      </c>
      <c r="N30" s="262"/>
      <c r="O30" s="262"/>
      <c r="P30" s="262"/>
      <c r="Q30" s="262"/>
      <c r="R30" s="262"/>
      <c r="S30" s="263" t="s">
        <v>1179</v>
      </c>
      <c r="T30" s="263"/>
      <c r="U30" s="263"/>
      <c r="V30" s="263"/>
      <c r="W30" s="263"/>
      <c r="X30" s="263"/>
      <c r="Y30" s="10"/>
    </row>
    <row r="31" s="265" customFormat="true" ht="21.75" hidden="false" customHeight="true" outlineLevel="0" collapsed="false">
      <c r="A31" s="236" t="s">
        <v>1102</v>
      </c>
      <c r="B31" s="236"/>
      <c r="C31" s="236"/>
      <c r="D31" s="236"/>
      <c r="E31" s="236"/>
      <c r="F31" s="236"/>
      <c r="G31" s="223" t="n">
        <v>11834281</v>
      </c>
      <c r="H31" s="223"/>
      <c r="I31" s="223"/>
      <c r="J31" s="223"/>
      <c r="K31" s="223"/>
      <c r="L31" s="237"/>
      <c r="M31" s="262" t="s">
        <v>1180</v>
      </c>
      <c r="N31" s="262"/>
      <c r="O31" s="262"/>
      <c r="P31" s="262"/>
      <c r="Q31" s="262"/>
      <c r="R31" s="262"/>
      <c r="S31" s="264" t="s">
        <v>1181</v>
      </c>
      <c r="T31" s="264"/>
      <c r="U31" s="264"/>
      <c r="V31" s="264"/>
      <c r="W31" s="264"/>
      <c r="X31" s="264"/>
      <c r="Y31" s="10"/>
    </row>
    <row r="32" s="265" customFormat="true" ht="18.75" hidden="false" customHeight="true" outlineLevel="0" collapsed="false">
      <c r="A32" s="227" t="s">
        <v>1155</v>
      </c>
      <c r="B32" s="227"/>
      <c r="C32" s="227"/>
      <c r="D32" s="227"/>
      <c r="E32" s="227"/>
      <c r="F32" s="227"/>
      <c r="G32" s="229" t="n">
        <f aca="false">SUM(G29:K31)</f>
        <v>11834281</v>
      </c>
      <c r="H32" s="229"/>
      <c r="I32" s="229"/>
      <c r="J32" s="229"/>
      <c r="K32" s="229"/>
      <c r="L32" s="240"/>
      <c r="M32" s="241"/>
      <c r="N32" s="241"/>
      <c r="O32" s="241"/>
      <c r="P32" s="241"/>
      <c r="Q32" s="241"/>
      <c r="R32" s="241"/>
      <c r="S32" s="231"/>
      <c r="T32" s="231"/>
      <c r="U32" s="231"/>
      <c r="V32" s="231"/>
      <c r="W32" s="231"/>
      <c r="X32" s="231"/>
      <c r="Y32" s="10"/>
    </row>
    <row r="33" customFormat="false" ht="14.25" hidden="false" customHeight="true" outlineLevel="0" collapsed="false">
      <c r="A33" s="10"/>
      <c r="B33" s="232"/>
      <c r="C33" s="233"/>
      <c r="D33" s="233"/>
      <c r="E33" s="233"/>
      <c r="F33" s="233"/>
      <c r="G33" s="233"/>
      <c r="H33" s="10"/>
      <c r="I33" s="10"/>
      <c r="J33" s="10"/>
      <c r="K33" s="10"/>
      <c r="L33" s="10"/>
      <c r="M33" s="10"/>
      <c r="N33" s="10"/>
      <c r="O33" s="10"/>
      <c r="P33" s="10"/>
      <c r="Q33" s="10"/>
      <c r="R33" s="10"/>
      <c r="S33" s="10"/>
      <c r="T33" s="10"/>
      <c r="U33" s="10"/>
      <c r="V33" s="10"/>
      <c r="W33" s="10"/>
      <c r="X33" s="10"/>
      <c r="Y33" s="10"/>
    </row>
    <row r="34" customFormat="false" ht="20.25" hidden="false" customHeight="true" outlineLevel="0" collapsed="false">
      <c r="A34" s="10"/>
      <c r="B34" s="10"/>
      <c r="C34" s="10"/>
      <c r="D34" s="10"/>
      <c r="E34" s="10"/>
      <c r="F34" s="10"/>
      <c r="G34" s="10"/>
      <c r="H34" s="10"/>
      <c r="I34" s="207" t="s">
        <v>1182</v>
      </c>
      <c r="J34" s="207"/>
      <c r="K34" s="207"/>
      <c r="L34" s="207"/>
      <c r="M34" s="207"/>
      <c r="N34" s="207"/>
      <c r="O34" s="207"/>
      <c r="P34" s="207"/>
      <c r="Q34" s="208"/>
      <c r="R34" s="208"/>
      <c r="S34" s="208"/>
      <c r="T34" s="208"/>
      <c r="U34" s="208"/>
      <c r="V34" s="208"/>
      <c r="W34" s="208"/>
      <c r="X34" s="208"/>
      <c r="Y34" s="10"/>
    </row>
    <row r="35" customFormat="false" ht="9.75" hidden="false" customHeight="true" outlineLevel="0" collapsed="false">
      <c r="A35" s="209"/>
      <c r="B35" s="210"/>
      <c r="C35" s="210"/>
      <c r="D35" s="210"/>
      <c r="E35" s="210"/>
      <c r="F35" s="210"/>
      <c r="G35" s="210"/>
      <c r="H35" s="210"/>
      <c r="I35" s="210"/>
      <c r="J35" s="210"/>
      <c r="K35" s="210"/>
      <c r="L35" s="210"/>
      <c r="M35" s="210"/>
      <c r="N35" s="210"/>
      <c r="O35" s="210"/>
      <c r="P35" s="210"/>
      <c r="Q35" s="210"/>
      <c r="R35" s="210"/>
      <c r="S35" s="210"/>
      <c r="T35" s="210"/>
      <c r="U35" s="210"/>
      <c r="V35" s="210"/>
      <c r="W35" s="210"/>
      <c r="X35" s="210"/>
      <c r="Y35" s="10"/>
    </row>
    <row r="36" s="214" customFormat="true" ht="21" hidden="false" customHeight="true" outlineLevel="0" collapsed="false">
      <c r="A36" s="234" t="s">
        <v>1157</v>
      </c>
      <c r="B36" s="234"/>
      <c r="C36" s="234"/>
      <c r="D36" s="234"/>
      <c r="E36" s="234"/>
      <c r="F36" s="234"/>
      <c r="G36" s="212" t="s">
        <v>1150</v>
      </c>
      <c r="H36" s="212"/>
      <c r="I36" s="212"/>
      <c r="J36" s="212"/>
      <c r="K36" s="212"/>
      <c r="L36" s="212"/>
      <c r="M36" s="212" t="s">
        <v>1158</v>
      </c>
      <c r="N36" s="212"/>
      <c r="O36" s="212"/>
      <c r="P36" s="212"/>
      <c r="Q36" s="212"/>
      <c r="R36" s="212"/>
      <c r="S36" s="213" t="s">
        <v>1151</v>
      </c>
      <c r="T36" s="213"/>
      <c r="U36" s="213"/>
      <c r="V36" s="213"/>
      <c r="W36" s="213"/>
      <c r="X36" s="213"/>
      <c r="Y36" s="10"/>
    </row>
    <row r="37" s="214" customFormat="true" ht="9" hidden="false" customHeight="true" outlineLevel="0" collapsed="false">
      <c r="A37" s="215"/>
      <c r="B37" s="216"/>
      <c r="C37" s="216"/>
      <c r="D37" s="216"/>
      <c r="E37" s="216"/>
      <c r="F37" s="217"/>
      <c r="G37" s="218"/>
      <c r="H37" s="216"/>
      <c r="I37" s="216"/>
      <c r="J37" s="216"/>
      <c r="K37" s="216"/>
      <c r="L37" s="219" t="s">
        <v>1087</v>
      </c>
      <c r="M37" s="218"/>
      <c r="N37" s="216"/>
      <c r="O37" s="216"/>
      <c r="P37" s="216"/>
      <c r="Q37" s="216"/>
      <c r="R37" s="235"/>
      <c r="S37" s="218"/>
      <c r="T37" s="216"/>
      <c r="U37" s="216"/>
      <c r="V37" s="216"/>
      <c r="W37" s="216"/>
      <c r="X37" s="220"/>
      <c r="Y37" s="10"/>
    </row>
    <row r="38" s="214" customFormat="true" ht="21.75" hidden="false" customHeight="true" outlineLevel="0" collapsed="false">
      <c r="A38" s="236" t="s">
        <v>76</v>
      </c>
      <c r="B38" s="236"/>
      <c r="C38" s="236"/>
      <c r="D38" s="236"/>
      <c r="E38" s="236"/>
      <c r="F38" s="236"/>
      <c r="G38" s="266" t="n">
        <v>2356</v>
      </c>
      <c r="H38" s="266"/>
      <c r="I38" s="266"/>
      <c r="J38" s="266"/>
      <c r="K38" s="266"/>
      <c r="L38" s="267"/>
      <c r="M38" s="268" t="s">
        <v>1183</v>
      </c>
      <c r="N38" s="268"/>
      <c r="O38" s="268"/>
      <c r="P38" s="268"/>
      <c r="Q38" s="268"/>
      <c r="R38" s="268"/>
      <c r="S38" s="263" t="s">
        <v>1184</v>
      </c>
      <c r="T38" s="263"/>
      <c r="U38" s="263"/>
      <c r="V38" s="263"/>
      <c r="W38" s="263"/>
      <c r="X38" s="263"/>
      <c r="Y38" s="10"/>
    </row>
    <row r="39" s="226" customFormat="true" ht="21.75" hidden="false" customHeight="true" outlineLevel="0" collapsed="false">
      <c r="A39" s="269" t="s">
        <v>82</v>
      </c>
      <c r="B39" s="269"/>
      <c r="C39" s="269"/>
      <c r="D39" s="269"/>
      <c r="E39" s="269"/>
      <c r="F39" s="269"/>
      <c r="G39" s="270" t="n">
        <v>846685</v>
      </c>
      <c r="H39" s="270"/>
      <c r="I39" s="270"/>
      <c r="J39" s="270"/>
      <c r="K39" s="270"/>
      <c r="L39" s="271"/>
      <c r="M39" s="272" t="s">
        <v>1185</v>
      </c>
      <c r="N39" s="272"/>
      <c r="O39" s="272"/>
      <c r="P39" s="272"/>
      <c r="Q39" s="272"/>
      <c r="R39" s="272"/>
      <c r="S39" s="273" t="s">
        <v>1186</v>
      </c>
      <c r="T39" s="273"/>
      <c r="U39" s="273"/>
      <c r="V39" s="273"/>
      <c r="W39" s="273"/>
      <c r="X39" s="273"/>
      <c r="Y39" s="10"/>
    </row>
    <row r="40" s="226" customFormat="true" ht="21.75" hidden="false" customHeight="true" outlineLevel="0" collapsed="false">
      <c r="A40" s="269" t="s">
        <v>84</v>
      </c>
      <c r="B40" s="269"/>
      <c r="C40" s="269"/>
      <c r="D40" s="269"/>
      <c r="E40" s="269"/>
      <c r="F40" s="269"/>
      <c r="G40" s="270" t="n">
        <v>1576505</v>
      </c>
      <c r="H40" s="270"/>
      <c r="I40" s="270"/>
      <c r="J40" s="270"/>
      <c r="K40" s="270"/>
      <c r="L40" s="271"/>
      <c r="M40" s="274" t="s">
        <v>1187</v>
      </c>
      <c r="N40" s="274"/>
      <c r="O40" s="274"/>
      <c r="P40" s="274"/>
      <c r="Q40" s="274"/>
      <c r="R40" s="274"/>
      <c r="S40" s="273" t="s">
        <v>1188</v>
      </c>
      <c r="T40" s="273"/>
      <c r="U40" s="273"/>
      <c r="V40" s="273"/>
      <c r="W40" s="273"/>
      <c r="X40" s="273"/>
      <c r="Y40" s="10"/>
    </row>
    <row r="41" s="226" customFormat="true" ht="21.75" hidden="false" customHeight="true" outlineLevel="0" collapsed="false">
      <c r="A41" s="269" t="s">
        <v>85</v>
      </c>
      <c r="B41" s="269"/>
      <c r="C41" s="269"/>
      <c r="D41" s="269"/>
      <c r="E41" s="269"/>
      <c r="F41" s="269"/>
      <c r="G41" s="270" t="n">
        <v>46537</v>
      </c>
      <c r="H41" s="270"/>
      <c r="I41" s="270"/>
      <c r="J41" s="270"/>
      <c r="K41" s="270"/>
      <c r="L41" s="271"/>
      <c r="M41" s="275" t="s">
        <v>1189</v>
      </c>
      <c r="N41" s="275"/>
      <c r="O41" s="275"/>
      <c r="P41" s="275"/>
      <c r="Q41" s="275"/>
      <c r="R41" s="275"/>
      <c r="S41" s="276" t="s">
        <v>1190</v>
      </c>
      <c r="T41" s="276"/>
      <c r="U41" s="276"/>
      <c r="V41" s="276"/>
      <c r="W41" s="276"/>
      <c r="X41" s="276"/>
      <c r="Y41" s="10"/>
    </row>
    <row r="42" s="226" customFormat="true" ht="21.75" hidden="false" customHeight="true" outlineLevel="0" collapsed="false">
      <c r="A42" s="269" t="s">
        <v>87</v>
      </c>
      <c r="B42" s="269"/>
      <c r="C42" s="269"/>
      <c r="D42" s="269"/>
      <c r="E42" s="269"/>
      <c r="F42" s="269"/>
      <c r="G42" s="223" t="n">
        <v>1020091</v>
      </c>
      <c r="H42" s="223"/>
      <c r="I42" s="223"/>
      <c r="J42" s="223"/>
      <c r="K42" s="223"/>
      <c r="L42" s="271"/>
      <c r="M42" s="277" t="s">
        <v>1191</v>
      </c>
      <c r="N42" s="277"/>
      <c r="O42" s="277"/>
      <c r="P42" s="277"/>
      <c r="Q42" s="277"/>
      <c r="R42" s="277"/>
      <c r="S42" s="278" t="s">
        <v>1192</v>
      </c>
      <c r="T42" s="278"/>
      <c r="U42" s="278"/>
      <c r="V42" s="278"/>
      <c r="W42" s="278"/>
      <c r="X42" s="278"/>
      <c r="Y42" s="10"/>
    </row>
    <row r="43" s="226" customFormat="true" ht="21.75" hidden="false" customHeight="true" outlineLevel="0" collapsed="false">
      <c r="A43" s="269" t="s">
        <v>88</v>
      </c>
      <c r="B43" s="269"/>
      <c r="C43" s="269"/>
      <c r="D43" s="269"/>
      <c r="E43" s="269"/>
      <c r="F43" s="269"/>
      <c r="G43" s="223" t="n">
        <v>689790</v>
      </c>
      <c r="H43" s="223"/>
      <c r="I43" s="223"/>
      <c r="J43" s="223"/>
      <c r="K43" s="223"/>
      <c r="L43" s="271"/>
      <c r="M43" s="277" t="s">
        <v>1193</v>
      </c>
      <c r="N43" s="277"/>
      <c r="O43" s="277"/>
      <c r="P43" s="277"/>
      <c r="Q43" s="277"/>
      <c r="R43" s="277"/>
      <c r="S43" s="264" t="s">
        <v>1194</v>
      </c>
      <c r="T43" s="264"/>
      <c r="U43" s="264"/>
      <c r="V43" s="264"/>
      <c r="W43" s="264"/>
      <c r="X43" s="264"/>
      <c r="Y43" s="10"/>
    </row>
    <row r="44" s="226" customFormat="true" ht="21.75" hidden="false" customHeight="true" outlineLevel="0" collapsed="false">
      <c r="A44" s="269" t="s">
        <v>89</v>
      </c>
      <c r="B44" s="269"/>
      <c r="C44" s="269"/>
      <c r="D44" s="269"/>
      <c r="E44" s="269"/>
      <c r="F44" s="269"/>
      <c r="G44" s="223" t="n">
        <v>103564</v>
      </c>
      <c r="H44" s="223"/>
      <c r="I44" s="223"/>
      <c r="J44" s="223"/>
      <c r="K44" s="223"/>
      <c r="L44" s="271"/>
      <c r="M44" s="279" t="s">
        <v>1195</v>
      </c>
      <c r="N44" s="279"/>
      <c r="O44" s="279"/>
      <c r="P44" s="279"/>
      <c r="Q44" s="279"/>
      <c r="R44" s="279"/>
      <c r="S44" s="264" t="s">
        <v>1196</v>
      </c>
      <c r="T44" s="264"/>
      <c r="U44" s="264"/>
      <c r="V44" s="264"/>
      <c r="W44" s="264"/>
      <c r="X44" s="264"/>
      <c r="Y44" s="10"/>
    </row>
    <row r="45" s="226" customFormat="true" ht="21.75" hidden="false" customHeight="true" outlineLevel="0" collapsed="false">
      <c r="A45" s="269" t="s">
        <v>89</v>
      </c>
      <c r="B45" s="269"/>
      <c r="C45" s="269"/>
      <c r="D45" s="269"/>
      <c r="E45" s="269"/>
      <c r="F45" s="269"/>
      <c r="G45" s="223" t="n">
        <v>5312157</v>
      </c>
      <c r="H45" s="223"/>
      <c r="I45" s="223"/>
      <c r="J45" s="223"/>
      <c r="K45" s="223"/>
      <c r="L45" s="271"/>
      <c r="M45" s="279" t="s">
        <v>1197</v>
      </c>
      <c r="N45" s="279"/>
      <c r="O45" s="279"/>
      <c r="P45" s="279"/>
      <c r="Q45" s="279"/>
      <c r="R45" s="279"/>
      <c r="S45" s="280" t="s">
        <v>1198</v>
      </c>
      <c r="T45" s="280"/>
      <c r="U45" s="280"/>
      <c r="V45" s="280"/>
      <c r="W45" s="280"/>
      <c r="X45" s="280"/>
      <c r="Y45" s="10"/>
    </row>
    <row r="46" s="214" customFormat="true" ht="21.75" hidden="false" customHeight="true" outlineLevel="0" collapsed="false">
      <c r="A46" s="227" t="s">
        <v>1155</v>
      </c>
      <c r="B46" s="227"/>
      <c r="C46" s="227"/>
      <c r="D46" s="227"/>
      <c r="E46" s="227"/>
      <c r="F46" s="227"/>
      <c r="G46" s="281" t="n">
        <f aca="false">SUM(G38:K45)</f>
        <v>9597685</v>
      </c>
      <c r="H46" s="281"/>
      <c r="I46" s="281"/>
      <c r="J46" s="281"/>
      <c r="K46" s="281"/>
      <c r="L46" s="282"/>
      <c r="M46" s="283"/>
      <c r="N46" s="283"/>
      <c r="O46" s="283"/>
      <c r="P46" s="283"/>
      <c r="Q46" s="283"/>
      <c r="R46" s="283"/>
      <c r="S46" s="284"/>
      <c r="T46" s="284"/>
      <c r="U46" s="284"/>
      <c r="V46" s="284"/>
      <c r="W46" s="284"/>
      <c r="X46" s="284"/>
      <c r="Y46" s="10"/>
    </row>
    <row r="47" customFormat="false" ht="14.25" hidden="false" customHeight="true" outlineLevel="0" collapsed="false">
      <c r="A47" s="10"/>
      <c r="B47" s="10"/>
      <c r="C47" s="10"/>
      <c r="D47" s="10"/>
      <c r="E47" s="10"/>
      <c r="F47" s="10"/>
      <c r="G47" s="10"/>
      <c r="H47" s="10"/>
      <c r="I47" s="10"/>
      <c r="J47" s="10"/>
      <c r="K47" s="10"/>
      <c r="L47" s="232"/>
      <c r="M47" s="233"/>
      <c r="N47" s="233"/>
      <c r="O47" s="233"/>
      <c r="P47" s="233"/>
      <c r="Q47" s="233"/>
      <c r="R47" s="233"/>
      <c r="S47" s="233"/>
      <c r="T47" s="233"/>
      <c r="U47" s="10"/>
      <c r="V47" s="10"/>
      <c r="W47" s="10"/>
      <c r="X47" s="10"/>
      <c r="Y47" s="10"/>
    </row>
    <row r="48" customFormat="false" ht="21" hidden="false" customHeight="true" outlineLevel="0" collapsed="false">
      <c r="A48" s="10"/>
      <c r="B48" s="10"/>
      <c r="C48" s="10"/>
      <c r="D48" s="10"/>
      <c r="E48" s="10"/>
      <c r="F48" s="10"/>
      <c r="G48" s="10"/>
      <c r="H48" s="10"/>
      <c r="I48" s="207" t="s">
        <v>1199</v>
      </c>
      <c r="J48" s="207"/>
      <c r="K48" s="207"/>
      <c r="L48" s="207"/>
      <c r="M48" s="207"/>
      <c r="N48" s="207"/>
      <c r="O48" s="207"/>
      <c r="P48" s="207"/>
      <c r="Q48" s="208"/>
      <c r="R48" s="208"/>
      <c r="S48" s="208"/>
      <c r="T48" s="208"/>
      <c r="U48" s="208"/>
      <c r="V48" s="208"/>
      <c r="W48" s="208"/>
      <c r="X48" s="208"/>
      <c r="Y48" s="10"/>
    </row>
    <row r="49" customFormat="false" ht="9.75" hidden="false" customHeight="true" outlineLevel="0" collapsed="false">
      <c r="A49" s="209"/>
      <c r="B49" s="210"/>
      <c r="C49" s="210"/>
      <c r="D49" s="210"/>
      <c r="E49" s="210"/>
      <c r="F49" s="210"/>
      <c r="G49" s="210"/>
      <c r="H49" s="210"/>
      <c r="I49" s="210"/>
      <c r="J49" s="210"/>
      <c r="K49" s="210"/>
      <c r="L49" s="210"/>
      <c r="M49" s="210"/>
      <c r="N49" s="210"/>
      <c r="O49" s="210"/>
      <c r="P49" s="210"/>
      <c r="Q49" s="210"/>
      <c r="R49" s="210"/>
      <c r="S49" s="210"/>
      <c r="T49" s="210"/>
      <c r="U49" s="210"/>
      <c r="V49" s="210"/>
      <c r="W49" s="210"/>
      <c r="X49" s="210"/>
      <c r="Y49" s="10"/>
    </row>
    <row r="50" s="214" customFormat="true" ht="21" hidden="false" customHeight="true" outlineLevel="0" collapsed="false">
      <c r="A50" s="234" t="s">
        <v>1157</v>
      </c>
      <c r="B50" s="234"/>
      <c r="C50" s="234"/>
      <c r="D50" s="234"/>
      <c r="E50" s="234"/>
      <c r="F50" s="234"/>
      <c r="G50" s="212" t="s">
        <v>1150</v>
      </c>
      <c r="H50" s="212"/>
      <c r="I50" s="212"/>
      <c r="J50" s="212"/>
      <c r="K50" s="212"/>
      <c r="L50" s="212"/>
      <c r="M50" s="212" t="s">
        <v>1158</v>
      </c>
      <c r="N50" s="212"/>
      <c r="O50" s="212"/>
      <c r="P50" s="212"/>
      <c r="Q50" s="212"/>
      <c r="R50" s="212"/>
      <c r="S50" s="213" t="s">
        <v>1151</v>
      </c>
      <c r="T50" s="213"/>
      <c r="U50" s="213"/>
      <c r="V50" s="213"/>
      <c r="W50" s="213"/>
      <c r="X50" s="213"/>
      <c r="Y50" s="10"/>
    </row>
    <row r="51" s="214" customFormat="true" ht="9" hidden="false" customHeight="true" outlineLevel="0" collapsed="false">
      <c r="A51" s="215"/>
      <c r="B51" s="216"/>
      <c r="C51" s="216"/>
      <c r="D51" s="216"/>
      <c r="E51" s="216"/>
      <c r="F51" s="217"/>
      <c r="G51" s="218"/>
      <c r="H51" s="216"/>
      <c r="I51" s="216"/>
      <c r="J51" s="216"/>
      <c r="K51" s="216"/>
      <c r="L51" s="219" t="s">
        <v>1087</v>
      </c>
      <c r="M51" s="218"/>
      <c r="N51" s="216"/>
      <c r="O51" s="216"/>
      <c r="P51" s="216"/>
      <c r="Q51" s="216"/>
      <c r="R51" s="235"/>
      <c r="S51" s="218"/>
      <c r="T51" s="216"/>
      <c r="U51" s="216"/>
      <c r="V51" s="216"/>
      <c r="W51" s="216"/>
      <c r="X51" s="220"/>
      <c r="Y51" s="10"/>
    </row>
    <row r="52" s="265" customFormat="true" ht="18.75" hidden="false" customHeight="true" outlineLevel="0" collapsed="false">
      <c r="A52" s="236" t="s">
        <v>1200</v>
      </c>
      <c r="B52" s="236"/>
      <c r="C52" s="236"/>
      <c r="D52" s="236"/>
      <c r="E52" s="236"/>
      <c r="F52" s="236"/>
      <c r="G52" s="223" t="n">
        <v>59015</v>
      </c>
      <c r="H52" s="223"/>
      <c r="I52" s="223"/>
      <c r="J52" s="223"/>
      <c r="K52" s="223"/>
      <c r="L52" s="237"/>
      <c r="M52" s="262" t="s">
        <v>1201</v>
      </c>
      <c r="N52" s="262"/>
      <c r="O52" s="262"/>
      <c r="P52" s="262"/>
      <c r="Q52" s="262"/>
      <c r="R52" s="262"/>
      <c r="S52" s="285" t="s">
        <v>1202</v>
      </c>
      <c r="T52" s="285"/>
      <c r="U52" s="285"/>
      <c r="V52" s="285"/>
      <c r="W52" s="285"/>
      <c r="X52" s="285"/>
      <c r="Y52" s="10"/>
    </row>
    <row r="53" s="265" customFormat="true" ht="18.75" hidden="false" customHeight="true" outlineLevel="0" collapsed="false">
      <c r="A53" s="236" t="s">
        <v>83</v>
      </c>
      <c r="B53" s="236"/>
      <c r="C53" s="236"/>
      <c r="D53" s="236"/>
      <c r="E53" s="236"/>
      <c r="F53" s="236"/>
      <c r="G53" s="223" t="n">
        <v>376346</v>
      </c>
      <c r="H53" s="223"/>
      <c r="I53" s="223"/>
      <c r="J53" s="223"/>
      <c r="K53" s="223"/>
      <c r="L53" s="237"/>
      <c r="M53" s="262" t="s">
        <v>1203</v>
      </c>
      <c r="N53" s="262"/>
      <c r="O53" s="262"/>
      <c r="P53" s="262"/>
      <c r="Q53" s="262"/>
      <c r="R53" s="262"/>
      <c r="S53" s="285" t="s">
        <v>1204</v>
      </c>
      <c r="T53" s="285"/>
      <c r="U53" s="285"/>
      <c r="V53" s="285"/>
      <c r="W53" s="285"/>
      <c r="X53" s="285"/>
      <c r="Y53" s="10"/>
    </row>
    <row r="54" s="265" customFormat="true" ht="18.75" hidden="false" customHeight="true" outlineLevel="0" collapsed="false">
      <c r="A54" s="227" t="s">
        <v>1155</v>
      </c>
      <c r="B54" s="227"/>
      <c r="C54" s="227"/>
      <c r="D54" s="227"/>
      <c r="E54" s="227"/>
      <c r="F54" s="227"/>
      <c r="G54" s="229" t="n">
        <f aca="false">SUM(G52:K53)</f>
        <v>435361</v>
      </c>
      <c r="H54" s="229"/>
      <c r="I54" s="229"/>
      <c r="J54" s="229"/>
      <c r="K54" s="229"/>
      <c r="L54" s="240"/>
      <c r="M54" s="241"/>
      <c r="N54" s="241"/>
      <c r="O54" s="241"/>
      <c r="P54" s="241"/>
      <c r="Q54" s="241"/>
      <c r="R54" s="241"/>
      <c r="S54" s="231"/>
      <c r="T54" s="231"/>
      <c r="U54" s="231"/>
      <c r="V54" s="231"/>
      <c r="W54" s="231"/>
      <c r="X54" s="231"/>
      <c r="Y54" s="10"/>
    </row>
    <row r="55" customFormat="false" ht="14.25" hidden="false" customHeight="true" outlineLevel="0" collapsed="false">
      <c r="A55" s="10"/>
      <c r="B55" s="10"/>
      <c r="C55" s="10"/>
      <c r="D55" s="10"/>
      <c r="E55" s="10"/>
      <c r="F55" s="10"/>
      <c r="G55" s="10"/>
      <c r="H55" s="10"/>
      <c r="I55" s="10"/>
      <c r="J55" s="10"/>
      <c r="K55" s="10"/>
      <c r="L55" s="10"/>
      <c r="M55" s="10"/>
      <c r="N55" s="10"/>
      <c r="O55" s="10"/>
      <c r="P55" s="10"/>
      <c r="Q55" s="10"/>
      <c r="R55" s="10"/>
      <c r="S55" s="10"/>
      <c r="T55" s="10"/>
      <c r="U55" s="10"/>
      <c r="V55" s="10"/>
      <c r="W55" s="10"/>
      <c r="X55" s="10"/>
      <c r="Y55" s="10"/>
    </row>
    <row r="56" customFormat="false" ht="21.75" hidden="false" customHeight="true" outlineLevel="0" collapsed="false">
      <c r="A56" s="10"/>
      <c r="B56" s="10"/>
      <c r="C56" s="10"/>
      <c r="D56" s="10"/>
      <c r="E56" s="10"/>
      <c r="F56" s="10"/>
      <c r="G56" s="10"/>
      <c r="H56" s="10"/>
      <c r="I56" s="207" t="s">
        <v>1205</v>
      </c>
      <c r="J56" s="207"/>
      <c r="K56" s="207"/>
      <c r="L56" s="207"/>
      <c r="M56" s="207"/>
      <c r="N56" s="207"/>
      <c r="O56" s="207"/>
      <c r="P56" s="207"/>
      <c r="Q56" s="10"/>
      <c r="R56" s="10"/>
      <c r="S56" s="10"/>
      <c r="T56" s="10"/>
      <c r="U56" s="10"/>
      <c r="V56" s="10"/>
      <c r="W56" s="10"/>
      <c r="X56" s="10"/>
      <c r="Y56" s="10"/>
    </row>
    <row r="57" customFormat="false" ht="9.75" hidden="false" customHeight="true" outlineLevel="0" collapsed="false">
      <c r="A57" s="10"/>
      <c r="B57" s="10"/>
      <c r="C57" s="10"/>
      <c r="D57" s="10"/>
      <c r="E57" s="10"/>
      <c r="F57" s="10"/>
      <c r="G57" s="10"/>
      <c r="H57" s="10"/>
      <c r="I57" s="10"/>
      <c r="J57" s="10"/>
      <c r="K57" s="10"/>
      <c r="L57" s="10"/>
      <c r="M57" s="10"/>
      <c r="N57" s="10"/>
      <c r="O57" s="10"/>
      <c r="P57" s="10"/>
      <c r="Q57" s="10"/>
      <c r="R57" s="10"/>
      <c r="S57" s="10"/>
      <c r="T57" s="10"/>
      <c r="U57" s="10"/>
      <c r="V57" s="10"/>
      <c r="W57" s="10"/>
      <c r="X57" s="10"/>
      <c r="Y57" s="10"/>
    </row>
    <row r="58" customFormat="false" ht="21.75" hidden="false" customHeight="true" outlineLevel="0" collapsed="false">
      <c r="A58" s="234" t="s">
        <v>1157</v>
      </c>
      <c r="B58" s="234"/>
      <c r="C58" s="234"/>
      <c r="D58" s="234"/>
      <c r="E58" s="234"/>
      <c r="F58" s="234"/>
      <c r="G58" s="286" t="s">
        <v>1150</v>
      </c>
      <c r="H58" s="286"/>
      <c r="I58" s="286"/>
      <c r="J58" s="286"/>
      <c r="K58" s="286"/>
      <c r="L58" s="212" t="s">
        <v>1158</v>
      </c>
      <c r="M58" s="212"/>
      <c r="N58" s="212"/>
      <c r="O58" s="212"/>
      <c r="P58" s="212"/>
      <c r="Q58" s="212"/>
      <c r="R58" s="213" t="s">
        <v>1151</v>
      </c>
      <c r="S58" s="213"/>
      <c r="T58" s="213"/>
      <c r="U58" s="213"/>
      <c r="V58" s="213"/>
      <c r="W58" s="213"/>
      <c r="X58" s="213"/>
      <c r="Y58" s="10"/>
    </row>
    <row r="59" customFormat="false" ht="9" hidden="false" customHeight="true" outlineLevel="0" collapsed="false">
      <c r="A59" s="215"/>
      <c r="B59" s="216"/>
      <c r="C59" s="216"/>
      <c r="D59" s="216"/>
      <c r="E59" s="216"/>
      <c r="F59" s="217"/>
      <c r="G59" s="218"/>
      <c r="H59" s="216"/>
      <c r="I59" s="216"/>
      <c r="J59" s="216"/>
      <c r="K59" s="287" t="s">
        <v>1087</v>
      </c>
      <c r="L59" s="218"/>
      <c r="M59" s="216"/>
      <c r="N59" s="216"/>
      <c r="O59" s="216"/>
      <c r="P59" s="216"/>
      <c r="Q59" s="235"/>
      <c r="R59" s="218"/>
      <c r="S59" s="216"/>
      <c r="T59" s="216"/>
      <c r="U59" s="216"/>
      <c r="V59" s="216"/>
      <c r="W59" s="216"/>
      <c r="X59" s="220"/>
      <c r="Y59" s="10"/>
    </row>
    <row r="60" customFormat="false" ht="18.75" hidden="false" customHeight="true" outlineLevel="0" collapsed="false">
      <c r="A60" s="236" t="s">
        <v>1206</v>
      </c>
      <c r="B60" s="236"/>
      <c r="C60" s="236"/>
      <c r="D60" s="236"/>
      <c r="E60" s="236"/>
      <c r="F60" s="236"/>
      <c r="G60" s="223" t="n">
        <v>203327</v>
      </c>
      <c r="H60" s="223"/>
      <c r="I60" s="223"/>
      <c r="J60" s="223"/>
      <c r="K60" s="288"/>
      <c r="L60" s="262" t="s">
        <v>1207</v>
      </c>
      <c r="M60" s="262"/>
      <c r="N60" s="262"/>
      <c r="O60" s="262"/>
      <c r="P60" s="262"/>
      <c r="Q60" s="262"/>
      <c r="R60" s="285" t="s">
        <v>1208</v>
      </c>
      <c r="S60" s="285"/>
      <c r="T60" s="285"/>
      <c r="U60" s="285"/>
      <c r="V60" s="285"/>
      <c r="W60" s="285"/>
      <c r="X60" s="285"/>
      <c r="Y60" s="10"/>
    </row>
    <row r="61" customFormat="false" ht="18.75" hidden="false" customHeight="true" outlineLevel="0" collapsed="false">
      <c r="A61" s="236" t="s">
        <v>1209</v>
      </c>
      <c r="B61" s="236"/>
      <c r="C61" s="236"/>
      <c r="D61" s="236"/>
      <c r="E61" s="236"/>
      <c r="F61" s="236"/>
      <c r="G61" s="223" t="n">
        <v>24613</v>
      </c>
      <c r="H61" s="223"/>
      <c r="I61" s="223"/>
      <c r="J61" s="223"/>
      <c r="K61" s="288"/>
      <c r="L61" s="279" t="s">
        <v>1195</v>
      </c>
      <c r="M61" s="279"/>
      <c r="N61" s="279"/>
      <c r="O61" s="279"/>
      <c r="P61" s="279"/>
      <c r="Q61" s="279"/>
      <c r="R61" s="285" t="s">
        <v>1208</v>
      </c>
      <c r="S61" s="285"/>
      <c r="T61" s="285"/>
      <c r="U61" s="285"/>
      <c r="V61" s="285"/>
      <c r="W61" s="285"/>
      <c r="X61" s="285"/>
      <c r="Y61" s="10"/>
    </row>
    <row r="62" customFormat="false" ht="18.75" hidden="false" customHeight="true" outlineLevel="0" collapsed="false">
      <c r="A62" s="227" t="s">
        <v>1155</v>
      </c>
      <c r="B62" s="227"/>
      <c r="C62" s="227"/>
      <c r="D62" s="227"/>
      <c r="E62" s="227"/>
      <c r="F62" s="227"/>
      <c r="G62" s="229" t="n">
        <f aca="false">SUM(G60:K61)</f>
        <v>227940</v>
      </c>
      <c r="H62" s="229"/>
      <c r="I62" s="229"/>
      <c r="J62" s="229"/>
      <c r="K62" s="289"/>
      <c r="L62" s="290"/>
      <c r="M62" s="290"/>
      <c r="N62" s="290"/>
      <c r="O62" s="290"/>
      <c r="P62" s="290"/>
      <c r="Q62" s="290"/>
      <c r="R62" s="291"/>
      <c r="S62" s="291"/>
      <c r="T62" s="291"/>
      <c r="U62" s="291"/>
      <c r="V62" s="291"/>
      <c r="W62" s="291"/>
      <c r="X62" s="291"/>
      <c r="Y62" s="10"/>
    </row>
    <row r="63" customFormat="false" ht="12.75" hidden="false" customHeight="true" outlineLevel="0" collapsed="false">
      <c r="A63" s="292"/>
      <c r="B63" s="292"/>
      <c r="C63" s="292"/>
      <c r="D63" s="292"/>
      <c r="E63" s="292"/>
      <c r="F63" s="292"/>
      <c r="G63" s="293"/>
      <c r="H63" s="293"/>
      <c r="I63" s="293"/>
      <c r="J63" s="293"/>
      <c r="K63" s="294"/>
      <c r="L63" s="295"/>
      <c r="M63" s="295"/>
      <c r="N63" s="295"/>
      <c r="O63" s="296"/>
      <c r="P63" s="296"/>
      <c r="Q63" s="296"/>
      <c r="R63" s="297"/>
      <c r="S63" s="297"/>
      <c r="T63" s="297"/>
      <c r="U63" s="297"/>
      <c r="V63" s="297"/>
      <c r="W63" s="297"/>
      <c r="X63" s="297"/>
      <c r="Y63" s="10"/>
    </row>
    <row r="64" customFormat="false" ht="21.75" hidden="false" customHeight="true" outlineLevel="0" collapsed="false">
      <c r="A64" s="298"/>
      <c r="B64" s="298"/>
      <c r="C64" s="298"/>
      <c r="D64" s="298"/>
      <c r="E64" s="298"/>
      <c r="F64" s="298"/>
      <c r="G64" s="298"/>
      <c r="H64" s="298"/>
      <c r="I64" s="299" t="s">
        <v>1210</v>
      </c>
      <c r="J64" s="299"/>
      <c r="K64" s="299"/>
      <c r="L64" s="299"/>
      <c r="M64" s="299"/>
      <c r="N64" s="299"/>
      <c r="O64" s="299"/>
      <c r="P64" s="299"/>
      <c r="Q64" s="300"/>
      <c r="R64" s="300"/>
      <c r="S64" s="300"/>
      <c r="T64" s="300"/>
      <c r="U64" s="300"/>
      <c r="V64" s="300"/>
      <c r="W64" s="300"/>
      <c r="X64" s="300"/>
      <c r="Y64" s="301"/>
    </row>
    <row r="65" customFormat="false" ht="12.75" hidden="false" customHeight="true" outlineLevel="0" collapsed="false">
      <c r="A65" s="302"/>
      <c r="B65" s="303"/>
      <c r="C65" s="303"/>
      <c r="D65" s="303"/>
      <c r="E65" s="303"/>
      <c r="F65" s="303"/>
      <c r="G65" s="303"/>
      <c r="H65" s="303"/>
      <c r="I65" s="303"/>
      <c r="J65" s="303"/>
      <c r="K65" s="303"/>
      <c r="L65" s="303"/>
      <c r="M65" s="303"/>
      <c r="N65" s="303"/>
      <c r="O65" s="303"/>
      <c r="P65" s="303"/>
      <c r="Q65" s="303"/>
      <c r="R65" s="303"/>
      <c r="S65" s="303"/>
      <c r="T65" s="303"/>
      <c r="U65" s="303"/>
      <c r="V65" s="303"/>
      <c r="W65" s="303"/>
      <c r="X65" s="303"/>
      <c r="Y65" s="301"/>
    </row>
    <row r="66" customFormat="false" ht="21.75" hidden="false" customHeight="true" outlineLevel="0" collapsed="false">
      <c r="A66" s="304" t="s">
        <v>1157</v>
      </c>
      <c r="B66" s="304"/>
      <c r="C66" s="304"/>
      <c r="D66" s="304"/>
      <c r="E66" s="304"/>
      <c r="F66" s="304"/>
      <c r="G66" s="305" t="s">
        <v>1150</v>
      </c>
      <c r="H66" s="305"/>
      <c r="I66" s="305"/>
      <c r="J66" s="305"/>
      <c r="K66" s="305"/>
      <c r="L66" s="305"/>
      <c r="M66" s="305" t="s">
        <v>1158</v>
      </c>
      <c r="N66" s="305"/>
      <c r="O66" s="305"/>
      <c r="P66" s="305"/>
      <c r="Q66" s="305"/>
      <c r="R66" s="305"/>
      <c r="S66" s="306" t="s">
        <v>1151</v>
      </c>
      <c r="T66" s="306"/>
      <c r="U66" s="306"/>
      <c r="V66" s="306"/>
      <c r="W66" s="306"/>
      <c r="X66" s="306"/>
      <c r="Y66" s="301"/>
    </row>
    <row r="67" customFormat="false" ht="12.75" hidden="false" customHeight="true" outlineLevel="0" collapsed="false">
      <c r="A67" s="307"/>
      <c r="B67" s="308"/>
      <c r="C67" s="308"/>
      <c r="D67" s="308"/>
      <c r="E67" s="308"/>
      <c r="F67" s="309"/>
      <c r="G67" s="310"/>
      <c r="H67" s="308"/>
      <c r="I67" s="308"/>
      <c r="J67" s="308"/>
      <c r="K67" s="308"/>
      <c r="L67" s="311" t="s">
        <v>1087</v>
      </c>
      <c r="M67" s="310"/>
      <c r="N67" s="308"/>
      <c r="O67" s="308"/>
      <c r="P67" s="308"/>
      <c r="Q67" s="308"/>
      <c r="R67" s="312"/>
      <c r="S67" s="310"/>
      <c r="T67" s="308"/>
      <c r="U67" s="308"/>
      <c r="V67" s="308"/>
      <c r="W67" s="308"/>
      <c r="X67" s="313"/>
      <c r="Y67" s="301"/>
    </row>
    <row r="68" customFormat="false" ht="18.75" hidden="false" customHeight="true" outlineLevel="0" collapsed="false">
      <c r="A68" s="314" t="s">
        <v>93</v>
      </c>
      <c r="B68" s="314"/>
      <c r="C68" s="314"/>
      <c r="D68" s="314"/>
      <c r="E68" s="314"/>
      <c r="F68" s="314"/>
      <c r="G68" s="315" t="n">
        <v>216843</v>
      </c>
      <c r="H68" s="315"/>
      <c r="I68" s="315"/>
      <c r="J68" s="315"/>
      <c r="K68" s="315"/>
      <c r="L68" s="316"/>
      <c r="M68" s="317" t="s">
        <v>1211</v>
      </c>
      <c r="N68" s="317"/>
      <c r="O68" s="317"/>
      <c r="P68" s="317"/>
      <c r="Q68" s="317"/>
      <c r="R68" s="317"/>
      <c r="S68" s="318" t="s">
        <v>1212</v>
      </c>
      <c r="T68" s="318"/>
      <c r="U68" s="318"/>
      <c r="V68" s="318"/>
      <c r="W68" s="318"/>
      <c r="X68" s="318"/>
      <c r="Y68" s="301"/>
    </row>
    <row r="69" customFormat="false" ht="18.75" hidden="false" customHeight="true" outlineLevel="0" collapsed="false">
      <c r="A69" s="319" t="s">
        <v>1155</v>
      </c>
      <c r="B69" s="319"/>
      <c r="C69" s="319"/>
      <c r="D69" s="319"/>
      <c r="E69" s="319"/>
      <c r="F69" s="319"/>
      <c r="G69" s="320" t="n">
        <f aca="false">SUM(G68:K68)</f>
        <v>216843</v>
      </c>
      <c r="H69" s="320"/>
      <c r="I69" s="320"/>
      <c r="J69" s="320"/>
      <c r="K69" s="320"/>
      <c r="L69" s="321"/>
      <c r="M69" s="322"/>
      <c r="N69" s="322"/>
      <c r="O69" s="322"/>
      <c r="P69" s="322"/>
      <c r="Q69" s="322"/>
      <c r="R69" s="322"/>
      <c r="S69" s="323"/>
      <c r="T69" s="323"/>
      <c r="U69" s="323"/>
      <c r="V69" s="323"/>
      <c r="W69" s="323"/>
      <c r="X69" s="323"/>
      <c r="Y69" s="301"/>
    </row>
    <row r="70" customFormat="false" ht="12.75" hidden="false" customHeight="true" outlineLevel="0" collapsed="false">
      <c r="A70" s="292"/>
      <c r="B70" s="292"/>
      <c r="C70" s="292"/>
      <c r="D70" s="292"/>
      <c r="E70" s="292"/>
      <c r="F70" s="292"/>
      <c r="G70" s="324"/>
      <c r="H70" s="324"/>
      <c r="I70" s="324"/>
      <c r="J70" s="324"/>
      <c r="K70" s="294"/>
      <c r="L70" s="325"/>
      <c r="M70" s="325"/>
      <c r="N70" s="325"/>
      <c r="O70" s="296"/>
      <c r="P70" s="296"/>
      <c r="Q70" s="296"/>
      <c r="R70" s="297"/>
      <c r="S70" s="297"/>
      <c r="T70" s="297"/>
      <c r="U70" s="297"/>
      <c r="V70" s="297"/>
      <c r="W70" s="297"/>
      <c r="X70" s="297"/>
      <c r="Y70" s="10"/>
    </row>
    <row r="71" customFormat="false" ht="12.75" hidden="false" customHeight="true" outlineLevel="0" collapsed="false">
      <c r="A71" s="292"/>
      <c r="B71" s="292"/>
      <c r="C71" s="292"/>
      <c r="D71" s="292"/>
      <c r="E71" s="292"/>
      <c r="F71" s="292"/>
      <c r="G71" s="324"/>
      <c r="H71" s="324"/>
      <c r="I71" s="324"/>
      <c r="J71" s="324"/>
      <c r="K71" s="294"/>
      <c r="L71" s="325"/>
      <c r="M71" s="325"/>
      <c r="N71" s="325"/>
      <c r="O71" s="296"/>
      <c r="P71" s="296"/>
      <c r="Q71" s="296"/>
      <c r="R71" s="297"/>
      <c r="S71" s="297"/>
      <c r="T71" s="297"/>
      <c r="U71" s="297"/>
      <c r="V71" s="297"/>
      <c r="W71" s="297"/>
      <c r="X71" s="297"/>
      <c r="Y71" s="10"/>
    </row>
    <row r="72" customFormat="false" ht="20.25" hidden="false" customHeight="true" outlineLevel="0" collapsed="false">
      <c r="A72" s="10"/>
      <c r="B72" s="10"/>
      <c r="C72" s="10"/>
      <c r="D72" s="10"/>
      <c r="E72" s="10"/>
      <c r="F72" s="10"/>
      <c r="G72" s="10"/>
      <c r="H72" s="10"/>
      <c r="I72" s="207" t="s">
        <v>1213</v>
      </c>
      <c r="J72" s="207"/>
      <c r="K72" s="207"/>
      <c r="L72" s="207"/>
      <c r="M72" s="207"/>
      <c r="N72" s="207"/>
      <c r="O72" s="207"/>
      <c r="P72" s="207"/>
      <c r="Q72" s="208"/>
      <c r="R72" s="208"/>
      <c r="S72" s="208"/>
      <c r="T72" s="208"/>
      <c r="U72" s="208"/>
      <c r="V72" s="208"/>
      <c r="W72" s="208"/>
      <c r="X72" s="208"/>
      <c r="Y72" s="10"/>
    </row>
    <row r="73" customFormat="false" ht="12.75" hidden="false" customHeight="true" outlineLevel="0" collapsed="false">
      <c r="A73" s="10"/>
      <c r="B73" s="10"/>
      <c r="C73" s="10"/>
      <c r="D73" s="10"/>
      <c r="E73" s="10"/>
      <c r="F73" s="10"/>
      <c r="G73" s="10"/>
      <c r="H73" s="10"/>
      <c r="I73" s="10"/>
      <c r="J73" s="10"/>
      <c r="K73" s="10"/>
      <c r="L73" s="10"/>
      <c r="M73" s="10"/>
      <c r="N73" s="10"/>
      <c r="O73" s="10"/>
      <c r="P73" s="10"/>
      <c r="Q73" s="10"/>
      <c r="R73" s="10"/>
      <c r="S73" s="10"/>
      <c r="T73" s="10"/>
      <c r="U73" s="10"/>
      <c r="V73" s="10"/>
      <c r="W73" s="10"/>
      <c r="X73" s="10"/>
      <c r="Y73" s="10"/>
    </row>
    <row r="74" customFormat="false" ht="21.75" hidden="false" customHeight="true" outlineLevel="0" collapsed="false">
      <c r="A74" s="234" t="s">
        <v>1214</v>
      </c>
      <c r="B74" s="234"/>
      <c r="C74" s="234"/>
      <c r="D74" s="326" t="s">
        <v>1215</v>
      </c>
      <c r="E74" s="326"/>
      <c r="F74" s="326"/>
      <c r="G74" s="327" t="s">
        <v>1216</v>
      </c>
      <c r="H74" s="327"/>
      <c r="I74" s="327"/>
      <c r="J74" s="327" t="s">
        <v>1217</v>
      </c>
      <c r="K74" s="327"/>
      <c r="L74" s="327"/>
      <c r="M74" s="326" t="s">
        <v>1218</v>
      </c>
      <c r="N74" s="326"/>
      <c r="O74" s="326"/>
      <c r="P74" s="327" t="s">
        <v>1219</v>
      </c>
      <c r="Q74" s="327"/>
      <c r="R74" s="327"/>
      <c r="S74" s="328" t="s">
        <v>1220</v>
      </c>
      <c r="T74" s="328"/>
      <c r="U74" s="328"/>
      <c r="V74" s="329" t="s">
        <v>1221</v>
      </c>
      <c r="W74" s="329"/>
      <c r="X74" s="329"/>
      <c r="Y74" s="10"/>
    </row>
    <row r="75" customFormat="false" ht="12.75" hidden="false" customHeight="true" outlineLevel="0" collapsed="false">
      <c r="A75" s="330"/>
      <c r="B75" s="292"/>
      <c r="C75" s="331" t="s">
        <v>1222</v>
      </c>
      <c r="D75" s="332"/>
      <c r="E75" s="292"/>
      <c r="F75" s="331" t="s">
        <v>1087</v>
      </c>
      <c r="G75" s="294"/>
      <c r="H75" s="294"/>
      <c r="I75" s="331" t="s">
        <v>1087</v>
      </c>
      <c r="J75" s="333"/>
      <c r="K75" s="294"/>
      <c r="L75" s="331" t="s">
        <v>1087</v>
      </c>
      <c r="M75" s="296"/>
      <c r="N75" s="296"/>
      <c r="O75" s="331" t="s">
        <v>1087</v>
      </c>
      <c r="P75" s="334"/>
      <c r="Q75" s="296"/>
      <c r="R75" s="331" t="s">
        <v>1087</v>
      </c>
      <c r="S75" s="297"/>
      <c r="T75" s="297"/>
      <c r="U75" s="331" t="s">
        <v>1087</v>
      </c>
      <c r="V75" s="335"/>
      <c r="W75" s="297"/>
      <c r="X75" s="336"/>
      <c r="Y75" s="10"/>
    </row>
    <row r="76" customFormat="false" ht="24.75" hidden="false" customHeight="true" outlineLevel="0" collapsed="false">
      <c r="A76" s="245" t="s">
        <v>77</v>
      </c>
      <c r="B76" s="245"/>
      <c r="C76" s="245"/>
      <c r="D76" s="337" t="n">
        <v>383946</v>
      </c>
      <c r="E76" s="337"/>
      <c r="F76" s="337"/>
      <c r="G76" s="337" t="n">
        <v>0</v>
      </c>
      <c r="H76" s="337"/>
      <c r="I76" s="337"/>
      <c r="J76" s="337" t="n">
        <v>0</v>
      </c>
      <c r="K76" s="337"/>
      <c r="L76" s="337"/>
      <c r="M76" s="338" t="n">
        <f aca="false">D76+G76-J76</f>
        <v>383946</v>
      </c>
      <c r="N76" s="338"/>
      <c r="O76" s="338"/>
      <c r="P76" s="339" t="n">
        <f aca="false">H85</f>
        <v>176556</v>
      </c>
      <c r="Q76" s="339"/>
      <c r="R76" s="339"/>
      <c r="S76" s="338" t="n">
        <f aca="false">M76-P76</f>
        <v>207390</v>
      </c>
      <c r="T76" s="338"/>
      <c r="U76" s="338"/>
      <c r="V76" s="340"/>
      <c r="W76" s="340"/>
      <c r="X76" s="340"/>
      <c r="Y76" s="10"/>
    </row>
    <row r="77" customFormat="false" ht="24.75" hidden="false" customHeight="true" outlineLevel="0" collapsed="false">
      <c r="A77" s="227" t="s">
        <v>1223</v>
      </c>
      <c r="B77" s="227"/>
      <c r="C77" s="227"/>
      <c r="D77" s="341" t="n">
        <f aca="false">SUM(D76)</f>
        <v>383946</v>
      </c>
      <c r="E77" s="341"/>
      <c r="F77" s="341"/>
      <c r="G77" s="341" t="n">
        <f aca="false">SUM(G76)</f>
        <v>0</v>
      </c>
      <c r="H77" s="341"/>
      <c r="I77" s="341"/>
      <c r="J77" s="341" t="n">
        <f aca="false">SUM(J76)</f>
        <v>0</v>
      </c>
      <c r="K77" s="341"/>
      <c r="L77" s="341"/>
      <c r="M77" s="342" t="n">
        <f aca="false">D77+G77-J77</f>
        <v>383946</v>
      </c>
      <c r="N77" s="342"/>
      <c r="O77" s="342"/>
      <c r="P77" s="341" t="n">
        <f aca="false">SUM(P76)</f>
        <v>176556</v>
      </c>
      <c r="Q77" s="341"/>
      <c r="R77" s="341"/>
      <c r="S77" s="342" t="n">
        <f aca="false">M77-P77</f>
        <v>207390</v>
      </c>
      <c r="T77" s="342"/>
      <c r="U77" s="342"/>
      <c r="V77" s="291"/>
      <c r="W77" s="291"/>
      <c r="X77" s="291"/>
      <c r="Y77" s="10"/>
    </row>
    <row r="78" customFormat="false" ht="14.25" hidden="false" customHeight="true" outlineLevel="0" collapsed="false">
      <c r="A78" s="292"/>
      <c r="B78" s="292"/>
      <c r="C78" s="292"/>
      <c r="D78" s="292"/>
      <c r="E78" s="292"/>
      <c r="F78" s="292"/>
      <c r="G78" s="294"/>
      <c r="H78" s="294"/>
      <c r="I78" s="294"/>
      <c r="J78" s="294"/>
      <c r="K78" s="294"/>
      <c r="L78" s="296"/>
      <c r="M78" s="296"/>
      <c r="N78" s="296"/>
      <c r="O78" s="296"/>
      <c r="P78" s="296"/>
      <c r="Q78" s="296"/>
      <c r="R78" s="297"/>
      <c r="S78" s="297"/>
      <c r="T78" s="297"/>
      <c r="U78" s="297"/>
      <c r="V78" s="297"/>
      <c r="W78" s="297"/>
      <c r="X78" s="297"/>
      <c r="Y78" s="10"/>
    </row>
    <row r="79" customFormat="false" ht="19.5" hidden="false" customHeight="true" outlineLevel="0" collapsed="false">
      <c r="A79" s="10"/>
      <c r="B79" s="10"/>
      <c r="C79" s="10"/>
      <c r="D79" s="10"/>
      <c r="E79" s="10"/>
      <c r="F79" s="10"/>
      <c r="G79" s="10"/>
      <c r="H79" s="10"/>
      <c r="I79" s="207" t="s">
        <v>1224</v>
      </c>
      <c r="J79" s="207"/>
      <c r="K79" s="207"/>
      <c r="L79" s="207"/>
      <c r="M79" s="207"/>
      <c r="N79" s="207"/>
      <c r="O79" s="207"/>
      <c r="P79" s="207"/>
      <c r="Q79" s="208"/>
      <c r="R79" s="208"/>
      <c r="S79" s="208"/>
      <c r="T79" s="208"/>
      <c r="U79" s="208"/>
      <c r="V79" s="208"/>
      <c r="W79" s="208"/>
      <c r="X79" s="208"/>
      <c r="Y79" s="10"/>
    </row>
    <row r="80" customFormat="false" ht="12.75" hidden="false" customHeight="true" outlineLevel="0" collapsed="false">
      <c r="A80" s="10"/>
      <c r="B80" s="10"/>
      <c r="C80" s="10"/>
      <c r="D80" s="10"/>
      <c r="E80" s="10"/>
      <c r="F80" s="10"/>
      <c r="G80" s="10"/>
      <c r="H80" s="10"/>
      <c r="I80" s="10"/>
      <c r="J80" s="10"/>
      <c r="K80" s="10"/>
      <c r="L80" s="10"/>
      <c r="M80" s="10"/>
      <c r="N80" s="10"/>
      <c r="O80" s="10"/>
      <c r="P80" s="10"/>
      <c r="Q80" s="10"/>
      <c r="R80" s="10"/>
      <c r="S80" s="10"/>
      <c r="T80" s="10"/>
      <c r="U80" s="10"/>
      <c r="V80" s="10"/>
      <c r="W80" s="10"/>
      <c r="X80" s="10"/>
      <c r="Y80" s="10"/>
    </row>
    <row r="81" customFormat="false" ht="12.75" hidden="false" customHeight="true" outlineLevel="0" collapsed="false">
      <c r="A81" s="234" t="s">
        <v>1214</v>
      </c>
      <c r="B81" s="234"/>
      <c r="C81" s="234"/>
      <c r="D81" s="212" t="s">
        <v>1225</v>
      </c>
      <c r="E81" s="212"/>
      <c r="F81" s="212" t="s">
        <v>1226</v>
      </c>
      <c r="G81" s="212"/>
      <c r="H81" s="343" t="s">
        <v>1219</v>
      </c>
      <c r="I81" s="343"/>
      <c r="J81" s="343"/>
      <c r="K81" s="343" t="s">
        <v>1227</v>
      </c>
      <c r="L81" s="343"/>
      <c r="M81" s="343"/>
      <c r="N81" s="343" t="s">
        <v>1228</v>
      </c>
      <c r="O81" s="343"/>
      <c r="P81" s="343"/>
      <c r="Q81" s="344" t="s">
        <v>1229</v>
      </c>
      <c r="R81" s="344"/>
      <c r="S81" s="329" t="s">
        <v>1230</v>
      </c>
      <c r="T81" s="329"/>
      <c r="U81" s="329"/>
      <c r="V81" s="329"/>
      <c r="W81" s="329"/>
      <c r="X81" s="329"/>
      <c r="Y81" s="10"/>
    </row>
    <row r="82" customFormat="false" ht="10.5" hidden="false" customHeight="true" outlineLevel="0" collapsed="false">
      <c r="A82" s="345"/>
      <c r="B82" s="346"/>
      <c r="C82" s="347" t="s">
        <v>1222</v>
      </c>
      <c r="D82" s="348"/>
      <c r="E82" s="347"/>
      <c r="F82" s="349" t="s">
        <v>1087</v>
      </c>
      <c r="G82" s="350"/>
      <c r="H82" s="351"/>
      <c r="I82" s="352" t="s">
        <v>1222</v>
      </c>
      <c r="J82" s="353" t="s">
        <v>1087</v>
      </c>
      <c r="K82" s="351"/>
      <c r="L82" s="352" t="s">
        <v>1222</v>
      </c>
      <c r="M82" s="353" t="s">
        <v>1087</v>
      </c>
      <c r="N82" s="351"/>
      <c r="O82" s="352" t="s">
        <v>1222</v>
      </c>
      <c r="P82" s="353" t="s">
        <v>1087</v>
      </c>
      <c r="Q82" s="354"/>
      <c r="R82" s="355" t="s">
        <v>1231</v>
      </c>
      <c r="S82" s="356"/>
      <c r="T82" s="356"/>
      <c r="U82" s="352" t="s">
        <v>1222</v>
      </c>
      <c r="V82" s="356"/>
      <c r="W82" s="356"/>
      <c r="X82" s="357"/>
      <c r="Y82" s="10"/>
    </row>
    <row r="83" customFormat="false" ht="36" hidden="false" customHeight="true" outlineLevel="0" collapsed="false">
      <c r="A83" s="358" t="s">
        <v>77</v>
      </c>
      <c r="B83" s="358"/>
      <c r="C83" s="358"/>
      <c r="D83" s="359" t="s">
        <v>1232</v>
      </c>
      <c r="E83" s="359"/>
      <c r="F83" s="359" t="n">
        <v>723140</v>
      </c>
      <c r="G83" s="359"/>
      <c r="H83" s="360" t="n">
        <v>144628</v>
      </c>
      <c r="I83" s="360"/>
      <c r="J83" s="360"/>
      <c r="K83" s="360" t="n">
        <v>542355</v>
      </c>
      <c r="L83" s="360"/>
      <c r="M83" s="360"/>
      <c r="N83" s="361" t="n">
        <f aca="false">F83-K83</f>
        <v>180785</v>
      </c>
      <c r="O83" s="361"/>
      <c r="P83" s="361"/>
      <c r="Q83" s="362" t="n">
        <f aca="false">ROUNDDOWN(K83/F83*100,3)</f>
        <v>75</v>
      </c>
      <c r="R83" s="362"/>
      <c r="S83" s="363" t="s">
        <v>1233</v>
      </c>
      <c r="T83" s="363"/>
      <c r="U83" s="363"/>
      <c r="V83" s="363"/>
      <c r="W83" s="363"/>
      <c r="X83" s="363"/>
      <c r="Y83" s="10"/>
    </row>
    <row r="84" customFormat="false" ht="36" hidden="false" customHeight="true" outlineLevel="0" collapsed="false">
      <c r="A84" s="245" t="s">
        <v>1234</v>
      </c>
      <c r="B84" s="245"/>
      <c r="C84" s="245"/>
      <c r="D84" s="364" t="s">
        <v>1235</v>
      </c>
      <c r="E84" s="364"/>
      <c r="F84" s="364" t="n">
        <v>127710</v>
      </c>
      <c r="G84" s="364"/>
      <c r="H84" s="337" t="n">
        <v>31928</v>
      </c>
      <c r="I84" s="337"/>
      <c r="J84" s="337"/>
      <c r="K84" s="337" t="n">
        <v>101105</v>
      </c>
      <c r="L84" s="337"/>
      <c r="M84" s="337"/>
      <c r="N84" s="339" t="n">
        <f aca="false">F84-K84</f>
        <v>26605</v>
      </c>
      <c r="O84" s="339"/>
      <c r="P84" s="339"/>
      <c r="Q84" s="365" t="n">
        <f aca="false">ROUNDDOWN(K84/F84*100,3)</f>
        <v>79.167</v>
      </c>
      <c r="R84" s="365"/>
      <c r="S84" s="366" t="s">
        <v>1236</v>
      </c>
      <c r="T84" s="366"/>
      <c r="U84" s="366"/>
      <c r="V84" s="366"/>
      <c r="W84" s="366"/>
      <c r="X84" s="366"/>
      <c r="Y84" s="10"/>
    </row>
    <row r="85" customFormat="false" ht="26.25" hidden="false" customHeight="true" outlineLevel="0" collapsed="false">
      <c r="A85" s="227" t="s">
        <v>1223</v>
      </c>
      <c r="B85" s="227"/>
      <c r="C85" s="227"/>
      <c r="D85" s="367" t="s">
        <v>1222</v>
      </c>
      <c r="E85" s="367"/>
      <c r="F85" s="368" t="n">
        <f aca="false">SUM(F83:G84)</f>
        <v>850850</v>
      </c>
      <c r="G85" s="368"/>
      <c r="H85" s="341" t="n">
        <f aca="false">SUM(H83:J84)</f>
        <v>176556</v>
      </c>
      <c r="I85" s="341"/>
      <c r="J85" s="341"/>
      <c r="K85" s="341" t="n">
        <f aca="false">SUM(K83:M84)</f>
        <v>643460</v>
      </c>
      <c r="L85" s="341"/>
      <c r="M85" s="341"/>
      <c r="N85" s="341" t="n">
        <f aca="false">SUM(N83:P84)</f>
        <v>207390</v>
      </c>
      <c r="O85" s="341"/>
      <c r="P85" s="341"/>
      <c r="Q85" s="367" t="s">
        <v>1222</v>
      </c>
      <c r="R85" s="367"/>
      <c r="S85" s="369" t="s">
        <v>1222</v>
      </c>
      <c r="T85" s="369"/>
      <c r="U85" s="369"/>
      <c r="V85" s="369"/>
      <c r="W85" s="369"/>
      <c r="X85" s="369"/>
      <c r="Y85" s="10"/>
    </row>
    <row r="86" customFormat="false" ht="14.25" hidden="false" customHeight="true" outlineLevel="0" collapsed="false">
      <c r="A86" s="292"/>
      <c r="B86" s="292"/>
      <c r="C86" s="292"/>
      <c r="D86" s="292"/>
      <c r="E86" s="292"/>
      <c r="F86" s="292"/>
      <c r="G86" s="294"/>
      <c r="H86" s="294"/>
      <c r="I86" s="294"/>
      <c r="J86" s="294"/>
      <c r="K86" s="294"/>
      <c r="L86" s="296"/>
      <c r="M86" s="296"/>
      <c r="N86" s="296"/>
      <c r="O86" s="296"/>
      <c r="P86" s="296"/>
      <c r="Q86" s="296"/>
      <c r="R86" s="297"/>
      <c r="S86" s="297"/>
      <c r="T86" s="297"/>
      <c r="U86" s="297"/>
      <c r="V86" s="297"/>
      <c r="W86" s="297"/>
      <c r="X86" s="297"/>
      <c r="Y86" s="10"/>
    </row>
    <row r="87" customFormat="false" ht="21" hidden="false" customHeight="true" outlineLevel="0" collapsed="false">
      <c r="A87" s="10"/>
      <c r="B87" s="10"/>
      <c r="C87" s="10"/>
      <c r="D87" s="10"/>
      <c r="E87" s="10"/>
      <c r="F87" s="10"/>
      <c r="G87" s="10"/>
      <c r="H87" s="10"/>
      <c r="I87" s="207" t="s">
        <v>1237</v>
      </c>
      <c r="J87" s="207"/>
      <c r="K87" s="207"/>
      <c r="L87" s="207"/>
      <c r="M87" s="207"/>
      <c r="N87" s="207"/>
      <c r="O87" s="207"/>
      <c r="P87" s="207"/>
      <c r="Q87" s="208"/>
      <c r="R87" s="208"/>
      <c r="S87" s="208"/>
      <c r="T87" s="208"/>
      <c r="U87" s="208"/>
      <c r="V87" s="208"/>
      <c r="W87" s="208"/>
      <c r="X87" s="208"/>
      <c r="Y87" s="10"/>
    </row>
    <row r="88" customFormat="false" ht="9.75" hidden="false" customHeight="true" outlineLevel="0" collapsed="false">
      <c r="A88" s="10"/>
      <c r="B88" s="10"/>
      <c r="C88" s="10"/>
      <c r="D88" s="10"/>
      <c r="E88" s="10"/>
      <c r="F88" s="10"/>
      <c r="G88" s="10"/>
      <c r="H88" s="10"/>
      <c r="I88" s="10"/>
      <c r="J88" s="10"/>
      <c r="K88" s="10"/>
      <c r="L88" s="10"/>
      <c r="M88" s="10"/>
      <c r="N88" s="10"/>
      <c r="O88" s="10"/>
      <c r="P88" s="10"/>
      <c r="Q88" s="10"/>
      <c r="R88" s="10"/>
      <c r="S88" s="10"/>
      <c r="T88" s="10"/>
      <c r="U88" s="10"/>
      <c r="V88" s="10"/>
      <c r="W88" s="10"/>
      <c r="X88" s="10"/>
      <c r="Y88" s="10"/>
    </row>
    <row r="89" customFormat="false" ht="21" hidden="false" customHeight="true" outlineLevel="0" collapsed="false">
      <c r="A89" s="234" t="s">
        <v>1238</v>
      </c>
      <c r="B89" s="234"/>
      <c r="C89" s="234"/>
      <c r="D89" s="234"/>
      <c r="E89" s="326" t="s">
        <v>1239</v>
      </c>
      <c r="F89" s="326"/>
      <c r="G89" s="326"/>
      <c r="H89" s="326"/>
      <c r="I89" s="326" t="s">
        <v>1216</v>
      </c>
      <c r="J89" s="326"/>
      <c r="K89" s="326"/>
      <c r="L89" s="326"/>
      <c r="M89" s="326" t="s">
        <v>1217</v>
      </c>
      <c r="N89" s="326"/>
      <c r="O89" s="326"/>
      <c r="P89" s="326"/>
      <c r="Q89" s="370" t="s">
        <v>1240</v>
      </c>
      <c r="R89" s="370"/>
      <c r="S89" s="370"/>
      <c r="T89" s="370"/>
      <c r="U89" s="213" t="s">
        <v>1241</v>
      </c>
      <c r="V89" s="213"/>
      <c r="W89" s="213"/>
      <c r="X89" s="213"/>
      <c r="Y89" s="10"/>
    </row>
    <row r="90" customFormat="false" ht="9" hidden="false" customHeight="true" outlineLevel="0" collapsed="false">
      <c r="A90" s="371"/>
      <c r="B90" s="371"/>
      <c r="C90" s="371"/>
      <c r="D90" s="371"/>
      <c r="E90" s="372" t="s">
        <v>1087</v>
      </c>
      <c r="F90" s="372"/>
      <c r="G90" s="372"/>
      <c r="H90" s="372"/>
      <c r="I90" s="372" t="s">
        <v>1087</v>
      </c>
      <c r="J90" s="372"/>
      <c r="K90" s="372"/>
      <c r="L90" s="372"/>
      <c r="M90" s="372" t="s">
        <v>1087</v>
      </c>
      <c r="N90" s="372"/>
      <c r="O90" s="372"/>
      <c r="P90" s="372"/>
      <c r="Q90" s="372" t="s">
        <v>1087</v>
      </c>
      <c r="R90" s="372"/>
      <c r="S90" s="372"/>
      <c r="T90" s="372"/>
      <c r="U90" s="373"/>
      <c r="V90" s="373"/>
      <c r="W90" s="373"/>
      <c r="X90" s="373"/>
      <c r="Y90" s="10"/>
    </row>
    <row r="91" s="214" customFormat="true" ht="21" hidden="false" customHeight="true" outlineLevel="0" collapsed="false">
      <c r="A91" s="221" t="s">
        <v>1242</v>
      </c>
      <c r="B91" s="221"/>
      <c r="C91" s="221"/>
      <c r="D91" s="221"/>
      <c r="E91" s="374" t="n">
        <f aca="false">決算精算表!E19</f>
        <v>71093911</v>
      </c>
      <c r="F91" s="374"/>
      <c r="G91" s="374"/>
      <c r="H91" s="374"/>
      <c r="I91" s="374" t="n">
        <f aca="false">決算精算表!A38</f>
        <v>3603510</v>
      </c>
      <c r="J91" s="374"/>
      <c r="K91" s="374"/>
      <c r="L91" s="374"/>
      <c r="M91" s="374" t="n">
        <f aca="false">決算精算表!F46</f>
        <v>0</v>
      </c>
      <c r="N91" s="374"/>
      <c r="O91" s="374"/>
      <c r="P91" s="374"/>
      <c r="Q91" s="374" t="n">
        <f aca="false">E91+I91-M91</f>
        <v>74697421</v>
      </c>
      <c r="R91" s="374"/>
      <c r="S91" s="374"/>
      <c r="T91" s="374"/>
      <c r="U91" s="375"/>
      <c r="V91" s="375"/>
      <c r="W91" s="375"/>
      <c r="X91" s="375"/>
      <c r="Y91" s="10"/>
    </row>
    <row r="92" s="214" customFormat="true" ht="19.5" hidden="false" customHeight="true" outlineLevel="0" collapsed="false">
      <c r="A92" s="227" t="s">
        <v>1243</v>
      </c>
      <c r="B92" s="227"/>
      <c r="C92" s="227"/>
      <c r="D92" s="227"/>
      <c r="E92" s="376" t="n">
        <f aca="false">SUM(E91:H91)</f>
        <v>71093911</v>
      </c>
      <c r="F92" s="376"/>
      <c r="G92" s="376"/>
      <c r="H92" s="376"/>
      <c r="I92" s="376" t="n">
        <f aca="false">SUM(I91:L91)</f>
        <v>3603510</v>
      </c>
      <c r="J92" s="376"/>
      <c r="K92" s="376"/>
      <c r="L92" s="376"/>
      <c r="M92" s="377" t="n">
        <f aca="false">SUM(M91:P91)</f>
        <v>0</v>
      </c>
      <c r="N92" s="377"/>
      <c r="O92" s="377"/>
      <c r="P92" s="377"/>
      <c r="Q92" s="376" t="n">
        <f aca="false">SUM(Q91:T91)</f>
        <v>74697421</v>
      </c>
      <c r="R92" s="376"/>
      <c r="S92" s="376"/>
      <c r="T92" s="376"/>
      <c r="U92" s="378"/>
      <c r="V92" s="378"/>
      <c r="W92" s="378"/>
      <c r="X92" s="378"/>
      <c r="Y92" s="10"/>
    </row>
    <row r="93" customFormat="false" ht="14.25" hidden="false" customHeight="true" outlineLevel="0" collapsed="false">
      <c r="A93" s="292"/>
      <c r="B93" s="292"/>
      <c r="C93" s="292"/>
      <c r="D93" s="292"/>
      <c r="E93" s="292"/>
      <c r="F93" s="292"/>
      <c r="G93" s="294"/>
      <c r="H93" s="294"/>
      <c r="I93" s="294"/>
      <c r="J93" s="294"/>
      <c r="K93" s="294"/>
      <c r="L93" s="296"/>
      <c r="M93" s="296"/>
      <c r="N93" s="296"/>
      <c r="O93" s="296"/>
      <c r="P93" s="296"/>
      <c r="Q93" s="296"/>
      <c r="R93" s="297"/>
      <c r="S93" s="297"/>
      <c r="T93" s="297"/>
      <c r="U93" s="297"/>
      <c r="V93" s="297"/>
      <c r="W93" s="297"/>
      <c r="X93" s="297"/>
      <c r="Y93" s="10"/>
    </row>
    <row r="94" customFormat="false" ht="21" hidden="true" customHeight="true" outlineLevel="0" collapsed="false">
      <c r="A94" s="379"/>
      <c r="B94" s="379"/>
      <c r="C94" s="379"/>
      <c r="D94" s="379"/>
      <c r="E94" s="379"/>
      <c r="F94" s="379"/>
      <c r="G94" s="379"/>
      <c r="H94" s="379"/>
      <c r="I94" s="380" t="s">
        <v>1224</v>
      </c>
      <c r="J94" s="380"/>
      <c r="K94" s="380"/>
      <c r="L94" s="380"/>
      <c r="M94" s="380"/>
      <c r="N94" s="380"/>
      <c r="O94" s="380"/>
      <c r="P94" s="380"/>
      <c r="Q94" s="381"/>
      <c r="R94" s="381"/>
      <c r="S94" s="381"/>
      <c r="T94" s="381"/>
      <c r="U94" s="381"/>
      <c r="V94" s="381"/>
      <c r="W94" s="381"/>
      <c r="X94" s="381"/>
      <c r="Y94" s="10"/>
    </row>
    <row r="95" customFormat="false" ht="9.75" hidden="true" customHeight="true" outlineLevel="0" collapsed="false">
      <c r="A95" s="379"/>
      <c r="B95" s="379"/>
      <c r="C95" s="379"/>
      <c r="D95" s="382"/>
      <c r="E95" s="379"/>
      <c r="F95" s="379"/>
      <c r="G95" s="379"/>
      <c r="H95" s="379"/>
      <c r="I95" s="379"/>
      <c r="J95" s="379"/>
      <c r="K95" s="379"/>
      <c r="L95" s="379"/>
      <c r="M95" s="379"/>
      <c r="N95" s="379"/>
      <c r="O95" s="379"/>
      <c r="P95" s="379"/>
      <c r="Q95" s="379"/>
      <c r="R95" s="379"/>
      <c r="S95" s="379"/>
      <c r="T95" s="379"/>
      <c r="U95" s="379"/>
      <c r="V95" s="379"/>
      <c r="W95" s="379"/>
      <c r="X95" s="379"/>
      <c r="Y95" s="10"/>
    </row>
    <row r="96" s="387" customFormat="true" ht="21" hidden="true" customHeight="true" outlineLevel="0" collapsed="false">
      <c r="A96" s="383" t="s">
        <v>1214</v>
      </c>
      <c r="B96" s="383"/>
      <c r="C96" s="383"/>
      <c r="D96" s="384" t="s">
        <v>1225</v>
      </c>
      <c r="E96" s="384"/>
      <c r="F96" s="385" t="s">
        <v>1226</v>
      </c>
      <c r="G96" s="385"/>
      <c r="H96" s="385" t="s">
        <v>1219</v>
      </c>
      <c r="I96" s="385"/>
      <c r="J96" s="385" t="s">
        <v>1227</v>
      </c>
      <c r="K96" s="385"/>
      <c r="L96" s="385" t="s">
        <v>1228</v>
      </c>
      <c r="M96" s="385"/>
      <c r="N96" s="385" t="s">
        <v>1229</v>
      </c>
      <c r="O96" s="385"/>
      <c r="P96" s="386" t="s">
        <v>1244</v>
      </c>
      <c r="Q96" s="386"/>
      <c r="R96" s="386"/>
      <c r="S96" s="386"/>
      <c r="T96" s="386"/>
      <c r="U96" s="386"/>
      <c r="V96" s="386"/>
      <c r="W96" s="386"/>
      <c r="X96" s="386"/>
      <c r="Y96" s="10"/>
    </row>
    <row r="97" customFormat="false" ht="9" hidden="true" customHeight="true" outlineLevel="0" collapsed="false">
      <c r="A97" s="388"/>
      <c r="B97" s="388"/>
      <c r="C97" s="388"/>
      <c r="D97" s="389" t="s">
        <v>1245</v>
      </c>
      <c r="E97" s="389"/>
      <c r="F97" s="390" t="s">
        <v>1087</v>
      </c>
      <c r="G97" s="390"/>
      <c r="H97" s="390" t="s">
        <v>1087</v>
      </c>
      <c r="I97" s="390"/>
      <c r="J97" s="390" t="s">
        <v>1087</v>
      </c>
      <c r="K97" s="390"/>
      <c r="L97" s="390" t="s">
        <v>1087</v>
      </c>
      <c r="M97" s="390"/>
      <c r="N97" s="390" t="s">
        <v>1231</v>
      </c>
      <c r="O97" s="390"/>
      <c r="P97" s="391" t="s">
        <v>1246</v>
      </c>
      <c r="Q97" s="391"/>
      <c r="R97" s="391"/>
      <c r="S97" s="391"/>
      <c r="T97" s="391"/>
      <c r="U97" s="391"/>
      <c r="V97" s="391"/>
      <c r="W97" s="391"/>
      <c r="X97" s="391"/>
      <c r="Y97" s="10"/>
    </row>
    <row r="98" s="226" customFormat="true" ht="19.5" hidden="true" customHeight="true" outlineLevel="0" collapsed="false">
      <c r="A98" s="392" t="s">
        <v>77</v>
      </c>
      <c r="B98" s="392"/>
      <c r="C98" s="392"/>
      <c r="D98" s="393" t="s">
        <v>1247</v>
      </c>
      <c r="E98" s="393"/>
      <c r="F98" s="394" t="n">
        <v>169470</v>
      </c>
      <c r="G98" s="394"/>
      <c r="H98" s="394" t="n">
        <v>0</v>
      </c>
      <c r="I98" s="394"/>
      <c r="J98" s="394" t="n">
        <v>152520</v>
      </c>
      <c r="K98" s="394"/>
      <c r="L98" s="394" t="n">
        <v>16950</v>
      </c>
      <c r="M98" s="394"/>
      <c r="N98" s="395" t="n">
        <f aca="false">ROUND(J98/F98*100,1)</f>
        <v>90</v>
      </c>
      <c r="O98" s="395"/>
      <c r="P98" s="391"/>
      <c r="Q98" s="391"/>
      <c r="R98" s="391"/>
      <c r="S98" s="391"/>
      <c r="T98" s="391"/>
      <c r="U98" s="391"/>
      <c r="V98" s="391"/>
      <c r="W98" s="391"/>
      <c r="X98" s="391"/>
      <c r="Y98" s="10"/>
    </row>
    <row r="99" s="214" customFormat="true" ht="21" hidden="true" customHeight="true" outlineLevel="0" collapsed="false">
      <c r="A99" s="396" t="s">
        <v>1248</v>
      </c>
      <c r="B99" s="396"/>
      <c r="C99" s="396"/>
      <c r="D99" s="397" t="n">
        <v>10</v>
      </c>
      <c r="E99" s="397"/>
      <c r="F99" s="398" t="n">
        <v>90825</v>
      </c>
      <c r="G99" s="398"/>
      <c r="H99" s="398" t="n">
        <v>9082</v>
      </c>
      <c r="I99" s="398"/>
      <c r="J99" s="399" t="s">
        <v>1249</v>
      </c>
      <c r="K99" s="399"/>
      <c r="L99" s="398" t="n">
        <v>18926</v>
      </c>
      <c r="M99" s="398"/>
      <c r="N99" s="399" t="s">
        <v>1249</v>
      </c>
      <c r="O99" s="399"/>
      <c r="P99" s="391" t="s">
        <v>1250</v>
      </c>
      <c r="Q99" s="391"/>
      <c r="R99" s="391"/>
      <c r="S99" s="391"/>
      <c r="T99" s="391"/>
      <c r="U99" s="391"/>
      <c r="V99" s="391"/>
      <c r="W99" s="391"/>
      <c r="X99" s="391"/>
      <c r="Y99" s="10"/>
    </row>
    <row r="100" customFormat="false" ht="19.5" hidden="true" customHeight="true" outlineLevel="0" collapsed="false">
      <c r="A100" s="400" t="s">
        <v>1251</v>
      </c>
      <c r="B100" s="400"/>
      <c r="C100" s="400"/>
      <c r="D100" s="401"/>
      <c r="E100" s="401"/>
      <c r="F100" s="402" t="n">
        <f aca="false">SUM(F98:G99)</f>
        <v>260295</v>
      </c>
      <c r="G100" s="402"/>
      <c r="H100" s="402" t="n">
        <f aca="false">SUM(H98:I99)</f>
        <v>9082</v>
      </c>
      <c r="I100" s="402"/>
      <c r="J100" s="402" t="n">
        <f aca="false">SUM(J98:K99)</f>
        <v>152520</v>
      </c>
      <c r="K100" s="402"/>
      <c r="L100" s="402" t="n">
        <f aca="false">SUM(L98:M99)</f>
        <v>35876</v>
      </c>
      <c r="M100" s="402"/>
      <c r="N100" s="403"/>
      <c r="O100" s="403"/>
      <c r="P100" s="404"/>
      <c r="Q100" s="404"/>
      <c r="R100" s="404"/>
      <c r="S100" s="404"/>
      <c r="T100" s="404"/>
      <c r="U100" s="404"/>
      <c r="V100" s="404"/>
      <c r="W100" s="404"/>
      <c r="X100" s="404"/>
      <c r="Y100" s="10"/>
    </row>
    <row r="101" customFormat="false" ht="20.25" hidden="true" customHeight="true" outlineLevel="0" collapsed="false">
      <c r="A101" s="379"/>
      <c r="B101" s="379"/>
      <c r="C101" s="379"/>
      <c r="D101" s="379"/>
      <c r="E101" s="379"/>
      <c r="F101" s="379"/>
      <c r="G101" s="379"/>
      <c r="H101" s="379"/>
      <c r="I101" s="379"/>
      <c r="J101" s="379"/>
      <c r="K101" s="379"/>
      <c r="L101" s="379"/>
      <c r="M101" s="379"/>
      <c r="N101" s="379"/>
      <c r="O101" s="379"/>
      <c r="P101" s="379"/>
      <c r="Q101" s="379"/>
      <c r="R101" s="379"/>
      <c r="S101" s="379"/>
      <c r="T101" s="379"/>
      <c r="U101" s="379"/>
      <c r="V101" s="379"/>
      <c r="W101" s="379"/>
      <c r="X101" s="379"/>
      <c r="Y101" s="10"/>
    </row>
    <row r="102" customFormat="false" ht="21" hidden="true" customHeight="true" outlineLevel="0" collapsed="false">
      <c r="A102" s="379"/>
      <c r="B102" s="379"/>
      <c r="C102" s="379"/>
      <c r="D102" s="379"/>
      <c r="E102" s="379"/>
      <c r="F102" s="379"/>
      <c r="G102" s="379"/>
      <c r="H102" s="379"/>
      <c r="I102" s="405" t="s">
        <v>1252</v>
      </c>
      <c r="J102" s="405"/>
      <c r="K102" s="405"/>
      <c r="L102" s="405"/>
      <c r="M102" s="405"/>
      <c r="N102" s="405"/>
      <c r="O102" s="405"/>
      <c r="P102" s="405"/>
      <c r="Q102" s="381"/>
      <c r="R102" s="381"/>
      <c r="S102" s="381"/>
      <c r="T102" s="381"/>
      <c r="U102" s="381"/>
      <c r="V102" s="381"/>
      <c r="W102" s="381"/>
      <c r="X102" s="381"/>
      <c r="Y102" s="10"/>
    </row>
    <row r="103" customFormat="false" ht="9.75" hidden="true" customHeight="true" outlineLevel="0" collapsed="false">
      <c r="A103" s="379"/>
      <c r="B103" s="379"/>
      <c r="C103" s="379"/>
      <c r="D103" s="379"/>
      <c r="E103" s="379"/>
      <c r="F103" s="379"/>
      <c r="G103" s="379"/>
      <c r="H103" s="379"/>
      <c r="I103" s="379"/>
      <c r="J103" s="379"/>
      <c r="K103" s="379"/>
      <c r="L103" s="379"/>
      <c r="M103" s="379"/>
      <c r="N103" s="379"/>
      <c r="O103" s="379"/>
      <c r="P103" s="379"/>
      <c r="Q103" s="379"/>
      <c r="R103" s="379"/>
      <c r="S103" s="379"/>
      <c r="T103" s="379"/>
      <c r="U103" s="379"/>
      <c r="V103" s="379"/>
      <c r="W103" s="379"/>
      <c r="X103" s="379"/>
      <c r="Y103" s="10"/>
    </row>
    <row r="104" s="410" customFormat="true" ht="21" hidden="true" customHeight="true" outlineLevel="0" collapsed="false">
      <c r="A104" s="406" t="s">
        <v>1238</v>
      </c>
      <c r="B104" s="406"/>
      <c r="C104" s="406"/>
      <c r="D104" s="406"/>
      <c r="E104" s="407" t="s">
        <v>1239</v>
      </c>
      <c r="F104" s="407"/>
      <c r="G104" s="407"/>
      <c r="H104" s="407"/>
      <c r="I104" s="407" t="s">
        <v>1216</v>
      </c>
      <c r="J104" s="407"/>
      <c r="K104" s="407"/>
      <c r="L104" s="407"/>
      <c r="M104" s="407" t="s">
        <v>1217</v>
      </c>
      <c r="N104" s="407"/>
      <c r="O104" s="407"/>
      <c r="P104" s="407"/>
      <c r="Q104" s="408" t="s">
        <v>1240</v>
      </c>
      <c r="R104" s="408"/>
      <c r="S104" s="408"/>
      <c r="T104" s="408"/>
      <c r="U104" s="409" t="s">
        <v>1241</v>
      </c>
      <c r="V104" s="409"/>
      <c r="W104" s="409"/>
      <c r="X104" s="409"/>
      <c r="Y104" s="10"/>
    </row>
    <row r="105" s="410" customFormat="true" ht="9" hidden="true" customHeight="true" outlineLevel="0" collapsed="false">
      <c r="A105" s="388"/>
      <c r="B105" s="388"/>
      <c r="C105" s="388"/>
      <c r="D105" s="388"/>
      <c r="E105" s="390" t="s">
        <v>1087</v>
      </c>
      <c r="F105" s="390"/>
      <c r="G105" s="390"/>
      <c r="H105" s="390"/>
      <c r="I105" s="390" t="s">
        <v>1087</v>
      </c>
      <c r="J105" s="390"/>
      <c r="K105" s="390"/>
      <c r="L105" s="390"/>
      <c r="M105" s="390" t="s">
        <v>1087</v>
      </c>
      <c r="N105" s="390"/>
      <c r="O105" s="390"/>
      <c r="P105" s="390"/>
      <c r="Q105" s="390" t="s">
        <v>1087</v>
      </c>
      <c r="R105" s="390"/>
      <c r="S105" s="390"/>
      <c r="T105" s="390"/>
      <c r="U105" s="411"/>
      <c r="V105" s="411"/>
      <c r="W105" s="411"/>
      <c r="X105" s="411"/>
      <c r="Y105" s="10"/>
    </row>
    <row r="106" s="416" customFormat="true" ht="19.5" hidden="true" customHeight="true" outlineLevel="0" collapsed="false">
      <c r="A106" s="412" t="s">
        <v>1253</v>
      </c>
      <c r="B106" s="412"/>
      <c r="C106" s="412"/>
      <c r="D106" s="412"/>
      <c r="E106" s="413" t="n">
        <v>152520</v>
      </c>
      <c r="F106" s="413"/>
      <c r="G106" s="413"/>
      <c r="H106" s="413"/>
      <c r="I106" s="413" t="n">
        <v>0</v>
      </c>
      <c r="J106" s="413"/>
      <c r="K106" s="413"/>
      <c r="L106" s="413"/>
      <c r="M106" s="413" t="n">
        <v>0</v>
      </c>
      <c r="N106" s="413"/>
      <c r="O106" s="413"/>
      <c r="P106" s="413"/>
      <c r="Q106" s="414" t="n">
        <f aca="false">E106+I106-M106</f>
        <v>152520</v>
      </c>
      <c r="R106" s="414"/>
      <c r="S106" s="414"/>
      <c r="T106" s="414"/>
      <c r="U106" s="415"/>
      <c r="V106" s="415"/>
      <c r="W106" s="415"/>
      <c r="X106" s="415"/>
      <c r="Y106" s="10"/>
    </row>
    <row r="107" s="410" customFormat="true" ht="19.5" hidden="true" customHeight="true" outlineLevel="0" collapsed="false">
      <c r="A107" s="417" t="s">
        <v>1243</v>
      </c>
      <c r="B107" s="417"/>
      <c r="C107" s="417"/>
      <c r="D107" s="417"/>
      <c r="E107" s="418" t="n">
        <f aca="false">SUM(E106:H106)</f>
        <v>152520</v>
      </c>
      <c r="F107" s="418"/>
      <c r="G107" s="418"/>
      <c r="H107" s="418"/>
      <c r="I107" s="418" t="n">
        <f aca="false">SUM(I106:L106)</f>
        <v>0</v>
      </c>
      <c r="J107" s="418"/>
      <c r="K107" s="418"/>
      <c r="L107" s="418"/>
      <c r="M107" s="418" t="n">
        <f aca="false">SUM(M106:P106)</f>
        <v>0</v>
      </c>
      <c r="N107" s="418"/>
      <c r="O107" s="418"/>
      <c r="P107" s="418"/>
      <c r="Q107" s="418" t="n">
        <f aca="false">SUM(Q106:T106)</f>
        <v>152520</v>
      </c>
      <c r="R107" s="418"/>
      <c r="S107" s="418"/>
      <c r="T107" s="418"/>
      <c r="U107" s="419"/>
      <c r="V107" s="419"/>
      <c r="W107" s="419"/>
      <c r="X107" s="419"/>
      <c r="Y107" s="10"/>
    </row>
    <row r="108" customFormat="false" ht="14.25" hidden="true" customHeight="true" outlineLevel="0" collapsed="false">
      <c r="A108" s="379"/>
      <c r="B108" s="379"/>
      <c r="C108" s="379"/>
      <c r="D108" s="379"/>
      <c r="E108" s="379"/>
      <c r="F108" s="379"/>
      <c r="G108" s="379"/>
      <c r="H108" s="379"/>
      <c r="I108" s="379"/>
      <c r="J108" s="379"/>
      <c r="K108" s="379"/>
      <c r="L108" s="379"/>
      <c r="M108" s="379"/>
      <c r="N108" s="379"/>
      <c r="O108" s="379"/>
      <c r="P108" s="379"/>
      <c r="Q108" s="379"/>
      <c r="R108" s="379"/>
      <c r="S108" s="379"/>
      <c r="T108" s="379"/>
      <c r="U108" s="379"/>
      <c r="V108" s="379"/>
      <c r="W108" s="379"/>
      <c r="X108" s="379"/>
      <c r="Y108" s="10"/>
    </row>
    <row r="109" customFormat="false" ht="14.25" hidden="true" customHeight="true" outlineLevel="0" collapsed="false">
      <c r="A109" s="379"/>
      <c r="B109" s="379"/>
      <c r="C109" s="379"/>
      <c r="D109" s="379"/>
      <c r="E109" s="379"/>
      <c r="F109" s="379"/>
      <c r="G109" s="379"/>
      <c r="H109" s="379"/>
      <c r="I109" s="379"/>
      <c r="J109" s="379"/>
      <c r="K109" s="379"/>
      <c r="L109" s="379"/>
      <c r="M109" s="379"/>
      <c r="N109" s="379"/>
      <c r="O109" s="379"/>
      <c r="P109" s="379"/>
      <c r="Q109" s="379"/>
      <c r="R109" s="379"/>
      <c r="S109" s="379"/>
      <c r="T109" s="379"/>
      <c r="U109" s="379"/>
      <c r="V109" s="379"/>
      <c r="W109" s="379"/>
      <c r="X109" s="379"/>
      <c r="Y109" s="10"/>
    </row>
    <row r="110" customFormat="false" ht="14.25" hidden="true" customHeight="true" outlineLevel="0" collapsed="false">
      <c r="A110" s="379"/>
      <c r="B110" s="379"/>
      <c r="C110" s="379"/>
      <c r="D110" s="379"/>
      <c r="E110" s="379"/>
      <c r="F110" s="379"/>
      <c r="G110" s="379"/>
      <c r="H110" s="379"/>
      <c r="I110" s="379"/>
      <c r="J110" s="379"/>
      <c r="K110" s="379"/>
      <c r="L110" s="379"/>
      <c r="M110" s="379"/>
      <c r="N110" s="379"/>
      <c r="O110" s="379"/>
      <c r="P110" s="379"/>
      <c r="Q110" s="379"/>
      <c r="R110" s="379"/>
      <c r="S110" s="379"/>
      <c r="T110" s="379"/>
      <c r="U110" s="379"/>
      <c r="V110" s="379"/>
      <c r="W110" s="379"/>
      <c r="X110" s="379"/>
      <c r="Y110" s="10"/>
    </row>
    <row r="111" customFormat="false" ht="21" hidden="false" customHeight="true" outlineLevel="0" collapsed="false">
      <c r="A111" s="10"/>
      <c r="B111" s="10"/>
      <c r="C111" s="10"/>
      <c r="D111" s="10"/>
      <c r="E111" s="10"/>
      <c r="F111" s="10"/>
      <c r="G111" s="10"/>
      <c r="H111" s="10"/>
      <c r="I111" s="420" t="s">
        <v>1252</v>
      </c>
      <c r="J111" s="420"/>
      <c r="K111" s="420"/>
      <c r="L111" s="420"/>
      <c r="M111" s="420"/>
      <c r="N111" s="420"/>
      <c r="O111" s="420"/>
      <c r="P111" s="420"/>
      <c r="Q111" s="208"/>
      <c r="R111" s="208"/>
      <c r="S111" s="208"/>
      <c r="T111" s="208"/>
      <c r="U111" s="208"/>
      <c r="V111" s="208"/>
      <c r="W111" s="208"/>
      <c r="X111" s="208"/>
      <c r="Y111" s="10"/>
    </row>
    <row r="112" customFormat="false" ht="14.25" hidden="false" customHeight="true" outlineLevel="0" collapsed="false">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row>
    <row r="113" customFormat="false" ht="22.5" hidden="false" customHeight="true" outlineLevel="0" collapsed="false">
      <c r="A113" s="234" t="s">
        <v>1238</v>
      </c>
      <c r="B113" s="234"/>
      <c r="C113" s="234"/>
      <c r="D113" s="234"/>
      <c r="E113" s="326" t="s">
        <v>1239</v>
      </c>
      <c r="F113" s="326"/>
      <c r="G113" s="326"/>
      <c r="H113" s="326"/>
      <c r="I113" s="326" t="s">
        <v>1216</v>
      </c>
      <c r="J113" s="326"/>
      <c r="K113" s="326"/>
      <c r="L113" s="326"/>
      <c r="M113" s="326" t="s">
        <v>1217</v>
      </c>
      <c r="N113" s="326"/>
      <c r="O113" s="326"/>
      <c r="P113" s="326"/>
      <c r="Q113" s="370" t="s">
        <v>1240</v>
      </c>
      <c r="R113" s="370"/>
      <c r="S113" s="370"/>
      <c r="T113" s="370"/>
      <c r="U113" s="213" t="s">
        <v>1241</v>
      </c>
      <c r="V113" s="213"/>
      <c r="W113" s="213"/>
      <c r="X113" s="213"/>
      <c r="Y113" s="10"/>
    </row>
    <row r="114" customFormat="false" ht="9.75" hidden="false" customHeight="true" outlineLevel="0" collapsed="false">
      <c r="A114" s="371"/>
      <c r="B114" s="371"/>
      <c r="C114" s="371"/>
      <c r="D114" s="371"/>
      <c r="E114" s="372" t="s">
        <v>1087</v>
      </c>
      <c r="F114" s="372"/>
      <c r="G114" s="372"/>
      <c r="H114" s="372"/>
      <c r="I114" s="372" t="s">
        <v>1087</v>
      </c>
      <c r="J114" s="372"/>
      <c r="K114" s="372"/>
      <c r="L114" s="372"/>
      <c r="M114" s="372" t="s">
        <v>1087</v>
      </c>
      <c r="N114" s="372"/>
      <c r="O114" s="372"/>
      <c r="P114" s="372"/>
      <c r="Q114" s="372" t="s">
        <v>1087</v>
      </c>
      <c r="R114" s="372"/>
      <c r="S114" s="372"/>
      <c r="T114" s="372"/>
      <c r="U114" s="421" t="s">
        <v>1254</v>
      </c>
      <c r="V114" s="421"/>
      <c r="W114" s="421"/>
      <c r="X114" s="421"/>
      <c r="Y114" s="10"/>
    </row>
    <row r="115" customFormat="false" ht="18.75" hidden="false" customHeight="true" outlineLevel="0" collapsed="false">
      <c r="A115" s="422" t="s">
        <v>1253</v>
      </c>
      <c r="B115" s="422"/>
      <c r="C115" s="422"/>
      <c r="D115" s="422"/>
      <c r="E115" s="423" t="n">
        <v>466904</v>
      </c>
      <c r="F115" s="423"/>
      <c r="G115" s="423"/>
      <c r="H115" s="423"/>
      <c r="I115" s="374" t="n">
        <f aca="false">H85</f>
        <v>176556</v>
      </c>
      <c r="J115" s="374"/>
      <c r="K115" s="374"/>
      <c r="L115" s="374"/>
      <c r="M115" s="423"/>
      <c r="N115" s="423"/>
      <c r="O115" s="423"/>
      <c r="P115" s="423"/>
      <c r="Q115" s="424" t="n">
        <f aca="false">E115+I115-M115</f>
        <v>643460</v>
      </c>
      <c r="R115" s="424"/>
      <c r="S115" s="424"/>
      <c r="T115" s="424"/>
      <c r="U115" s="421"/>
      <c r="V115" s="421"/>
      <c r="W115" s="421"/>
      <c r="X115" s="421"/>
      <c r="Y115" s="10"/>
    </row>
    <row r="116" customFormat="false" ht="22.5" hidden="false" customHeight="true" outlineLevel="0" collapsed="false">
      <c r="A116" s="227" t="s">
        <v>1243</v>
      </c>
      <c r="B116" s="227"/>
      <c r="C116" s="227"/>
      <c r="D116" s="227"/>
      <c r="E116" s="376" t="n">
        <f aca="false">SUM(E115)</f>
        <v>466904</v>
      </c>
      <c r="F116" s="376"/>
      <c r="G116" s="376"/>
      <c r="H116" s="376"/>
      <c r="I116" s="376" t="n">
        <f aca="false">SUM(I115)</f>
        <v>176556</v>
      </c>
      <c r="J116" s="376"/>
      <c r="K116" s="376"/>
      <c r="L116" s="376"/>
      <c r="M116" s="376" t="n">
        <f aca="false">SUM(M115)</f>
        <v>0</v>
      </c>
      <c r="N116" s="376"/>
      <c r="O116" s="376"/>
      <c r="P116" s="376"/>
      <c r="Q116" s="376" t="n">
        <f aca="false">SUM(Q115)</f>
        <v>643460</v>
      </c>
      <c r="R116" s="376"/>
      <c r="S116" s="376"/>
      <c r="T116" s="376"/>
      <c r="U116" s="378"/>
      <c r="V116" s="378"/>
      <c r="W116" s="378"/>
      <c r="X116" s="378"/>
      <c r="Y116" s="10"/>
    </row>
    <row r="117" customFormat="false" ht="14.25" hidden="false" customHeight="true" outlineLevel="0" collapsed="false">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row>
    <row r="118" customFormat="false" ht="20.25" hidden="false" customHeight="true" outlineLevel="0" collapsed="false">
      <c r="A118" s="10"/>
      <c r="B118" s="10"/>
      <c r="C118" s="10"/>
      <c r="D118" s="10"/>
      <c r="E118" s="10"/>
      <c r="F118" s="10"/>
      <c r="G118" s="10"/>
      <c r="H118" s="10"/>
      <c r="I118" s="207" t="s">
        <v>1255</v>
      </c>
      <c r="J118" s="207"/>
      <c r="K118" s="207"/>
      <c r="L118" s="207"/>
      <c r="M118" s="207"/>
      <c r="N118" s="207"/>
      <c r="O118" s="207"/>
      <c r="P118" s="207"/>
      <c r="Q118" s="208"/>
      <c r="R118" s="208"/>
      <c r="S118" s="208"/>
      <c r="T118" s="208"/>
      <c r="U118" s="208"/>
      <c r="V118" s="208"/>
      <c r="W118" s="208"/>
      <c r="X118" s="208"/>
      <c r="Y118" s="10"/>
    </row>
    <row r="119" customFormat="false" ht="9.75" hidden="false" customHeight="true" outlineLevel="0" collapsed="false">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row>
    <row r="120" s="214" customFormat="true" ht="21" hidden="false" customHeight="true" outlineLevel="0" collapsed="false">
      <c r="A120" s="234" t="s">
        <v>1256</v>
      </c>
      <c r="B120" s="234"/>
      <c r="C120" s="234"/>
      <c r="D120" s="234"/>
      <c r="E120" s="326" t="s">
        <v>1257</v>
      </c>
      <c r="F120" s="326"/>
      <c r="G120" s="326"/>
      <c r="H120" s="326"/>
      <c r="I120" s="326"/>
      <c r="J120" s="326" t="s">
        <v>1258</v>
      </c>
      <c r="K120" s="326"/>
      <c r="L120" s="326"/>
      <c r="M120" s="326"/>
      <c r="N120" s="326"/>
      <c r="O120" s="326" t="s">
        <v>1259</v>
      </c>
      <c r="P120" s="326"/>
      <c r="Q120" s="326"/>
      <c r="R120" s="326"/>
      <c r="S120" s="326"/>
      <c r="T120" s="213" t="s">
        <v>1260</v>
      </c>
      <c r="U120" s="213"/>
      <c r="V120" s="213"/>
      <c r="W120" s="213"/>
      <c r="X120" s="213"/>
      <c r="Y120" s="10"/>
    </row>
    <row r="121" s="214" customFormat="true" ht="9" hidden="false" customHeight="true" outlineLevel="0" collapsed="false">
      <c r="A121" s="425"/>
      <c r="B121" s="425"/>
      <c r="C121" s="425"/>
      <c r="D121" s="425"/>
      <c r="E121" s="372" t="s">
        <v>1087</v>
      </c>
      <c r="F121" s="372"/>
      <c r="G121" s="372"/>
      <c r="H121" s="372"/>
      <c r="I121" s="372"/>
      <c r="J121" s="372" t="s">
        <v>1087</v>
      </c>
      <c r="K121" s="372"/>
      <c r="L121" s="372"/>
      <c r="M121" s="372"/>
      <c r="N121" s="372"/>
      <c r="O121" s="372" t="s">
        <v>1087</v>
      </c>
      <c r="P121" s="372"/>
      <c r="Q121" s="372"/>
      <c r="R121" s="372"/>
      <c r="S121" s="372"/>
      <c r="T121" s="426" t="s">
        <v>1087</v>
      </c>
      <c r="U121" s="426"/>
      <c r="V121" s="426"/>
      <c r="W121" s="426"/>
      <c r="X121" s="426"/>
      <c r="Y121" s="10"/>
    </row>
    <row r="122" s="214" customFormat="true" ht="19.5" hidden="false" customHeight="true" outlineLevel="0" collapsed="false">
      <c r="A122" s="221" t="s">
        <v>78</v>
      </c>
      <c r="B122" s="221"/>
      <c r="C122" s="221"/>
      <c r="D122" s="221"/>
      <c r="E122" s="374" t="n">
        <f aca="false">業務経理P19!M5</f>
        <v>33000</v>
      </c>
      <c r="F122" s="374"/>
      <c r="G122" s="374"/>
      <c r="H122" s="374"/>
      <c r="I122" s="374"/>
      <c r="J122" s="374" t="n">
        <f aca="false">決算精算表!C21</f>
        <v>33000</v>
      </c>
      <c r="K122" s="374"/>
      <c r="L122" s="374"/>
      <c r="M122" s="374"/>
      <c r="N122" s="374"/>
      <c r="O122" s="374" t="n">
        <f aca="false">決算精算表!B21</f>
        <v>0</v>
      </c>
      <c r="P122" s="374"/>
      <c r="Q122" s="374"/>
      <c r="R122" s="374"/>
      <c r="S122" s="374"/>
      <c r="T122" s="427" t="n">
        <f aca="false">E122-J122-O122</f>
        <v>0</v>
      </c>
      <c r="U122" s="427"/>
      <c r="V122" s="427"/>
      <c r="W122" s="427"/>
      <c r="X122" s="427"/>
      <c r="Y122" s="10"/>
    </row>
    <row r="123" s="214" customFormat="true" ht="19.5" hidden="false" customHeight="true" outlineLevel="0" collapsed="false">
      <c r="A123" s="428" t="s">
        <v>79</v>
      </c>
      <c r="B123" s="428"/>
      <c r="C123" s="428"/>
      <c r="D123" s="428"/>
      <c r="E123" s="429" t="n">
        <f aca="false">業務経理P19!M6</f>
        <v>11428000</v>
      </c>
      <c r="F123" s="429"/>
      <c r="G123" s="429"/>
      <c r="H123" s="429"/>
      <c r="I123" s="429"/>
      <c r="J123" s="429" t="n">
        <f aca="false">決算精算表!C22</f>
        <v>10082322</v>
      </c>
      <c r="K123" s="429"/>
      <c r="L123" s="429"/>
      <c r="M123" s="429"/>
      <c r="N123" s="429"/>
      <c r="O123" s="429" t="n">
        <f aca="false">決算精算表!B22</f>
        <v>59015</v>
      </c>
      <c r="P123" s="429"/>
      <c r="Q123" s="429"/>
      <c r="R123" s="429"/>
      <c r="S123" s="429"/>
      <c r="T123" s="430" t="n">
        <f aca="false">E123-J123-O123</f>
        <v>1286663</v>
      </c>
      <c r="U123" s="430"/>
      <c r="V123" s="430"/>
      <c r="W123" s="430"/>
      <c r="X123" s="430"/>
      <c r="Y123" s="10"/>
    </row>
    <row r="124" s="214" customFormat="true" ht="19.5" hidden="false" customHeight="true" outlineLevel="0" collapsed="false">
      <c r="A124" s="428" t="s">
        <v>1261</v>
      </c>
      <c r="B124" s="428"/>
      <c r="C124" s="428"/>
      <c r="D124" s="428"/>
      <c r="E124" s="429" t="n">
        <f aca="false">業務経理P19!M8</f>
        <v>1675000</v>
      </c>
      <c r="F124" s="429"/>
      <c r="G124" s="429"/>
      <c r="H124" s="429"/>
      <c r="I124" s="429"/>
      <c r="J124" s="429" t="n">
        <f aca="false">決算精算表!C24</f>
        <v>343112</v>
      </c>
      <c r="K124" s="429"/>
      <c r="L124" s="429"/>
      <c r="M124" s="429"/>
      <c r="N124" s="429"/>
      <c r="O124" s="429" t="n">
        <f aca="false">決算精算表!B24</f>
        <v>0</v>
      </c>
      <c r="P124" s="429"/>
      <c r="Q124" s="429"/>
      <c r="R124" s="429"/>
      <c r="S124" s="429"/>
      <c r="T124" s="430" t="n">
        <f aca="false">E124-J124-O124</f>
        <v>1331888</v>
      </c>
      <c r="U124" s="430"/>
      <c r="V124" s="430"/>
      <c r="W124" s="430"/>
      <c r="X124" s="430"/>
      <c r="Y124" s="431" t="s">
        <v>1262</v>
      </c>
    </row>
    <row r="125" s="214" customFormat="true" ht="19.5" hidden="false" customHeight="true" outlineLevel="0" collapsed="false">
      <c r="A125" s="428" t="s">
        <v>82</v>
      </c>
      <c r="B125" s="428"/>
      <c r="C125" s="428"/>
      <c r="D125" s="428"/>
      <c r="E125" s="432" t="n">
        <v>17238000</v>
      </c>
      <c r="F125" s="432"/>
      <c r="G125" s="432"/>
      <c r="H125" s="432"/>
      <c r="I125" s="432"/>
      <c r="J125" s="429" t="n">
        <f aca="false">決算精算表!C25</f>
        <v>13146428</v>
      </c>
      <c r="K125" s="429"/>
      <c r="L125" s="429"/>
      <c r="M125" s="429"/>
      <c r="N125" s="429"/>
      <c r="O125" s="429" t="n">
        <f aca="false">決算精算表!B25</f>
        <v>846685</v>
      </c>
      <c r="P125" s="429"/>
      <c r="Q125" s="429"/>
      <c r="R125" s="429"/>
      <c r="S125" s="429"/>
      <c r="T125" s="430" t="n">
        <f aca="false">E125-J125-O125</f>
        <v>3244887</v>
      </c>
      <c r="U125" s="430"/>
      <c r="V125" s="430"/>
      <c r="W125" s="430"/>
      <c r="X125" s="430"/>
      <c r="Y125" s="431" t="s">
        <v>1263</v>
      </c>
    </row>
    <row r="126" s="214" customFormat="true" ht="19.5" hidden="false" customHeight="true" outlineLevel="0" collapsed="false">
      <c r="A126" s="227" t="s">
        <v>1243</v>
      </c>
      <c r="B126" s="227"/>
      <c r="C126" s="227"/>
      <c r="D126" s="227"/>
      <c r="E126" s="376" t="n">
        <f aca="false">SUM(E122:I125)</f>
        <v>30374000</v>
      </c>
      <c r="F126" s="376"/>
      <c r="G126" s="376"/>
      <c r="H126" s="376"/>
      <c r="I126" s="376"/>
      <c r="J126" s="376" t="n">
        <f aca="false">SUM(J122:N125)</f>
        <v>23604862</v>
      </c>
      <c r="K126" s="376"/>
      <c r="L126" s="376"/>
      <c r="M126" s="376"/>
      <c r="N126" s="376"/>
      <c r="O126" s="376" t="n">
        <f aca="false">SUM(O122:S125)</f>
        <v>905700</v>
      </c>
      <c r="P126" s="376"/>
      <c r="Q126" s="376"/>
      <c r="R126" s="376"/>
      <c r="S126" s="376"/>
      <c r="T126" s="433" t="n">
        <f aca="false">SUM(T122:X125)</f>
        <v>5863438</v>
      </c>
      <c r="U126" s="433"/>
      <c r="V126" s="433"/>
      <c r="W126" s="433"/>
      <c r="X126" s="433"/>
      <c r="Y126" s="10"/>
    </row>
    <row r="127" customFormat="false" ht="17.25" hidden="false" customHeight="true" outlineLevel="0" collapsed="false">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row>
    <row r="128" customFormat="false" ht="14.25" hidden="false" customHeight="true" outlineLevel="0" collapsed="false">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row>
    <row r="129" s="214" customFormat="true" ht="21" hidden="false" customHeight="true" outlineLevel="0" collapsed="false">
      <c r="A129" s="10"/>
      <c r="B129" s="434"/>
      <c r="C129" s="434"/>
      <c r="D129" s="434"/>
      <c r="E129" s="434"/>
      <c r="F129" s="434"/>
      <c r="G129" s="435"/>
      <c r="H129" s="435"/>
      <c r="I129" s="207" t="s">
        <v>1264</v>
      </c>
      <c r="J129" s="207"/>
      <c r="K129" s="207"/>
      <c r="L129" s="207"/>
      <c r="M129" s="207"/>
      <c r="N129" s="207"/>
      <c r="O129" s="207"/>
      <c r="P129" s="207"/>
      <c r="Q129" s="208"/>
      <c r="R129" s="208"/>
      <c r="S129" s="208"/>
      <c r="T129" s="208"/>
      <c r="U129" s="208"/>
      <c r="V129" s="208"/>
      <c r="W129" s="208"/>
      <c r="X129" s="208"/>
      <c r="Y129" s="10"/>
    </row>
    <row r="130" s="214" customFormat="true" ht="11.25" hidden="false" customHeight="true" outlineLevel="0" collapsed="false">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row>
    <row r="131" s="214" customFormat="true" ht="20.25" hidden="false" customHeight="true" outlineLevel="0" collapsed="false">
      <c r="A131" s="436"/>
      <c r="B131" s="436"/>
      <c r="C131" s="436"/>
      <c r="D131" s="436"/>
      <c r="E131" s="436"/>
      <c r="F131" s="436"/>
      <c r="G131" s="437" t="str">
        <f aca="false">"自 令和"&amp;JIS(入力!$B$5)&amp;"年４月１日  至 令和"&amp;JIS(入力!$B$5+1)&amp;"年３月３１日"</f>
        <v>自 令和７年４月１日  至 令和８年３月３１日</v>
      </c>
      <c r="H131" s="437"/>
      <c r="I131" s="437"/>
      <c r="J131" s="437"/>
      <c r="K131" s="437"/>
      <c r="L131" s="437"/>
      <c r="M131" s="437"/>
      <c r="N131" s="437"/>
      <c r="O131" s="437"/>
      <c r="P131" s="437"/>
      <c r="Q131" s="437"/>
      <c r="R131" s="437"/>
      <c r="S131" s="436"/>
      <c r="T131" s="436"/>
      <c r="U131" s="436"/>
      <c r="V131" s="436"/>
      <c r="W131" s="436"/>
      <c r="X131" s="10"/>
      <c r="Y131" s="10"/>
    </row>
    <row r="132" s="214" customFormat="true" ht="20.25" hidden="false" customHeight="true" outlineLevel="0" collapsed="false">
      <c r="A132" s="436"/>
      <c r="B132" s="436"/>
      <c r="C132" s="436"/>
      <c r="D132" s="436"/>
      <c r="E132" s="436"/>
      <c r="F132" s="436"/>
      <c r="G132" s="436"/>
      <c r="H132" s="436"/>
      <c r="I132" s="436"/>
      <c r="J132" s="436"/>
      <c r="K132" s="436"/>
      <c r="L132" s="436"/>
      <c r="M132" s="436"/>
      <c r="N132" s="436"/>
      <c r="O132" s="436"/>
      <c r="P132" s="436"/>
      <c r="Q132" s="436"/>
      <c r="R132" s="436"/>
      <c r="S132" s="436"/>
      <c r="T132" s="436"/>
      <c r="U132" s="436"/>
      <c r="V132" s="436"/>
      <c r="W132" s="436"/>
      <c r="X132" s="10"/>
      <c r="Y132" s="10"/>
    </row>
    <row r="133" s="214" customFormat="true" ht="20.25" hidden="false" customHeight="true" outlineLevel="0" collapsed="false">
      <c r="A133" s="436"/>
      <c r="B133" s="436"/>
      <c r="C133" s="438" t="s">
        <v>1265</v>
      </c>
      <c r="D133" s="439" t="s">
        <v>1242</v>
      </c>
      <c r="E133" s="439"/>
      <c r="F133" s="439"/>
      <c r="G133" s="439"/>
      <c r="H133" s="439"/>
      <c r="I133" s="439"/>
      <c r="J133" s="439"/>
      <c r="K133" s="439"/>
      <c r="L133" s="436"/>
      <c r="M133" s="436"/>
      <c r="N133" s="436"/>
      <c r="O133" s="436"/>
      <c r="P133" s="440" t="n">
        <f aca="false">E91</f>
        <v>71093911</v>
      </c>
      <c r="Q133" s="440"/>
      <c r="R133" s="440"/>
      <c r="S133" s="440"/>
      <c r="T133" s="440"/>
      <c r="U133" s="440"/>
      <c r="V133" s="441" t="s">
        <v>1087</v>
      </c>
      <c r="W133" s="441"/>
      <c r="X133" s="10"/>
      <c r="Y133" s="10"/>
    </row>
    <row r="134" s="214" customFormat="true" ht="20.25" hidden="false" customHeight="true" outlineLevel="0" collapsed="false">
      <c r="A134" s="441"/>
      <c r="B134" s="441"/>
      <c r="C134" s="438" t="s">
        <v>1266</v>
      </c>
      <c r="D134" s="439" t="s">
        <v>1099</v>
      </c>
      <c r="E134" s="439"/>
      <c r="F134" s="439"/>
      <c r="G134" s="439"/>
      <c r="H134" s="439"/>
      <c r="I134" s="439"/>
      <c r="J134" s="439"/>
      <c r="K134" s="439"/>
      <c r="L134" s="441"/>
      <c r="M134" s="441"/>
      <c r="N134" s="441"/>
      <c r="O134" s="441"/>
      <c r="P134" s="442" t="n">
        <f aca="false">決算精算表!A38-決算精算表!F46</f>
        <v>3603510</v>
      </c>
      <c r="Q134" s="442"/>
      <c r="R134" s="442"/>
      <c r="S134" s="442"/>
      <c r="T134" s="442"/>
      <c r="U134" s="442"/>
      <c r="V134" s="441" t="s">
        <v>1087</v>
      </c>
      <c r="W134" s="441"/>
      <c r="X134" s="10"/>
      <c r="Y134" s="10"/>
    </row>
    <row r="135" s="214" customFormat="true" ht="20.25" hidden="false" customHeight="true" outlineLevel="0" collapsed="false">
      <c r="A135" s="441"/>
      <c r="B135" s="441"/>
      <c r="C135" s="438" t="s">
        <v>1267</v>
      </c>
      <c r="D135" s="439" t="s">
        <v>1268</v>
      </c>
      <c r="E135" s="439"/>
      <c r="F135" s="439"/>
      <c r="G135" s="439"/>
      <c r="H135" s="439"/>
      <c r="I135" s="439"/>
      <c r="J135" s="439"/>
      <c r="K135" s="439"/>
      <c r="L135" s="441"/>
      <c r="M135" s="441"/>
      <c r="N135" s="441"/>
      <c r="O135" s="441"/>
      <c r="P135" s="443" t="n">
        <v>0</v>
      </c>
      <c r="Q135" s="443"/>
      <c r="R135" s="443"/>
      <c r="S135" s="443"/>
      <c r="T135" s="443"/>
      <c r="U135" s="443"/>
      <c r="V135" s="441" t="s">
        <v>1087</v>
      </c>
      <c r="W135" s="441"/>
      <c r="X135" s="10"/>
      <c r="Y135" s="10"/>
    </row>
    <row r="136" s="214" customFormat="true" ht="20.25" hidden="true" customHeight="true" outlineLevel="0" collapsed="false">
      <c r="A136" s="441"/>
      <c r="B136" s="441"/>
      <c r="C136" s="441"/>
      <c r="D136" s="441"/>
      <c r="E136" s="439" t="s">
        <v>1269</v>
      </c>
      <c r="F136" s="439"/>
      <c r="G136" s="439"/>
      <c r="H136" s="439"/>
      <c r="I136" s="439"/>
      <c r="J136" s="439"/>
      <c r="K136" s="444" t="n">
        <v>0</v>
      </c>
      <c r="L136" s="444"/>
      <c r="M136" s="444"/>
      <c r="N136" s="441" t="s">
        <v>1087</v>
      </c>
      <c r="O136" s="441"/>
      <c r="P136" s="441"/>
      <c r="Q136" s="441"/>
      <c r="R136" s="441"/>
      <c r="S136" s="441"/>
      <c r="T136" s="441"/>
      <c r="U136" s="441"/>
      <c r="V136" s="441"/>
      <c r="W136" s="441"/>
      <c r="X136" s="10"/>
      <c r="Y136" s="10"/>
    </row>
    <row r="137" s="214" customFormat="true" ht="20.25" hidden="true" customHeight="true" outlineLevel="0" collapsed="false">
      <c r="A137" s="441"/>
      <c r="B137" s="441"/>
      <c r="C137" s="441"/>
      <c r="D137" s="441"/>
      <c r="E137" s="439" t="s">
        <v>1270</v>
      </c>
      <c r="F137" s="439"/>
      <c r="G137" s="439"/>
      <c r="H137" s="439"/>
      <c r="I137" s="439"/>
      <c r="J137" s="439"/>
      <c r="K137" s="444" t="n">
        <v>0</v>
      </c>
      <c r="L137" s="444"/>
      <c r="M137" s="444"/>
      <c r="N137" s="441" t="s">
        <v>1087</v>
      </c>
      <c r="O137" s="441"/>
      <c r="P137" s="441"/>
      <c r="Q137" s="441"/>
      <c r="R137" s="441"/>
      <c r="S137" s="441"/>
      <c r="T137" s="441"/>
      <c r="U137" s="441"/>
      <c r="V137" s="441"/>
      <c r="W137" s="441"/>
      <c r="X137" s="10"/>
      <c r="Y137" s="10"/>
    </row>
    <row r="138" s="214" customFormat="true" ht="20.25" hidden="true" customHeight="true" outlineLevel="0" collapsed="false">
      <c r="A138" s="441"/>
      <c r="B138" s="441"/>
      <c r="C138" s="441"/>
      <c r="D138" s="441"/>
      <c r="E138" s="439"/>
      <c r="F138" s="439"/>
      <c r="G138" s="439"/>
      <c r="H138" s="439"/>
      <c r="I138" s="439"/>
      <c r="J138" s="439"/>
      <c r="K138" s="444"/>
      <c r="L138" s="444"/>
      <c r="M138" s="444"/>
      <c r="N138" s="441"/>
      <c r="O138" s="441"/>
      <c r="P138" s="441"/>
      <c r="Q138" s="441"/>
      <c r="R138" s="441"/>
      <c r="S138" s="441"/>
      <c r="T138" s="441"/>
      <c r="U138" s="441"/>
      <c r="V138" s="441"/>
      <c r="W138" s="441"/>
      <c r="X138" s="10"/>
      <c r="Y138" s="10"/>
    </row>
    <row r="139" s="214" customFormat="true" ht="20.25" hidden="false" customHeight="true" outlineLevel="0" collapsed="false">
      <c r="A139" s="441"/>
      <c r="B139" s="441"/>
      <c r="C139" s="441"/>
      <c r="D139" s="439" t="s">
        <v>1242</v>
      </c>
      <c r="E139" s="439"/>
      <c r="F139" s="439"/>
      <c r="G139" s="439"/>
      <c r="H139" s="439"/>
      <c r="I139" s="439"/>
      <c r="J139" s="439"/>
      <c r="K139" s="439"/>
      <c r="L139" s="441"/>
      <c r="M139" s="441"/>
      <c r="N139" s="441"/>
      <c r="O139" s="441"/>
      <c r="P139" s="10"/>
      <c r="Q139" s="445" t="n">
        <f aca="false">P133+P134-P135</f>
        <v>74697421</v>
      </c>
      <c r="R139" s="445"/>
      <c r="S139" s="445"/>
      <c r="T139" s="445"/>
      <c r="U139" s="445"/>
      <c r="V139" s="446" t="s">
        <v>1087</v>
      </c>
      <c r="W139" s="441"/>
      <c r="X139" s="10"/>
      <c r="Y139" s="10"/>
    </row>
    <row r="140" s="214" customFormat="true" ht="20.25" hidden="false" customHeight="true" outlineLevel="0" collapsed="false">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row>
    <row r="141" s="214" customFormat="true" ht="13.5" hidden="false" customHeight="true" outlineLevel="0" collapsed="false">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row>
    <row r="142" customFormat="false" ht="13.5" hidden="false" customHeight="false" outlineLevel="0" collapsed="false">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row>
    <row r="143" customFormat="false" ht="14.25" hidden="false" customHeight="true" outlineLevel="0" collapsed="false">
      <c r="A143" s="10"/>
      <c r="B143" s="10"/>
      <c r="C143" s="10"/>
      <c r="D143" s="10"/>
      <c r="E143" s="10"/>
      <c r="F143" s="10"/>
      <c r="G143" s="10"/>
      <c r="H143" s="10"/>
      <c r="I143" s="10"/>
      <c r="J143" s="10"/>
      <c r="K143" s="10"/>
      <c r="L143" s="10"/>
      <c r="M143" s="10"/>
      <c r="N143" s="10"/>
      <c r="O143" s="10"/>
      <c r="P143" s="10"/>
      <c r="Q143" s="447" t="s">
        <v>1271</v>
      </c>
      <c r="R143" s="441"/>
      <c r="S143" s="441"/>
      <c r="T143" s="10"/>
      <c r="U143" s="10"/>
      <c r="V143" s="10"/>
      <c r="W143" s="10"/>
      <c r="X143" s="10"/>
      <c r="Y143" s="10"/>
    </row>
    <row r="144" customFormat="false" ht="13.5" hidden="false" customHeight="true" outlineLevel="0" collapsed="false">
      <c r="A144" s="10"/>
      <c r="B144" s="10"/>
      <c r="C144" s="10"/>
      <c r="D144" s="10"/>
      <c r="E144" s="10"/>
      <c r="F144" s="10"/>
      <c r="G144" s="10"/>
      <c r="H144" s="10"/>
      <c r="I144" s="10"/>
      <c r="J144" s="10"/>
      <c r="K144" s="10"/>
      <c r="L144" s="10"/>
      <c r="M144" s="10"/>
      <c r="N144" s="10"/>
      <c r="O144" s="10"/>
      <c r="P144" s="10"/>
      <c r="Q144" s="448" t="s">
        <v>1272</v>
      </c>
      <c r="R144" s="448"/>
      <c r="S144" s="448"/>
      <c r="T144" s="448"/>
      <c r="U144" s="448"/>
      <c r="V144" s="449"/>
      <c r="W144" s="450"/>
      <c r="X144" s="10"/>
      <c r="Y144" s="10"/>
    </row>
    <row r="145" customFormat="false" ht="14.25" hidden="false" customHeight="true" outlineLevel="0" collapsed="false">
      <c r="A145" s="10"/>
      <c r="B145" s="10"/>
      <c r="C145" s="10"/>
      <c r="D145" s="10"/>
      <c r="E145" s="10"/>
      <c r="F145" s="10"/>
      <c r="G145" s="10"/>
      <c r="H145" s="10"/>
      <c r="I145" s="10"/>
      <c r="J145" s="10"/>
      <c r="K145" s="10"/>
      <c r="L145" s="10"/>
      <c r="M145" s="10"/>
      <c r="N145" s="10"/>
      <c r="O145" s="10"/>
      <c r="P145" s="10"/>
      <c r="Q145" s="451" t="n">
        <f aca="false">E124+E125</f>
        <v>18913000</v>
      </c>
      <c r="R145" s="451"/>
      <c r="S145" s="451"/>
      <c r="T145" s="451"/>
      <c r="U145" s="452" t="s">
        <v>1087</v>
      </c>
      <c r="V145" s="453" t="s">
        <v>1273</v>
      </c>
      <c r="W145" s="453"/>
      <c r="X145" s="10"/>
      <c r="Y145" s="10"/>
    </row>
    <row r="146" customFormat="false" ht="13.5" hidden="false" customHeight="true" outlineLevel="0" collapsed="false">
      <c r="A146" s="10"/>
      <c r="B146" s="10"/>
      <c r="C146" s="10"/>
      <c r="D146" s="10"/>
      <c r="E146" s="10"/>
      <c r="F146" s="10"/>
      <c r="G146" s="10"/>
      <c r="H146" s="10"/>
      <c r="I146" s="10"/>
      <c r="J146" s="10"/>
      <c r="K146" s="10"/>
      <c r="L146" s="10"/>
      <c r="M146" s="10"/>
      <c r="N146" s="10"/>
      <c r="O146" s="10"/>
      <c r="P146" s="10"/>
      <c r="Q146" s="448" t="s">
        <v>1274</v>
      </c>
      <c r="R146" s="448"/>
      <c r="S146" s="448"/>
      <c r="T146" s="448"/>
      <c r="U146" s="448"/>
      <c r="V146" s="454"/>
      <c r="W146" s="455"/>
      <c r="X146" s="10"/>
      <c r="Y146" s="10"/>
    </row>
    <row r="147" customFormat="false" ht="14.25" hidden="false" customHeight="true" outlineLevel="0" collapsed="false">
      <c r="A147" s="10"/>
      <c r="B147" s="10"/>
      <c r="C147" s="10"/>
      <c r="D147" s="10"/>
      <c r="E147" s="10"/>
      <c r="F147" s="10"/>
      <c r="G147" s="10"/>
      <c r="H147" s="10"/>
      <c r="I147" s="10"/>
      <c r="J147" s="10"/>
      <c r="K147" s="10"/>
      <c r="L147" s="10"/>
      <c r="M147" s="10"/>
      <c r="N147" s="10"/>
      <c r="O147" s="10"/>
      <c r="P147" s="10"/>
      <c r="Q147" s="451" t="n">
        <f aca="false">J124+J125+O124+O125</f>
        <v>14336225</v>
      </c>
      <c r="R147" s="451"/>
      <c r="S147" s="451"/>
      <c r="T147" s="451"/>
      <c r="U147" s="452" t="s">
        <v>1087</v>
      </c>
      <c r="V147" s="453" t="s">
        <v>1275</v>
      </c>
      <c r="W147" s="453"/>
      <c r="X147" s="10"/>
      <c r="Y147" s="10"/>
    </row>
    <row r="148" customFormat="false" ht="13.5" hidden="false" customHeight="true" outlineLevel="0" collapsed="false">
      <c r="A148" s="10"/>
      <c r="B148" s="10"/>
      <c r="C148" s="10"/>
      <c r="D148" s="10"/>
      <c r="E148" s="10"/>
      <c r="F148" s="10"/>
      <c r="G148" s="10"/>
      <c r="H148" s="10"/>
      <c r="I148" s="10"/>
      <c r="J148" s="10"/>
      <c r="K148" s="10"/>
      <c r="L148" s="10"/>
      <c r="M148" s="10"/>
      <c r="N148" s="10"/>
      <c r="O148" s="10"/>
      <c r="P148" s="10"/>
      <c r="Q148" s="448" t="s">
        <v>1276</v>
      </c>
      <c r="R148" s="448"/>
      <c r="S148" s="448"/>
      <c r="T148" s="448"/>
      <c r="U148" s="448"/>
      <c r="V148" s="449"/>
      <c r="W148" s="450"/>
      <c r="X148" s="10"/>
      <c r="Y148" s="10"/>
    </row>
    <row r="149" customFormat="false" ht="14.25" hidden="false" customHeight="true" outlineLevel="0" collapsed="false">
      <c r="A149" s="10"/>
      <c r="B149" s="10"/>
      <c r="C149" s="10"/>
      <c r="D149" s="10"/>
      <c r="E149" s="10"/>
      <c r="F149" s="10"/>
      <c r="G149" s="10"/>
      <c r="H149" s="10"/>
      <c r="I149" s="10"/>
      <c r="J149" s="10"/>
      <c r="K149" s="10"/>
      <c r="L149" s="10"/>
      <c r="M149" s="10"/>
      <c r="N149" s="10"/>
      <c r="O149" s="10"/>
      <c r="P149" s="10"/>
      <c r="Q149" s="451" t="n">
        <f aca="false">Q145-Q147</f>
        <v>4576775</v>
      </c>
      <c r="R149" s="451"/>
      <c r="S149" s="451"/>
      <c r="T149" s="451"/>
      <c r="U149" s="456" t="s">
        <v>1087</v>
      </c>
      <c r="V149" s="457" t="s">
        <v>1277</v>
      </c>
      <c r="W149" s="457"/>
      <c r="X149" s="10"/>
      <c r="Y149" s="10"/>
    </row>
    <row r="150" customFormat="false" ht="13.5" hidden="false" customHeight="true" outlineLevel="0" collapsed="false">
      <c r="A150" s="10"/>
      <c r="B150" s="10"/>
      <c r="C150" s="10"/>
      <c r="D150" s="10"/>
      <c r="E150" s="10"/>
      <c r="F150" s="10"/>
      <c r="G150" s="10"/>
      <c r="H150" s="10"/>
      <c r="I150" s="10"/>
      <c r="J150" s="10"/>
      <c r="K150" s="10"/>
      <c r="L150" s="10"/>
      <c r="M150" s="10"/>
      <c r="N150" s="10"/>
      <c r="O150" s="10"/>
      <c r="P150" s="10"/>
      <c r="Q150" s="458" t="n">
        <f aca="false">T124+T125</f>
        <v>4576775</v>
      </c>
      <c r="R150" s="458"/>
      <c r="S150" s="458"/>
      <c r="T150" s="458"/>
      <c r="U150" s="10"/>
      <c r="V150" s="459" t="s">
        <v>1278</v>
      </c>
      <c r="W150" s="459"/>
      <c r="X150" s="10"/>
      <c r="Y150" s="10"/>
    </row>
  </sheetData>
  <sheetProtection sheet="true" formatCells="false" formatColumns="false" formatRows="false" sort="false" autoFilter="false"/>
  <mergeCells count="418">
    <mergeCell ref="I1:P1"/>
    <mergeCell ref="Q1:X1"/>
    <mergeCell ref="A3:F3"/>
    <mergeCell ref="G3:L3"/>
    <mergeCell ref="M3:R3"/>
    <mergeCell ref="S3:X3"/>
    <mergeCell ref="A5:F5"/>
    <mergeCell ref="G5:L5"/>
    <mergeCell ref="M5:Q5"/>
    <mergeCell ref="S5:X5"/>
    <mergeCell ref="A6:F6"/>
    <mergeCell ref="G6:L6"/>
    <mergeCell ref="M6:Q6"/>
    <mergeCell ref="S6:X6"/>
    <mergeCell ref="I8:P8"/>
    <mergeCell ref="Q8:X8"/>
    <mergeCell ref="A10:F10"/>
    <mergeCell ref="G10:L10"/>
    <mergeCell ref="M10:R10"/>
    <mergeCell ref="S10:X10"/>
    <mergeCell ref="A12:F12"/>
    <mergeCell ref="G12:K12"/>
    <mergeCell ref="M12:R12"/>
    <mergeCell ref="S12:X12"/>
    <mergeCell ref="A13:F13"/>
    <mergeCell ref="G13:K13"/>
    <mergeCell ref="M13:R13"/>
    <mergeCell ref="S13:X13"/>
    <mergeCell ref="A14:F14"/>
    <mergeCell ref="G14:K14"/>
    <mergeCell ref="M14:R14"/>
    <mergeCell ref="S14:X14"/>
    <mergeCell ref="I16:P16"/>
    <mergeCell ref="Q16:X16"/>
    <mergeCell ref="A18:C19"/>
    <mergeCell ref="D18:J19"/>
    <mergeCell ref="K18:R18"/>
    <mergeCell ref="S18:U19"/>
    <mergeCell ref="V18:X19"/>
    <mergeCell ref="K19:M19"/>
    <mergeCell ref="N19:O19"/>
    <mergeCell ref="P19:R19"/>
    <mergeCell ref="A21:C21"/>
    <mergeCell ref="D21:J21"/>
    <mergeCell ref="K21:M21"/>
    <mergeCell ref="N21:O21"/>
    <mergeCell ref="P21:Q21"/>
    <mergeCell ref="S21:T21"/>
    <mergeCell ref="V21:X21"/>
    <mergeCell ref="A22:C22"/>
    <mergeCell ref="D22:J22"/>
    <mergeCell ref="K22:M22"/>
    <mergeCell ref="N22:O22"/>
    <mergeCell ref="P22:Q22"/>
    <mergeCell ref="S22:T22"/>
    <mergeCell ref="V22:X22"/>
    <mergeCell ref="A23:O23"/>
    <mergeCell ref="P23:Q23"/>
    <mergeCell ref="S23:T23"/>
    <mergeCell ref="V23:X23"/>
    <mergeCell ref="I25:P25"/>
    <mergeCell ref="Q25:X25"/>
    <mergeCell ref="A27:F27"/>
    <mergeCell ref="G27:L27"/>
    <mergeCell ref="M27:R27"/>
    <mergeCell ref="S27:X27"/>
    <mergeCell ref="A29:F29"/>
    <mergeCell ref="G29:K29"/>
    <mergeCell ref="M29:R29"/>
    <mergeCell ref="S29:X29"/>
    <mergeCell ref="A30:F30"/>
    <mergeCell ref="G30:K30"/>
    <mergeCell ref="M30:R30"/>
    <mergeCell ref="S30:X30"/>
    <mergeCell ref="A31:F31"/>
    <mergeCell ref="G31:K31"/>
    <mergeCell ref="M31:R31"/>
    <mergeCell ref="S31:X31"/>
    <mergeCell ref="A32:F32"/>
    <mergeCell ref="G32:K32"/>
    <mergeCell ref="M32:R32"/>
    <mergeCell ref="S32:X32"/>
    <mergeCell ref="I34:P34"/>
    <mergeCell ref="Q34:X34"/>
    <mergeCell ref="A36:F36"/>
    <mergeCell ref="G36:L36"/>
    <mergeCell ref="M36:R36"/>
    <mergeCell ref="S36:X36"/>
    <mergeCell ref="A38:F38"/>
    <mergeCell ref="G38:K38"/>
    <mergeCell ref="M38:R38"/>
    <mergeCell ref="S38:X38"/>
    <mergeCell ref="A39:F39"/>
    <mergeCell ref="G39:K39"/>
    <mergeCell ref="M39:R39"/>
    <mergeCell ref="S39:X39"/>
    <mergeCell ref="A40:F40"/>
    <mergeCell ref="G40:K40"/>
    <mergeCell ref="M40:R40"/>
    <mergeCell ref="S40:X40"/>
    <mergeCell ref="A41:F41"/>
    <mergeCell ref="G41:K41"/>
    <mergeCell ref="M41:R41"/>
    <mergeCell ref="S41:X41"/>
    <mergeCell ref="A42:F42"/>
    <mergeCell ref="G42:K42"/>
    <mergeCell ref="M42:R42"/>
    <mergeCell ref="S42:X42"/>
    <mergeCell ref="A43:F43"/>
    <mergeCell ref="G43:K43"/>
    <mergeCell ref="M43:R43"/>
    <mergeCell ref="S43:X43"/>
    <mergeCell ref="A44:F44"/>
    <mergeCell ref="G44:K44"/>
    <mergeCell ref="M44:R44"/>
    <mergeCell ref="S44:X44"/>
    <mergeCell ref="A45:F45"/>
    <mergeCell ref="G45:K45"/>
    <mergeCell ref="M45:R45"/>
    <mergeCell ref="S45:X45"/>
    <mergeCell ref="A46:F46"/>
    <mergeCell ref="G46:K46"/>
    <mergeCell ref="M46:R46"/>
    <mergeCell ref="S46:X46"/>
    <mergeCell ref="I48:P48"/>
    <mergeCell ref="Q48:X48"/>
    <mergeCell ref="A50:F50"/>
    <mergeCell ref="G50:L50"/>
    <mergeCell ref="M50:R50"/>
    <mergeCell ref="S50:X50"/>
    <mergeCell ref="A52:F52"/>
    <mergeCell ref="G52:K52"/>
    <mergeCell ref="M52:R52"/>
    <mergeCell ref="S52:X52"/>
    <mergeCell ref="A53:F53"/>
    <mergeCell ref="G53:K53"/>
    <mergeCell ref="M53:R53"/>
    <mergeCell ref="S53:X53"/>
    <mergeCell ref="A54:F54"/>
    <mergeCell ref="G54:K54"/>
    <mergeCell ref="M54:R54"/>
    <mergeCell ref="S54:X54"/>
    <mergeCell ref="I56:P56"/>
    <mergeCell ref="A58:F58"/>
    <mergeCell ref="G58:K58"/>
    <mergeCell ref="L58:Q58"/>
    <mergeCell ref="R58:X58"/>
    <mergeCell ref="A60:F60"/>
    <mergeCell ref="G60:J60"/>
    <mergeCell ref="L60:Q60"/>
    <mergeCell ref="R60:X60"/>
    <mergeCell ref="A61:F61"/>
    <mergeCell ref="G61:J61"/>
    <mergeCell ref="L61:Q61"/>
    <mergeCell ref="R61:X61"/>
    <mergeCell ref="A62:F62"/>
    <mergeCell ref="G62:J62"/>
    <mergeCell ref="L62:Q62"/>
    <mergeCell ref="R62:X62"/>
    <mergeCell ref="G63:J63"/>
    <mergeCell ref="L63:N63"/>
    <mergeCell ref="I64:P64"/>
    <mergeCell ref="Q64:X64"/>
    <mergeCell ref="A66:F66"/>
    <mergeCell ref="G66:L66"/>
    <mergeCell ref="M66:R66"/>
    <mergeCell ref="S66:X66"/>
    <mergeCell ref="A68:F68"/>
    <mergeCell ref="G68:K68"/>
    <mergeCell ref="M68:R68"/>
    <mergeCell ref="S68:X68"/>
    <mergeCell ref="A69:F69"/>
    <mergeCell ref="G69:K69"/>
    <mergeCell ref="M69:R69"/>
    <mergeCell ref="S69:X69"/>
    <mergeCell ref="I72:P72"/>
    <mergeCell ref="Q72:X72"/>
    <mergeCell ref="A74:C74"/>
    <mergeCell ref="D74:F74"/>
    <mergeCell ref="G74:I74"/>
    <mergeCell ref="J74:L74"/>
    <mergeCell ref="M74:O74"/>
    <mergeCell ref="P74:R74"/>
    <mergeCell ref="S74:U74"/>
    <mergeCell ref="V74:X74"/>
    <mergeCell ref="A76:C76"/>
    <mergeCell ref="D76:F76"/>
    <mergeCell ref="G76:I76"/>
    <mergeCell ref="J76:L76"/>
    <mergeCell ref="M76:O76"/>
    <mergeCell ref="P76:R76"/>
    <mergeCell ref="S76:U76"/>
    <mergeCell ref="V76:X76"/>
    <mergeCell ref="A77:C77"/>
    <mergeCell ref="D77:F77"/>
    <mergeCell ref="G77:I77"/>
    <mergeCell ref="J77:L77"/>
    <mergeCell ref="M77:O77"/>
    <mergeCell ref="P77:R77"/>
    <mergeCell ref="S77:U77"/>
    <mergeCell ref="V77:X77"/>
    <mergeCell ref="I79:P79"/>
    <mergeCell ref="Q79:X79"/>
    <mergeCell ref="A81:C81"/>
    <mergeCell ref="D81:E81"/>
    <mergeCell ref="F81:G81"/>
    <mergeCell ref="H81:J81"/>
    <mergeCell ref="K81:M81"/>
    <mergeCell ref="N81:P81"/>
    <mergeCell ref="Q81:R81"/>
    <mergeCell ref="S81:X81"/>
    <mergeCell ref="A83:C83"/>
    <mergeCell ref="D83:E83"/>
    <mergeCell ref="F83:G83"/>
    <mergeCell ref="H83:J83"/>
    <mergeCell ref="K83:M83"/>
    <mergeCell ref="N83:P83"/>
    <mergeCell ref="Q83:R83"/>
    <mergeCell ref="S83:X83"/>
    <mergeCell ref="A84:C84"/>
    <mergeCell ref="D84:E84"/>
    <mergeCell ref="F84:G84"/>
    <mergeCell ref="H84:J84"/>
    <mergeCell ref="K84:M84"/>
    <mergeCell ref="N84:P84"/>
    <mergeCell ref="Q84:R84"/>
    <mergeCell ref="S84:X84"/>
    <mergeCell ref="A85:C85"/>
    <mergeCell ref="D85:E85"/>
    <mergeCell ref="F85:G85"/>
    <mergeCell ref="H85:J85"/>
    <mergeCell ref="K85:M85"/>
    <mergeCell ref="N85:P85"/>
    <mergeCell ref="Q85:R85"/>
    <mergeCell ref="S85:X85"/>
    <mergeCell ref="I87:P87"/>
    <mergeCell ref="Q87:X87"/>
    <mergeCell ref="A89:D89"/>
    <mergeCell ref="E89:H89"/>
    <mergeCell ref="I89:L89"/>
    <mergeCell ref="M89:P89"/>
    <mergeCell ref="Q89:T89"/>
    <mergeCell ref="U89:X89"/>
    <mergeCell ref="A90:D90"/>
    <mergeCell ref="E90:H90"/>
    <mergeCell ref="I90:L90"/>
    <mergeCell ref="M90:P90"/>
    <mergeCell ref="Q90:T90"/>
    <mergeCell ref="U90:X90"/>
    <mergeCell ref="A91:D91"/>
    <mergeCell ref="E91:H91"/>
    <mergeCell ref="I91:L91"/>
    <mergeCell ref="M91:P91"/>
    <mergeCell ref="Q91:T91"/>
    <mergeCell ref="U91:X91"/>
    <mergeCell ref="A92:D92"/>
    <mergeCell ref="E92:H92"/>
    <mergeCell ref="I92:L92"/>
    <mergeCell ref="M92:P92"/>
    <mergeCell ref="Q92:T92"/>
    <mergeCell ref="U92:X92"/>
    <mergeCell ref="I94:P94"/>
    <mergeCell ref="Q94:X94"/>
    <mergeCell ref="A96:C96"/>
    <mergeCell ref="D96:E96"/>
    <mergeCell ref="F96:G96"/>
    <mergeCell ref="H96:I96"/>
    <mergeCell ref="J96:K96"/>
    <mergeCell ref="L96:M96"/>
    <mergeCell ref="N96:O96"/>
    <mergeCell ref="P96:X96"/>
    <mergeCell ref="A97:C97"/>
    <mergeCell ref="D97:E97"/>
    <mergeCell ref="F97:G97"/>
    <mergeCell ref="H97:I97"/>
    <mergeCell ref="J97:K97"/>
    <mergeCell ref="L97:M97"/>
    <mergeCell ref="N97:O97"/>
    <mergeCell ref="P97:X98"/>
    <mergeCell ref="A98:C98"/>
    <mergeCell ref="D98:E98"/>
    <mergeCell ref="F98:G98"/>
    <mergeCell ref="H98:I98"/>
    <mergeCell ref="J98:K98"/>
    <mergeCell ref="L98:M98"/>
    <mergeCell ref="N98:O98"/>
    <mergeCell ref="A99:C99"/>
    <mergeCell ref="D99:E99"/>
    <mergeCell ref="F99:G99"/>
    <mergeCell ref="H99:I99"/>
    <mergeCell ref="J99:K99"/>
    <mergeCell ref="L99:M99"/>
    <mergeCell ref="N99:O99"/>
    <mergeCell ref="P99:X99"/>
    <mergeCell ref="A100:C100"/>
    <mergeCell ref="D100:E100"/>
    <mergeCell ref="F100:G100"/>
    <mergeCell ref="H100:I100"/>
    <mergeCell ref="J100:K100"/>
    <mergeCell ref="L100:M100"/>
    <mergeCell ref="N100:O100"/>
    <mergeCell ref="P100:X100"/>
    <mergeCell ref="I102:P102"/>
    <mergeCell ref="Q102:X102"/>
    <mergeCell ref="A104:D104"/>
    <mergeCell ref="E104:H104"/>
    <mergeCell ref="I104:L104"/>
    <mergeCell ref="M104:P104"/>
    <mergeCell ref="Q104:T104"/>
    <mergeCell ref="U104:X104"/>
    <mergeCell ref="A105:D105"/>
    <mergeCell ref="E105:H105"/>
    <mergeCell ref="I105:L105"/>
    <mergeCell ref="M105:P105"/>
    <mergeCell ref="Q105:T105"/>
    <mergeCell ref="U105:X105"/>
    <mergeCell ref="A106:D106"/>
    <mergeCell ref="E106:H106"/>
    <mergeCell ref="I106:L106"/>
    <mergeCell ref="M106:P106"/>
    <mergeCell ref="Q106:T106"/>
    <mergeCell ref="U106:X106"/>
    <mergeCell ref="A107:D107"/>
    <mergeCell ref="E107:H107"/>
    <mergeCell ref="I107:L107"/>
    <mergeCell ref="M107:P107"/>
    <mergeCell ref="Q107:T107"/>
    <mergeCell ref="U107:X107"/>
    <mergeCell ref="I111:P111"/>
    <mergeCell ref="Q111:X111"/>
    <mergeCell ref="A113:D113"/>
    <mergeCell ref="E113:H113"/>
    <mergeCell ref="I113:L113"/>
    <mergeCell ref="M113:P113"/>
    <mergeCell ref="Q113:T113"/>
    <mergeCell ref="U113:X113"/>
    <mergeCell ref="A114:D114"/>
    <mergeCell ref="E114:H114"/>
    <mergeCell ref="I114:L114"/>
    <mergeCell ref="M114:P114"/>
    <mergeCell ref="Q114:T114"/>
    <mergeCell ref="U114:X115"/>
    <mergeCell ref="A115:D115"/>
    <mergeCell ref="E115:H115"/>
    <mergeCell ref="I115:L115"/>
    <mergeCell ref="M115:P115"/>
    <mergeCell ref="Q115:T115"/>
    <mergeCell ref="A116:D116"/>
    <mergeCell ref="E116:H116"/>
    <mergeCell ref="I116:L116"/>
    <mergeCell ref="M116:P116"/>
    <mergeCell ref="Q116:T116"/>
    <mergeCell ref="U116:X116"/>
    <mergeCell ref="I118:P118"/>
    <mergeCell ref="Q118:X118"/>
    <mergeCell ref="A120:D120"/>
    <mergeCell ref="E120:I120"/>
    <mergeCell ref="J120:N120"/>
    <mergeCell ref="O120:S120"/>
    <mergeCell ref="T120:X120"/>
    <mergeCell ref="A121:D121"/>
    <mergeCell ref="E121:I121"/>
    <mergeCell ref="J121:N121"/>
    <mergeCell ref="O121:S121"/>
    <mergeCell ref="T121:X121"/>
    <mergeCell ref="A122:D122"/>
    <mergeCell ref="E122:I122"/>
    <mergeCell ref="J122:N122"/>
    <mergeCell ref="O122:S122"/>
    <mergeCell ref="T122:X122"/>
    <mergeCell ref="A123:D123"/>
    <mergeCell ref="E123:I123"/>
    <mergeCell ref="J123:N123"/>
    <mergeCell ref="O123:S123"/>
    <mergeCell ref="T123:X123"/>
    <mergeCell ref="A124:D124"/>
    <mergeCell ref="E124:I124"/>
    <mergeCell ref="J124:N124"/>
    <mergeCell ref="O124:S124"/>
    <mergeCell ref="T124:X124"/>
    <mergeCell ref="A125:D125"/>
    <mergeCell ref="E125:I125"/>
    <mergeCell ref="J125:N125"/>
    <mergeCell ref="O125:S125"/>
    <mergeCell ref="T125:X125"/>
    <mergeCell ref="A126:D126"/>
    <mergeCell ref="E126:I126"/>
    <mergeCell ref="J126:N126"/>
    <mergeCell ref="O126:S126"/>
    <mergeCell ref="T126:X126"/>
    <mergeCell ref="I129:P129"/>
    <mergeCell ref="Q129:X129"/>
    <mergeCell ref="G131:R131"/>
    <mergeCell ref="D133:K133"/>
    <mergeCell ref="P133:U133"/>
    <mergeCell ref="D134:K134"/>
    <mergeCell ref="P134:U134"/>
    <mergeCell ref="D135:K135"/>
    <mergeCell ref="P135:U135"/>
    <mergeCell ref="E136:J136"/>
    <mergeCell ref="K136:M136"/>
    <mergeCell ref="E137:J137"/>
    <mergeCell ref="K137:M137"/>
    <mergeCell ref="E138:J138"/>
    <mergeCell ref="K138:M138"/>
    <mergeCell ref="D139:K139"/>
    <mergeCell ref="Q139:U139"/>
    <mergeCell ref="Q144:U144"/>
    <mergeCell ref="Q145:T145"/>
    <mergeCell ref="V145:W145"/>
    <mergeCell ref="Q146:U146"/>
    <mergeCell ref="Q147:T147"/>
    <mergeCell ref="V147:W147"/>
    <mergeCell ref="Q148:U148"/>
    <mergeCell ref="Q149:T149"/>
    <mergeCell ref="V149:W149"/>
    <mergeCell ref="Q150:T150"/>
    <mergeCell ref="V150:W150"/>
  </mergeCells>
  <printOptions headings="false" gridLines="false" gridLinesSet="true" horizontalCentered="false" verticalCentered="false"/>
  <pageMargins left="0.7875" right="0.39375" top="0.590277777777778" bottom="0.590972222222222" header="0.511811023622047" footer="0.315277777777778"/>
  <pageSetup paperSize="9" scale="96" fitToWidth="1" fitToHeight="1" pageOrder="downThenOver" orientation="portrait" blackAndWhite="false" draft="false" cellComments="none" firstPageNumber="48" useFirstPageNumber="true" horizontalDpi="300" verticalDpi="300" copies="1"/>
  <headerFooter differentFirst="false" differentOddEven="false">
    <oddHeader/>
    <oddFooter>&amp;C&amp;"ＭＳ 明朝,Regular"- &amp;P -</oddFooter>
  </headerFooter>
  <rowBreaks count="3" manualBreakCount="3">
    <brk id="54" man="true" max="16383" min="0"/>
    <brk id="116" man="true" max="16383" min="0"/>
    <brk id="140" man="true" max="16383" min="0"/>
  </rowBreaks>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N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5" zeroHeight="false" outlineLevelRow="0" outlineLevelCol="0"/>
  <cols>
    <col collapsed="false" customWidth="true" hidden="false" outlineLevel="0" max="257" min="1" style="0" width="1.62"/>
  </cols>
  <sheetData>
    <row r="1" customFormat="false" ht="24.75" hidden="false" customHeight="true" outlineLevel="0" collapsed="false">
      <c r="A1" s="460" t="s">
        <v>1279</v>
      </c>
      <c r="B1" s="460"/>
      <c r="C1" s="460"/>
      <c r="D1" s="460"/>
      <c r="E1" s="460"/>
      <c r="F1" s="460"/>
      <c r="G1" s="460"/>
      <c r="H1" s="460"/>
      <c r="I1" s="460"/>
      <c r="J1" s="460"/>
      <c r="K1" s="460"/>
      <c r="L1" s="460"/>
      <c r="M1" s="460"/>
      <c r="N1" s="460"/>
      <c r="O1" s="460"/>
      <c r="P1" s="460"/>
      <c r="Q1" s="10"/>
      <c r="R1" s="10"/>
      <c r="S1" s="10"/>
      <c r="T1" s="10"/>
      <c r="U1" s="10"/>
      <c r="V1" s="10"/>
      <c r="W1" s="10"/>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row>
    <row r="2" customFormat="false" ht="25.5" hidden="false" customHeight="true" outlineLevel="0" collapsed="false">
      <c r="A2" s="461" t="s">
        <v>1280</v>
      </c>
      <c r="B2" s="461"/>
      <c r="C2" s="461"/>
      <c r="D2" s="461"/>
      <c r="E2" s="461"/>
      <c r="F2" s="461"/>
      <c r="G2" s="461"/>
      <c r="H2" s="461"/>
      <c r="I2" s="461"/>
      <c r="J2" s="461"/>
      <c r="K2" s="461"/>
      <c r="L2" s="461"/>
      <c r="M2" s="461"/>
      <c r="N2" s="461"/>
      <c r="O2" s="461"/>
      <c r="P2" s="461"/>
      <c r="Q2" s="461"/>
      <c r="R2" s="461"/>
      <c r="S2" s="461"/>
      <c r="T2" s="461"/>
      <c r="U2" s="461"/>
      <c r="V2" s="461"/>
      <c r="W2" s="461"/>
      <c r="X2" s="461"/>
      <c r="Y2" s="461"/>
      <c r="Z2" s="461"/>
      <c r="AA2" s="461"/>
      <c r="AB2" s="461"/>
      <c r="AC2" s="461"/>
      <c r="AD2" s="461"/>
      <c r="AE2" s="461"/>
      <c r="AF2" s="461"/>
      <c r="AG2" s="461"/>
      <c r="AH2" s="461"/>
      <c r="AI2" s="461"/>
      <c r="AJ2" s="461"/>
      <c r="AK2" s="461"/>
      <c r="AL2" s="461"/>
      <c r="AM2" s="461"/>
      <c r="AN2" s="461"/>
      <c r="AO2" s="461"/>
      <c r="AP2" s="10"/>
      <c r="AQ2" s="10"/>
      <c r="AR2" s="10"/>
      <c r="AS2" s="10"/>
      <c r="AT2" s="10"/>
      <c r="AU2" s="10"/>
      <c r="AV2" s="10"/>
      <c r="AW2" s="10"/>
      <c r="AX2" s="10"/>
      <c r="AY2" s="10"/>
      <c r="AZ2" s="10"/>
      <c r="BA2" s="10"/>
      <c r="BB2" s="10"/>
      <c r="BC2" s="10"/>
      <c r="BD2" s="10"/>
      <c r="BE2" s="10"/>
      <c r="BF2" s="10"/>
      <c r="BG2" s="10"/>
      <c r="BH2" s="10"/>
      <c r="BI2" s="10"/>
      <c r="BJ2" s="10"/>
      <c r="BK2" s="10"/>
      <c r="BL2" s="10"/>
      <c r="BM2" s="10"/>
      <c r="BN2" s="10"/>
    </row>
    <row r="3" customFormat="false" ht="18" hidden="false" customHeight="true" outlineLevel="0" collapsed="false">
      <c r="A3" s="462"/>
      <c r="B3" s="463" t="s">
        <v>1281</v>
      </c>
      <c r="C3" s="462"/>
      <c r="D3" s="462"/>
      <c r="E3" s="462"/>
      <c r="F3" s="462"/>
      <c r="G3" s="462"/>
      <c r="H3" s="462"/>
      <c r="I3" s="462"/>
      <c r="J3" s="462"/>
      <c r="K3" s="462"/>
      <c r="L3" s="462"/>
      <c r="M3" s="462"/>
      <c r="N3" s="462"/>
      <c r="O3" s="462"/>
      <c r="P3" s="462"/>
      <c r="Q3" s="462"/>
      <c r="R3" s="462"/>
      <c r="S3" s="462"/>
      <c r="T3" s="462"/>
      <c r="U3" s="462"/>
      <c r="V3" s="462"/>
      <c r="W3" s="462"/>
      <c r="X3" s="462"/>
      <c r="Y3" s="462"/>
      <c r="Z3" s="462"/>
      <c r="AA3" s="462"/>
      <c r="AB3" s="462"/>
      <c r="AC3" s="462"/>
      <c r="AD3" s="462"/>
      <c r="AE3" s="462"/>
      <c r="AF3" s="462"/>
      <c r="AG3" s="462"/>
      <c r="AH3" s="462"/>
      <c r="AI3" s="462"/>
      <c r="AJ3" s="462"/>
      <c r="AK3" s="462"/>
      <c r="AL3" s="462"/>
      <c r="AM3" s="462"/>
      <c r="AN3" s="462"/>
      <c r="AO3" s="462"/>
      <c r="AP3" s="10"/>
      <c r="AQ3" s="10"/>
      <c r="AR3" s="10"/>
      <c r="AS3" s="10"/>
      <c r="AT3" s="10"/>
      <c r="AU3" s="10"/>
      <c r="AV3" s="10"/>
      <c r="AW3" s="10"/>
      <c r="AX3" s="10"/>
      <c r="AY3" s="10"/>
      <c r="AZ3" s="10"/>
      <c r="BA3" s="10"/>
      <c r="BB3" s="10"/>
      <c r="BC3" s="10"/>
      <c r="BD3" s="10"/>
      <c r="BE3" s="10"/>
      <c r="BF3" s="10"/>
      <c r="BG3" s="10"/>
      <c r="BH3" s="10"/>
      <c r="BI3" s="10"/>
      <c r="BJ3" s="10"/>
      <c r="BK3" s="10"/>
      <c r="BL3" s="10"/>
      <c r="BM3" s="10"/>
      <c r="BN3" s="10"/>
    </row>
    <row r="4" customFormat="false" ht="18" hidden="false" customHeight="true" outlineLevel="0" collapsed="false">
      <c r="A4" s="464"/>
      <c r="B4" s="465" t="s">
        <v>1282</v>
      </c>
      <c r="C4" s="465"/>
      <c r="D4" s="465"/>
      <c r="E4" s="465"/>
      <c r="F4" s="465"/>
      <c r="G4" s="465"/>
      <c r="H4" s="465"/>
      <c r="I4" s="465"/>
      <c r="J4" s="465"/>
      <c r="K4" s="465"/>
      <c r="L4" s="465"/>
      <c r="M4" s="465"/>
      <c r="N4" s="465"/>
      <c r="O4" s="10"/>
      <c r="P4" s="10"/>
      <c r="Q4" s="10"/>
      <c r="R4" s="10"/>
      <c r="S4" s="10"/>
      <c r="T4" s="10"/>
      <c r="U4" s="10"/>
      <c r="V4" s="10"/>
      <c r="W4" s="10"/>
      <c r="X4" s="10"/>
      <c r="Y4" s="10"/>
      <c r="Z4" s="10"/>
      <c r="AA4" s="10"/>
      <c r="AB4" s="10"/>
      <c r="AC4" s="10"/>
      <c r="AD4" s="10"/>
      <c r="AE4" s="10"/>
      <c r="AF4" s="10"/>
      <c r="AG4" s="10"/>
      <c r="AH4" s="10"/>
      <c r="AI4" s="10"/>
      <c r="AJ4" s="10"/>
      <c r="AK4" s="10"/>
      <c r="AL4" s="10"/>
      <c r="AM4" s="10"/>
      <c r="AN4" s="10"/>
      <c r="AO4" s="10"/>
      <c r="AP4" s="10"/>
      <c r="AQ4" s="10"/>
      <c r="AR4" s="10"/>
      <c r="AS4" s="10"/>
      <c r="AT4" s="10"/>
      <c r="AU4" s="466" t="s">
        <v>1283</v>
      </c>
      <c r="AV4" s="466"/>
      <c r="AW4" s="466"/>
      <c r="AX4" s="466"/>
      <c r="AY4" s="466"/>
      <c r="AZ4" s="466"/>
      <c r="BA4" s="466"/>
      <c r="BB4" s="466"/>
      <c r="BC4" s="466"/>
      <c r="BD4" s="466"/>
      <c r="BE4" s="466"/>
      <c r="BF4" s="10"/>
      <c r="BG4" s="10"/>
      <c r="BH4" s="10"/>
      <c r="BI4" s="10"/>
      <c r="BJ4" s="10"/>
      <c r="BK4" s="10"/>
      <c r="BL4" s="10"/>
      <c r="BM4" s="10"/>
      <c r="BN4" s="10"/>
    </row>
    <row r="5" customFormat="false" ht="30" hidden="false" customHeight="true" outlineLevel="0" collapsed="false">
      <c r="A5" s="467" t="s">
        <v>1284</v>
      </c>
      <c r="B5" s="467"/>
      <c r="C5" s="467"/>
      <c r="D5" s="467"/>
      <c r="E5" s="467"/>
      <c r="F5" s="467"/>
      <c r="G5" s="467"/>
      <c r="H5" s="467"/>
      <c r="I5" s="467"/>
      <c r="J5" s="467"/>
      <c r="K5" s="467"/>
      <c r="L5" s="467"/>
      <c r="M5" s="467"/>
      <c r="N5" s="467"/>
      <c r="O5" s="467"/>
      <c r="P5" s="467"/>
      <c r="Q5" s="467"/>
      <c r="R5" s="467"/>
      <c r="S5" s="467"/>
      <c r="T5" s="467"/>
      <c r="U5" s="467"/>
      <c r="V5" s="467"/>
      <c r="W5" s="467"/>
      <c r="X5" s="467"/>
      <c r="Y5" s="468" t="str">
        <f aca="false">"令和"&amp;JIS(入力!$B$5-1)&amp;"年度"</f>
        <v>令和６年度</v>
      </c>
      <c r="Z5" s="468"/>
      <c r="AA5" s="468"/>
      <c r="AB5" s="468"/>
      <c r="AC5" s="468"/>
      <c r="AD5" s="468"/>
      <c r="AE5" s="468"/>
      <c r="AF5" s="468"/>
      <c r="AG5" s="468"/>
      <c r="AH5" s="468"/>
      <c r="AI5" s="468"/>
      <c r="AJ5" s="468" t="str">
        <f aca="false">"令和"&amp;JIS(入力!$B$5)&amp;"年度"</f>
        <v>令和７年度</v>
      </c>
      <c r="AK5" s="468"/>
      <c r="AL5" s="468"/>
      <c r="AM5" s="468"/>
      <c r="AN5" s="468"/>
      <c r="AO5" s="468"/>
      <c r="AP5" s="468"/>
      <c r="AQ5" s="468"/>
      <c r="AR5" s="468"/>
      <c r="AS5" s="468"/>
      <c r="AT5" s="468"/>
      <c r="AU5" s="467" t="s">
        <v>1285</v>
      </c>
      <c r="AV5" s="467"/>
      <c r="AW5" s="467"/>
      <c r="AX5" s="467"/>
      <c r="AY5" s="467"/>
      <c r="AZ5" s="467"/>
      <c r="BA5" s="467"/>
      <c r="BB5" s="467"/>
      <c r="BC5" s="467"/>
      <c r="BD5" s="467"/>
      <c r="BE5" s="467"/>
      <c r="BF5" s="10"/>
      <c r="BG5" s="10"/>
      <c r="BH5" s="10"/>
      <c r="BI5" s="10"/>
      <c r="BJ5" s="10"/>
      <c r="BK5" s="10"/>
      <c r="BL5" s="10"/>
      <c r="BM5" s="10"/>
      <c r="BN5" s="10"/>
    </row>
    <row r="6" customFormat="false" ht="22.5" hidden="false" customHeight="true" outlineLevel="0" collapsed="false">
      <c r="A6" s="469"/>
      <c r="B6" s="470"/>
      <c r="C6" s="471"/>
      <c r="D6" s="472" t="s">
        <v>1286</v>
      </c>
      <c r="E6" s="472"/>
      <c r="F6" s="472"/>
      <c r="G6" s="472"/>
      <c r="H6" s="472"/>
      <c r="I6" s="472"/>
      <c r="J6" s="472"/>
      <c r="K6" s="472"/>
      <c r="L6" s="472"/>
      <c r="M6" s="472"/>
      <c r="N6" s="472"/>
      <c r="O6" s="472"/>
      <c r="P6" s="472"/>
      <c r="Q6" s="472"/>
      <c r="R6" s="472"/>
      <c r="S6" s="472"/>
      <c r="T6" s="472"/>
      <c r="U6" s="472"/>
      <c r="V6" s="473"/>
      <c r="W6" s="473"/>
      <c r="X6" s="474"/>
      <c r="Y6" s="475" t="n">
        <v>4883</v>
      </c>
      <c r="Z6" s="475"/>
      <c r="AA6" s="475"/>
      <c r="AB6" s="475"/>
      <c r="AC6" s="475"/>
      <c r="AD6" s="475"/>
      <c r="AE6" s="475"/>
      <c r="AF6" s="475"/>
      <c r="AG6" s="475"/>
      <c r="AH6" s="475"/>
      <c r="AI6" s="475"/>
      <c r="AJ6" s="476" t="n">
        <f aca="false">SUM(AJ8:AT11)</f>
        <v>5114</v>
      </c>
      <c r="AK6" s="476"/>
      <c r="AL6" s="476"/>
      <c r="AM6" s="476"/>
      <c r="AN6" s="476"/>
      <c r="AO6" s="476"/>
      <c r="AP6" s="476"/>
      <c r="AQ6" s="476"/>
      <c r="AR6" s="476"/>
      <c r="AS6" s="476"/>
      <c r="AT6" s="476"/>
      <c r="AU6" s="477" t="n">
        <f aca="false">AJ6-Y6</f>
        <v>231</v>
      </c>
      <c r="AV6" s="477"/>
      <c r="AW6" s="477"/>
      <c r="AX6" s="477"/>
      <c r="AY6" s="477"/>
      <c r="AZ6" s="477"/>
      <c r="BA6" s="477"/>
      <c r="BB6" s="477"/>
      <c r="BC6" s="477"/>
      <c r="BD6" s="477"/>
      <c r="BE6" s="477"/>
      <c r="BF6" s="10"/>
      <c r="BG6" s="10"/>
      <c r="BH6" s="10"/>
      <c r="BI6" s="10"/>
      <c r="BJ6" s="10"/>
      <c r="BK6" s="10"/>
      <c r="BL6" s="10"/>
      <c r="BM6" s="10"/>
      <c r="BN6" s="10"/>
    </row>
    <row r="7" customFormat="false" ht="27" hidden="false" customHeight="true" outlineLevel="0" collapsed="false">
      <c r="A7" s="478" t="s">
        <v>1287</v>
      </c>
      <c r="B7" s="478"/>
      <c r="C7" s="469"/>
      <c r="D7" s="479" t="s">
        <v>1288</v>
      </c>
      <c r="E7" s="479"/>
      <c r="F7" s="479"/>
      <c r="G7" s="479"/>
      <c r="H7" s="479"/>
      <c r="I7" s="479"/>
      <c r="J7" s="479"/>
      <c r="K7" s="479"/>
      <c r="L7" s="479"/>
      <c r="M7" s="479"/>
      <c r="N7" s="479"/>
      <c r="O7" s="479"/>
      <c r="P7" s="479"/>
      <c r="Q7" s="479"/>
      <c r="R7" s="479"/>
      <c r="S7" s="479"/>
      <c r="T7" s="479"/>
      <c r="U7" s="480"/>
      <c r="V7" s="481"/>
      <c r="W7" s="470"/>
      <c r="X7" s="474"/>
      <c r="Y7" s="482" t="n">
        <v>5508</v>
      </c>
      <c r="Z7" s="482"/>
      <c r="AA7" s="482"/>
      <c r="AB7" s="482"/>
      <c r="AC7" s="482"/>
      <c r="AD7" s="482"/>
      <c r="AE7" s="482"/>
      <c r="AF7" s="482"/>
      <c r="AG7" s="482"/>
      <c r="AH7" s="482"/>
      <c r="AI7" s="482"/>
      <c r="AJ7" s="483" t="n">
        <f aca="false">ROUND(業務経理P19!V21/入力!$B$12,0)+AJ8</f>
        <v>6038</v>
      </c>
      <c r="AK7" s="483"/>
      <c r="AL7" s="483"/>
      <c r="AM7" s="483"/>
      <c r="AN7" s="483"/>
      <c r="AO7" s="483"/>
      <c r="AP7" s="483"/>
      <c r="AQ7" s="483"/>
      <c r="AR7" s="483"/>
      <c r="AS7" s="483"/>
      <c r="AT7" s="483"/>
      <c r="AU7" s="477" t="n">
        <f aca="false">AJ7-Y7</f>
        <v>530</v>
      </c>
      <c r="AV7" s="477"/>
      <c r="AW7" s="477"/>
      <c r="AX7" s="477"/>
      <c r="AY7" s="477"/>
      <c r="AZ7" s="477"/>
      <c r="BA7" s="477"/>
      <c r="BB7" s="477"/>
      <c r="BC7" s="477"/>
      <c r="BD7" s="477"/>
      <c r="BE7" s="477"/>
      <c r="BF7" s="10"/>
      <c r="BG7" s="10"/>
      <c r="BH7" s="10"/>
      <c r="BI7" s="10"/>
      <c r="BJ7" s="10"/>
      <c r="BK7" s="10"/>
      <c r="BL7" s="10"/>
      <c r="BM7" s="10"/>
      <c r="BN7" s="10"/>
    </row>
    <row r="8" customFormat="false" ht="27" hidden="false" customHeight="true" outlineLevel="0" collapsed="false">
      <c r="A8" s="478"/>
      <c r="B8" s="478"/>
      <c r="C8" s="484"/>
      <c r="D8" s="485"/>
      <c r="E8" s="486"/>
      <c r="F8" s="487" t="s">
        <v>1289</v>
      </c>
      <c r="G8" s="487"/>
      <c r="H8" s="487"/>
      <c r="I8" s="487"/>
      <c r="J8" s="487"/>
      <c r="K8" s="487"/>
      <c r="L8" s="487"/>
      <c r="M8" s="487"/>
      <c r="N8" s="487"/>
      <c r="O8" s="487"/>
      <c r="P8" s="487"/>
      <c r="Q8" s="487"/>
      <c r="R8" s="487"/>
      <c r="S8" s="487"/>
      <c r="T8" s="487"/>
      <c r="U8" s="488"/>
      <c r="V8" s="489" t="s">
        <v>1290</v>
      </c>
      <c r="W8" s="490"/>
      <c r="X8" s="491"/>
      <c r="Y8" s="492" t="n">
        <v>1847</v>
      </c>
      <c r="Z8" s="492"/>
      <c r="AA8" s="492"/>
      <c r="AB8" s="492"/>
      <c r="AC8" s="492"/>
      <c r="AD8" s="492"/>
      <c r="AE8" s="492"/>
      <c r="AF8" s="492"/>
      <c r="AG8" s="492"/>
      <c r="AH8" s="492"/>
      <c r="AI8" s="492"/>
      <c r="AJ8" s="493" t="n">
        <f aca="false">ROUND(入力!$B$13/入力!$B$11,0)</f>
        <v>1863</v>
      </c>
      <c r="AK8" s="493"/>
      <c r="AL8" s="493"/>
      <c r="AM8" s="493"/>
      <c r="AN8" s="493"/>
      <c r="AO8" s="493"/>
      <c r="AP8" s="493"/>
      <c r="AQ8" s="493"/>
      <c r="AR8" s="493"/>
      <c r="AS8" s="493"/>
      <c r="AT8" s="493"/>
      <c r="AU8" s="494" t="n">
        <f aca="false">AJ8-Y8</f>
        <v>16</v>
      </c>
      <c r="AV8" s="494"/>
      <c r="AW8" s="494"/>
      <c r="AX8" s="494"/>
      <c r="AY8" s="494"/>
      <c r="AZ8" s="494"/>
      <c r="BA8" s="494"/>
      <c r="BB8" s="494"/>
      <c r="BC8" s="494"/>
      <c r="BD8" s="494"/>
      <c r="BE8" s="494"/>
      <c r="BF8" s="10"/>
      <c r="BG8" s="10"/>
      <c r="BH8" s="10"/>
      <c r="BI8" s="10"/>
      <c r="BJ8" s="10"/>
      <c r="BK8" s="10"/>
      <c r="BL8" s="10"/>
      <c r="BM8" s="10"/>
      <c r="BN8" s="10"/>
    </row>
    <row r="9" customFormat="false" ht="27" hidden="false" customHeight="true" outlineLevel="0" collapsed="false">
      <c r="A9" s="478"/>
      <c r="B9" s="478"/>
      <c r="C9" s="495"/>
      <c r="D9" s="496" t="s">
        <v>1102</v>
      </c>
      <c r="E9" s="496"/>
      <c r="F9" s="496"/>
      <c r="G9" s="496"/>
      <c r="H9" s="496"/>
      <c r="I9" s="496"/>
      <c r="J9" s="496"/>
      <c r="K9" s="496"/>
      <c r="L9" s="496"/>
      <c r="M9" s="496"/>
      <c r="N9" s="496"/>
      <c r="O9" s="496"/>
      <c r="P9" s="496"/>
      <c r="Q9" s="496"/>
      <c r="R9" s="496"/>
      <c r="S9" s="496"/>
      <c r="T9" s="496"/>
      <c r="U9" s="497"/>
      <c r="V9" s="498" t="s">
        <v>1291</v>
      </c>
      <c r="W9" s="499"/>
      <c r="X9" s="500"/>
      <c r="Y9" s="501" t="n">
        <v>1570</v>
      </c>
      <c r="Z9" s="501"/>
      <c r="AA9" s="501"/>
      <c r="AB9" s="501"/>
      <c r="AC9" s="501"/>
      <c r="AD9" s="501"/>
      <c r="AE9" s="501"/>
      <c r="AF9" s="501"/>
      <c r="AG9" s="501"/>
      <c r="AH9" s="501"/>
      <c r="AI9" s="501"/>
      <c r="AJ9" s="501" t="n">
        <v>1635</v>
      </c>
      <c r="AK9" s="501"/>
      <c r="AL9" s="501"/>
      <c r="AM9" s="501"/>
      <c r="AN9" s="501"/>
      <c r="AO9" s="501"/>
      <c r="AP9" s="501"/>
      <c r="AQ9" s="501"/>
      <c r="AR9" s="501"/>
      <c r="AS9" s="501"/>
      <c r="AT9" s="501"/>
      <c r="AU9" s="502" t="n">
        <f aca="false">AJ9-Y9</f>
        <v>65</v>
      </c>
      <c r="AV9" s="502"/>
      <c r="AW9" s="502"/>
      <c r="AX9" s="502"/>
      <c r="AY9" s="502"/>
      <c r="AZ9" s="502"/>
      <c r="BA9" s="502"/>
      <c r="BB9" s="502"/>
      <c r="BC9" s="502"/>
      <c r="BD9" s="502"/>
      <c r="BE9" s="502"/>
      <c r="BF9" s="10"/>
      <c r="BG9" s="10"/>
      <c r="BH9" s="10"/>
      <c r="BI9" s="10"/>
      <c r="BJ9" s="10"/>
      <c r="BK9" s="10"/>
      <c r="BL9" s="10"/>
      <c r="BM9" s="10"/>
      <c r="BN9" s="10"/>
    </row>
    <row r="10" customFormat="false" ht="27" hidden="false" customHeight="true" outlineLevel="0" collapsed="false">
      <c r="A10" s="478"/>
      <c r="B10" s="478"/>
      <c r="C10" s="495"/>
      <c r="D10" s="496" t="s">
        <v>96</v>
      </c>
      <c r="E10" s="496"/>
      <c r="F10" s="496"/>
      <c r="G10" s="496"/>
      <c r="H10" s="496"/>
      <c r="I10" s="496"/>
      <c r="J10" s="496"/>
      <c r="K10" s="496"/>
      <c r="L10" s="496"/>
      <c r="M10" s="496"/>
      <c r="N10" s="496"/>
      <c r="O10" s="496"/>
      <c r="P10" s="496"/>
      <c r="Q10" s="496"/>
      <c r="R10" s="496"/>
      <c r="S10" s="496"/>
      <c r="T10" s="496"/>
      <c r="U10" s="497"/>
      <c r="V10" s="498" t="s">
        <v>1292</v>
      </c>
      <c r="W10" s="499"/>
      <c r="X10" s="500"/>
      <c r="Y10" s="501" t="n">
        <v>1466</v>
      </c>
      <c r="Z10" s="501"/>
      <c r="AA10" s="501"/>
      <c r="AB10" s="501"/>
      <c r="AC10" s="501"/>
      <c r="AD10" s="501"/>
      <c r="AE10" s="501"/>
      <c r="AF10" s="501"/>
      <c r="AG10" s="501"/>
      <c r="AH10" s="501"/>
      <c r="AI10" s="501"/>
      <c r="AJ10" s="503" t="n">
        <f aca="false">ROUND((業務経理P18!V28-入力!$B$14)/入力!$B$12,0)</f>
        <v>1616</v>
      </c>
      <c r="AK10" s="503"/>
      <c r="AL10" s="503"/>
      <c r="AM10" s="503"/>
      <c r="AN10" s="503"/>
      <c r="AO10" s="503"/>
      <c r="AP10" s="503"/>
      <c r="AQ10" s="503"/>
      <c r="AR10" s="503"/>
      <c r="AS10" s="503"/>
      <c r="AT10" s="503"/>
      <c r="AU10" s="502" t="n">
        <f aca="false">AJ10-Y10</f>
        <v>150</v>
      </c>
      <c r="AV10" s="502"/>
      <c r="AW10" s="502"/>
      <c r="AX10" s="502"/>
      <c r="AY10" s="502"/>
      <c r="AZ10" s="502"/>
      <c r="BA10" s="502"/>
      <c r="BB10" s="502"/>
      <c r="BC10" s="502"/>
      <c r="BD10" s="502"/>
      <c r="BE10" s="502"/>
      <c r="BF10" s="10"/>
      <c r="BG10" s="10"/>
      <c r="BH10" s="10"/>
      <c r="BI10" s="10"/>
      <c r="BJ10" s="10"/>
      <c r="BK10" s="10"/>
      <c r="BL10" s="10"/>
      <c r="BM10" s="10"/>
      <c r="BN10" s="10"/>
    </row>
    <row r="11" customFormat="false" ht="27" hidden="false" customHeight="true" outlineLevel="0" collapsed="false">
      <c r="A11" s="478"/>
      <c r="B11" s="478"/>
      <c r="C11" s="495"/>
      <c r="D11" s="496" t="s">
        <v>1293</v>
      </c>
      <c r="E11" s="496"/>
      <c r="F11" s="496"/>
      <c r="G11" s="496"/>
      <c r="H11" s="496"/>
      <c r="I11" s="496"/>
      <c r="J11" s="496"/>
      <c r="K11" s="496"/>
      <c r="L11" s="496"/>
      <c r="M11" s="496"/>
      <c r="N11" s="496"/>
      <c r="O11" s="496"/>
      <c r="P11" s="496"/>
      <c r="Q11" s="496"/>
      <c r="R11" s="496"/>
      <c r="S11" s="496"/>
      <c r="T11" s="496"/>
      <c r="U11" s="497"/>
      <c r="V11" s="498" t="s">
        <v>1294</v>
      </c>
      <c r="W11" s="499"/>
      <c r="X11" s="500"/>
      <c r="Y11" s="501" t="n">
        <v>0</v>
      </c>
      <c r="Z11" s="501"/>
      <c r="AA11" s="501"/>
      <c r="AB11" s="501"/>
      <c r="AC11" s="501"/>
      <c r="AD11" s="501"/>
      <c r="AE11" s="501"/>
      <c r="AF11" s="501"/>
      <c r="AG11" s="501"/>
      <c r="AH11" s="501"/>
      <c r="AI11" s="501"/>
      <c r="AJ11" s="501" t="n">
        <v>0</v>
      </c>
      <c r="AK11" s="501"/>
      <c r="AL11" s="501"/>
      <c r="AM11" s="501"/>
      <c r="AN11" s="501"/>
      <c r="AO11" s="501"/>
      <c r="AP11" s="501"/>
      <c r="AQ11" s="501"/>
      <c r="AR11" s="501"/>
      <c r="AS11" s="501"/>
      <c r="AT11" s="501"/>
      <c r="AU11" s="502" t="n">
        <f aca="false">AJ11-Y11</f>
        <v>0</v>
      </c>
      <c r="AV11" s="502"/>
      <c r="AW11" s="502"/>
      <c r="AX11" s="502"/>
      <c r="AY11" s="502"/>
      <c r="AZ11" s="502"/>
      <c r="BA11" s="502"/>
      <c r="BB11" s="502"/>
      <c r="BC11" s="502"/>
      <c r="BD11" s="502"/>
      <c r="BE11" s="502"/>
      <c r="BF11" s="10"/>
      <c r="BG11" s="10"/>
      <c r="BH11" s="10"/>
      <c r="BI11" s="10"/>
      <c r="BJ11" s="10"/>
      <c r="BK11" s="10"/>
      <c r="BL11" s="10"/>
      <c r="BM11" s="10"/>
      <c r="BN11" s="10"/>
    </row>
    <row r="12" customFormat="false" ht="18" hidden="false" customHeight="true" outlineLevel="0" collapsed="false">
      <c r="A12" s="470" t="s">
        <v>1295</v>
      </c>
      <c r="B12" s="470"/>
      <c r="C12" s="504" t="s">
        <v>1296</v>
      </c>
      <c r="D12" s="505"/>
      <c r="E12" s="505"/>
      <c r="F12" s="505"/>
      <c r="G12" s="505"/>
      <c r="H12" s="505"/>
      <c r="I12" s="505"/>
      <c r="J12" s="505"/>
      <c r="K12" s="505"/>
      <c r="L12" s="505"/>
      <c r="M12" s="505"/>
      <c r="N12" s="505"/>
      <c r="O12" s="505"/>
      <c r="P12" s="505"/>
      <c r="Q12" s="505"/>
      <c r="R12" s="505"/>
      <c r="S12" s="505"/>
      <c r="T12" s="505"/>
      <c r="U12" s="505"/>
      <c r="V12" s="505"/>
      <c r="W12" s="505"/>
      <c r="X12" s="505"/>
      <c r="Y12" s="505"/>
      <c r="Z12" s="505"/>
      <c r="AA12" s="505"/>
      <c r="AB12" s="505"/>
      <c r="AC12" s="505"/>
      <c r="AD12" s="505"/>
      <c r="AE12" s="505"/>
      <c r="AF12" s="505"/>
      <c r="AG12" s="505"/>
      <c r="AH12" s="505"/>
      <c r="AI12" s="505"/>
      <c r="AJ12" s="505"/>
      <c r="AK12" s="505"/>
      <c r="AL12" s="505"/>
      <c r="AM12" s="505"/>
      <c r="AN12" s="505"/>
      <c r="AO12" s="505"/>
      <c r="AP12" s="505"/>
      <c r="AQ12" s="505"/>
      <c r="AR12" s="505"/>
      <c r="AS12" s="505"/>
      <c r="AT12" s="505"/>
      <c r="AU12" s="505"/>
      <c r="AV12" s="505"/>
      <c r="AW12" s="505"/>
      <c r="AX12" s="505"/>
      <c r="AY12" s="505"/>
      <c r="AZ12" s="505"/>
      <c r="BA12" s="505"/>
      <c r="BB12" s="505"/>
      <c r="BC12" s="473"/>
      <c r="BD12" s="10"/>
      <c r="BE12" s="10"/>
      <c r="BF12" s="10"/>
      <c r="BG12" s="10"/>
      <c r="BH12" s="10"/>
      <c r="BI12" s="10"/>
      <c r="BJ12" s="10"/>
      <c r="BK12" s="10"/>
      <c r="BL12" s="10"/>
      <c r="BM12" s="10"/>
      <c r="BN12" s="10"/>
    </row>
    <row r="13" customFormat="false" ht="18" hidden="false" customHeight="true" outlineLevel="0" collapsed="false">
      <c r="A13" s="10"/>
      <c r="B13" s="10"/>
      <c r="C13" s="463" t="s">
        <v>1297</v>
      </c>
      <c r="D13" s="463"/>
      <c r="E13" s="463"/>
      <c r="F13" s="463"/>
      <c r="G13" s="463"/>
      <c r="H13" s="463"/>
      <c r="I13" s="463"/>
      <c r="J13" s="463"/>
      <c r="K13" s="463"/>
      <c r="L13" s="463"/>
      <c r="M13" s="463"/>
      <c r="N13" s="463"/>
      <c r="O13" s="463"/>
      <c r="P13" s="463"/>
      <c r="Q13" s="463"/>
      <c r="R13" s="463"/>
      <c r="S13" s="463"/>
      <c r="T13" s="463"/>
      <c r="U13" s="463"/>
      <c r="V13" s="463"/>
      <c r="W13" s="463"/>
      <c r="X13" s="463"/>
      <c r="Y13" s="463"/>
      <c r="Z13" s="463"/>
      <c r="AA13" s="463"/>
      <c r="AB13" s="463"/>
      <c r="AC13" s="463"/>
      <c r="AD13" s="463"/>
      <c r="AE13" s="463"/>
      <c r="AF13" s="463"/>
      <c r="AG13" s="463"/>
      <c r="AH13" s="463"/>
      <c r="AI13" s="463"/>
      <c r="AJ13" s="463"/>
      <c r="AK13" s="463"/>
      <c r="AL13" s="463"/>
      <c r="AM13" s="463"/>
      <c r="AN13" s="463"/>
      <c r="AO13" s="463"/>
      <c r="AP13" s="463"/>
      <c r="AQ13" s="463"/>
      <c r="AR13" s="463"/>
      <c r="AS13" s="463"/>
      <c r="AT13" s="463"/>
      <c r="AU13" s="463"/>
      <c r="AV13" s="463"/>
      <c r="AW13" s="463"/>
      <c r="AX13" s="463"/>
      <c r="AY13" s="463"/>
      <c r="AZ13" s="463"/>
      <c r="BA13" s="463"/>
      <c r="BB13" s="463"/>
      <c r="BC13" s="10"/>
      <c r="BD13" s="10"/>
      <c r="BE13" s="10"/>
      <c r="BF13" s="10"/>
      <c r="BG13" s="10"/>
      <c r="BH13" s="10"/>
      <c r="BI13" s="10"/>
      <c r="BJ13" s="10"/>
      <c r="BK13" s="10"/>
      <c r="BL13" s="10"/>
      <c r="BM13" s="10"/>
      <c r="BN13" s="10"/>
    </row>
    <row r="14" customFormat="false" ht="18" hidden="false" customHeight="true" outlineLevel="0" collapsed="false">
      <c r="A14" s="10"/>
      <c r="B14" s="10"/>
      <c r="C14" s="463" t="s">
        <v>1298</v>
      </c>
      <c r="D14" s="463"/>
      <c r="E14" s="463"/>
      <c r="F14" s="463"/>
      <c r="G14" s="463"/>
      <c r="H14" s="463"/>
      <c r="I14" s="463"/>
      <c r="J14" s="463"/>
      <c r="K14" s="463"/>
      <c r="L14" s="463"/>
      <c r="M14" s="463"/>
      <c r="N14" s="463"/>
      <c r="O14" s="463"/>
      <c r="P14" s="463"/>
      <c r="Q14" s="463"/>
      <c r="R14" s="463"/>
      <c r="S14" s="463"/>
      <c r="T14" s="463"/>
      <c r="U14" s="463"/>
      <c r="V14" s="463"/>
      <c r="W14" s="463"/>
      <c r="X14" s="463"/>
      <c r="Y14" s="463"/>
      <c r="Z14" s="463"/>
      <c r="AA14" s="463"/>
      <c r="AB14" s="463"/>
      <c r="AC14" s="463"/>
      <c r="AD14" s="463"/>
      <c r="AE14" s="463"/>
      <c r="AF14" s="463"/>
      <c r="AG14" s="463"/>
      <c r="AH14" s="463"/>
      <c r="AI14" s="463"/>
      <c r="AJ14" s="463"/>
      <c r="AK14" s="463"/>
      <c r="AL14" s="463"/>
      <c r="AM14" s="463"/>
      <c r="AN14" s="463"/>
      <c r="AO14" s="463"/>
      <c r="AP14" s="463"/>
      <c r="AQ14" s="463"/>
      <c r="AR14" s="463"/>
      <c r="AS14" s="463"/>
      <c r="AT14" s="463"/>
      <c r="AU14" s="463"/>
      <c r="AV14" s="463"/>
      <c r="AW14" s="463"/>
      <c r="AX14" s="463"/>
      <c r="AY14" s="463"/>
      <c r="AZ14" s="463"/>
      <c r="BA14" s="463"/>
      <c r="BB14" s="463"/>
      <c r="BC14" s="10"/>
      <c r="BD14" s="10"/>
      <c r="BE14" s="10"/>
      <c r="BF14" s="10"/>
      <c r="BG14" s="10"/>
      <c r="BH14" s="10"/>
      <c r="BI14" s="10"/>
      <c r="BJ14" s="10"/>
      <c r="BK14" s="10"/>
      <c r="BL14" s="10"/>
      <c r="BM14" s="10"/>
      <c r="BN14" s="10"/>
    </row>
    <row r="15" customFormat="false" ht="17.25" hidden="false" customHeight="true" outlineLevel="0" collapsed="false">
      <c r="A15" s="10"/>
      <c r="B15" s="10"/>
      <c r="C15" s="441" t="s">
        <v>1299</v>
      </c>
      <c r="D15" s="10"/>
      <c r="E15" s="10"/>
      <c r="F15" s="10"/>
      <c r="G15" s="10"/>
      <c r="H15" s="10"/>
      <c r="I15" s="10"/>
      <c r="J15" s="10"/>
      <c r="K15" s="10"/>
      <c r="L15" s="10"/>
      <c r="M15" s="10"/>
      <c r="N15" s="10"/>
      <c r="O15" s="10"/>
      <c r="P15" s="10"/>
      <c r="Q15" s="10"/>
      <c r="R15" s="10"/>
      <c r="S15" s="10"/>
      <c r="T15" s="10"/>
      <c r="U15" s="10"/>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row>
    <row r="16" customFormat="false" ht="17.25" hidden="false" customHeight="true" outlineLevel="0" collapsed="false">
      <c r="A16" s="10"/>
      <c r="B16" s="10"/>
      <c r="C16" s="441" t="s">
        <v>1300</v>
      </c>
      <c r="D16" s="10"/>
      <c r="E16" s="10"/>
      <c r="F16" s="10"/>
      <c r="G16" s="10"/>
      <c r="H16" s="10"/>
      <c r="I16" s="10"/>
      <c r="J16" s="10"/>
      <c r="K16" s="10"/>
      <c r="L16" s="10"/>
      <c r="M16" s="10"/>
      <c r="N16" s="10"/>
      <c r="O16" s="10"/>
      <c r="P16" s="10"/>
      <c r="Q16" s="10"/>
      <c r="R16" s="10"/>
      <c r="S16" s="10"/>
      <c r="T16" s="10"/>
      <c r="U16" s="10"/>
      <c r="V16" s="10"/>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row>
    <row r="17" customFormat="false" ht="13.5" hidden="false" customHeight="true" outlineLevel="0" collapsed="false">
      <c r="A17" s="10"/>
      <c r="B17" s="10"/>
      <c r="C17" s="10"/>
      <c r="D17" s="10"/>
      <c r="E17" s="10"/>
      <c r="F17" s="10"/>
      <c r="G17" s="10"/>
      <c r="H17" s="10"/>
      <c r="I17" s="10"/>
      <c r="J17" s="10"/>
      <c r="K17" s="10"/>
      <c r="L17" s="10"/>
      <c r="M17" s="10"/>
      <c r="N17" s="10"/>
      <c r="O17" s="10"/>
      <c r="P17" s="10"/>
      <c r="Q17" s="10"/>
      <c r="R17" s="10"/>
      <c r="S17" s="10"/>
      <c r="T17" s="10"/>
      <c r="U17" s="10"/>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row>
    <row r="18" customFormat="false" ht="18" hidden="false" customHeight="true" outlineLevel="0" collapsed="false">
      <c r="A18" s="441" t="s">
        <v>1301</v>
      </c>
      <c r="B18" s="464"/>
      <c r="C18" s="464"/>
      <c r="D18" s="464"/>
      <c r="E18" s="464"/>
      <c r="F18" s="10"/>
      <c r="G18" s="10"/>
      <c r="H18" s="10"/>
      <c r="I18" s="10"/>
      <c r="J18" s="10"/>
      <c r="K18" s="10"/>
      <c r="L18" s="10"/>
      <c r="M18" s="10"/>
      <c r="N18" s="10"/>
      <c r="O18" s="10"/>
      <c r="P18" s="10"/>
      <c r="Q18" s="10"/>
      <c r="R18" s="10"/>
      <c r="S18" s="10"/>
      <c r="T18" s="10"/>
      <c r="U18" s="10"/>
      <c r="V18" s="10"/>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row>
    <row r="19" customFormat="false" ht="18" hidden="false" customHeight="true" outlineLevel="0" collapsed="false">
      <c r="A19" s="441" t="s">
        <v>1282</v>
      </c>
      <c r="B19" s="464"/>
      <c r="C19" s="464"/>
      <c r="D19" s="464"/>
      <c r="E19" s="10"/>
      <c r="F19" s="10"/>
      <c r="G19" s="10"/>
      <c r="H19" s="10"/>
      <c r="I19" s="10"/>
      <c r="J19" s="10"/>
      <c r="K19" s="10"/>
      <c r="L19" s="10"/>
      <c r="M19" s="10"/>
      <c r="N19" s="10"/>
      <c r="O19" s="10"/>
      <c r="P19" s="10"/>
      <c r="Q19" s="10"/>
      <c r="R19" s="10"/>
      <c r="S19" s="10"/>
      <c r="T19" s="10"/>
      <c r="U19" s="10"/>
      <c r="V19" s="10"/>
      <c r="W19" s="10"/>
      <c r="X19" s="10"/>
      <c r="Y19" s="10"/>
      <c r="Z19" s="10"/>
      <c r="AA19" s="10"/>
      <c r="AB19" s="10"/>
      <c r="AC19" s="10"/>
      <c r="AD19" s="506"/>
      <c r="AE19" s="10"/>
      <c r="AF19" s="10"/>
      <c r="AG19" s="10"/>
      <c r="AH19" s="10"/>
      <c r="AI19" s="10"/>
      <c r="AJ19" s="10"/>
      <c r="AK19" s="10"/>
      <c r="AL19" s="10"/>
      <c r="AM19" s="10"/>
      <c r="AN19" s="10"/>
      <c r="AO19" s="10"/>
      <c r="AP19" s="10"/>
      <c r="AQ19" s="10"/>
      <c r="AR19" s="10"/>
      <c r="AS19" s="10"/>
      <c r="AT19" s="10"/>
      <c r="AU19" s="10"/>
      <c r="AV19" s="10"/>
      <c r="AW19" s="10"/>
      <c r="AX19" s="10"/>
      <c r="AY19" s="463" t="s">
        <v>1283</v>
      </c>
      <c r="AZ19" s="10"/>
      <c r="BA19" s="10"/>
      <c r="BB19" s="10"/>
      <c r="BC19" s="10"/>
      <c r="BD19" s="10"/>
      <c r="BE19" s="10"/>
      <c r="BF19" s="10"/>
      <c r="BG19" s="10"/>
      <c r="BH19" s="463" t="s">
        <v>1301</v>
      </c>
      <c r="BI19" s="10"/>
      <c r="BJ19" s="10"/>
      <c r="BK19" s="10"/>
      <c r="BL19" s="10"/>
      <c r="BM19" s="10"/>
      <c r="BN19" s="10"/>
    </row>
    <row r="20" customFormat="false" ht="18" hidden="false" customHeight="true" outlineLevel="0" collapsed="false">
      <c r="A20" s="507" t="s">
        <v>1302</v>
      </c>
      <c r="B20" s="507"/>
      <c r="C20" s="507"/>
      <c r="D20" s="507"/>
      <c r="E20" s="507"/>
      <c r="F20" s="507"/>
      <c r="G20" s="507"/>
      <c r="H20" s="507"/>
      <c r="I20" s="507"/>
      <c r="J20" s="507"/>
      <c r="K20" s="507"/>
      <c r="L20" s="507"/>
      <c r="M20" s="507"/>
      <c r="N20" s="507"/>
      <c r="O20" s="507"/>
      <c r="P20" s="507"/>
      <c r="Q20" s="507"/>
      <c r="R20" s="507"/>
      <c r="S20" s="507"/>
      <c r="T20" s="507"/>
      <c r="U20" s="507"/>
      <c r="V20" s="507"/>
      <c r="W20" s="507"/>
      <c r="X20" s="507"/>
      <c r="Y20" s="468" t="str">
        <f aca="false">"令和"&amp;JIS(入力!$B$5-1)&amp;"年度"</f>
        <v>令和６年度</v>
      </c>
      <c r="Z20" s="468"/>
      <c r="AA20" s="468"/>
      <c r="AB20" s="468"/>
      <c r="AC20" s="468"/>
      <c r="AD20" s="468"/>
      <c r="AE20" s="468"/>
      <c r="AF20" s="468"/>
      <c r="AG20" s="468"/>
      <c r="AH20" s="468"/>
      <c r="AI20" s="468"/>
      <c r="AJ20" s="468" t="str">
        <f aca="false">"令和"&amp;JIS(入力!$B$5)&amp;"年度"</f>
        <v>令和７年度</v>
      </c>
      <c r="AK20" s="468"/>
      <c r="AL20" s="468"/>
      <c r="AM20" s="468"/>
      <c r="AN20" s="468"/>
      <c r="AO20" s="468"/>
      <c r="AP20" s="468"/>
      <c r="AQ20" s="468"/>
      <c r="AR20" s="468"/>
      <c r="AS20" s="468"/>
      <c r="AT20" s="468"/>
      <c r="AU20" s="507" t="s">
        <v>1303</v>
      </c>
      <c r="AV20" s="507"/>
      <c r="AW20" s="507"/>
      <c r="AX20" s="507"/>
      <c r="AY20" s="507"/>
      <c r="AZ20" s="507"/>
      <c r="BA20" s="507"/>
      <c r="BB20" s="507"/>
      <c r="BC20" s="507"/>
      <c r="BD20" s="507"/>
      <c r="BE20" s="507"/>
      <c r="BF20" s="10"/>
      <c r="BG20" s="10"/>
      <c r="BH20" s="463" t="s">
        <v>1282</v>
      </c>
      <c r="BI20" s="10"/>
      <c r="BJ20" s="10"/>
      <c r="BK20" s="10"/>
      <c r="BL20" s="10"/>
      <c r="BM20" s="10"/>
      <c r="BN20" s="463" t="s">
        <v>1283</v>
      </c>
    </row>
    <row r="21" customFormat="false" ht="23.25" hidden="false" customHeight="true" outlineLevel="0" collapsed="false">
      <c r="A21" s="508" t="s">
        <v>1304</v>
      </c>
      <c r="B21" s="508"/>
      <c r="C21" s="508"/>
      <c r="D21" s="508"/>
      <c r="E21" s="508"/>
      <c r="F21" s="508"/>
      <c r="G21" s="508"/>
      <c r="H21" s="508"/>
      <c r="I21" s="508"/>
      <c r="J21" s="508"/>
      <c r="K21" s="508"/>
      <c r="L21" s="508"/>
      <c r="M21" s="508"/>
      <c r="N21" s="508"/>
      <c r="O21" s="508"/>
      <c r="P21" s="508"/>
      <c r="Q21" s="508"/>
      <c r="R21" s="508"/>
      <c r="S21" s="508"/>
      <c r="T21" s="508"/>
      <c r="U21" s="508"/>
      <c r="V21" s="508"/>
      <c r="W21" s="508"/>
      <c r="X21" s="508"/>
      <c r="Y21" s="509" t="n">
        <v>151</v>
      </c>
      <c r="Z21" s="509"/>
      <c r="AA21" s="509"/>
      <c r="AB21" s="509"/>
      <c r="AC21" s="509"/>
      <c r="AD21" s="509"/>
      <c r="AE21" s="509"/>
      <c r="AF21" s="509"/>
      <c r="AG21" s="509"/>
      <c r="AH21" s="509"/>
      <c r="AI21" s="509"/>
      <c r="AJ21" s="510" t="n">
        <f aca="false">ROUND(入力!$B$14/入力!$B$12,0)</f>
        <v>170</v>
      </c>
      <c r="AK21" s="510"/>
      <c r="AL21" s="510"/>
      <c r="AM21" s="510"/>
      <c r="AN21" s="510"/>
      <c r="AO21" s="510"/>
      <c r="AP21" s="510"/>
      <c r="AQ21" s="510"/>
      <c r="AR21" s="510"/>
      <c r="AS21" s="510"/>
      <c r="AT21" s="510"/>
      <c r="AU21" s="511" t="n">
        <f aca="false">AJ21-Y21</f>
        <v>19</v>
      </c>
      <c r="AV21" s="511"/>
      <c r="AW21" s="511"/>
      <c r="AX21" s="511"/>
      <c r="AY21" s="511"/>
      <c r="AZ21" s="511"/>
      <c r="BA21" s="511"/>
      <c r="BB21" s="511"/>
      <c r="BC21" s="511"/>
      <c r="BD21" s="511"/>
      <c r="BE21" s="511"/>
      <c r="BF21" s="10"/>
      <c r="BG21" s="10"/>
      <c r="BH21" s="463" t="s">
        <v>1302</v>
      </c>
      <c r="BI21" s="10"/>
      <c r="BJ21" s="10"/>
      <c r="BK21" s="10"/>
      <c r="BL21" s="463" t="s">
        <v>1305</v>
      </c>
      <c r="BM21" s="463" t="s">
        <v>1305</v>
      </c>
      <c r="BN21" s="463" t="s">
        <v>1303</v>
      </c>
    </row>
    <row r="22" customFormat="false" ht="18" hidden="false" customHeight="true" outlineLevel="0" collapsed="false">
      <c r="A22" s="470" t="s">
        <v>1295</v>
      </c>
      <c r="B22" s="512"/>
      <c r="C22" s="513"/>
      <c r="D22" s="514" t="s">
        <v>1306</v>
      </c>
      <c r="E22" s="515"/>
      <c r="F22" s="515"/>
      <c r="G22" s="515"/>
      <c r="H22" s="515"/>
      <c r="I22" s="515"/>
      <c r="J22" s="515"/>
      <c r="K22" s="515"/>
      <c r="L22" s="515"/>
      <c r="M22" s="515"/>
      <c r="N22" s="515"/>
      <c r="O22" s="515"/>
      <c r="P22" s="515"/>
      <c r="Q22" s="515"/>
      <c r="R22" s="515"/>
      <c r="S22" s="515"/>
      <c r="T22" s="515"/>
      <c r="U22" s="515"/>
      <c r="V22" s="515"/>
      <c r="W22" s="515"/>
      <c r="X22" s="515"/>
      <c r="Y22" s="516"/>
      <c r="Z22" s="516"/>
      <c r="AA22" s="516"/>
      <c r="AB22" s="516"/>
      <c r="AC22" s="516"/>
      <c r="AD22" s="516"/>
      <c r="AE22" s="516"/>
      <c r="AF22" s="516"/>
      <c r="AG22" s="516"/>
      <c r="AH22" s="516"/>
      <c r="AI22" s="516"/>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517" t="s">
        <v>1307</v>
      </c>
      <c r="BI22" s="463" t="s">
        <v>96</v>
      </c>
      <c r="BJ22" s="10"/>
      <c r="BK22" s="10"/>
      <c r="BL22" s="10"/>
      <c r="BM22" s="10"/>
      <c r="BN22" s="10"/>
    </row>
    <row r="23" customFormat="false" ht="25.5" hidden="false" customHeight="true" outlineLevel="0" collapsed="false">
      <c r="A23" s="461" t="s">
        <v>1308</v>
      </c>
      <c r="B23" s="461"/>
      <c r="C23" s="461"/>
      <c r="D23" s="461"/>
      <c r="E23" s="461"/>
      <c r="F23" s="461"/>
      <c r="G23" s="461"/>
      <c r="H23" s="461"/>
      <c r="I23" s="461"/>
      <c r="J23" s="461"/>
      <c r="K23" s="461"/>
      <c r="L23" s="461"/>
      <c r="M23" s="461"/>
      <c r="N23" s="10"/>
      <c r="O23" s="10"/>
      <c r="P23" s="10"/>
      <c r="Q23" s="10"/>
      <c r="R23" s="10"/>
      <c r="S23" s="10"/>
      <c r="T23" s="10"/>
      <c r="U23" s="10"/>
      <c r="V23" s="10"/>
      <c r="W23" s="10"/>
      <c r="X23" s="10"/>
      <c r="Y23" s="10"/>
      <c r="Z23" s="10"/>
      <c r="AA23" s="10"/>
      <c r="AB23" s="10"/>
      <c r="AC23" s="10"/>
      <c r="AD23" s="10"/>
      <c r="AE23" s="10"/>
      <c r="AF23" s="10"/>
      <c r="AG23" s="10"/>
      <c r="AH23" s="10"/>
      <c r="AI23" s="10"/>
      <c r="AJ23" s="10"/>
      <c r="AK23" s="10"/>
      <c r="AL23" s="10"/>
      <c r="AM23" s="10"/>
      <c r="AN23" s="10"/>
      <c r="AO23" s="10"/>
      <c r="AP23" s="10"/>
      <c r="AQ23" s="10"/>
      <c r="AR23" s="10"/>
      <c r="AS23" s="10"/>
      <c r="AT23" s="10"/>
      <c r="AU23" s="10"/>
      <c r="AV23" s="10"/>
      <c r="AW23" s="10"/>
      <c r="AX23" s="10"/>
      <c r="AY23" s="10"/>
      <c r="AZ23" s="10"/>
      <c r="BA23" s="10"/>
      <c r="BB23" s="10"/>
      <c r="BC23" s="10"/>
      <c r="BD23" s="10"/>
      <c r="BE23" s="10"/>
      <c r="BF23" s="10"/>
      <c r="BG23" s="10"/>
      <c r="BH23" s="10"/>
      <c r="BI23" s="10"/>
      <c r="BJ23" s="10"/>
      <c r="BK23" s="10"/>
      <c r="BL23" s="10"/>
      <c r="BM23" s="10"/>
      <c r="BN23" s="10"/>
    </row>
    <row r="24" customFormat="false" ht="18" hidden="false" customHeight="true" outlineLevel="0" collapsed="false">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c r="AE24" s="10"/>
      <c r="AF24" s="10"/>
      <c r="AG24" s="10"/>
      <c r="AH24" s="10"/>
      <c r="AI24" s="10"/>
      <c r="AJ24" s="10"/>
      <c r="AK24" s="10"/>
      <c r="AL24" s="10"/>
      <c r="AM24" s="10"/>
      <c r="AN24" s="10"/>
      <c r="AO24" s="10"/>
      <c r="AP24" s="10"/>
      <c r="AQ24" s="10"/>
      <c r="AR24" s="518" t="s">
        <v>1283</v>
      </c>
      <c r="AS24" s="518"/>
      <c r="AT24" s="518"/>
      <c r="AU24" s="518"/>
      <c r="AV24" s="518"/>
      <c r="AW24" s="518"/>
      <c r="AX24" s="518"/>
      <c r="AY24" s="518"/>
      <c r="AZ24" s="518"/>
      <c r="BA24" s="518"/>
      <c r="BB24" s="518"/>
      <c r="BC24" s="518"/>
      <c r="BD24" s="518"/>
      <c r="BE24" s="518"/>
      <c r="BF24" s="40"/>
      <c r="BG24" s="40"/>
      <c r="BH24" s="519" t="s">
        <v>1309</v>
      </c>
      <c r="BI24" s="10"/>
      <c r="BJ24" s="517" t="s">
        <v>1310</v>
      </c>
      <c r="BK24" s="10"/>
      <c r="BL24" s="10"/>
      <c r="BM24" s="10"/>
      <c r="BN24" s="10"/>
    </row>
    <row r="25" customFormat="false" ht="18" hidden="false" customHeight="true" outlineLevel="0" collapsed="false">
      <c r="A25" s="520" t="s">
        <v>1311</v>
      </c>
      <c r="B25" s="520"/>
      <c r="C25" s="520"/>
      <c r="D25" s="520"/>
      <c r="E25" s="520"/>
      <c r="F25" s="520"/>
      <c r="G25" s="520"/>
      <c r="H25" s="520"/>
      <c r="I25" s="520"/>
      <c r="J25" s="520"/>
      <c r="K25" s="520"/>
      <c r="L25" s="520"/>
      <c r="M25" s="467" t="s">
        <v>1312</v>
      </c>
      <c r="N25" s="467"/>
      <c r="O25" s="467"/>
      <c r="P25" s="467"/>
      <c r="Q25" s="467"/>
      <c r="R25" s="467"/>
      <c r="S25" s="467"/>
      <c r="T25" s="467"/>
      <c r="U25" s="467"/>
      <c r="V25" s="521" t="s">
        <v>1313</v>
      </c>
      <c r="W25" s="521"/>
      <c r="X25" s="521"/>
      <c r="Y25" s="521"/>
      <c r="Z25" s="521"/>
      <c r="AA25" s="521"/>
      <c r="AB25" s="521"/>
      <c r="AC25" s="521"/>
      <c r="AD25" s="521"/>
      <c r="AE25" s="467" t="s">
        <v>1314</v>
      </c>
      <c r="AF25" s="467"/>
      <c r="AG25" s="467"/>
      <c r="AH25" s="467"/>
      <c r="AI25" s="467"/>
      <c r="AJ25" s="467"/>
      <c r="AK25" s="467"/>
      <c r="AL25" s="467"/>
      <c r="AM25" s="467"/>
      <c r="AN25" s="467" t="s">
        <v>1315</v>
      </c>
      <c r="AO25" s="467"/>
      <c r="AP25" s="467"/>
      <c r="AQ25" s="467"/>
      <c r="AR25" s="467"/>
      <c r="AS25" s="467"/>
      <c r="AT25" s="467"/>
      <c r="AU25" s="467"/>
      <c r="AV25" s="467"/>
      <c r="AW25" s="467"/>
      <c r="AX25" s="467"/>
      <c r="AY25" s="467"/>
      <c r="AZ25" s="467"/>
      <c r="BA25" s="467"/>
      <c r="BB25" s="467"/>
      <c r="BC25" s="467"/>
      <c r="BD25" s="467"/>
      <c r="BE25" s="467"/>
      <c r="BF25" s="10"/>
      <c r="BG25" s="10"/>
      <c r="BH25" s="10"/>
      <c r="BI25" s="10"/>
      <c r="BJ25" s="517" t="s">
        <v>1316</v>
      </c>
      <c r="BK25" s="10"/>
      <c r="BL25" s="10"/>
      <c r="BM25" s="10"/>
      <c r="BN25" s="10"/>
    </row>
    <row r="26" customFormat="false" ht="18" hidden="false" customHeight="true" outlineLevel="0" collapsed="false">
      <c r="A26" s="522" t="s">
        <v>1317</v>
      </c>
      <c r="B26" s="522"/>
      <c r="C26" s="522"/>
      <c r="D26" s="522"/>
      <c r="E26" s="522"/>
      <c r="F26" s="522"/>
      <c r="G26" s="522"/>
      <c r="H26" s="522"/>
      <c r="I26" s="522"/>
      <c r="J26" s="522"/>
      <c r="K26" s="522"/>
      <c r="L26" s="522"/>
      <c r="M26" s="467"/>
      <c r="N26" s="467"/>
      <c r="O26" s="467"/>
      <c r="P26" s="467"/>
      <c r="Q26" s="467"/>
      <c r="R26" s="467"/>
      <c r="S26" s="467"/>
      <c r="T26" s="467"/>
      <c r="U26" s="467"/>
      <c r="V26" s="521"/>
      <c r="W26" s="521"/>
      <c r="X26" s="521"/>
      <c r="Y26" s="521"/>
      <c r="Z26" s="521"/>
      <c r="AA26" s="521"/>
      <c r="AB26" s="521"/>
      <c r="AC26" s="521"/>
      <c r="AD26" s="521"/>
      <c r="AE26" s="467"/>
      <c r="AF26" s="467"/>
      <c r="AG26" s="467"/>
      <c r="AH26" s="467"/>
      <c r="AI26" s="467"/>
      <c r="AJ26" s="467"/>
      <c r="AK26" s="467"/>
      <c r="AL26" s="467"/>
      <c r="AM26" s="467"/>
      <c r="AN26" s="467" t="s">
        <v>1318</v>
      </c>
      <c r="AO26" s="467"/>
      <c r="AP26" s="467"/>
      <c r="AQ26" s="467"/>
      <c r="AR26" s="467"/>
      <c r="AS26" s="467"/>
      <c r="AT26" s="467"/>
      <c r="AU26" s="467"/>
      <c r="AV26" s="467"/>
      <c r="AW26" s="523" t="s">
        <v>1314</v>
      </c>
      <c r="AX26" s="523"/>
      <c r="AY26" s="523"/>
      <c r="AZ26" s="523"/>
      <c r="BA26" s="523"/>
      <c r="BB26" s="523"/>
      <c r="BC26" s="523"/>
      <c r="BD26" s="523"/>
      <c r="BE26" s="523"/>
      <c r="BF26" s="10"/>
      <c r="BG26" s="10"/>
      <c r="BH26" s="10"/>
      <c r="BI26" s="10"/>
      <c r="BJ26" s="10"/>
      <c r="BK26" s="10"/>
      <c r="BL26" s="10"/>
      <c r="BM26" s="10"/>
      <c r="BN26" s="10"/>
    </row>
    <row r="27" customFormat="false" ht="18" hidden="false" customHeight="true" outlineLevel="0" collapsed="false">
      <c r="A27" s="524"/>
      <c r="B27" s="496" t="s">
        <v>89</v>
      </c>
      <c r="C27" s="496"/>
      <c r="D27" s="496"/>
      <c r="E27" s="496"/>
      <c r="F27" s="496"/>
      <c r="G27" s="496"/>
      <c r="H27" s="496"/>
      <c r="I27" s="496"/>
      <c r="J27" s="496"/>
      <c r="K27" s="496"/>
      <c r="L27" s="462"/>
      <c r="M27" s="525" t="n">
        <v>94968000</v>
      </c>
      <c r="N27" s="525"/>
      <c r="O27" s="525"/>
      <c r="P27" s="525"/>
      <c r="Q27" s="525"/>
      <c r="R27" s="525"/>
      <c r="S27" s="525"/>
      <c r="T27" s="525"/>
      <c r="U27" s="526"/>
      <c r="V27" s="527" t="n">
        <f aca="false">決算精算表!G39</f>
        <v>89655843</v>
      </c>
      <c r="W27" s="527"/>
      <c r="X27" s="527"/>
      <c r="Y27" s="527"/>
      <c r="Z27" s="527"/>
      <c r="AA27" s="527"/>
      <c r="AB27" s="527"/>
      <c r="AC27" s="527"/>
      <c r="AD27" s="528"/>
      <c r="AE27" s="529" t="n">
        <f aca="false">V27-M27</f>
        <v>-5312157</v>
      </c>
      <c r="AF27" s="529"/>
      <c r="AG27" s="529"/>
      <c r="AH27" s="529"/>
      <c r="AI27" s="529"/>
      <c r="AJ27" s="529"/>
      <c r="AK27" s="529"/>
      <c r="AL27" s="529"/>
      <c r="AM27" s="530"/>
      <c r="AN27" s="531" t="n">
        <v>82167559</v>
      </c>
      <c r="AO27" s="531"/>
      <c r="AP27" s="531"/>
      <c r="AQ27" s="531"/>
      <c r="AR27" s="531"/>
      <c r="AS27" s="531"/>
      <c r="AT27" s="531"/>
      <c r="AU27" s="531"/>
      <c r="AV27" s="530"/>
      <c r="AW27" s="532" t="n">
        <f aca="false">V27-AN27</f>
        <v>7488284</v>
      </c>
      <c r="AX27" s="532"/>
      <c r="AY27" s="532"/>
      <c r="AZ27" s="532"/>
      <c r="BA27" s="532"/>
      <c r="BB27" s="532"/>
      <c r="BC27" s="532"/>
      <c r="BD27" s="532"/>
      <c r="BE27" s="533"/>
      <c r="BF27" s="10"/>
      <c r="BG27" s="10"/>
      <c r="BH27" s="10"/>
      <c r="BI27" s="10"/>
      <c r="BJ27" s="10"/>
      <c r="BK27" s="10"/>
      <c r="BL27" s="10"/>
      <c r="BM27" s="10"/>
      <c r="BN27" s="10"/>
    </row>
    <row r="28" customFormat="false" ht="18" hidden="false" customHeight="true" outlineLevel="0" collapsed="false">
      <c r="A28" s="495"/>
      <c r="B28" s="496" t="s">
        <v>96</v>
      </c>
      <c r="C28" s="496"/>
      <c r="D28" s="496"/>
      <c r="E28" s="496"/>
      <c r="F28" s="496"/>
      <c r="G28" s="496"/>
      <c r="H28" s="496"/>
      <c r="I28" s="496"/>
      <c r="J28" s="496"/>
      <c r="K28" s="496"/>
      <c r="L28" s="499"/>
      <c r="M28" s="534" t="n">
        <v>23147000</v>
      </c>
      <c r="N28" s="534"/>
      <c r="O28" s="534"/>
      <c r="P28" s="534"/>
      <c r="Q28" s="534"/>
      <c r="R28" s="534"/>
      <c r="S28" s="534"/>
      <c r="T28" s="534"/>
      <c r="U28" s="535"/>
      <c r="V28" s="536" t="n">
        <f aca="false">決算精算表!G42</f>
        <v>23159738</v>
      </c>
      <c r="W28" s="536"/>
      <c r="X28" s="536"/>
      <c r="Y28" s="536"/>
      <c r="Z28" s="536"/>
      <c r="AA28" s="536"/>
      <c r="AB28" s="536"/>
      <c r="AC28" s="536"/>
      <c r="AD28" s="537"/>
      <c r="AE28" s="538" t="n">
        <f aca="false">V28-M28</f>
        <v>12738</v>
      </c>
      <c r="AF28" s="538"/>
      <c r="AG28" s="538"/>
      <c r="AH28" s="538"/>
      <c r="AI28" s="538"/>
      <c r="AJ28" s="538"/>
      <c r="AK28" s="538"/>
      <c r="AL28" s="538"/>
      <c r="AM28" s="539"/>
      <c r="AN28" s="540" t="n">
        <v>20856594</v>
      </c>
      <c r="AO28" s="540"/>
      <c r="AP28" s="540"/>
      <c r="AQ28" s="540"/>
      <c r="AR28" s="540"/>
      <c r="AS28" s="540"/>
      <c r="AT28" s="540"/>
      <c r="AU28" s="540"/>
      <c r="AV28" s="539"/>
      <c r="AW28" s="541" t="n">
        <f aca="false">V28-AN28</f>
        <v>2303144</v>
      </c>
      <c r="AX28" s="541"/>
      <c r="AY28" s="541"/>
      <c r="AZ28" s="541"/>
      <c r="BA28" s="541"/>
      <c r="BB28" s="541"/>
      <c r="BC28" s="541"/>
      <c r="BD28" s="541"/>
      <c r="BE28" s="500"/>
      <c r="BF28" s="10"/>
      <c r="BG28" s="10"/>
      <c r="BH28" s="10"/>
      <c r="BI28" s="10"/>
      <c r="BJ28" s="10"/>
      <c r="BK28" s="10"/>
      <c r="BL28" s="10"/>
      <c r="BM28" s="10"/>
      <c r="BN28" s="10"/>
    </row>
    <row r="29" customFormat="false" ht="18" hidden="false" customHeight="true" outlineLevel="0" collapsed="false">
      <c r="A29" s="495"/>
      <c r="B29" s="496" t="s">
        <v>1101</v>
      </c>
      <c r="C29" s="496"/>
      <c r="D29" s="496"/>
      <c r="E29" s="496"/>
      <c r="F29" s="496"/>
      <c r="G29" s="496"/>
      <c r="H29" s="496"/>
      <c r="I29" s="496"/>
      <c r="J29" s="496"/>
      <c r="K29" s="496"/>
      <c r="L29" s="499"/>
      <c r="M29" s="534" t="n">
        <v>0</v>
      </c>
      <c r="N29" s="534"/>
      <c r="O29" s="534"/>
      <c r="P29" s="534"/>
      <c r="Q29" s="534"/>
      <c r="R29" s="534"/>
      <c r="S29" s="534"/>
      <c r="T29" s="534"/>
      <c r="U29" s="539"/>
      <c r="V29" s="536" t="n">
        <f aca="false">決算精算表!G43</f>
        <v>0</v>
      </c>
      <c r="W29" s="536"/>
      <c r="X29" s="536"/>
      <c r="Y29" s="536"/>
      <c r="Z29" s="536"/>
      <c r="AA29" s="536"/>
      <c r="AB29" s="536"/>
      <c r="AC29" s="536"/>
      <c r="AD29" s="537"/>
      <c r="AE29" s="538" t="n">
        <f aca="false">V29-M29</f>
        <v>0</v>
      </c>
      <c r="AF29" s="538"/>
      <c r="AG29" s="538"/>
      <c r="AH29" s="538"/>
      <c r="AI29" s="538"/>
      <c r="AJ29" s="538"/>
      <c r="AK29" s="538"/>
      <c r="AL29" s="538"/>
      <c r="AM29" s="539"/>
      <c r="AN29" s="540" t="n">
        <v>0</v>
      </c>
      <c r="AO29" s="540"/>
      <c r="AP29" s="540"/>
      <c r="AQ29" s="540"/>
      <c r="AR29" s="540"/>
      <c r="AS29" s="540"/>
      <c r="AT29" s="540"/>
      <c r="AU29" s="540"/>
      <c r="AV29" s="539"/>
      <c r="AW29" s="541" t="n">
        <f aca="false">V29-AN29</f>
        <v>0</v>
      </c>
      <c r="AX29" s="541"/>
      <c r="AY29" s="541"/>
      <c r="AZ29" s="541"/>
      <c r="BA29" s="541"/>
      <c r="BB29" s="541"/>
      <c r="BC29" s="541"/>
      <c r="BD29" s="541"/>
      <c r="BE29" s="500"/>
      <c r="BF29" s="10"/>
      <c r="BG29" s="10"/>
      <c r="BH29" s="10"/>
      <c r="BI29" s="10"/>
      <c r="BJ29" s="10"/>
      <c r="BK29" s="10"/>
      <c r="BL29" s="10"/>
      <c r="BM29" s="10"/>
      <c r="BN29" s="10"/>
    </row>
    <row r="30" customFormat="false" ht="18" hidden="false" customHeight="true" outlineLevel="0" collapsed="false">
      <c r="A30" s="524"/>
      <c r="B30" s="496" t="s">
        <v>1102</v>
      </c>
      <c r="C30" s="496"/>
      <c r="D30" s="496"/>
      <c r="E30" s="496"/>
      <c r="F30" s="496"/>
      <c r="G30" s="496"/>
      <c r="H30" s="496"/>
      <c r="I30" s="496"/>
      <c r="J30" s="496"/>
      <c r="K30" s="496"/>
      <c r="L30" s="462"/>
      <c r="M30" s="534" t="n">
        <v>13605000</v>
      </c>
      <c r="N30" s="534"/>
      <c r="O30" s="534"/>
      <c r="P30" s="534"/>
      <c r="Q30" s="534"/>
      <c r="R30" s="534"/>
      <c r="S30" s="534"/>
      <c r="T30" s="534"/>
      <c r="U30" s="526"/>
      <c r="V30" s="527" t="n">
        <f aca="false">決算精算表!G44</f>
        <v>11834281</v>
      </c>
      <c r="W30" s="527"/>
      <c r="X30" s="527"/>
      <c r="Y30" s="527"/>
      <c r="Z30" s="527"/>
      <c r="AA30" s="527"/>
      <c r="AB30" s="527"/>
      <c r="AC30" s="527"/>
      <c r="AD30" s="528"/>
      <c r="AE30" s="542" t="n">
        <f aca="false">V30-M30</f>
        <v>-1770719</v>
      </c>
      <c r="AF30" s="542"/>
      <c r="AG30" s="542"/>
      <c r="AH30" s="542"/>
      <c r="AI30" s="542"/>
      <c r="AJ30" s="542"/>
      <c r="AK30" s="542"/>
      <c r="AL30" s="542"/>
      <c r="AM30" s="543"/>
      <c r="AN30" s="531" t="n">
        <v>11648520</v>
      </c>
      <c r="AO30" s="531"/>
      <c r="AP30" s="531"/>
      <c r="AQ30" s="531"/>
      <c r="AR30" s="531"/>
      <c r="AS30" s="531"/>
      <c r="AT30" s="531"/>
      <c r="AU30" s="531"/>
      <c r="AV30" s="543"/>
      <c r="AW30" s="544" t="n">
        <f aca="false">V30-AN30</f>
        <v>185761</v>
      </c>
      <c r="AX30" s="544"/>
      <c r="AY30" s="544"/>
      <c r="AZ30" s="544"/>
      <c r="BA30" s="544"/>
      <c r="BB30" s="544"/>
      <c r="BC30" s="544"/>
      <c r="BD30" s="544"/>
      <c r="BE30" s="533"/>
      <c r="BF30" s="10"/>
      <c r="BG30" s="10"/>
      <c r="BH30" s="10"/>
      <c r="BI30" s="10"/>
      <c r="BJ30" s="10"/>
      <c r="BK30" s="10"/>
      <c r="BL30" s="10"/>
      <c r="BM30" s="10"/>
      <c r="BN30" s="10"/>
    </row>
    <row r="31" customFormat="false" ht="18" hidden="false" customHeight="true" outlineLevel="0" collapsed="false">
      <c r="A31" s="495"/>
      <c r="B31" s="496" t="s">
        <v>1293</v>
      </c>
      <c r="C31" s="496"/>
      <c r="D31" s="496"/>
      <c r="E31" s="496"/>
      <c r="F31" s="496"/>
      <c r="G31" s="496"/>
      <c r="H31" s="496"/>
      <c r="I31" s="496"/>
      <c r="J31" s="496"/>
      <c r="K31" s="496"/>
      <c r="L31" s="499"/>
      <c r="M31" s="525" t="n">
        <v>0</v>
      </c>
      <c r="N31" s="525"/>
      <c r="O31" s="525"/>
      <c r="P31" s="525"/>
      <c r="Q31" s="525"/>
      <c r="R31" s="525"/>
      <c r="S31" s="525"/>
      <c r="T31" s="525"/>
      <c r="U31" s="535"/>
      <c r="V31" s="536" t="n">
        <f aca="false">決算精算表!G40+決算精算表!G41+決算精算表!G45</f>
        <v>77607</v>
      </c>
      <c r="W31" s="536"/>
      <c r="X31" s="536"/>
      <c r="Y31" s="536"/>
      <c r="Z31" s="536"/>
      <c r="AA31" s="536"/>
      <c r="AB31" s="536"/>
      <c r="AC31" s="536"/>
      <c r="AD31" s="537"/>
      <c r="AE31" s="538" t="n">
        <f aca="false">V31-M31</f>
        <v>77607</v>
      </c>
      <c r="AF31" s="538"/>
      <c r="AG31" s="538"/>
      <c r="AH31" s="538"/>
      <c r="AI31" s="538"/>
      <c r="AJ31" s="538"/>
      <c r="AK31" s="538"/>
      <c r="AL31" s="538"/>
      <c r="AM31" s="539"/>
      <c r="AN31" s="540" t="n">
        <v>1275345</v>
      </c>
      <c r="AO31" s="540"/>
      <c r="AP31" s="540"/>
      <c r="AQ31" s="540"/>
      <c r="AR31" s="540"/>
      <c r="AS31" s="540"/>
      <c r="AT31" s="540"/>
      <c r="AU31" s="540"/>
      <c r="AV31" s="539"/>
      <c r="AW31" s="541" t="n">
        <f aca="false">V31-AN31</f>
        <v>-1197738</v>
      </c>
      <c r="AX31" s="541"/>
      <c r="AY31" s="541"/>
      <c r="AZ31" s="541"/>
      <c r="BA31" s="541"/>
      <c r="BB31" s="541"/>
      <c r="BC31" s="541"/>
      <c r="BD31" s="541"/>
      <c r="BE31" s="500"/>
      <c r="BF31" s="10"/>
      <c r="BG31" s="10"/>
      <c r="BH31" s="10"/>
      <c r="BI31" s="10"/>
      <c r="BJ31" s="10"/>
      <c r="BK31" s="10"/>
      <c r="BL31" s="10"/>
      <c r="BM31" s="10"/>
      <c r="BN31" s="10"/>
    </row>
    <row r="32" customFormat="false" ht="18" hidden="false" customHeight="true" outlineLevel="0" collapsed="false">
      <c r="A32" s="495"/>
      <c r="B32" s="521" t="s">
        <v>1174</v>
      </c>
      <c r="C32" s="521"/>
      <c r="D32" s="521"/>
      <c r="E32" s="521"/>
      <c r="F32" s="521"/>
      <c r="G32" s="521"/>
      <c r="H32" s="521"/>
      <c r="I32" s="521"/>
      <c r="J32" s="521"/>
      <c r="K32" s="521"/>
      <c r="L32" s="500"/>
      <c r="M32" s="545" t="n">
        <f aca="false">SUM(M27:T31)</f>
        <v>131720000</v>
      </c>
      <c r="N32" s="545"/>
      <c r="O32" s="545"/>
      <c r="P32" s="545"/>
      <c r="Q32" s="545"/>
      <c r="R32" s="545"/>
      <c r="S32" s="545"/>
      <c r="T32" s="545"/>
      <c r="U32" s="535"/>
      <c r="V32" s="546" t="n">
        <f aca="false">SUM(V27:AC31)</f>
        <v>124727469</v>
      </c>
      <c r="W32" s="546"/>
      <c r="X32" s="546"/>
      <c r="Y32" s="546"/>
      <c r="Z32" s="546"/>
      <c r="AA32" s="546"/>
      <c r="AB32" s="546"/>
      <c r="AC32" s="546"/>
      <c r="AD32" s="547"/>
      <c r="AE32" s="538" t="n">
        <f aca="false">V32-M32</f>
        <v>-6992531</v>
      </c>
      <c r="AF32" s="538"/>
      <c r="AG32" s="538"/>
      <c r="AH32" s="538"/>
      <c r="AI32" s="538"/>
      <c r="AJ32" s="538"/>
      <c r="AK32" s="538"/>
      <c r="AL32" s="538"/>
      <c r="AM32" s="535"/>
      <c r="AN32" s="546" t="n">
        <f aca="false">SUM(AN27:AU31)</f>
        <v>115948018</v>
      </c>
      <c r="AO32" s="546"/>
      <c r="AP32" s="546"/>
      <c r="AQ32" s="546"/>
      <c r="AR32" s="546"/>
      <c r="AS32" s="546"/>
      <c r="AT32" s="546"/>
      <c r="AU32" s="546"/>
      <c r="AV32" s="535"/>
      <c r="AW32" s="541" t="n">
        <f aca="false">V32-AN32</f>
        <v>8779451</v>
      </c>
      <c r="AX32" s="541"/>
      <c r="AY32" s="541"/>
      <c r="AZ32" s="541"/>
      <c r="BA32" s="541"/>
      <c r="BB32" s="541"/>
      <c r="BC32" s="541"/>
      <c r="BD32" s="541"/>
      <c r="BE32" s="500"/>
      <c r="BF32" s="10"/>
      <c r="BG32" s="10"/>
      <c r="BH32" s="10"/>
      <c r="BI32" s="10"/>
      <c r="BJ32" s="10"/>
      <c r="BK32" s="10"/>
      <c r="BL32" s="10"/>
      <c r="BM32" s="10"/>
      <c r="BN32" s="10"/>
    </row>
    <row r="34" customFormat="false" ht="18" hidden="false" customHeight="true" outlineLevel="0" collapsed="false"/>
    <row r="35" customFormat="false" ht="18" hidden="false" customHeight="true" outlineLevel="0" collapsed="false"/>
    <row r="36" customFormat="false" ht="15" hidden="false" customHeight="true" outlineLevel="0" collapsed="false"/>
    <row r="37" customFormat="false" ht="19.5" hidden="false" customHeight="true" outlineLevel="0" collapsed="false"/>
    <row r="38" customFormat="false" ht="19.5" hidden="false" customHeight="true" outlineLevel="0" collapsed="false"/>
  </sheetData>
  <sheetProtection sheet="true" formatCells="false" formatColumns="false" formatRows="false" sort="false" autoFilter="false"/>
  <mergeCells count="87">
    <mergeCell ref="A1:P1"/>
    <mergeCell ref="A2:AO2"/>
    <mergeCell ref="B4:N4"/>
    <mergeCell ref="AU4:BE4"/>
    <mergeCell ref="A5:X5"/>
    <mergeCell ref="Y5:AI5"/>
    <mergeCell ref="AJ5:AT5"/>
    <mergeCell ref="AU5:BE5"/>
    <mergeCell ref="D6:U6"/>
    <mergeCell ref="Y6:AI6"/>
    <mergeCell ref="AJ6:AT6"/>
    <mergeCell ref="AU6:BE6"/>
    <mergeCell ref="A7:B11"/>
    <mergeCell ref="D7:T7"/>
    <mergeCell ref="Y7:AI7"/>
    <mergeCell ref="AJ7:AT7"/>
    <mergeCell ref="AU7:BE7"/>
    <mergeCell ref="F8:T8"/>
    <mergeCell ref="Y8:AI8"/>
    <mergeCell ref="AJ8:AT8"/>
    <mergeCell ref="AU8:BE8"/>
    <mergeCell ref="D9:T9"/>
    <mergeCell ref="Y9:AI9"/>
    <mergeCell ref="AJ9:AT9"/>
    <mergeCell ref="AU9:BE9"/>
    <mergeCell ref="D10:T10"/>
    <mergeCell ref="Y10:AI10"/>
    <mergeCell ref="AJ10:AT10"/>
    <mergeCell ref="AU10:BE10"/>
    <mergeCell ref="D11:T11"/>
    <mergeCell ref="Y11:AI11"/>
    <mergeCell ref="AJ11:AT11"/>
    <mergeCell ref="AU11:BE11"/>
    <mergeCell ref="A20:X20"/>
    <mergeCell ref="Y20:AI20"/>
    <mergeCell ref="AJ20:AT20"/>
    <mergeCell ref="AU20:BE20"/>
    <mergeCell ref="A21:X21"/>
    <mergeCell ref="Y21:AI21"/>
    <mergeCell ref="AJ21:AT21"/>
    <mergeCell ref="AU21:BE21"/>
    <mergeCell ref="A23:M23"/>
    <mergeCell ref="AR24:BE24"/>
    <mergeCell ref="A25:L25"/>
    <mergeCell ref="M25:U26"/>
    <mergeCell ref="V25:AD26"/>
    <mergeCell ref="AE25:AM26"/>
    <mergeCell ref="AN25:BE25"/>
    <mergeCell ref="A26:L26"/>
    <mergeCell ref="AN26:AV26"/>
    <mergeCell ref="AW26:BE26"/>
    <mergeCell ref="B27:K27"/>
    <mergeCell ref="M27:T27"/>
    <mergeCell ref="V27:AC27"/>
    <mergeCell ref="AE27:AL27"/>
    <mergeCell ref="AN27:AU27"/>
    <mergeCell ref="AW27:BD27"/>
    <mergeCell ref="B28:K28"/>
    <mergeCell ref="M28:T28"/>
    <mergeCell ref="V28:AC28"/>
    <mergeCell ref="AE28:AL28"/>
    <mergeCell ref="AN28:AU28"/>
    <mergeCell ref="AW28:BD28"/>
    <mergeCell ref="B29:K29"/>
    <mergeCell ref="M29:T29"/>
    <mergeCell ref="V29:AC29"/>
    <mergeCell ref="AE29:AL29"/>
    <mergeCell ref="AN29:AU29"/>
    <mergeCell ref="AW29:BD29"/>
    <mergeCell ref="B30:K30"/>
    <mergeCell ref="M30:T30"/>
    <mergeCell ref="V30:AC30"/>
    <mergeCell ref="AE30:AL30"/>
    <mergeCell ref="AN30:AU30"/>
    <mergeCell ref="AW30:BD30"/>
    <mergeCell ref="B31:K31"/>
    <mergeCell ref="M31:T31"/>
    <mergeCell ref="V31:AC31"/>
    <mergeCell ref="AE31:AL31"/>
    <mergeCell ref="AN31:AU31"/>
    <mergeCell ref="AW31:BD31"/>
    <mergeCell ref="B32:K32"/>
    <mergeCell ref="M32:T32"/>
    <mergeCell ref="V32:AC32"/>
    <mergeCell ref="AE32:AL32"/>
    <mergeCell ref="AN32:AU32"/>
    <mergeCell ref="AW32:BD32"/>
  </mergeCells>
  <printOptions headings="false" gridLines="false" gridLinesSet="true" horizontalCentered="true" verticalCentered="false"/>
  <pageMargins left="0.472222222222222" right="0.315277777777778" top="0.7875" bottom="0.590277777777778" header="0.511811023622047" footer="0.39375"/>
  <pageSetup paperSize="9" scale="100" fitToWidth="1" fitToHeight="1" pageOrder="downThenOver" orientation="portrait" blackAndWhite="false" draft="false" cellComments="none" horizontalDpi="300" verticalDpi="300" copies="1"/>
  <headerFooter differentFirst="false" differentOddEven="false">
    <oddHeader/>
    <oddFooter>&amp;C&amp;"ＭＳ 明朝,Regular"&amp;12 － &amp;P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H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5" zeroHeight="false" outlineLevelRow="0" outlineLevelCol="0"/>
  <cols>
    <col collapsed="false" customWidth="true" hidden="false" outlineLevel="0" max="10" min="1" style="0" width="1.62"/>
    <col collapsed="false" customWidth="true" hidden="false" outlineLevel="0" max="11" min="11" style="0" width="2.12"/>
    <col collapsed="false" customWidth="true" hidden="false" outlineLevel="0" max="13" min="12" style="0" width="1.62"/>
    <col collapsed="false" customWidth="true" hidden="false" outlineLevel="0" max="14" min="14" style="0" width="6.37"/>
    <col collapsed="false" customWidth="true" hidden="false" outlineLevel="0" max="257" min="15" style="0" width="1.62"/>
  </cols>
  <sheetData>
    <row r="1" customFormat="false" ht="18" hidden="false" customHeight="true" outlineLevel="0" collapsed="false">
      <c r="A1" s="461" t="s">
        <v>1319</v>
      </c>
      <c r="B1" s="461"/>
      <c r="C1" s="461"/>
      <c r="D1" s="461"/>
      <c r="E1" s="461"/>
      <c r="F1" s="461"/>
      <c r="G1" s="461"/>
      <c r="H1" s="461"/>
      <c r="I1" s="461"/>
      <c r="J1" s="461"/>
      <c r="K1" s="461"/>
      <c r="L1" s="461"/>
      <c r="M1" s="10"/>
      <c r="N1" s="10"/>
      <c r="O1" s="10"/>
      <c r="P1" s="10"/>
      <c r="Q1" s="10"/>
      <c r="R1" s="10"/>
      <c r="S1" s="10"/>
      <c r="T1" s="10"/>
      <c r="U1" s="10"/>
      <c r="V1" s="10"/>
      <c r="W1" s="10"/>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row>
    <row r="2" customFormat="false" ht="15" hidden="false" customHeight="true" outlineLevel="0" collapsed="false">
      <c r="A2" s="462"/>
      <c r="B2" s="10"/>
      <c r="C2" s="10"/>
      <c r="D2" s="10"/>
      <c r="E2" s="10"/>
      <c r="F2" s="10"/>
      <c r="G2" s="10"/>
      <c r="H2" s="10"/>
      <c r="I2" s="10"/>
      <c r="J2" s="10"/>
      <c r="K2" s="10"/>
      <c r="L2" s="10"/>
      <c r="M2" s="10"/>
      <c r="N2" s="10"/>
      <c r="O2" s="10"/>
      <c r="P2" s="10"/>
      <c r="Q2" s="10"/>
      <c r="R2" s="10"/>
      <c r="S2" s="10"/>
      <c r="T2" s="10"/>
      <c r="U2" s="10"/>
      <c r="V2" s="10"/>
      <c r="W2" s="10"/>
      <c r="X2" s="10"/>
      <c r="Y2" s="10"/>
      <c r="Z2" s="10"/>
      <c r="AA2" s="10"/>
      <c r="AB2" s="10"/>
      <c r="AC2" s="10"/>
      <c r="AD2" s="10"/>
      <c r="AE2" s="10"/>
      <c r="AF2" s="10"/>
      <c r="AG2" s="10"/>
      <c r="AH2" s="10"/>
      <c r="AI2" s="10"/>
      <c r="AJ2" s="10"/>
      <c r="AK2" s="10"/>
      <c r="AL2" s="10"/>
      <c r="AM2" s="10"/>
      <c r="AN2" s="10"/>
      <c r="AO2" s="10"/>
      <c r="AP2" s="10"/>
      <c r="AQ2" s="10"/>
      <c r="AR2" s="518" t="s">
        <v>1283</v>
      </c>
      <c r="AS2" s="518"/>
      <c r="AT2" s="518"/>
      <c r="AU2" s="518"/>
      <c r="AV2" s="518"/>
      <c r="AW2" s="518"/>
      <c r="AX2" s="518"/>
      <c r="AY2" s="518"/>
      <c r="AZ2" s="518"/>
      <c r="BA2" s="518"/>
      <c r="BB2" s="518"/>
      <c r="BC2" s="518"/>
      <c r="BD2" s="518"/>
      <c r="BE2" s="518"/>
      <c r="BF2" s="40"/>
      <c r="BG2" s="40"/>
      <c r="BH2" s="40"/>
    </row>
    <row r="3" customFormat="false" ht="19.5" hidden="false" customHeight="true" outlineLevel="0" collapsed="false">
      <c r="A3" s="548" t="s">
        <v>1311</v>
      </c>
      <c r="B3" s="548"/>
      <c r="C3" s="548"/>
      <c r="D3" s="548"/>
      <c r="E3" s="548"/>
      <c r="F3" s="548"/>
      <c r="G3" s="548"/>
      <c r="H3" s="548"/>
      <c r="I3" s="548"/>
      <c r="J3" s="548"/>
      <c r="K3" s="548"/>
      <c r="L3" s="548"/>
      <c r="M3" s="467" t="s">
        <v>1312</v>
      </c>
      <c r="N3" s="467"/>
      <c r="O3" s="467"/>
      <c r="P3" s="467"/>
      <c r="Q3" s="467"/>
      <c r="R3" s="467"/>
      <c r="S3" s="467"/>
      <c r="T3" s="467"/>
      <c r="U3" s="467"/>
      <c r="V3" s="521" t="s">
        <v>1313</v>
      </c>
      <c r="W3" s="521"/>
      <c r="X3" s="521"/>
      <c r="Y3" s="521"/>
      <c r="Z3" s="521"/>
      <c r="AA3" s="521"/>
      <c r="AB3" s="521"/>
      <c r="AC3" s="521"/>
      <c r="AD3" s="521"/>
      <c r="AE3" s="467" t="s">
        <v>1314</v>
      </c>
      <c r="AF3" s="467"/>
      <c r="AG3" s="467"/>
      <c r="AH3" s="467"/>
      <c r="AI3" s="467"/>
      <c r="AJ3" s="467"/>
      <c r="AK3" s="467"/>
      <c r="AL3" s="467"/>
      <c r="AM3" s="467"/>
      <c r="AN3" s="467" t="s">
        <v>1320</v>
      </c>
      <c r="AO3" s="467"/>
      <c r="AP3" s="467"/>
      <c r="AQ3" s="467"/>
      <c r="AR3" s="467"/>
      <c r="AS3" s="467"/>
      <c r="AT3" s="467"/>
      <c r="AU3" s="467"/>
      <c r="AV3" s="467"/>
      <c r="AW3" s="467"/>
      <c r="AX3" s="467"/>
      <c r="AY3" s="467"/>
      <c r="AZ3" s="467"/>
      <c r="BA3" s="467"/>
      <c r="BB3" s="467"/>
      <c r="BC3" s="467"/>
      <c r="BD3" s="467"/>
      <c r="BE3" s="467"/>
      <c r="BF3" s="10"/>
      <c r="BG3" s="10"/>
      <c r="BH3" s="10"/>
    </row>
    <row r="4" customFormat="false" ht="21.75" hidden="false" customHeight="true" outlineLevel="0" collapsed="false">
      <c r="A4" s="549" t="s">
        <v>1317</v>
      </c>
      <c r="B4" s="549"/>
      <c r="C4" s="549"/>
      <c r="D4" s="549"/>
      <c r="E4" s="549"/>
      <c r="F4" s="549"/>
      <c r="G4" s="549"/>
      <c r="H4" s="549"/>
      <c r="I4" s="549"/>
      <c r="J4" s="549"/>
      <c r="K4" s="549"/>
      <c r="L4" s="549"/>
      <c r="M4" s="467"/>
      <c r="N4" s="467"/>
      <c r="O4" s="467"/>
      <c r="P4" s="467"/>
      <c r="Q4" s="467"/>
      <c r="R4" s="467"/>
      <c r="S4" s="467"/>
      <c r="T4" s="467"/>
      <c r="U4" s="467"/>
      <c r="V4" s="521"/>
      <c r="W4" s="521"/>
      <c r="X4" s="521"/>
      <c r="Y4" s="521"/>
      <c r="Z4" s="521"/>
      <c r="AA4" s="521"/>
      <c r="AB4" s="521"/>
      <c r="AC4" s="521"/>
      <c r="AD4" s="521"/>
      <c r="AE4" s="467"/>
      <c r="AF4" s="467"/>
      <c r="AG4" s="467"/>
      <c r="AH4" s="467"/>
      <c r="AI4" s="467"/>
      <c r="AJ4" s="467"/>
      <c r="AK4" s="467"/>
      <c r="AL4" s="467"/>
      <c r="AM4" s="467"/>
      <c r="AN4" s="467" t="s">
        <v>1318</v>
      </c>
      <c r="AO4" s="467"/>
      <c r="AP4" s="467"/>
      <c r="AQ4" s="467"/>
      <c r="AR4" s="467"/>
      <c r="AS4" s="467"/>
      <c r="AT4" s="467"/>
      <c r="AU4" s="467"/>
      <c r="AV4" s="467"/>
      <c r="AW4" s="523" t="s">
        <v>1314</v>
      </c>
      <c r="AX4" s="523"/>
      <c r="AY4" s="523"/>
      <c r="AZ4" s="523"/>
      <c r="BA4" s="523"/>
      <c r="BB4" s="523"/>
      <c r="BC4" s="523"/>
      <c r="BD4" s="523"/>
      <c r="BE4" s="523"/>
      <c r="BF4" s="10"/>
      <c r="BG4" s="10"/>
      <c r="BH4" s="10"/>
    </row>
    <row r="5" customFormat="false" ht="21.75" hidden="false" customHeight="true" outlineLevel="0" collapsed="false">
      <c r="A5" s="524"/>
      <c r="B5" s="550" t="s">
        <v>78</v>
      </c>
      <c r="C5" s="550"/>
      <c r="D5" s="550"/>
      <c r="E5" s="550"/>
      <c r="F5" s="550"/>
      <c r="G5" s="550"/>
      <c r="H5" s="550"/>
      <c r="I5" s="550"/>
      <c r="J5" s="550"/>
      <c r="K5" s="550"/>
      <c r="L5" s="462"/>
      <c r="M5" s="525" t="n">
        <v>33000</v>
      </c>
      <c r="N5" s="525"/>
      <c r="O5" s="525"/>
      <c r="P5" s="525"/>
      <c r="Q5" s="525"/>
      <c r="R5" s="525"/>
      <c r="S5" s="525"/>
      <c r="T5" s="525"/>
      <c r="U5" s="551"/>
      <c r="V5" s="527" t="n">
        <f aca="false">決算精算表!A21</f>
        <v>33000</v>
      </c>
      <c r="W5" s="527"/>
      <c r="X5" s="527"/>
      <c r="Y5" s="527"/>
      <c r="Z5" s="527"/>
      <c r="AA5" s="527"/>
      <c r="AB5" s="527"/>
      <c r="AC5" s="527"/>
      <c r="AD5" s="528"/>
      <c r="AE5" s="529" t="n">
        <f aca="false">V5-M5</f>
        <v>0</v>
      </c>
      <c r="AF5" s="529"/>
      <c r="AG5" s="529"/>
      <c r="AH5" s="529"/>
      <c r="AI5" s="529"/>
      <c r="AJ5" s="529"/>
      <c r="AK5" s="529"/>
      <c r="AL5" s="529"/>
      <c r="AM5" s="530"/>
      <c r="AN5" s="531" t="n">
        <v>33000</v>
      </c>
      <c r="AO5" s="531"/>
      <c r="AP5" s="531"/>
      <c r="AQ5" s="531"/>
      <c r="AR5" s="531"/>
      <c r="AS5" s="531"/>
      <c r="AT5" s="531"/>
      <c r="AU5" s="531"/>
      <c r="AV5" s="530"/>
      <c r="AW5" s="532" t="n">
        <f aca="false">V5-AN5</f>
        <v>0</v>
      </c>
      <c r="AX5" s="532"/>
      <c r="AY5" s="532"/>
      <c r="AZ5" s="532"/>
      <c r="BA5" s="532"/>
      <c r="BB5" s="532"/>
      <c r="BC5" s="532"/>
      <c r="BD5" s="532"/>
      <c r="BE5" s="533"/>
      <c r="BF5" s="10"/>
      <c r="BG5" s="10"/>
      <c r="BH5" s="10"/>
    </row>
    <row r="6" customFormat="false" ht="21.75" hidden="false" customHeight="true" outlineLevel="0" collapsed="false">
      <c r="A6" s="495"/>
      <c r="B6" s="496" t="s">
        <v>79</v>
      </c>
      <c r="C6" s="496"/>
      <c r="D6" s="496"/>
      <c r="E6" s="496"/>
      <c r="F6" s="496"/>
      <c r="G6" s="496"/>
      <c r="H6" s="496"/>
      <c r="I6" s="496"/>
      <c r="J6" s="496"/>
      <c r="K6" s="496"/>
      <c r="L6" s="499"/>
      <c r="M6" s="534" t="n">
        <v>11428000</v>
      </c>
      <c r="N6" s="534"/>
      <c r="O6" s="534"/>
      <c r="P6" s="534"/>
      <c r="Q6" s="534"/>
      <c r="R6" s="534"/>
      <c r="S6" s="534"/>
      <c r="T6" s="534"/>
      <c r="U6" s="552"/>
      <c r="V6" s="536" t="n">
        <f aca="false">決算精算表!A22</f>
        <v>10141337</v>
      </c>
      <c r="W6" s="536"/>
      <c r="X6" s="536"/>
      <c r="Y6" s="536"/>
      <c r="Z6" s="536"/>
      <c r="AA6" s="536"/>
      <c r="AB6" s="536"/>
      <c r="AC6" s="536"/>
      <c r="AD6" s="537"/>
      <c r="AE6" s="538" t="n">
        <f aca="false">V6-M6</f>
        <v>-1286663</v>
      </c>
      <c r="AF6" s="538"/>
      <c r="AG6" s="538"/>
      <c r="AH6" s="538"/>
      <c r="AI6" s="538"/>
      <c r="AJ6" s="538"/>
      <c r="AK6" s="538"/>
      <c r="AL6" s="538"/>
      <c r="AM6" s="539"/>
      <c r="AN6" s="540" t="n">
        <v>9574938</v>
      </c>
      <c r="AO6" s="540"/>
      <c r="AP6" s="540"/>
      <c r="AQ6" s="540"/>
      <c r="AR6" s="540"/>
      <c r="AS6" s="540"/>
      <c r="AT6" s="540"/>
      <c r="AU6" s="540"/>
      <c r="AV6" s="539"/>
      <c r="AW6" s="541" t="n">
        <f aca="false">V6-AN6</f>
        <v>566399</v>
      </c>
      <c r="AX6" s="541"/>
      <c r="AY6" s="541"/>
      <c r="AZ6" s="541"/>
      <c r="BA6" s="541"/>
      <c r="BB6" s="541"/>
      <c r="BC6" s="541"/>
      <c r="BD6" s="541"/>
      <c r="BE6" s="500"/>
      <c r="BF6" s="10"/>
      <c r="BG6" s="10"/>
      <c r="BH6" s="10"/>
    </row>
    <row r="7" customFormat="false" ht="21.75" hidden="false" customHeight="true" outlineLevel="0" collapsed="false">
      <c r="A7" s="524"/>
      <c r="B7" s="550" t="s">
        <v>80</v>
      </c>
      <c r="C7" s="550"/>
      <c r="D7" s="550"/>
      <c r="E7" s="550"/>
      <c r="F7" s="550"/>
      <c r="G7" s="550"/>
      <c r="H7" s="550"/>
      <c r="I7" s="550"/>
      <c r="J7" s="550"/>
      <c r="K7" s="550"/>
      <c r="L7" s="462"/>
      <c r="M7" s="534" t="n">
        <v>65000</v>
      </c>
      <c r="N7" s="534"/>
      <c r="O7" s="534"/>
      <c r="P7" s="534"/>
      <c r="Q7" s="534"/>
      <c r="R7" s="534"/>
      <c r="S7" s="534"/>
      <c r="T7" s="534"/>
      <c r="U7" s="551"/>
      <c r="V7" s="527" t="n">
        <f aca="false">決算精算表!A23</f>
        <v>9702</v>
      </c>
      <c r="W7" s="527"/>
      <c r="X7" s="527"/>
      <c r="Y7" s="527"/>
      <c r="Z7" s="527"/>
      <c r="AA7" s="527"/>
      <c r="AB7" s="527"/>
      <c r="AC7" s="527"/>
      <c r="AD7" s="528"/>
      <c r="AE7" s="538" t="n">
        <f aca="false">V7-M7</f>
        <v>-55298</v>
      </c>
      <c r="AF7" s="538"/>
      <c r="AG7" s="538"/>
      <c r="AH7" s="538"/>
      <c r="AI7" s="538"/>
      <c r="AJ7" s="538"/>
      <c r="AK7" s="538"/>
      <c r="AL7" s="538"/>
      <c r="AM7" s="539"/>
      <c r="AN7" s="531" t="n">
        <v>8305</v>
      </c>
      <c r="AO7" s="531"/>
      <c r="AP7" s="531"/>
      <c r="AQ7" s="531"/>
      <c r="AR7" s="531"/>
      <c r="AS7" s="531"/>
      <c r="AT7" s="531"/>
      <c r="AU7" s="531"/>
      <c r="AV7" s="539"/>
      <c r="AW7" s="541" t="n">
        <f aca="false">V7-AN7</f>
        <v>1397</v>
      </c>
      <c r="AX7" s="541"/>
      <c r="AY7" s="541"/>
      <c r="AZ7" s="541"/>
      <c r="BA7" s="541"/>
      <c r="BB7" s="541"/>
      <c r="BC7" s="541"/>
      <c r="BD7" s="541"/>
      <c r="BE7" s="533"/>
      <c r="BF7" s="10"/>
      <c r="BG7" s="10"/>
      <c r="BH7" s="10"/>
    </row>
    <row r="8" customFormat="false" ht="24.75" hidden="false" customHeight="true" outlineLevel="0" collapsed="false">
      <c r="A8" s="495"/>
      <c r="B8" s="496" t="s">
        <v>1261</v>
      </c>
      <c r="C8" s="496"/>
      <c r="D8" s="496"/>
      <c r="E8" s="496"/>
      <c r="F8" s="496"/>
      <c r="G8" s="496"/>
      <c r="H8" s="496"/>
      <c r="I8" s="496"/>
      <c r="J8" s="496"/>
      <c r="K8" s="496"/>
      <c r="L8" s="499"/>
      <c r="M8" s="534" t="n">
        <v>1675000</v>
      </c>
      <c r="N8" s="534"/>
      <c r="O8" s="534"/>
      <c r="P8" s="534"/>
      <c r="Q8" s="534"/>
      <c r="R8" s="534"/>
      <c r="S8" s="534"/>
      <c r="T8" s="534"/>
      <c r="U8" s="552"/>
      <c r="V8" s="536" t="n">
        <f aca="false">決算精算表!A24</f>
        <v>343112</v>
      </c>
      <c r="W8" s="536"/>
      <c r="X8" s="536"/>
      <c r="Y8" s="536"/>
      <c r="Z8" s="536"/>
      <c r="AA8" s="536"/>
      <c r="AB8" s="536"/>
      <c r="AC8" s="536"/>
      <c r="AD8" s="537"/>
      <c r="AE8" s="538" t="n">
        <f aca="false">V8-M8</f>
        <v>-1331888</v>
      </c>
      <c r="AF8" s="538"/>
      <c r="AG8" s="538"/>
      <c r="AH8" s="538"/>
      <c r="AI8" s="538"/>
      <c r="AJ8" s="538"/>
      <c r="AK8" s="538"/>
      <c r="AL8" s="538"/>
      <c r="AM8" s="539"/>
      <c r="AN8" s="540" t="n">
        <v>560200</v>
      </c>
      <c r="AO8" s="540"/>
      <c r="AP8" s="540"/>
      <c r="AQ8" s="540"/>
      <c r="AR8" s="540"/>
      <c r="AS8" s="540"/>
      <c r="AT8" s="540"/>
      <c r="AU8" s="540"/>
      <c r="AV8" s="539"/>
      <c r="AW8" s="541" t="n">
        <f aca="false">V8-AN8</f>
        <v>-217088</v>
      </c>
      <c r="AX8" s="541"/>
      <c r="AY8" s="541"/>
      <c r="AZ8" s="541"/>
      <c r="BA8" s="541"/>
      <c r="BB8" s="541"/>
      <c r="BC8" s="541"/>
      <c r="BD8" s="541"/>
      <c r="BE8" s="500"/>
      <c r="BF8" s="10"/>
      <c r="BG8" s="10"/>
      <c r="BH8" s="10"/>
    </row>
    <row r="9" customFormat="false" ht="24.75" hidden="false" customHeight="true" outlineLevel="0" collapsed="false">
      <c r="A9" s="524"/>
      <c r="B9" s="550" t="s">
        <v>82</v>
      </c>
      <c r="C9" s="550"/>
      <c r="D9" s="550"/>
      <c r="E9" s="550"/>
      <c r="F9" s="550"/>
      <c r="G9" s="550"/>
      <c r="H9" s="550"/>
      <c r="I9" s="550"/>
      <c r="J9" s="550"/>
      <c r="K9" s="550"/>
      <c r="L9" s="462"/>
      <c r="M9" s="534" t="n">
        <v>17717000</v>
      </c>
      <c r="N9" s="534"/>
      <c r="O9" s="534"/>
      <c r="P9" s="534"/>
      <c r="Q9" s="534"/>
      <c r="R9" s="534"/>
      <c r="S9" s="534"/>
      <c r="T9" s="534"/>
      <c r="U9" s="551"/>
      <c r="V9" s="527" t="n">
        <f aca="false">決算精算表!A25</f>
        <v>13993113</v>
      </c>
      <c r="W9" s="527"/>
      <c r="X9" s="527"/>
      <c r="Y9" s="527"/>
      <c r="Z9" s="527"/>
      <c r="AA9" s="527"/>
      <c r="AB9" s="527"/>
      <c r="AC9" s="527"/>
      <c r="AD9" s="528"/>
      <c r="AE9" s="542" t="n">
        <f aca="false">V9-M9</f>
        <v>-3723887</v>
      </c>
      <c r="AF9" s="542"/>
      <c r="AG9" s="542"/>
      <c r="AH9" s="542"/>
      <c r="AI9" s="542"/>
      <c r="AJ9" s="542"/>
      <c r="AK9" s="542"/>
      <c r="AL9" s="542"/>
      <c r="AM9" s="543"/>
      <c r="AN9" s="531" t="n">
        <v>11253363</v>
      </c>
      <c r="AO9" s="531"/>
      <c r="AP9" s="531"/>
      <c r="AQ9" s="531"/>
      <c r="AR9" s="531"/>
      <c r="AS9" s="531"/>
      <c r="AT9" s="531"/>
      <c r="AU9" s="531"/>
      <c r="AV9" s="543"/>
      <c r="AW9" s="544" t="n">
        <f aca="false">V9-AN9</f>
        <v>2739750</v>
      </c>
      <c r="AX9" s="544"/>
      <c r="AY9" s="544"/>
      <c r="AZ9" s="544"/>
      <c r="BA9" s="544"/>
      <c r="BB9" s="544"/>
      <c r="BC9" s="544"/>
      <c r="BD9" s="544"/>
      <c r="BE9" s="533"/>
      <c r="BF9" s="10"/>
      <c r="BG9" s="10"/>
      <c r="BH9" s="10"/>
    </row>
    <row r="10" customFormat="false" ht="24.75" hidden="false" customHeight="true" outlineLevel="0" collapsed="false">
      <c r="A10" s="495"/>
      <c r="B10" s="496" t="s">
        <v>83</v>
      </c>
      <c r="C10" s="496"/>
      <c r="D10" s="496"/>
      <c r="E10" s="496"/>
      <c r="F10" s="496"/>
      <c r="G10" s="496"/>
      <c r="H10" s="496"/>
      <c r="I10" s="496"/>
      <c r="J10" s="496"/>
      <c r="K10" s="496"/>
      <c r="L10" s="499"/>
      <c r="M10" s="534" t="n">
        <v>5351000</v>
      </c>
      <c r="N10" s="534"/>
      <c r="O10" s="534"/>
      <c r="P10" s="534"/>
      <c r="Q10" s="534"/>
      <c r="R10" s="534"/>
      <c r="S10" s="534"/>
      <c r="T10" s="534"/>
      <c r="U10" s="552"/>
      <c r="V10" s="536" t="n">
        <f aca="false">決算精算表!A26</f>
        <v>4598066</v>
      </c>
      <c r="W10" s="536"/>
      <c r="X10" s="536"/>
      <c r="Y10" s="536"/>
      <c r="Z10" s="536"/>
      <c r="AA10" s="536"/>
      <c r="AB10" s="536"/>
      <c r="AC10" s="536"/>
      <c r="AD10" s="537"/>
      <c r="AE10" s="538" t="n">
        <f aca="false">V10-M10</f>
        <v>-752934</v>
      </c>
      <c r="AF10" s="538"/>
      <c r="AG10" s="538"/>
      <c r="AH10" s="538"/>
      <c r="AI10" s="538"/>
      <c r="AJ10" s="538"/>
      <c r="AK10" s="538"/>
      <c r="AL10" s="538"/>
      <c r="AM10" s="539"/>
      <c r="AN10" s="540" t="n">
        <v>4198740</v>
      </c>
      <c r="AO10" s="540"/>
      <c r="AP10" s="540"/>
      <c r="AQ10" s="540"/>
      <c r="AR10" s="540"/>
      <c r="AS10" s="540"/>
      <c r="AT10" s="540"/>
      <c r="AU10" s="540"/>
      <c r="AV10" s="539"/>
      <c r="AW10" s="544" t="n">
        <f aca="false">V10-AN10</f>
        <v>399326</v>
      </c>
      <c r="AX10" s="544"/>
      <c r="AY10" s="544"/>
      <c r="AZ10" s="544"/>
      <c r="BA10" s="544"/>
      <c r="BB10" s="544"/>
      <c r="BC10" s="544"/>
      <c r="BD10" s="544"/>
      <c r="BE10" s="500"/>
      <c r="BF10" s="10"/>
      <c r="BG10" s="10"/>
      <c r="BH10" s="10"/>
    </row>
    <row r="11" customFormat="false" ht="24.75" hidden="false" customHeight="true" outlineLevel="0" collapsed="false">
      <c r="A11" s="495"/>
      <c r="B11" s="496" t="s">
        <v>84</v>
      </c>
      <c r="C11" s="496"/>
      <c r="D11" s="496"/>
      <c r="E11" s="496"/>
      <c r="F11" s="496"/>
      <c r="G11" s="496"/>
      <c r="H11" s="496"/>
      <c r="I11" s="496"/>
      <c r="J11" s="496"/>
      <c r="K11" s="496"/>
      <c r="L11" s="499"/>
      <c r="M11" s="534" t="n">
        <v>11829000</v>
      </c>
      <c r="N11" s="534"/>
      <c r="O11" s="534"/>
      <c r="P11" s="534"/>
      <c r="Q11" s="534"/>
      <c r="R11" s="534"/>
      <c r="S11" s="534"/>
      <c r="T11" s="534"/>
      <c r="U11" s="552"/>
      <c r="V11" s="536" t="n">
        <f aca="false">決算精算表!A27</f>
        <v>10084438</v>
      </c>
      <c r="W11" s="536"/>
      <c r="X11" s="536"/>
      <c r="Y11" s="536"/>
      <c r="Z11" s="536"/>
      <c r="AA11" s="536"/>
      <c r="AB11" s="536"/>
      <c r="AC11" s="536"/>
      <c r="AD11" s="537"/>
      <c r="AE11" s="538" t="n">
        <f aca="false">V11-M11</f>
        <v>-1744562</v>
      </c>
      <c r="AF11" s="538"/>
      <c r="AG11" s="538"/>
      <c r="AH11" s="538"/>
      <c r="AI11" s="538"/>
      <c r="AJ11" s="538"/>
      <c r="AK11" s="538"/>
      <c r="AL11" s="538"/>
      <c r="AM11" s="539"/>
      <c r="AN11" s="540" t="n">
        <v>17036296</v>
      </c>
      <c r="AO11" s="540"/>
      <c r="AP11" s="540"/>
      <c r="AQ11" s="540"/>
      <c r="AR11" s="540"/>
      <c r="AS11" s="540"/>
      <c r="AT11" s="540"/>
      <c r="AU11" s="540"/>
      <c r="AV11" s="539"/>
      <c r="AW11" s="541" t="n">
        <f aca="false">V11-AN11</f>
        <v>-6951858</v>
      </c>
      <c r="AX11" s="541"/>
      <c r="AY11" s="541"/>
      <c r="AZ11" s="541"/>
      <c r="BA11" s="541"/>
      <c r="BB11" s="541"/>
      <c r="BC11" s="541"/>
      <c r="BD11" s="541"/>
      <c r="BE11" s="500"/>
      <c r="BF11" s="10"/>
      <c r="BG11" s="10"/>
      <c r="BH11" s="10"/>
    </row>
    <row r="12" customFormat="false" ht="24.75" hidden="true" customHeight="true" outlineLevel="0" collapsed="false">
      <c r="A12" s="495"/>
      <c r="B12" s="496" t="s">
        <v>1321</v>
      </c>
      <c r="C12" s="496"/>
      <c r="D12" s="496"/>
      <c r="E12" s="496"/>
      <c r="F12" s="496"/>
      <c r="G12" s="496"/>
      <c r="H12" s="496"/>
      <c r="I12" s="496"/>
      <c r="J12" s="496"/>
      <c r="K12" s="496"/>
      <c r="L12" s="499"/>
      <c r="M12" s="534" t="n">
        <v>0</v>
      </c>
      <c r="N12" s="534"/>
      <c r="O12" s="534"/>
      <c r="P12" s="534"/>
      <c r="Q12" s="534"/>
      <c r="R12" s="534"/>
      <c r="S12" s="534"/>
      <c r="T12" s="534"/>
      <c r="U12" s="552"/>
      <c r="V12" s="540" t="n">
        <v>0</v>
      </c>
      <c r="W12" s="540"/>
      <c r="X12" s="540"/>
      <c r="Y12" s="540"/>
      <c r="Z12" s="540"/>
      <c r="AA12" s="540"/>
      <c r="AB12" s="540"/>
      <c r="AC12" s="540"/>
      <c r="AD12" s="537"/>
      <c r="AE12" s="538" t="n">
        <f aca="false">V12-M12</f>
        <v>0</v>
      </c>
      <c r="AF12" s="538"/>
      <c r="AG12" s="538"/>
      <c r="AH12" s="538"/>
      <c r="AI12" s="538"/>
      <c r="AJ12" s="538"/>
      <c r="AK12" s="538"/>
      <c r="AL12" s="538"/>
      <c r="AM12" s="539"/>
      <c r="AN12" s="540" t="n">
        <v>0</v>
      </c>
      <c r="AO12" s="540"/>
      <c r="AP12" s="540"/>
      <c r="AQ12" s="540"/>
      <c r="AR12" s="540"/>
      <c r="AS12" s="540"/>
      <c r="AT12" s="540"/>
      <c r="AU12" s="540"/>
      <c r="AV12" s="539"/>
      <c r="AW12" s="541" t="n">
        <f aca="false">V12-AN12</f>
        <v>0</v>
      </c>
      <c r="AX12" s="541"/>
      <c r="AY12" s="541"/>
      <c r="AZ12" s="541"/>
      <c r="BA12" s="541"/>
      <c r="BB12" s="541"/>
      <c r="BC12" s="541"/>
      <c r="BD12" s="541"/>
      <c r="BE12" s="500"/>
      <c r="BF12" s="10"/>
      <c r="BG12" s="10"/>
      <c r="BH12" s="10"/>
    </row>
    <row r="13" customFormat="false" ht="24.75" hidden="false" customHeight="true" outlineLevel="0" collapsed="false">
      <c r="A13" s="495"/>
      <c r="B13" s="496" t="s">
        <v>85</v>
      </c>
      <c r="C13" s="496"/>
      <c r="D13" s="496"/>
      <c r="E13" s="496"/>
      <c r="F13" s="496"/>
      <c r="G13" s="496"/>
      <c r="H13" s="496"/>
      <c r="I13" s="496"/>
      <c r="J13" s="496"/>
      <c r="K13" s="496"/>
      <c r="L13" s="499"/>
      <c r="M13" s="534" t="n">
        <v>122000</v>
      </c>
      <c r="N13" s="534"/>
      <c r="O13" s="534"/>
      <c r="P13" s="534"/>
      <c r="Q13" s="534"/>
      <c r="R13" s="534"/>
      <c r="S13" s="534"/>
      <c r="T13" s="534"/>
      <c r="U13" s="552"/>
      <c r="V13" s="536" t="n">
        <f aca="false">決算精算表!A28</f>
        <v>103921</v>
      </c>
      <c r="W13" s="536"/>
      <c r="X13" s="536"/>
      <c r="Y13" s="536"/>
      <c r="Z13" s="536"/>
      <c r="AA13" s="536"/>
      <c r="AB13" s="536"/>
      <c r="AC13" s="536"/>
      <c r="AD13" s="537"/>
      <c r="AE13" s="538" t="n">
        <f aca="false">V13-M13</f>
        <v>-18079</v>
      </c>
      <c r="AF13" s="538"/>
      <c r="AG13" s="538"/>
      <c r="AH13" s="538"/>
      <c r="AI13" s="538"/>
      <c r="AJ13" s="538"/>
      <c r="AK13" s="538"/>
      <c r="AL13" s="538"/>
      <c r="AM13" s="539"/>
      <c r="AN13" s="540" t="n">
        <v>123594</v>
      </c>
      <c r="AO13" s="540"/>
      <c r="AP13" s="540"/>
      <c r="AQ13" s="540"/>
      <c r="AR13" s="540"/>
      <c r="AS13" s="540"/>
      <c r="AT13" s="540"/>
      <c r="AU13" s="540"/>
      <c r="AV13" s="539"/>
      <c r="AW13" s="541" t="n">
        <f aca="false">V13-AN13</f>
        <v>-19673</v>
      </c>
      <c r="AX13" s="541"/>
      <c r="AY13" s="541"/>
      <c r="AZ13" s="541"/>
      <c r="BA13" s="541"/>
      <c r="BB13" s="541"/>
      <c r="BC13" s="541"/>
      <c r="BD13" s="541"/>
      <c r="BE13" s="500"/>
      <c r="BF13" s="10"/>
      <c r="BG13" s="10"/>
      <c r="BH13" s="10"/>
    </row>
    <row r="14" customFormat="false" ht="24.75" hidden="false" customHeight="true" outlineLevel="0" collapsed="false">
      <c r="A14" s="495"/>
      <c r="B14" s="496" t="s">
        <v>86</v>
      </c>
      <c r="C14" s="496"/>
      <c r="D14" s="496"/>
      <c r="E14" s="496"/>
      <c r="F14" s="496"/>
      <c r="G14" s="496"/>
      <c r="H14" s="496"/>
      <c r="I14" s="496"/>
      <c r="J14" s="496"/>
      <c r="K14" s="496"/>
      <c r="L14" s="499"/>
      <c r="M14" s="534" t="n">
        <v>0</v>
      </c>
      <c r="N14" s="534"/>
      <c r="O14" s="534"/>
      <c r="P14" s="534"/>
      <c r="Q14" s="534"/>
      <c r="R14" s="534"/>
      <c r="S14" s="534"/>
      <c r="T14" s="534"/>
      <c r="U14" s="552"/>
      <c r="V14" s="536" t="n">
        <f aca="false">決算精算表!A29</f>
        <v>0</v>
      </c>
      <c r="W14" s="536"/>
      <c r="X14" s="536"/>
      <c r="Y14" s="536"/>
      <c r="Z14" s="536"/>
      <c r="AA14" s="536"/>
      <c r="AB14" s="536"/>
      <c r="AC14" s="536"/>
      <c r="AD14" s="537"/>
      <c r="AE14" s="538" t="n">
        <f aca="false">V14-M14</f>
        <v>0</v>
      </c>
      <c r="AF14" s="538"/>
      <c r="AG14" s="538"/>
      <c r="AH14" s="538"/>
      <c r="AI14" s="538"/>
      <c r="AJ14" s="538"/>
      <c r="AK14" s="538"/>
      <c r="AL14" s="538"/>
      <c r="AM14" s="539"/>
      <c r="AN14" s="540" t="n">
        <v>0</v>
      </c>
      <c r="AO14" s="540"/>
      <c r="AP14" s="540"/>
      <c r="AQ14" s="540"/>
      <c r="AR14" s="540"/>
      <c r="AS14" s="540"/>
      <c r="AT14" s="540"/>
      <c r="AU14" s="540"/>
      <c r="AV14" s="539"/>
      <c r="AW14" s="541" t="n">
        <f aca="false">V14-AN14</f>
        <v>0</v>
      </c>
      <c r="AX14" s="541"/>
      <c r="AY14" s="541"/>
      <c r="AZ14" s="541"/>
      <c r="BA14" s="541"/>
      <c r="BB14" s="541"/>
      <c r="BC14" s="541"/>
      <c r="BD14" s="541"/>
      <c r="BE14" s="500"/>
      <c r="BF14" s="10"/>
      <c r="BG14" s="10"/>
      <c r="BH14" s="10"/>
    </row>
    <row r="15" customFormat="false" ht="24.75" hidden="false" customHeight="true" outlineLevel="0" collapsed="false">
      <c r="A15" s="524"/>
      <c r="B15" s="550" t="s">
        <v>87</v>
      </c>
      <c r="C15" s="550"/>
      <c r="D15" s="550"/>
      <c r="E15" s="550"/>
      <c r="F15" s="550"/>
      <c r="G15" s="550"/>
      <c r="H15" s="550"/>
      <c r="I15" s="550"/>
      <c r="J15" s="550"/>
      <c r="K15" s="550"/>
      <c r="L15" s="462"/>
      <c r="M15" s="534" t="n">
        <v>9589000</v>
      </c>
      <c r="N15" s="534"/>
      <c r="O15" s="534"/>
      <c r="P15" s="534"/>
      <c r="Q15" s="534"/>
      <c r="R15" s="534"/>
      <c r="S15" s="534"/>
      <c r="T15" s="534"/>
      <c r="U15" s="551"/>
      <c r="V15" s="527" t="n">
        <f aca="false">決算精算表!A30</f>
        <v>9430768</v>
      </c>
      <c r="W15" s="527"/>
      <c r="X15" s="527"/>
      <c r="Y15" s="527"/>
      <c r="Z15" s="527"/>
      <c r="AA15" s="527"/>
      <c r="AB15" s="527"/>
      <c r="AC15" s="527"/>
      <c r="AD15" s="528"/>
      <c r="AE15" s="542" t="n">
        <f aca="false">V15-M15</f>
        <v>-158232</v>
      </c>
      <c r="AF15" s="542"/>
      <c r="AG15" s="542"/>
      <c r="AH15" s="542"/>
      <c r="AI15" s="542"/>
      <c r="AJ15" s="542"/>
      <c r="AK15" s="542"/>
      <c r="AL15" s="542"/>
      <c r="AM15" s="543"/>
      <c r="AN15" s="531" t="n">
        <v>7576231</v>
      </c>
      <c r="AO15" s="531"/>
      <c r="AP15" s="531"/>
      <c r="AQ15" s="531"/>
      <c r="AR15" s="531"/>
      <c r="AS15" s="531"/>
      <c r="AT15" s="531"/>
      <c r="AU15" s="531"/>
      <c r="AV15" s="543"/>
      <c r="AW15" s="544" t="n">
        <f aca="false">V15-AN15</f>
        <v>1854537</v>
      </c>
      <c r="AX15" s="544"/>
      <c r="AY15" s="544"/>
      <c r="AZ15" s="544"/>
      <c r="BA15" s="544"/>
      <c r="BB15" s="544"/>
      <c r="BC15" s="544"/>
      <c r="BD15" s="544"/>
      <c r="BE15" s="533"/>
      <c r="BF15" s="10"/>
      <c r="BG15" s="10"/>
      <c r="BH15" s="10"/>
    </row>
    <row r="16" customFormat="false" ht="24.75" hidden="false" customHeight="true" outlineLevel="0" collapsed="false">
      <c r="A16" s="495"/>
      <c r="B16" s="496" t="s">
        <v>88</v>
      </c>
      <c r="C16" s="496"/>
      <c r="D16" s="496"/>
      <c r="E16" s="496"/>
      <c r="F16" s="496"/>
      <c r="G16" s="496"/>
      <c r="H16" s="496"/>
      <c r="I16" s="496"/>
      <c r="J16" s="496"/>
      <c r="K16" s="496"/>
      <c r="L16" s="499"/>
      <c r="M16" s="534" t="n">
        <v>2772000</v>
      </c>
      <c r="N16" s="534"/>
      <c r="O16" s="534"/>
      <c r="P16" s="534"/>
      <c r="Q16" s="534"/>
      <c r="R16" s="534"/>
      <c r="S16" s="534"/>
      <c r="T16" s="534"/>
      <c r="U16" s="552"/>
      <c r="V16" s="536" t="n">
        <f aca="false">決算精算表!A31</f>
        <v>1884714</v>
      </c>
      <c r="W16" s="536"/>
      <c r="X16" s="536"/>
      <c r="Y16" s="536"/>
      <c r="Z16" s="536"/>
      <c r="AA16" s="536"/>
      <c r="AB16" s="536"/>
      <c r="AC16" s="536"/>
      <c r="AD16" s="537"/>
      <c r="AE16" s="538" t="n">
        <f aca="false">V16-M16</f>
        <v>-887286</v>
      </c>
      <c r="AF16" s="538"/>
      <c r="AG16" s="538"/>
      <c r="AH16" s="538"/>
      <c r="AI16" s="538"/>
      <c r="AJ16" s="538"/>
      <c r="AK16" s="538"/>
      <c r="AL16" s="538"/>
      <c r="AM16" s="539"/>
      <c r="AN16" s="540" t="n">
        <v>2063463</v>
      </c>
      <c r="AO16" s="540"/>
      <c r="AP16" s="540"/>
      <c r="AQ16" s="540"/>
      <c r="AR16" s="540"/>
      <c r="AS16" s="540"/>
      <c r="AT16" s="540"/>
      <c r="AU16" s="540"/>
      <c r="AV16" s="539"/>
      <c r="AW16" s="541" t="n">
        <f aca="false">V16-AN16</f>
        <v>-178749</v>
      </c>
      <c r="AX16" s="541"/>
      <c r="AY16" s="541"/>
      <c r="AZ16" s="541"/>
      <c r="BA16" s="541"/>
      <c r="BB16" s="541"/>
      <c r="BC16" s="541"/>
      <c r="BD16" s="541"/>
      <c r="BE16" s="500"/>
      <c r="BF16" s="10"/>
      <c r="BG16" s="10"/>
      <c r="BH16" s="10"/>
    </row>
    <row r="17" customFormat="false" ht="24.75" hidden="false" customHeight="true" outlineLevel="0" collapsed="false">
      <c r="A17" s="495"/>
      <c r="B17" s="496" t="s">
        <v>1322</v>
      </c>
      <c r="C17" s="496"/>
      <c r="D17" s="496"/>
      <c r="E17" s="496"/>
      <c r="F17" s="496"/>
      <c r="G17" s="496"/>
      <c r="H17" s="496"/>
      <c r="I17" s="496"/>
      <c r="J17" s="496"/>
      <c r="K17" s="496"/>
      <c r="L17" s="499"/>
      <c r="M17" s="534" t="n">
        <v>0</v>
      </c>
      <c r="N17" s="534"/>
      <c r="O17" s="534"/>
      <c r="P17" s="534"/>
      <c r="Q17" s="534"/>
      <c r="R17" s="534"/>
      <c r="S17" s="534"/>
      <c r="T17" s="534"/>
      <c r="U17" s="552"/>
      <c r="V17" s="540" t="n">
        <v>0</v>
      </c>
      <c r="W17" s="540"/>
      <c r="X17" s="540"/>
      <c r="Y17" s="540"/>
      <c r="Z17" s="540"/>
      <c r="AA17" s="540"/>
      <c r="AB17" s="540"/>
      <c r="AC17" s="540"/>
      <c r="AD17" s="537"/>
      <c r="AE17" s="538" t="n">
        <f aca="false">V17-M17</f>
        <v>0</v>
      </c>
      <c r="AF17" s="538"/>
      <c r="AG17" s="538"/>
      <c r="AH17" s="538"/>
      <c r="AI17" s="538"/>
      <c r="AJ17" s="538"/>
      <c r="AK17" s="538"/>
      <c r="AL17" s="538"/>
      <c r="AM17" s="539"/>
      <c r="AN17" s="540" t="n">
        <v>0</v>
      </c>
      <c r="AO17" s="540"/>
      <c r="AP17" s="540"/>
      <c r="AQ17" s="540"/>
      <c r="AR17" s="540"/>
      <c r="AS17" s="540"/>
      <c r="AT17" s="540"/>
      <c r="AU17" s="540"/>
      <c r="AV17" s="539"/>
      <c r="AW17" s="541" t="n">
        <f aca="false">V17-AN17</f>
        <v>0</v>
      </c>
      <c r="AX17" s="541"/>
      <c r="AY17" s="541"/>
      <c r="AZ17" s="541"/>
      <c r="BA17" s="541"/>
      <c r="BB17" s="541"/>
      <c r="BC17" s="541"/>
      <c r="BD17" s="541"/>
      <c r="BE17" s="500"/>
      <c r="BF17" s="10"/>
      <c r="BG17" s="10"/>
      <c r="BH17" s="10"/>
    </row>
    <row r="18" customFormat="false" ht="24.75" hidden="true" customHeight="true" outlineLevel="0" collapsed="false">
      <c r="A18" s="524"/>
      <c r="B18" s="550" t="s">
        <v>1323</v>
      </c>
      <c r="C18" s="550"/>
      <c r="D18" s="550"/>
      <c r="E18" s="550"/>
      <c r="F18" s="550"/>
      <c r="G18" s="550"/>
      <c r="H18" s="550"/>
      <c r="I18" s="550"/>
      <c r="J18" s="550"/>
      <c r="K18" s="550"/>
      <c r="L18" s="462"/>
      <c r="M18" s="525"/>
      <c r="N18" s="525"/>
      <c r="O18" s="525"/>
      <c r="P18" s="525"/>
      <c r="Q18" s="525"/>
      <c r="R18" s="525"/>
      <c r="S18" s="525"/>
      <c r="T18" s="525"/>
      <c r="U18" s="551"/>
      <c r="V18" s="531"/>
      <c r="W18" s="531"/>
      <c r="X18" s="531"/>
      <c r="Y18" s="531"/>
      <c r="Z18" s="531"/>
      <c r="AA18" s="531"/>
      <c r="AB18" s="531"/>
      <c r="AC18" s="531"/>
      <c r="AD18" s="528"/>
      <c r="AE18" s="538" t="n">
        <f aca="false">V18-M18</f>
        <v>0</v>
      </c>
      <c r="AF18" s="538"/>
      <c r="AG18" s="538"/>
      <c r="AH18" s="538"/>
      <c r="AI18" s="538"/>
      <c r="AJ18" s="538"/>
      <c r="AK18" s="538"/>
      <c r="AL18" s="538"/>
      <c r="AM18" s="539"/>
      <c r="AN18" s="531"/>
      <c r="AO18" s="531"/>
      <c r="AP18" s="531"/>
      <c r="AQ18" s="531"/>
      <c r="AR18" s="531"/>
      <c r="AS18" s="531"/>
      <c r="AT18" s="531"/>
      <c r="AU18" s="531"/>
      <c r="AV18" s="539"/>
      <c r="AW18" s="541" t="n">
        <f aca="false">V18-AN18</f>
        <v>0</v>
      </c>
      <c r="AX18" s="541"/>
      <c r="AY18" s="541"/>
      <c r="AZ18" s="541"/>
      <c r="BA18" s="541"/>
      <c r="BB18" s="541"/>
      <c r="BC18" s="541"/>
      <c r="BD18" s="541"/>
      <c r="BE18" s="533"/>
      <c r="BF18" s="10"/>
      <c r="BG18" s="10"/>
      <c r="BH18" s="10"/>
    </row>
    <row r="19" customFormat="false" ht="24.75" hidden="false" customHeight="true" outlineLevel="0" collapsed="false">
      <c r="A19" s="495"/>
      <c r="B19" s="496" t="s">
        <v>89</v>
      </c>
      <c r="C19" s="496"/>
      <c r="D19" s="496"/>
      <c r="E19" s="496"/>
      <c r="F19" s="496"/>
      <c r="G19" s="496"/>
      <c r="H19" s="496"/>
      <c r="I19" s="496"/>
      <c r="J19" s="496"/>
      <c r="K19" s="496"/>
      <c r="L19" s="499"/>
      <c r="M19" s="534" t="n">
        <v>2718000</v>
      </c>
      <c r="N19" s="534"/>
      <c r="O19" s="534"/>
      <c r="P19" s="534"/>
      <c r="Q19" s="534"/>
      <c r="R19" s="534"/>
      <c r="S19" s="534"/>
      <c r="T19" s="534"/>
      <c r="U19" s="552"/>
      <c r="V19" s="536" t="n">
        <f aca="false">決算精算表!A32</f>
        <v>2453880</v>
      </c>
      <c r="W19" s="536"/>
      <c r="X19" s="536"/>
      <c r="Y19" s="536"/>
      <c r="Z19" s="536"/>
      <c r="AA19" s="536"/>
      <c r="AB19" s="536"/>
      <c r="AC19" s="536"/>
      <c r="AD19" s="537"/>
      <c r="AE19" s="538" t="n">
        <f aca="false">V19-M19</f>
        <v>-264120</v>
      </c>
      <c r="AF19" s="538"/>
      <c r="AG19" s="538"/>
      <c r="AH19" s="538"/>
      <c r="AI19" s="538"/>
      <c r="AJ19" s="538"/>
      <c r="AK19" s="538"/>
      <c r="AL19" s="538"/>
      <c r="AM19" s="539"/>
      <c r="AN19" s="540" t="n">
        <v>2286386</v>
      </c>
      <c r="AO19" s="540"/>
      <c r="AP19" s="540"/>
      <c r="AQ19" s="540"/>
      <c r="AR19" s="540"/>
      <c r="AS19" s="540"/>
      <c r="AT19" s="540"/>
      <c r="AU19" s="540"/>
      <c r="AV19" s="539"/>
      <c r="AW19" s="541" t="n">
        <f aca="false">V19-AN19</f>
        <v>167494</v>
      </c>
      <c r="AX19" s="541"/>
      <c r="AY19" s="541"/>
      <c r="AZ19" s="541"/>
      <c r="BA19" s="541"/>
      <c r="BB19" s="541"/>
      <c r="BC19" s="541"/>
      <c r="BD19" s="541"/>
      <c r="BE19" s="500"/>
      <c r="BF19" s="10"/>
      <c r="BG19" s="10"/>
      <c r="BH19" s="10"/>
    </row>
    <row r="20" customFormat="false" ht="24.75" hidden="false" customHeight="true" outlineLevel="0" collapsed="false">
      <c r="A20" s="524"/>
      <c r="B20" s="550" t="s">
        <v>90</v>
      </c>
      <c r="C20" s="550"/>
      <c r="D20" s="550"/>
      <c r="E20" s="550"/>
      <c r="F20" s="550"/>
      <c r="G20" s="550"/>
      <c r="H20" s="550"/>
      <c r="I20" s="550"/>
      <c r="J20" s="550"/>
      <c r="K20" s="550"/>
      <c r="L20" s="462"/>
      <c r="M20" s="525" t="n">
        <v>14091000</v>
      </c>
      <c r="N20" s="525"/>
      <c r="O20" s="525"/>
      <c r="P20" s="525"/>
      <c r="Q20" s="525"/>
      <c r="R20" s="525"/>
      <c r="S20" s="525"/>
      <c r="T20" s="525"/>
      <c r="U20" s="551"/>
      <c r="V20" s="527" t="n">
        <f aca="false">決算精算表!A33</f>
        <v>13718352</v>
      </c>
      <c r="W20" s="527"/>
      <c r="X20" s="527"/>
      <c r="Y20" s="527"/>
      <c r="Z20" s="527"/>
      <c r="AA20" s="527"/>
      <c r="AB20" s="527"/>
      <c r="AC20" s="527"/>
      <c r="AD20" s="528"/>
      <c r="AE20" s="538" t="n">
        <f aca="false">V20-M20</f>
        <v>-372648</v>
      </c>
      <c r="AF20" s="538"/>
      <c r="AG20" s="538"/>
      <c r="AH20" s="538"/>
      <c r="AI20" s="538"/>
      <c r="AJ20" s="538"/>
      <c r="AK20" s="538"/>
      <c r="AL20" s="538"/>
      <c r="AM20" s="539"/>
      <c r="AN20" s="531" t="n">
        <v>9334157</v>
      </c>
      <c r="AO20" s="531"/>
      <c r="AP20" s="531"/>
      <c r="AQ20" s="531"/>
      <c r="AR20" s="531"/>
      <c r="AS20" s="531"/>
      <c r="AT20" s="531"/>
      <c r="AU20" s="531"/>
      <c r="AV20" s="539"/>
      <c r="AW20" s="541" t="n">
        <f aca="false">V20-AN20</f>
        <v>4384195</v>
      </c>
      <c r="AX20" s="541"/>
      <c r="AY20" s="541"/>
      <c r="AZ20" s="541"/>
      <c r="BA20" s="541"/>
      <c r="BB20" s="541"/>
      <c r="BC20" s="541"/>
      <c r="BD20" s="541"/>
      <c r="BE20" s="533"/>
      <c r="BF20" s="10"/>
      <c r="BG20" s="10"/>
      <c r="BH20" s="10"/>
    </row>
    <row r="21" customFormat="false" ht="24.75" hidden="false" customHeight="true" outlineLevel="0" collapsed="false">
      <c r="A21" s="495"/>
      <c r="B21" s="553" t="s">
        <v>91</v>
      </c>
      <c r="C21" s="553"/>
      <c r="D21" s="553"/>
      <c r="E21" s="553"/>
      <c r="F21" s="553"/>
      <c r="G21" s="553"/>
      <c r="H21" s="553"/>
      <c r="I21" s="553"/>
      <c r="J21" s="553"/>
      <c r="K21" s="553"/>
      <c r="L21" s="499"/>
      <c r="M21" s="534" t="n">
        <v>54153000</v>
      </c>
      <c r="N21" s="534"/>
      <c r="O21" s="534"/>
      <c r="P21" s="534"/>
      <c r="Q21" s="534"/>
      <c r="R21" s="534"/>
      <c r="S21" s="534"/>
      <c r="T21" s="534"/>
      <c r="U21" s="552"/>
      <c r="V21" s="536" t="n">
        <f aca="false">決算精算表!A34</f>
        <v>54153000</v>
      </c>
      <c r="W21" s="536"/>
      <c r="X21" s="536"/>
      <c r="Y21" s="536"/>
      <c r="Z21" s="536"/>
      <c r="AA21" s="536"/>
      <c r="AB21" s="536"/>
      <c r="AC21" s="536"/>
      <c r="AD21" s="537"/>
      <c r="AE21" s="538" t="n">
        <f aca="false">V21-M21</f>
        <v>0</v>
      </c>
      <c r="AF21" s="538"/>
      <c r="AG21" s="538"/>
      <c r="AH21" s="538"/>
      <c r="AI21" s="538"/>
      <c r="AJ21" s="538"/>
      <c r="AK21" s="538"/>
      <c r="AL21" s="538"/>
      <c r="AM21" s="539"/>
      <c r="AN21" s="540" t="n">
        <v>47222000</v>
      </c>
      <c r="AO21" s="540"/>
      <c r="AP21" s="540"/>
      <c r="AQ21" s="540"/>
      <c r="AR21" s="540"/>
      <c r="AS21" s="540"/>
      <c r="AT21" s="540"/>
      <c r="AU21" s="540"/>
      <c r="AV21" s="539"/>
      <c r="AW21" s="541" t="n">
        <f aca="false">V21-AN21</f>
        <v>6931000</v>
      </c>
      <c r="AX21" s="541"/>
      <c r="AY21" s="541"/>
      <c r="AZ21" s="541"/>
      <c r="BA21" s="541"/>
      <c r="BB21" s="541"/>
      <c r="BC21" s="541"/>
      <c r="BD21" s="541"/>
      <c r="BE21" s="500"/>
      <c r="BF21" s="10"/>
      <c r="BG21" s="10"/>
      <c r="BH21" s="10"/>
    </row>
    <row r="22" customFormat="false" ht="24.75" hidden="true" customHeight="true" outlineLevel="0" collapsed="false">
      <c r="A22" s="495"/>
      <c r="B22" s="496" t="s">
        <v>1324</v>
      </c>
      <c r="C22" s="496"/>
      <c r="D22" s="496"/>
      <c r="E22" s="496"/>
      <c r="F22" s="496"/>
      <c r="G22" s="496"/>
      <c r="H22" s="496"/>
      <c r="I22" s="496"/>
      <c r="J22" s="496"/>
      <c r="K22" s="496"/>
      <c r="L22" s="499"/>
      <c r="M22" s="534"/>
      <c r="N22" s="534"/>
      <c r="O22" s="534"/>
      <c r="P22" s="534"/>
      <c r="Q22" s="534"/>
      <c r="R22" s="534"/>
      <c r="S22" s="534"/>
      <c r="T22" s="534"/>
      <c r="U22" s="552"/>
      <c r="V22" s="540"/>
      <c r="W22" s="540"/>
      <c r="X22" s="540"/>
      <c r="Y22" s="540"/>
      <c r="Z22" s="540"/>
      <c r="AA22" s="540"/>
      <c r="AB22" s="540"/>
      <c r="AC22" s="540"/>
      <c r="AD22" s="537"/>
      <c r="AE22" s="538" t="n">
        <f aca="false">V22-M22</f>
        <v>0</v>
      </c>
      <c r="AF22" s="538"/>
      <c r="AG22" s="538"/>
      <c r="AH22" s="538"/>
      <c r="AI22" s="538"/>
      <c r="AJ22" s="538"/>
      <c r="AK22" s="538"/>
      <c r="AL22" s="538"/>
      <c r="AM22" s="539"/>
      <c r="AN22" s="540"/>
      <c r="AO22" s="540"/>
      <c r="AP22" s="540"/>
      <c r="AQ22" s="540"/>
      <c r="AR22" s="540"/>
      <c r="AS22" s="540"/>
      <c r="AT22" s="540"/>
      <c r="AU22" s="540"/>
      <c r="AV22" s="539"/>
      <c r="AW22" s="541" t="n">
        <f aca="false">V22-AN22</f>
        <v>0</v>
      </c>
      <c r="AX22" s="541"/>
      <c r="AY22" s="541"/>
      <c r="AZ22" s="541"/>
      <c r="BA22" s="541"/>
      <c r="BB22" s="541"/>
      <c r="BC22" s="541"/>
      <c r="BD22" s="541"/>
      <c r="BE22" s="500"/>
      <c r="BF22" s="10"/>
      <c r="BG22" s="10"/>
      <c r="BH22" s="10"/>
    </row>
    <row r="23" customFormat="false" ht="24.75" hidden="false" customHeight="true" outlineLevel="0" collapsed="false">
      <c r="A23" s="495"/>
      <c r="B23" s="496" t="s">
        <v>1096</v>
      </c>
      <c r="C23" s="496"/>
      <c r="D23" s="496"/>
      <c r="E23" s="496"/>
      <c r="F23" s="496"/>
      <c r="G23" s="496"/>
      <c r="H23" s="496"/>
      <c r="I23" s="496"/>
      <c r="J23" s="496"/>
      <c r="K23" s="496"/>
      <c r="L23" s="499"/>
      <c r="M23" s="534" t="n">
        <v>177000</v>
      </c>
      <c r="N23" s="534"/>
      <c r="O23" s="534"/>
      <c r="P23" s="534"/>
      <c r="Q23" s="534"/>
      <c r="R23" s="534"/>
      <c r="S23" s="534"/>
      <c r="T23" s="534"/>
      <c r="U23" s="552"/>
      <c r="V23" s="536" t="n">
        <f aca="false">決算精算表!A35</f>
        <v>176556</v>
      </c>
      <c r="W23" s="536"/>
      <c r="X23" s="536"/>
      <c r="Y23" s="536"/>
      <c r="Z23" s="536"/>
      <c r="AA23" s="536"/>
      <c r="AB23" s="536"/>
      <c r="AC23" s="536"/>
      <c r="AD23" s="537"/>
      <c r="AE23" s="538" t="n">
        <f aca="false">V23-M23</f>
        <v>-444</v>
      </c>
      <c r="AF23" s="538"/>
      <c r="AG23" s="538"/>
      <c r="AH23" s="538"/>
      <c r="AI23" s="538"/>
      <c r="AJ23" s="538"/>
      <c r="AK23" s="538"/>
      <c r="AL23" s="538"/>
      <c r="AM23" s="539"/>
      <c r="AN23" s="540" t="n">
        <v>176556</v>
      </c>
      <c r="AO23" s="540"/>
      <c r="AP23" s="540"/>
      <c r="AQ23" s="540"/>
      <c r="AR23" s="540"/>
      <c r="AS23" s="540"/>
      <c r="AT23" s="540"/>
      <c r="AU23" s="540"/>
      <c r="AV23" s="539"/>
      <c r="AW23" s="541" t="n">
        <f aca="false">V23-AN23</f>
        <v>0</v>
      </c>
      <c r="AX23" s="541"/>
      <c r="AY23" s="541"/>
      <c r="AZ23" s="541"/>
      <c r="BA23" s="541"/>
      <c r="BB23" s="541"/>
      <c r="BC23" s="541"/>
      <c r="BD23" s="541"/>
      <c r="BE23" s="500"/>
      <c r="BF23" s="10"/>
      <c r="BG23" s="10"/>
      <c r="BH23" s="10"/>
    </row>
    <row r="24" customFormat="false" ht="24.75" hidden="true" customHeight="true" outlineLevel="0" collapsed="false">
      <c r="A24" s="495"/>
      <c r="B24" s="496" t="s">
        <v>1098</v>
      </c>
      <c r="C24" s="496"/>
      <c r="D24" s="496"/>
      <c r="E24" s="496"/>
      <c r="F24" s="496"/>
      <c r="G24" s="496"/>
      <c r="H24" s="496"/>
      <c r="I24" s="496"/>
      <c r="J24" s="496"/>
      <c r="K24" s="496"/>
      <c r="L24" s="499"/>
      <c r="M24" s="534" t="n">
        <v>0</v>
      </c>
      <c r="N24" s="534"/>
      <c r="O24" s="534"/>
      <c r="P24" s="534"/>
      <c r="Q24" s="534"/>
      <c r="R24" s="534"/>
      <c r="S24" s="534"/>
      <c r="T24" s="534"/>
      <c r="U24" s="552"/>
      <c r="V24" s="536" t="n">
        <f aca="false">決算精算表!A37</f>
        <v>0</v>
      </c>
      <c r="W24" s="536"/>
      <c r="X24" s="536"/>
      <c r="Y24" s="536"/>
      <c r="Z24" s="536"/>
      <c r="AA24" s="536"/>
      <c r="AB24" s="536"/>
      <c r="AC24" s="536"/>
      <c r="AD24" s="537"/>
      <c r="AE24" s="538" t="n">
        <f aca="false">V24-M24</f>
        <v>0</v>
      </c>
      <c r="AF24" s="538"/>
      <c r="AG24" s="538"/>
      <c r="AH24" s="538"/>
      <c r="AI24" s="538"/>
      <c r="AJ24" s="538"/>
      <c r="AK24" s="538"/>
      <c r="AL24" s="538"/>
      <c r="AM24" s="539"/>
      <c r="AN24" s="540" t="n">
        <v>0</v>
      </c>
      <c r="AO24" s="540"/>
      <c r="AP24" s="540"/>
      <c r="AQ24" s="540"/>
      <c r="AR24" s="540"/>
      <c r="AS24" s="540"/>
      <c r="AT24" s="540"/>
      <c r="AU24" s="540"/>
      <c r="AV24" s="539"/>
      <c r="AW24" s="541" t="n">
        <f aca="false">V24-AN24</f>
        <v>0</v>
      </c>
      <c r="AX24" s="541"/>
      <c r="AY24" s="541"/>
      <c r="AZ24" s="541"/>
      <c r="BA24" s="541"/>
      <c r="BB24" s="541"/>
      <c r="BC24" s="541"/>
      <c r="BD24" s="541"/>
      <c r="BE24" s="500"/>
      <c r="BF24" s="10"/>
      <c r="BG24" s="10"/>
      <c r="BH24" s="10"/>
    </row>
    <row r="25" customFormat="false" ht="24.75" hidden="false" customHeight="true" outlineLevel="0" collapsed="false">
      <c r="A25" s="495"/>
      <c r="B25" s="496" t="s">
        <v>1097</v>
      </c>
      <c r="C25" s="496"/>
      <c r="D25" s="496"/>
      <c r="E25" s="496"/>
      <c r="F25" s="496"/>
      <c r="G25" s="496"/>
      <c r="H25" s="496"/>
      <c r="I25" s="496"/>
      <c r="J25" s="496"/>
      <c r="K25" s="496"/>
      <c r="L25" s="499"/>
      <c r="M25" s="534" t="n">
        <v>0</v>
      </c>
      <c r="N25" s="534"/>
      <c r="O25" s="534"/>
      <c r="P25" s="534"/>
      <c r="Q25" s="534"/>
      <c r="R25" s="534"/>
      <c r="S25" s="534"/>
      <c r="T25" s="534"/>
      <c r="U25" s="552"/>
      <c r="V25" s="536" t="n">
        <f aca="false">決算精算表!A36</f>
        <v>0</v>
      </c>
      <c r="W25" s="536"/>
      <c r="X25" s="536"/>
      <c r="Y25" s="536"/>
      <c r="Z25" s="536"/>
      <c r="AA25" s="536"/>
      <c r="AB25" s="536"/>
      <c r="AC25" s="536"/>
      <c r="AD25" s="537"/>
      <c r="AE25" s="538" t="n">
        <f aca="false">V25-M25</f>
        <v>0</v>
      </c>
      <c r="AF25" s="538"/>
      <c r="AG25" s="538"/>
      <c r="AH25" s="538"/>
      <c r="AI25" s="538"/>
      <c r="AJ25" s="538"/>
      <c r="AK25" s="538"/>
      <c r="AL25" s="538"/>
      <c r="AM25" s="539"/>
      <c r="AN25" s="540" t="n">
        <v>1</v>
      </c>
      <c r="AO25" s="540"/>
      <c r="AP25" s="540"/>
      <c r="AQ25" s="540"/>
      <c r="AR25" s="540"/>
      <c r="AS25" s="540"/>
      <c r="AT25" s="540"/>
      <c r="AU25" s="540"/>
      <c r="AV25" s="539"/>
      <c r="AW25" s="541" t="n">
        <f aca="false">V25-AN25</f>
        <v>-1</v>
      </c>
      <c r="AX25" s="541"/>
      <c r="AY25" s="541"/>
      <c r="AZ25" s="541"/>
      <c r="BA25" s="541"/>
      <c r="BB25" s="541"/>
      <c r="BC25" s="541"/>
      <c r="BD25" s="541"/>
      <c r="BE25" s="500"/>
      <c r="BF25" s="10"/>
      <c r="BG25" s="10"/>
      <c r="BH25" s="10"/>
    </row>
    <row r="26" customFormat="false" ht="24.75" hidden="false" customHeight="true" outlineLevel="0" collapsed="false">
      <c r="A26" s="495"/>
      <c r="B26" s="521" t="s">
        <v>1325</v>
      </c>
      <c r="C26" s="521"/>
      <c r="D26" s="521"/>
      <c r="E26" s="521"/>
      <c r="F26" s="521"/>
      <c r="G26" s="521"/>
      <c r="H26" s="521"/>
      <c r="I26" s="521"/>
      <c r="J26" s="521"/>
      <c r="K26" s="521"/>
      <c r="L26" s="499"/>
      <c r="M26" s="545" t="n">
        <f aca="false">SUM(M5:T25)</f>
        <v>131720000</v>
      </c>
      <c r="N26" s="545"/>
      <c r="O26" s="545"/>
      <c r="P26" s="545"/>
      <c r="Q26" s="545"/>
      <c r="R26" s="545"/>
      <c r="S26" s="545"/>
      <c r="T26" s="545"/>
      <c r="U26" s="535"/>
      <c r="V26" s="546" t="n">
        <f aca="false">SUM(V5:AC25)</f>
        <v>121123959</v>
      </c>
      <c r="W26" s="546"/>
      <c r="X26" s="546"/>
      <c r="Y26" s="546"/>
      <c r="Z26" s="546"/>
      <c r="AA26" s="546"/>
      <c r="AB26" s="546"/>
      <c r="AC26" s="546"/>
      <c r="AD26" s="547"/>
      <c r="AE26" s="538" t="n">
        <f aca="false">V26-M26</f>
        <v>-10596041</v>
      </c>
      <c r="AF26" s="538"/>
      <c r="AG26" s="538"/>
      <c r="AH26" s="538"/>
      <c r="AI26" s="538"/>
      <c r="AJ26" s="538"/>
      <c r="AK26" s="538"/>
      <c r="AL26" s="538"/>
      <c r="AM26" s="535"/>
      <c r="AN26" s="546" t="n">
        <f aca="false">SUM(AN5:AU25)</f>
        <v>111447230</v>
      </c>
      <c r="AO26" s="546"/>
      <c r="AP26" s="546"/>
      <c r="AQ26" s="546"/>
      <c r="AR26" s="546"/>
      <c r="AS26" s="546"/>
      <c r="AT26" s="546"/>
      <c r="AU26" s="546"/>
      <c r="AV26" s="535"/>
      <c r="AW26" s="541" t="n">
        <f aca="false">V26-AN26</f>
        <v>9676729</v>
      </c>
      <c r="AX26" s="541"/>
      <c r="AY26" s="541"/>
      <c r="AZ26" s="541"/>
      <c r="BA26" s="541"/>
      <c r="BB26" s="541"/>
      <c r="BC26" s="541"/>
      <c r="BD26" s="541"/>
      <c r="BE26" s="500"/>
      <c r="BF26" s="10"/>
      <c r="BG26" s="10"/>
      <c r="BH26" s="10"/>
    </row>
    <row r="27" customFormat="false" ht="33" hidden="false" customHeight="true" outlineLevel="0" collapsed="false">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c r="AE27" s="10"/>
      <c r="AF27" s="10"/>
      <c r="AG27" s="10"/>
      <c r="AH27" s="10"/>
      <c r="AI27" s="10"/>
      <c r="AJ27" s="10"/>
      <c r="AK27" s="10"/>
      <c r="AL27" s="10"/>
      <c r="AM27" s="10"/>
      <c r="AN27" s="10"/>
      <c r="AO27" s="10"/>
      <c r="AP27" s="10"/>
      <c r="AQ27" s="10"/>
      <c r="AR27" s="10"/>
      <c r="AS27" s="10"/>
      <c r="AT27" s="10"/>
      <c r="AU27" s="10"/>
      <c r="AV27" s="10"/>
      <c r="AW27" s="10"/>
      <c r="AX27" s="10"/>
      <c r="AY27" s="10"/>
      <c r="AZ27" s="10"/>
      <c r="BA27" s="10"/>
      <c r="BB27" s="10"/>
      <c r="BC27" s="10"/>
      <c r="BD27" s="10"/>
      <c r="BE27" s="10"/>
      <c r="BF27" s="10"/>
      <c r="BG27" s="10"/>
      <c r="BH27" s="10"/>
    </row>
    <row r="28" customFormat="false" ht="22.5" hidden="false" customHeight="true" outlineLevel="0" collapsed="false">
      <c r="A28" s="461" t="s">
        <v>1326</v>
      </c>
      <c r="B28" s="461"/>
      <c r="C28" s="461"/>
      <c r="D28" s="461"/>
      <c r="E28" s="461"/>
      <c r="F28" s="461"/>
      <c r="G28" s="461"/>
      <c r="H28" s="461"/>
      <c r="I28" s="461"/>
      <c r="J28" s="461"/>
      <c r="K28" s="461"/>
      <c r="L28" s="461"/>
      <c r="M28" s="461"/>
      <c r="N28" s="461"/>
      <c r="O28" s="461"/>
      <c r="P28" s="461"/>
      <c r="Q28" s="461"/>
      <c r="R28" s="461"/>
      <c r="S28" s="461"/>
      <c r="T28" s="461"/>
      <c r="U28" s="461"/>
      <c r="V28" s="461"/>
      <c r="W28" s="461"/>
      <c r="X28" s="461"/>
      <c r="Y28" s="461"/>
      <c r="Z28" s="461"/>
      <c r="AA28" s="461"/>
      <c r="AB28" s="461"/>
      <c r="AC28" s="461"/>
      <c r="AD28" s="461"/>
      <c r="AE28" s="461"/>
      <c r="AF28" s="461"/>
      <c r="AG28" s="461"/>
      <c r="AH28" s="461"/>
      <c r="AI28" s="461"/>
      <c r="AJ28" s="461"/>
      <c r="AK28" s="461"/>
      <c r="AL28" s="461"/>
      <c r="AM28" s="461"/>
      <c r="AN28" s="461"/>
      <c r="AO28" s="461"/>
      <c r="AP28" s="461"/>
      <c r="AQ28" s="461"/>
      <c r="AR28" s="461"/>
      <c r="AS28" s="461"/>
      <c r="AT28" s="461"/>
      <c r="AU28" s="461"/>
      <c r="AV28" s="461"/>
      <c r="AW28" s="461"/>
      <c r="AX28" s="461"/>
      <c r="AY28" s="461"/>
      <c r="AZ28" s="461"/>
      <c r="BA28" s="461"/>
      <c r="BB28" s="461"/>
      <c r="BC28" s="461"/>
      <c r="BD28" s="461"/>
      <c r="BE28" s="461"/>
      <c r="BF28" s="10"/>
      <c r="BG28" s="10"/>
      <c r="BH28" s="463" t="s">
        <v>1327</v>
      </c>
    </row>
    <row r="29" customFormat="false" ht="22.5" hidden="false" customHeight="true" outlineLevel="0" collapsed="false">
      <c r="A29" s="554" t="str">
        <f aca="false">"　　本年度における収支決算を行った結果、当期利益金として"&amp;IF(決算精算表!A38&gt;=10000,TEXT(INT(決算精算表!A38/10000),"#,##0")&amp;"万"&amp;IF(MOD(決算精算表!A38,10000)=0,"",TEXT(MOD(決算精算表!A38,10000),"#,##0")),TEXT(決算精算表!A38,"#,##0"))&amp;"円"&amp;"を生じた。"</f>
        <v>　　本年度における収支決算を行った結果、当期利益金として360万3,510円を生じた。</v>
      </c>
      <c r="B29" s="555"/>
      <c r="C29" s="555"/>
      <c r="D29" s="555"/>
      <c r="E29" s="555"/>
      <c r="F29" s="555"/>
      <c r="G29" s="555"/>
      <c r="H29" s="555"/>
      <c r="I29" s="555"/>
      <c r="J29" s="555"/>
      <c r="K29" s="555"/>
      <c r="L29" s="555"/>
      <c r="M29" s="555"/>
      <c r="N29" s="555"/>
      <c r="O29" s="555"/>
      <c r="P29" s="555"/>
      <c r="Q29" s="555"/>
      <c r="R29" s="555"/>
      <c r="S29" s="555"/>
      <c r="T29" s="555"/>
      <c r="U29" s="555"/>
      <c r="V29" s="555"/>
      <c r="W29" s="555"/>
      <c r="X29" s="555"/>
      <c r="Y29" s="555"/>
      <c r="Z29" s="555"/>
      <c r="AA29" s="555"/>
      <c r="AB29" s="555"/>
      <c r="AC29" s="555"/>
      <c r="AD29" s="555"/>
      <c r="AE29" s="555"/>
      <c r="AF29" s="555"/>
      <c r="AG29" s="555"/>
      <c r="AH29" s="555"/>
      <c r="AI29" s="555"/>
      <c r="AJ29" s="555"/>
      <c r="AK29" s="555"/>
      <c r="AL29" s="555"/>
      <c r="AM29" s="555"/>
      <c r="AN29" s="555"/>
      <c r="AO29" s="555"/>
      <c r="AP29" s="555"/>
      <c r="AQ29" s="555"/>
      <c r="AR29" s="555"/>
      <c r="AS29" s="555"/>
      <c r="AT29" s="555"/>
      <c r="AU29" s="555"/>
      <c r="AV29" s="555"/>
      <c r="AW29" s="555"/>
      <c r="AX29" s="555"/>
      <c r="AY29" s="555"/>
      <c r="AZ29" s="555"/>
      <c r="BA29" s="555"/>
      <c r="BB29" s="555"/>
      <c r="BC29" s="555"/>
      <c r="BD29" s="555"/>
      <c r="BE29" s="555"/>
      <c r="BF29" s="10"/>
      <c r="BG29" s="556" t="s">
        <v>1328</v>
      </c>
      <c r="BH29" s="10"/>
    </row>
    <row r="30" customFormat="false" ht="22.5" hidden="false" customHeight="true" outlineLevel="0" collapsed="false">
      <c r="A30" s="554" t="str">
        <f aca="false">"　　この利益金に前年度より繰り越した積立金"&amp;IF(決算精算表!E19&gt;=10000,TEXT(INT(決算精算表!E19/10000),"#,##0")&amp;"万"&amp;IF(MOD(決算精算表!E19,10000)=0,"",TEXT(MOD(決算精算表!E19,10000),"#,##0")),TEXT(決算精算表!E19,"#,##0"))&amp;"円"&amp;"を合わせ、翌年度へ繰り越す積立金は、"</f>
        <v>　　この利益金に前年度より繰り越した積立金7,109万3,911円を合わせ、翌年度へ繰り越す積立金は、</v>
      </c>
      <c r="B30" s="555"/>
      <c r="C30" s="555"/>
      <c r="D30" s="555"/>
      <c r="E30" s="555"/>
      <c r="F30" s="555"/>
      <c r="G30" s="555"/>
      <c r="H30" s="555"/>
      <c r="I30" s="555"/>
      <c r="J30" s="555"/>
      <c r="K30" s="555"/>
      <c r="L30" s="555"/>
      <c r="M30" s="555"/>
      <c r="N30" s="555"/>
      <c r="O30" s="555"/>
      <c r="P30" s="555"/>
      <c r="Q30" s="555"/>
      <c r="R30" s="555"/>
      <c r="S30" s="555"/>
      <c r="T30" s="555"/>
      <c r="U30" s="555"/>
      <c r="V30" s="555"/>
      <c r="W30" s="555"/>
      <c r="X30" s="555"/>
      <c r="Y30" s="555"/>
      <c r="Z30" s="555"/>
      <c r="AA30" s="555"/>
      <c r="AB30" s="555"/>
      <c r="AC30" s="555"/>
      <c r="AD30" s="555"/>
      <c r="AE30" s="555"/>
      <c r="AF30" s="555"/>
      <c r="AG30" s="555"/>
      <c r="AH30" s="555"/>
      <c r="AI30" s="555"/>
      <c r="AJ30" s="555"/>
      <c r="AK30" s="555"/>
      <c r="AL30" s="555"/>
      <c r="AM30" s="555"/>
      <c r="AN30" s="555"/>
      <c r="AO30" s="555"/>
      <c r="AP30" s="555"/>
      <c r="AQ30" s="555"/>
      <c r="AR30" s="555"/>
      <c r="AS30" s="555"/>
      <c r="AT30" s="555"/>
      <c r="AU30" s="555"/>
      <c r="AV30" s="555"/>
      <c r="AW30" s="555"/>
      <c r="AX30" s="555"/>
      <c r="AY30" s="555"/>
      <c r="AZ30" s="555"/>
      <c r="BA30" s="555"/>
      <c r="BB30" s="555"/>
      <c r="BC30" s="555"/>
      <c r="BD30" s="555"/>
      <c r="BE30" s="555"/>
      <c r="BF30" s="10"/>
      <c r="BG30" s="556" t="s">
        <v>1329</v>
      </c>
      <c r="BH30" s="10"/>
    </row>
    <row r="31" customFormat="false" ht="22.5" hidden="false" customHeight="true" outlineLevel="0" collapsed="false">
      <c r="A31" s="463"/>
      <c r="B31" s="463"/>
      <c r="C31" s="557" t="str">
        <f aca="false">IF(決算精算表!G19&gt;=10000,TEXT(INT(決算精算表!G19/10000),"#,##0")&amp;"万"&amp;IF(MOD(決算精算表!G19,10000)=0,"",TEXT(MOD(決算精算表!G19,10000),"#,##0")),TEXT(決算精算表!G19,"#,##0"))&amp;"円"&amp;"となる。"</f>
        <v>7,469万7,421円となる。</v>
      </c>
      <c r="D31" s="463"/>
      <c r="E31" s="463"/>
      <c r="F31" s="463"/>
      <c r="G31" s="463"/>
      <c r="H31" s="463"/>
      <c r="I31" s="463"/>
      <c r="J31" s="463"/>
      <c r="K31" s="463"/>
      <c r="L31" s="463"/>
      <c r="M31" s="463"/>
      <c r="N31" s="463"/>
      <c r="O31" s="463"/>
      <c r="P31" s="463"/>
      <c r="Q31" s="463"/>
      <c r="R31" s="463"/>
      <c r="S31" s="463"/>
      <c r="T31" s="555"/>
      <c r="U31" s="555"/>
      <c r="V31" s="555"/>
      <c r="W31" s="555"/>
      <c r="X31" s="555"/>
      <c r="Y31" s="555"/>
      <c r="Z31" s="555"/>
      <c r="AA31" s="555"/>
      <c r="AB31" s="555"/>
      <c r="AC31" s="555"/>
      <c r="AD31" s="555"/>
      <c r="AE31" s="555"/>
      <c r="AF31" s="555"/>
      <c r="AG31" s="555"/>
      <c r="AH31" s="555"/>
      <c r="AI31" s="555"/>
      <c r="AJ31" s="555"/>
      <c r="AK31" s="555"/>
      <c r="AL31" s="555"/>
      <c r="AM31" s="555"/>
      <c r="AN31" s="555"/>
      <c r="AO31" s="555"/>
      <c r="AP31" s="555"/>
      <c r="AQ31" s="555"/>
      <c r="AR31" s="555"/>
      <c r="AS31" s="555"/>
      <c r="AT31" s="555"/>
      <c r="AU31" s="555"/>
      <c r="AV31" s="555"/>
      <c r="AW31" s="555"/>
      <c r="AX31" s="555"/>
      <c r="AY31" s="555"/>
      <c r="AZ31" s="555"/>
      <c r="BA31" s="555"/>
      <c r="BB31" s="555"/>
      <c r="BC31" s="555"/>
      <c r="BD31" s="555"/>
      <c r="BE31" s="555"/>
      <c r="BF31" s="10"/>
      <c r="BG31" s="556" t="s">
        <v>1330</v>
      </c>
      <c r="BH31" s="10"/>
    </row>
    <row r="32" customFormat="false" ht="20.25" hidden="false" customHeight="true" outlineLevel="0" collapsed="false">
      <c r="A32" s="10"/>
      <c r="B32" s="40"/>
      <c r="C32" s="40"/>
      <c r="D32" s="40"/>
      <c r="E32" s="40"/>
      <c r="F32" s="40"/>
      <c r="G32" s="40"/>
      <c r="H32" s="40"/>
      <c r="I32" s="40"/>
      <c r="J32" s="40"/>
      <c r="K32" s="40"/>
      <c r="L32" s="40"/>
      <c r="M32" s="40"/>
      <c r="N32" s="40"/>
      <c r="O32" s="40"/>
      <c r="P32" s="40"/>
      <c r="Q32" s="40"/>
      <c r="R32" s="40"/>
      <c r="S32" s="40"/>
      <c r="T32" s="40"/>
      <c r="U32" s="40"/>
      <c r="V32" s="40"/>
      <c r="W32" s="40"/>
      <c r="X32" s="40"/>
      <c r="Y32" s="40"/>
      <c r="Z32" s="40"/>
      <c r="AA32" s="40"/>
      <c r="AB32" s="40"/>
      <c r="AC32" s="40"/>
      <c r="AD32" s="40"/>
      <c r="AE32" s="40"/>
      <c r="AF32" s="40"/>
      <c r="AG32" s="40"/>
      <c r="AH32" s="40"/>
      <c r="AI32" s="40"/>
      <c r="AJ32" s="40"/>
      <c r="AK32" s="40"/>
      <c r="AL32" s="40"/>
      <c r="AM32" s="40"/>
      <c r="AN32" s="40"/>
      <c r="AO32" s="40"/>
      <c r="AP32" s="40"/>
      <c r="AQ32" s="40"/>
      <c r="AR32" s="40"/>
      <c r="AS32" s="40"/>
      <c r="AT32" s="40"/>
      <c r="AU32" s="40"/>
      <c r="AV32" s="40"/>
      <c r="AW32" s="40"/>
      <c r="AX32" s="40"/>
      <c r="AY32" s="40"/>
      <c r="AZ32" s="40"/>
      <c r="BA32" s="40"/>
      <c r="BB32" s="40"/>
      <c r="BC32" s="40"/>
      <c r="BD32" s="40"/>
      <c r="BE32" s="40"/>
      <c r="BF32" s="10"/>
      <c r="BG32" s="10"/>
      <c r="BH32" s="10"/>
    </row>
    <row r="33" customFormat="false" ht="24.75" hidden="true" customHeight="true" outlineLevel="0" collapsed="false">
      <c r="A33" s="558"/>
      <c r="B33" s="40"/>
      <c r="C33" s="40"/>
      <c r="D33" s="40"/>
      <c r="E33" s="40"/>
      <c r="F33" s="40"/>
      <c r="G33" s="40"/>
      <c r="H33" s="40"/>
      <c r="I33" s="40"/>
      <c r="J33" s="40"/>
      <c r="K33" s="40"/>
      <c r="L33" s="40"/>
      <c r="M33" s="40"/>
      <c r="N33" s="40"/>
      <c r="O33" s="40"/>
      <c r="P33" s="40"/>
      <c r="Q33" s="40"/>
      <c r="R33" s="40"/>
      <c r="S33" s="40"/>
      <c r="T33" s="40"/>
      <c r="U33" s="40"/>
      <c r="V33" s="40"/>
      <c r="W33" s="40"/>
      <c r="X33" s="40"/>
      <c r="Y33" s="40"/>
      <c r="Z33" s="40"/>
      <c r="AA33" s="40"/>
      <c r="AB33" s="40"/>
      <c r="AC33" s="40"/>
      <c r="AD33" s="40"/>
      <c r="AE33" s="40"/>
      <c r="AF33" s="40"/>
      <c r="AG33" s="40"/>
      <c r="AH33" s="40"/>
      <c r="AI33" s="40"/>
      <c r="AJ33" s="40"/>
      <c r="AK33" s="40"/>
      <c r="AL33" s="40"/>
      <c r="AM33" s="40"/>
      <c r="AN33" s="40"/>
      <c r="AO33" s="40"/>
      <c r="AP33" s="40"/>
      <c r="AQ33" s="40"/>
      <c r="AR33" s="40"/>
      <c r="AS33" s="40"/>
      <c r="AT33" s="40"/>
      <c r="AU33" s="40"/>
      <c r="AV33" s="40"/>
      <c r="AW33" s="40"/>
      <c r="AX33" s="40"/>
      <c r="AY33" s="40"/>
      <c r="AZ33" s="40"/>
      <c r="BA33" s="40"/>
      <c r="BB33" s="40"/>
      <c r="BC33" s="40"/>
      <c r="BD33" s="40"/>
      <c r="BE33" s="40"/>
      <c r="BF33" s="10"/>
      <c r="BG33" s="10"/>
      <c r="BH33" s="10"/>
    </row>
    <row r="34" customFormat="false" ht="22.5" hidden="true" customHeight="true" outlineLevel="0" collapsed="false">
      <c r="A34" s="40"/>
      <c r="B34" s="40"/>
      <c r="C34" s="40"/>
      <c r="D34" s="40"/>
      <c r="E34" s="40"/>
      <c r="F34" s="40"/>
      <c r="G34" s="40"/>
      <c r="H34" s="40"/>
      <c r="I34" s="40"/>
      <c r="J34" s="40"/>
      <c r="K34" s="40"/>
      <c r="L34" s="40"/>
      <c r="M34" s="40"/>
      <c r="N34" s="40"/>
      <c r="O34" s="40"/>
      <c r="P34" s="40"/>
      <c r="Q34" s="40"/>
      <c r="R34" s="40"/>
      <c r="S34" s="40"/>
      <c r="T34" s="40"/>
      <c r="U34" s="40"/>
      <c r="V34" s="40"/>
      <c r="W34" s="40"/>
      <c r="X34" s="40"/>
      <c r="Y34" s="40"/>
      <c r="Z34" s="40"/>
      <c r="AA34" s="40"/>
      <c r="AB34" s="40"/>
      <c r="AC34" s="40"/>
      <c r="AD34" s="40"/>
      <c r="AE34" s="40"/>
      <c r="AF34" s="40"/>
      <c r="AG34" s="40"/>
      <c r="AH34" s="40"/>
      <c r="AI34" s="40"/>
      <c r="AJ34" s="40"/>
      <c r="AK34" s="40"/>
      <c r="AL34" s="40"/>
      <c r="AM34" s="40"/>
      <c r="AN34" s="40"/>
      <c r="AO34" s="40"/>
      <c r="AP34" s="40"/>
      <c r="AQ34" s="40"/>
      <c r="AR34" s="40"/>
      <c r="AS34" s="40"/>
      <c r="AT34" s="40"/>
      <c r="AU34" s="40"/>
      <c r="AV34" s="40"/>
      <c r="AW34" s="40"/>
      <c r="AX34" s="40"/>
      <c r="AY34" s="40"/>
      <c r="AZ34" s="40"/>
      <c r="BA34" s="40"/>
      <c r="BB34" s="40"/>
      <c r="BC34" s="40"/>
      <c r="BD34" s="40"/>
      <c r="BE34" s="40"/>
      <c r="BF34" s="10"/>
      <c r="BG34" s="10"/>
      <c r="BH34" s="10"/>
    </row>
    <row r="35" customFormat="false" ht="19.5" hidden="true" customHeight="true" outlineLevel="0" collapsed="false">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row>
    <row r="36" customFormat="false" ht="17.25" hidden="false" customHeight="true" outlineLevel="0" collapsed="false">
      <c r="A36" s="559" t="s">
        <v>1331</v>
      </c>
      <c r="B36" s="560"/>
      <c r="C36" s="560"/>
      <c r="D36" s="560"/>
      <c r="E36" s="560"/>
      <c r="F36" s="560"/>
      <c r="G36" s="560"/>
      <c r="H36" s="560"/>
      <c r="I36" s="10"/>
      <c r="J36" s="10"/>
      <c r="K36" s="10"/>
      <c r="L36" s="10"/>
      <c r="M36" s="10"/>
      <c r="N36" s="10"/>
      <c r="O36" s="10"/>
      <c r="P36" s="10"/>
      <c r="Q36" s="10"/>
      <c r="R36" s="10"/>
      <c r="S36" s="10"/>
      <c r="T36" s="10"/>
      <c r="U36" s="10"/>
      <c r="V36" s="10"/>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row>
    <row r="37" customFormat="false" ht="17.25" hidden="false" customHeight="true" outlineLevel="0" collapsed="false">
      <c r="A37" s="560"/>
      <c r="B37" s="560"/>
      <c r="C37" s="560"/>
      <c r="D37" s="560"/>
      <c r="E37" s="560"/>
      <c r="F37" s="560"/>
      <c r="G37" s="560"/>
      <c r="H37" s="560"/>
      <c r="I37" s="10"/>
      <c r="J37" s="10"/>
      <c r="K37" s="10"/>
      <c r="L37" s="10"/>
      <c r="M37" s="10"/>
      <c r="N37" s="10"/>
      <c r="O37" s="10"/>
      <c r="P37" s="10"/>
      <c r="Q37" s="10"/>
      <c r="R37" s="10"/>
      <c r="S37" s="10"/>
      <c r="T37" s="10"/>
      <c r="U37" s="10"/>
      <c r="V37" s="10"/>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row>
    <row r="38" customFormat="false" ht="17.25" hidden="false" customHeight="true" outlineLevel="0" collapsed="false">
      <c r="A38" s="560"/>
      <c r="B38" s="561" t="s">
        <v>1332</v>
      </c>
      <c r="C38" s="560"/>
      <c r="D38" s="560"/>
      <c r="E38" s="560"/>
      <c r="F38" s="560"/>
      <c r="G38" s="560"/>
      <c r="H38" s="560"/>
      <c r="I38" s="10"/>
      <c r="J38" s="10"/>
      <c r="K38" s="10"/>
      <c r="L38" s="10"/>
      <c r="M38" s="10"/>
      <c r="N38" s="10"/>
      <c r="O38" s="10"/>
      <c r="P38" s="10"/>
      <c r="Q38" s="10"/>
      <c r="R38" s="10"/>
      <c r="S38" s="10"/>
      <c r="T38" s="10"/>
      <c r="U38" s="10"/>
      <c r="V38" s="10"/>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row>
    <row r="39" customFormat="false" ht="17.25" hidden="false" customHeight="true" outlineLevel="0" collapsed="false">
      <c r="A39" s="560"/>
      <c r="B39" s="561" t="s">
        <v>1333</v>
      </c>
      <c r="C39" s="560"/>
      <c r="D39" s="560"/>
      <c r="E39" s="560"/>
      <c r="F39" s="560"/>
      <c r="G39" s="560"/>
      <c r="H39" s="56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row>
    <row r="40" customFormat="false" ht="17.25" hidden="false" customHeight="true" outlineLevel="0" collapsed="false">
      <c r="A40" s="560"/>
      <c r="B40" s="561" t="s">
        <v>1334</v>
      </c>
      <c r="C40" s="560"/>
      <c r="D40" s="560"/>
      <c r="E40" s="560"/>
      <c r="F40" s="560"/>
      <c r="G40" s="10"/>
      <c r="H40" s="560"/>
      <c r="I40" s="10"/>
      <c r="J40" s="10"/>
      <c r="K40" s="10"/>
      <c r="L40" s="10"/>
      <c r="M40" s="10"/>
      <c r="N40" s="10"/>
      <c r="O40" s="10"/>
      <c r="P40" s="10"/>
      <c r="Q40" s="10"/>
      <c r="R40" s="10"/>
      <c r="S40" s="10"/>
      <c r="T40" s="10"/>
      <c r="U40" s="10"/>
      <c r="V40" s="10"/>
      <c r="W40" s="10"/>
      <c r="X40" s="10"/>
      <c r="Y40" s="10"/>
      <c r="Z40" s="10"/>
      <c r="AA40" s="10"/>
      <c r="AB40" s="561" t="s">
        <v>1087</v>
      </c>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row>
    <row r="41" customFormat="false" ht="17.25" hidden="false" customHeight="true" outlineLevel="0" collapsed="false">
      <c r="A41" s="560"/>
      <c r="B41" s="560"/>
      <c r="C41" s="561" t="s">
        <v>1335</v>
      </c>
      <c r="D41" s="560"/>
      <c r="E41" s="560"/>
      <c r="F41" s="560"/>
      <c r="G41" s="10"/>
      <c r="H41" s="560"/>
      <c r="I41" s="10"/>
      <c r="J41" s="10"/>
      <c r="K41" s="10"/>
      <c r="L41" s="10"/>
      <c r="M41" s="10"/>
      <c r="N41" s="10"/>
      <c r="O41" s="10"/>
      <c r="P41" s="10"/>
      <c r="Q41" s="10"/>
      <c r="R41" s="10"/>
      <c r="S41" s="10"/>
      <c r="T41" s="10"/>
      <c r="U41" s="10"/>
      <c r="V41" s="10"/>
      <c r="W41" s="10"/>
      <c r="X41" s="10"/>
      <c r="Y41" s="10"/>
      <c r="Z41" s="10"/>
      <c r="AA41" s="10"/>
      <c r="AB41" s="561" t="s">
        <v>1087</v>
      </c>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row>
    <row r="42" customFormat="false" ht="17.25" hidden="false" customHeight="true" outlineLevel="0" collapsed="false">
      <c r="A42" s="560"/>
      <c r="B42" s="560"/>
      <c r="C42" s="561" t="s">
        <v>1335</v>
      </c>
      <c r="D42" s="560"/>
      <c r="E42" s="560"/>
      <c r="F42" s="560"/>
      <c r="G42" s="10"/>
      <c r="H42" s="560"/>
      <c r="I42" s="10"/>
      <c r="J42" s="10"/>
      <c r="K42" s="10"/>
      <c r="L42" s="10"/>
      <c r="M42" s="10"/>
      <c r="N42" s="10"/>
      <c r="O42" s="10"/>
      <c r="P42" s="10"/>
      <c r="Q42" s="10"/>
      <c r="R42" s="10"/>
      <c r="S42" s="10"/>
      <c r="T42" s="10"/>
      <c r="U42" s="10"/>
      <c r="V42" s="10"/>
      <c r="W42" s="10"/>
      <c r="X42" s="10"/>
      <c r="Y42" s="10"/>
      <c r="Z42" s="10"/>
      <c r="AA42" s="10"/>
      <c r="AB42" s="561" t="s">
        <v>1087</v>
      </c>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row>
    <row r="43" customFormat="false" ht="17.25" hidden="false" customHeight="true" outlineLevel="0" collapsed="false">
      <c r="A43" s="560"/>
      <c r="B43" s="561" t="s">
        <v>1336</v>
      </c>
      <c r="C43" s="560"/>
      <c r="D43" s="560"/>
      <c r="E43" s="560"/>
      <c r="F43" s="560"/>
      <c r="G43" s="560"/>
      <c r="H43" s="56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row>
    <row r="44" customFormat="false" ht="17.25" hidden="false" customHeight="true" outlineLevel="0" collapsed="false">
      <c r="A44" s="560"/>
      <c r="B44" s="561" t="s">
        <v>1337</v>
      </c>
      <c r="C44" s="560"/>
      <c r="D44" s="560"/>
      <c r="E44" s="560"/>
      <c r="F44" s="560"/>
      <c r="G44" s="560"/>
      <c r="H44" s="56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row>
    <row r="45" customFormat="false" ht="17.25" hidden="false" customHeight="true" outlineLevel="0" collapsed="false">
      <c r="A45" s="560"/>
      <c r="B45" s="561" t="s">
        <v>1338</v>
      </c>
      <c r="C45" s="560"/>
      <c r="D45" s="560"/>
      <c r="E45" s="560"/>
      <c r="F45" s="560"/>
      <c r="G45" s="560"/>
      <c r="H45" s="56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row>
    <row r="46" customFormat="false" ht="17.25" hidden="false" customHeight="true" outlineLevel="0" collapsed="false">
      <c r="A46" s="560"/>
      <c r="B46" s="560"/>
      <c r="C46" s="560"/>
      <c r="D46" s="560"/>
      <c r="E46" s="560"/>
      <c r="F46" s="560"/>
      <c r="G46" s="560"/>
      <c r="H46" s="56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row>
    <row r="47" customFormat="false" ht="17.25" hidden="false" customHeight="true" outlineLevel="0" collapsed="false">
      <c r="A47" s="560"/>
      <c r="B47" s="562" t="s">
        <v>1339</v>
      </c>
      <c r="C47" s="563"/>
      <c r="D47" s="563"/>
      <c r="E47" s="563"/>
      <c r="F47" s="563"/>
      <c r="G47" s="563"/>
      <c r="H47" s="563"/>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row>
    <row r="48" customFormat="false" ht="17.25" hidden="false" customHeight="true" outlineLevel="0" collapsed="false">
      <c r="A48" s="560"/>
      <c r="B48" s="562" t="s">
        <v>1340</v>
      </c>
      <c r="C48" s="563"/>
      <c r="D48" s="563"/>
      <c r="E48" s="563"/>
      <c r="F48" s="563"/>
      <c r="G48" s="563"/>
      <c r="H48" s="563"/>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row>
    <row r="49" customFormat="false" ht="17.25" hidden="false" customHeight="true" outlineLevel="0" collapsed="false">
      <c r="A49" s="560"/>
      <c r="B49" s="562" t="s">
        <v>1341</v>
      </c>
      <c r="C49" s="563"/>
      <c r="D49" s="563"/>
      <c r="E49" s="563"/>
      <c r="F49" s="560"/>
      <c r="G49" s="560"/>
      <c r="H49" s="56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row>
    <row r="50" customFormat="false" ht="17.25" hidden="false" customHeight="true" outlineLevel="0" collapsed="false">
      <c r="A50" s="560"/>
      <c r="B50" s="560"/>
      <c r="C50" s="560"/>
      <c r="D50" s="560"/>
      <c r="E50" s="560"/>
      <c r="F50" s="560"/>
      <c r="G50" s="560"/>
      <c r="H50" s="56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row>
    <row r="51" customFormat="false" ht="17.25" hidden="false" customHeight="true" outlineLevel="0" collapsed="false">
      <c r="A51" s="560"/>
      <c r="B51" s="560"/>
      <c r="C51" s="560"/>
      <c r="D51" s="560"/>
      <c r="E51" s="560"/>
      <c r="F51" s="560"/>
      <c r="G51" s="560"/>
      <c r="H51" s="56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row>
    <row r="52" customFormat="false" ht="17.25" hidden="false" customHeight="true" outlineLevel="0" collapsed="false">
      <c r="A52" s="559" t="s">
        <v>1342</v>
      </c>
      <c r="B52" s="560"/>
      <c r="C52" s="560"/>
      <c r="D52" s="560"/>
      <c r="E52" s="560"/>
      <c r="F52" s="560"/>
      <c r="G52" s="560"/>
      <c r="H52" s="56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row>
    <row r="53" customFormat="false" ht="17.25" hidden="false" customHeight="true" outlineLevel="0" collapsed="false">
      <c r="A53" s="560"/>
      <c r="B53" s="560"/>
      <c r="C53" s="560"/>
      <c r="D53" s="560"/>
      <c r="E53" s="560"/>
      <c r="F53" s="560"/>
      <c r="G53" s="560"/>
      <c r="H53" s="56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row>
    <row r="54" customFormat="false" ht="17.25" hidden="false" customHeight="true" outlineLevel="0" collapsed="false">
      <c r="A54" s="560"/>
      <c r="B54" s="562" t="s">
        <v>1343</v>
      </c>
      <c r="C54" s="563"/>
      <c r="D54" s="563"/>
      <c r="E54" s="563"/>
      <c r="F54" s="563"/>
      <c r="G54" s="563"/>
      <c r="H54" s="563"/>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row>
    <row r="55" customFormat="false" ht="17.25" hidden="false" customHeight="true" outlineLevel="0" collapsed="false">
      <c r="A55" s="560"/>
      <c r="B55" s="562" t="s">
        <v>1344</v>
      </c>
      <c r="C55" s="563"/>
      <c r="D55" s="563"/>
      <c r="E55" s="563"/>
      <c r="F55" s="563"/>
      <c r="G55" s="563"/>
      <c r="H55" s="563"/>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row>
    <row r="56" customFormat="false" ht="17.25" hidden="false" customHeight="true" outlineLevel="0" collapsed="false">
      <c r="A56" s="560"/>
      <c r="B56" s="562" t="s">
        <v>1345</v>
      </c>
      <c r="C56" s="563"/>
      <c r="D56" s="563"/>
      <c r="E56" s="563"/>
      <c r="F56" s="560"/>
      <c r="G56" s="560"/>
      <c r="H56" s="56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row>
    <row r="57" customFormat="false" ht="17.25" hidden="false" customHeight="true" outlineLevel="0" collapsed="false">
      <c r="A57" s="560"/>
      <c r="B57" s="560"/>
      <c r="C57" s="560"/>
      <c r="D57" s="560"/>
      <c r="E57" s="560"/>
      <c r="F57" s="560"/>
      <c r="G57" s="560"/>
      <c r="H57" s="56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row>
    <row r="58" customFormat="false" ht="17.25" hidden="false" customHeight="true" outlineLevel="0" collapsed="false">
      <c r="A58" s="560"/>
      <c r="B58" s="562" t="s">
        <v>1343</v>
      </c>
      <c r="C58" s="563"/>
      <c r="D58" s="563"/>
      <c r="E58" s="563"/>
      <c r="F58" s="563"/>
      <c r="G58" s="563"/>
      <c r="H58" s="563"/>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row>
    <row r="59" customFormat="false" ht="17.25" hidden="false" customHeight="true" outlineLevel="0" collapsed="false">
      <c r="A59" s="560"/>
      <c r="B59" s="562" t="s">
        <v>1346</v>
      </c>
      <c r="C59" s="563"/>
      <c r="D59" s="563"/>
      <c r="E59" s="563"/>
      <c r="F59" s="563"/>
      <c r="G59" s="563"/>
      <c r="H59" s="563"/>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row>
    <row r="60" customFormat="false" ht="17.25" hidden="false" customHeight="true" outlineLevel="0" collapsed="false">
      <c r="A60" s="560"/>
      <c r="B60" s="562" t="s">
        <v>1347</v>
      </c>
      <c r="C60" s="560"/>
      <c r="D60" s="560"/>
      <c r="E60" s="560"/>
      <c r="F60" s="560"/>
      <c r="G60" s="560"/>
      <c r="H60" s="56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row>
    <row r="61" customFormat="false" ht="24.75" hidden="false" customHeight="true" outlineLevel="0" collapsed="false">
      <c r="A61" s="560"/>
      <c r="B61" s="560"/>
      <c r="C61" s="560"/>
      <c r="D61" s="560"/>
      <c r="E61" s="560"/>
      <c r="F61" s="560"/>
      <c r="G61" s="560"/>
      <c r="H61" s="56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row>
  </sheetData>
  <sheetProtection sheet="true" formatCells="false" formatColumns="false" formatRows="false" sort="false" autoFilter="false"/>
  <mergeCells count="143">
    <mergeCell ref="A1:L1"/>
    <mergeCell ref="AR2:BE2"/>
    <mergeCell ref="A3:L3"/>
    <mergeCell ref="M3:U4"/>
    <mergeCell ref="V3:AD4"/>
    <mergeCell ref="AE3:AM4"/>
    <mergeCell ref="AN3:BE3"/>
    <mergeCell ref="A4:L4"/>
    <mergeCell ref="AN4:AV4"/>
    <mergeCell ref="AW4:BE4"/>
    <mergeCell ref="B5:K5"/>
    <mergeCell ref="M5:T5"/>
    <mergeCell ref="V5:AC5"/>
    <mergeCell ref="AE5:AL5"/>
    <mergeCell ref="AN5:AU5"/>
    <mergeCell ref="AW5:BD5"/>
    <mergeCell ref="B6:K6"/>
    <mergeCell ref="M6:T6"/>
    <mergeCell ref="V6:AC6"/>
    <mergeCell ref="AE6:AL6"/>
    <mergeCell ref="AN6:AU6"/>
    <mergeCell ref="AW6:BD6"/>
    <mergeCell ref="B7:K7"/>
    <mergeCell ref="M7:T7"/>
    <mergeCell ref="V7:AC7"/>
    <mergeCell ref="AE7:AL7"/>
    <mergeCell ref="AN7:AU7"/>
    <mergeCell ref="AW7:BD7"/>
    <mergeCell ref="B8:K8"/>
    <mergeCell ref="M8:T8"/>
    <mergeCell ref="V8:AC8"/>
    <mergeCell ref="AE8:AL8"/>
    <mergeCell ref="AN8:AU8"/>
    <mergeCell ref="AW8:BD8"/>
    <mergeCell ref="B9:K9"/>
    <mergeCell ref="M9:T9"/>
    <mergeCell ref="V9:AC9"/>
    <mergeCell ref="AE9:AL9"/>
    <mergeCell ref="AN9:AU9"/>
    <mergeCell ref="AW9:BD9"/>
    <mergeCell ref="B10:K10"/>
    <mergeCell ref="M10:T10"/>
    <mergeCell ref="V10:AC10"/>
    <mergeCell ref="AE10:AL10"/>
    <mergeCell ref="AN10:AU10"/>
    <mergeCell ref="AW10:BD10"/>
    <mergeCell ref="B11:K11"/>
    <mergeCell ref="M11:T11"/>
    <mergeCell ref="V11:AC11"/>
    <mergeCell ref="AE11:AL11"/>
    <mergeCell ref="AN11:AU11"/>
    <mergeCell ref="AW11:BD11"/>
    <mergeCell ref="B12:K12"/>
    <mergeCell ref="M12:T12"/>
    <mergeCell ref="V12:AC12"/>
    <mergeCell ref="AE12:AL12"/>
    <mergeCell ref="AN12:AU12"/>
    <mergeCell ref="AW12:BD12"/>
    <mergeCell ref="B13:K13"/>
    <mergeCell ref="M13:T13"/>
    <mergeCell ref="V13:AC13"/>
    <mergeCell ref="AE13:AL13"/>
    <mergeCell ref="AN13:AU13"/>
    <mergeCell ref="AW13:BD13"/>
    <mergeCell ref="B14:K14"/>
    <mergeCell ref="M14:T14"/>
    <mergeCell ref="V14:AC14"/>
    <mergeCell ref="AE14:AL14"/>
    <mergeCell ref="AN14:AU14"/>
    <mergeCell ref="AW14:BD14"/>
    <mergeCell ref="B15:K15"/>
    <mergeCell ref="M15:T15"/>
    <mergeCell ref="V15:AC15"/>
    <mergeCell ref="AE15:AL15"/>
    <mergeCell ref="AN15:AU15"/>
    <mergeCell ref="AW15:BD15"/>
    <mergeCell ref="B16:K16"/>
    <mergeCell ref="M16:T16"/>
    <mergeCell ref="V16:AC16"/>
    <mergeCell ref="AE16:AL16"/>
    <mergeCell ref="AN16:AU16"/>
    <mergeCell ref="AW16:BD16"/>
    <mergeCell ref="B17:K17"/>
    <mergeCell ref="M17:T17"/>
    <mergeCell ref="V17:AC17"/>
    <mergeCell ref="AE17:AL17"/>
    <mergeCell ref="AN17:AU17"/>
    <mergeCell ref="AW17:BD17"/>
    <mergeCell ref="B18:K18"/>
    <mergeCell ref="M18:T18"/>
    <mergeCell ref="V18:AC18"/>
    <mergeCell ref="AE18:AL18"/>
    <mergeCell ref="AN18:AU18"/>
    <mergeCell ref="AW18:BD18"/>
    <mergeCell ref="B19:K19"/>
    <mergeCell ref="M19:T19"/>
    <mergeCell ref="V19:AC19"/>
    <mergeCell ref="AE19:AL19"/>
    <mergeCell ref="AN19:AU19"/>
    <mergeCell ref="AW19:BD19"/>
    <mergeCell ref="B20:K20"/>
    <mergeCell ref="M20:T20"/>
    <mergeCell ref="V20:AC20"/>
    <mergeCell ref="AE20:AL20"/>
    <mergeCell ref="AN20:AU20"/>
    <mergeCell ref="AW20:BD20"/>
    <mergeCell ref="B21:K21"/>
    <mergeCell ref="M21:T21"/>
    <mergeCell ref="V21:AC21"/>
    <mergeCell ref="AE21:AL21"/>
    <mergeCell ref="AN21:AU21"/>
    <mergeCell ref="AW21:BD21"/>
    <mergeCell ref="B22:K22"/>
    <mergeCell ref="M22:T22"/>
    <mergeCell ref="V22:AC22"/>
    <mergeCell ref="AE22:AL22"/>
    <mergeCell ref="AN22:AU22"/>
    <mergeCell ref="AW22:BD22"/>
    <mergeCell ref="B23:K23"/>
    <mergeCell ref="M23:T23"/>
    <mergeCell ref="V23:AC23"/>
    <mergeCell ref="AE23:AL23"/>
    <mergeCell ref="AN23:AU23"/>
    <mergeCell ref="AW23:BD23"/>
    <mergeCell ref="B24:K24"/>
    <mergeCell ref="M24:T24"/>
    <mergeCell ref="V24:AC24"/>
    <mergeCell ref="AE24:AL24"/>
    <mergeCell ref="AN24:AU24"/>
    <mergeCell ref="AW24:BD24"/>
    <mergeCell ref="B25:K25"/>
    <mergeCell ref="M25:T25"/>
    <mergeCell ref="V25:AC25"/>
    <mergeCell ref="AE25:AL25"/>
    <mergeCell ref="AN25:AU25"/>
    <mergeCell ref="AW25:BD25"/>
    <mergeCell ref="B26:K26"/>
    <mergeCell ref="M26:T26"/>
    <mergeCell ref="V26:AC26"/>
    <mergeCell ref="AE26:AL26"/>
    <mergeCell ref="AN26:AU26"/>
    <mergeCell ref="AW26:BD26"/>
    <mergeCell ref="A28:BE28"/>
  </mergeCells>
  <printOptions headings="false" gridLines="false" gridLinesSet="true" horizontalCentered="true" verticalCentered="false"/>
  <pageMargins left="0.472222222222222" right="0.315277777777778" top="0.7875" bottom="0.590277777777778" header="0.511811023622047" footer="0.39375"/>
  <pageSetup paperSize="9" scale="95" fitToWidth="1" fitToHeight="1" pageOrder="downThenOver" orientation="portrait" blackAndWhite="false" draft="false" cellComments="none" horizontalDpi="300" verticalDpi="300" copies="1"/>
  <headerFooter differentFirst="false" differentOddEven="false">
    <oddHeader/>
    <oddFooter>&amp;C&amp;"ＭＳ 明朝,Regular"&amp;12 － &amp;P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5" zeroHeight="false" outlineLevelRow="0" outlineLevelCol="0"/>
  <cols>
    <col collapsed="false" customWidth="true" hidden="false" outlineLevel="0" max="1" min="1" style="0" width="2.57"/>
    <col collapsed="false" customWidth="true" hidden="false" outlineLevel="0" max="2" min="2" style="0" width="1.42"/>
    <col collapsed="false" customWidth="true" hidden="false" outlineLevel="0" max="3" min="3" style="0" width="2.28"/>
    <col collapsed="false" customWidth="true" hidden="false" outlineLevel="0" max="4" min="4" style="0" width="20.99"/>
    <col collapsed="false" customWidth="true" hidden="false" outlineLevel="0" max="7" min="5" style="0" width="20.71"/>
    <col collapsed="false" customWidth="true" hidden="true" outlineLevel="0" max="8" min="8" style="0" width="17.7"/>
    <col collapsed="false" customWidth="true" hidden="true" outlineLevel="0" max="9" min="9" style="0" width="17.57"/>
    <col collapsed="false" customWidth="true" hidden="true" outlineLevel="0" max="10" min="10" style="0" width="16.71"/>
    <col collapsed="false" customWidth="true" hidden="false" outlineLevel="0" max="19" min="11" style="0" width="20.71"/>
    <col collapsed="false" customWidth="true" hidden="false" outlineLevel="0" max="257" min="20" style="0" width="17.85"/>
  </cols>
  <sheetData>
    <row r="1" customFormat="false" ht="24" hidden="false" customHeight="true" outlineLevel="0" collapsed="false">
      <c r="A1" s="10"/>
      <c r="B1" s="10"/>
      <c r="C1" s="564" t="str">
        <f aca="false">"令和"&amp;JIS(入力!$B$5)&amp;"年度決算総括表"</f>
        <v>令和７年度決算総括表</v>
      </c>
      <c r="D1" s="564"/>
      <c r="E1" s="564"/>
      <c r="F1" s="564"/>
      <c r="G1" s="564"/>
      <c r="H1" s="564"/>
      <c r="I1" s="564"/>
      <c r="J1" s="564"/>
      <c r="K1" s="564"/>
      <c r="L1" s="564"/>
      <c r="M1" s="564"/>
      <c r="N1" s="564"/>
      <c r="O1" s="564"/>
      <c r="P1" s="564"/>
      <c r="Q1" s="564"/>
      <c r="R1" s="564"/>
      <c r="S1" s="564"/>
      <c r="T1" s="10"/>
      <c r="U1" s="10"/>
      <c r="V1" s="10"/>
      <c r="W1" s="10"/>
      <c r="X1" s="10"/>
    </row>
    <row r="2" customFormat="false" ht="23.25" hidden="false" customHeight="true" outlineLevel="0" collapsed="false">
      <c r="A2" s="10"/>
      <c r="B2" s="10"/>
      <c r="C2" s="565"/>
      <c r="D2" s="565"/>
      <c r="E2" s="565"/>
      <c r="F2" s="565"/>
      <c r="G2" s="565"/>
      <c r="H2" s="565"/>
      <c r="I2" s="565"/>
      <c r="J2" s="565"/>
      <c r="K2" s="565"/>
      <c r="L2" s="565"/>
      <c r="M2" s="10"/>
      <c r="N2" s="565"/>
      <c r="O2" s="565"/>
      <c r="P2" s="565"/>
      <c r="Q2" s="565"/>
      <c r="R2" s="565"/>
      <c r="S2" s="565"/>
      <c r="T2" s="10"/>
      <c r="U2" s="10"/>
      <c r="V2" s="10"/>
      <c r="W2" s="10"/>
      <c r="X2" s="565"/>
    </row>
    <row r="3" customFormat="false" ht="14.25" hidden="false" customHeight="true" outlineLevel="0" collapsed="false">
      <c r="A3" s="10"/>
      <c r="B3" s="10"/>
      <c r="C3" s="565"/>
      <c r="D3" s="565"/>
      <c r="E3" s="565"/>
      <c r="F3" s="565"/>
      <c r="G3" s="565"/>
      <c r="H3" s="565"/>
      <c r="I3" s="565"/>
      <c r="J3" s="565"/>
      <c r="K3" s="565"/>
      <c r="L3" s="565"/>
      <c r="M3" s="565"/>
      <c r="N3" s="565"/>
      <c r="O3" s="565"/>
      <c r="P3" s="565"/>
      <c r="Q3" s="565"/>
      <c r="R3" s="565"/>
      <c r="S3" s="566" t="s">
        <v>1283</v>
      </c>
      <c r="T3" s="10"/>
      <c r="U3" s="10"/>
      <c r="V3" s="10"/>
      <c r="W3" s="10"/>
      <c r="X3" s="10"/>
    </row>
    <row r="4" customFormat="false" ht="18" hidden="false" customHeight="true" outlineLevel="0" collapsed="false">
      <c r="A4" s="567"/>
      <c r="B4" s="568"/>
      <c r="C4" s="569" t="s">
        <v>1348</v>
      </c>
      <c r="D4" s="569"/>
      <c r="E4" s="570" t="s">
        <v>1349</v>
      </c>
      <c r="F4" s="570"/>
      <c r="G4" s="570"/>
      <c r="H4" s="571" t="s">
        <v>1350</v>
      </c>
      <c r="I4" s="571"/>
      <c r="J4" s="571"/>
      <c r="K4" s="571" t="s">
        <v>1107</v>
      </c>
      <c r="L4" s="571"/>
      <c r="M4" s="571"/>
      <c r="N4" s="571" t="s">
        <v>1351</v>
      </c>
      <c r="O4" s="571"/>
      <c r="P4" s="571"/>
      <c r="Q4" s="572" t="s">
        <v>1352</v>
      </c>
      <c r="R4" s="572"/>
      <c r="S4" s="572"/>
      <c r="T4" s="10"/>
      <c r="U4" s="10"/>
      <c r="V4" s="10"/>
      <c r="W4" s="10"/>
      <c r="X4" s="10"/>
    </row>
    <row r="5" customFormat="false" ht="16.5" hidden="false" customHeight="true" outlineLevel="0" collapsed="false">
      <c r="A5" s="567"/>
      <c r="B5" s="568"/>
      <c r="C5" s="569"/>
      <c r="D5" s="569"/>
      <c r="E5" s="573" t="str">
        <f aca="false">JIS(入力!$B$5)&amp;"年度"</f>
        <v>７年度</v>
      </c>
      <c r="F5" s="574" t="str">
        <f aca="false">JIS(入力!$B$5-1)&amp;"年度"</f>
        <v>６年度</v>
      </c>
      <c r="G5" s="575" t="s">
        <v>1353</v>
      </c>
      <c r="H5" s="576" t="str">
        <f aca="false">E5</f>
        <v>７年度</v>
      </c>
      <c r="I5" s="577" t="str">
        <f aca="false">F5</f>
        <v>６年度</v>
      </c>
      <c r="J5" s="575" t="s">
        <v>1353</v>
      </c>
      <c r="K5" s="576" t="str">
        <f aca="false">E5</f>
        <v>７年度</v>
      </c>
      <c r="L5" s="578" t="str">
        <f aca="false">F5</f>
        <v>６年度</v>
      </c>
      <c r="M5" s="575" t="s">
        <v>1353</v>
      </c>
      <c r="N5" s="576" t="str">
        <f aca="false">E5</f>
        <v>７年度</v>
      </c>
      <c r="O5" s="577" t="str">
        <f aca="false">F5</f>
        <v>６年度</v>
      </c>
      <c r="P5" s="575" t="s">
        <v>1353</v>
      </c>
      <c r="Q5" s="576" t="str">
        <f aca="false">E5</f>
        <v>７年度</v>
      </c>
      <c r="R5" s="577" t="str">
        <f aca="false">F5</f>
        <v>６年度</v>
      </c>
      <c r="S5" s="579" t="s">
        <v>1353</v>
      </c>
      <c r="T5" s="10"/>
      <c r="U5" s="10"/>
      <c r="V5" s="10"/>
      <c r="W5" s="10"/>
      <c r="X5" s="10"/>
    </row>
    <row r="6" customFormat="false" ht="19.5" hidden="false" customHeight="true" outlineLevel="0" collapsed="false">
      <c r="A6" s="567"/>
      <c r="B6" s="568"/>
      <c r="C6" s="580" t="s">
        <v>1354</v>
      </c>
      <c r="D6" s="580"/>
      <c r="E6" s="581" t="n">
        <f aca="false">F51</f>
        <v>2237365593</v>
      </c>
      <c r="F6" s="582" t="n">
        <v>1413185083</v>
      </c>
      <c r="G6" s="583" t="n">
        <f aca="false">E6-F6</f>
        <v>824180510</v>
      </c>
      <c r="H6" s="581" t="n">
        <f aca="false">I51</f>
        <v>115269691198</v>
      </c>
      <c r="I6" s="584" t="n">
        <v>114599779620</v>
      </c>
      <c r="J6" s="583" t="n">
        <f aca="false">H6-I6</f>
        <v>669911578</v>
      </c>
      <c r="K6" s="585" t="n">
        <f aca="false">L51</f>
        <v>71093911</v>
      </c>
      <c r="L6" s="586" t="n">
        <v>66593123</v>
      </c>
      <c r="M6" s="583" t="n">
        <f aca="false">K6-L6</f>
        <v>4500788</v>
      </c>
      <c r="N6" s="587" t="n">
        <f aca="false">O51</f>
        <v>270947604</v>
      </c>
      <c r="O6" s="588" t="n">
        <v>276235825</v>
      </c>
      <c r="P6" s="583" t="n">
        <f aca="false">N6-O6</f>
        <v>-5288221</v>
      </c>
      <c r="Q6" s="585" t="n">
        <f aca="false">R51</f>
        <v>1961052168</v>
      </c>
      <c r="R6" s="589" t="n">
        <v>1966406293</v>
      </c>
      <c r="S6" s="590" t="n">
        <f aca="false">Q6-R6</f>
        <v>-5354125</v>
      </c>
      <c r="T6" s="10"/>
      <c r="U6" s="10"/>
      <c r="V6" s="10"/>
      <c r="W6" s="10"/>
      <c r="X6" s="10"/>
    </row>
    <row r="7" customFormat="false" ht="19.5" hidden="false" customHeight="true" outlineLevel="0" collapsed="false">
      <c r="A7" s="567"/>
      <c r="B7" s="568"/>
      <c r="C7" s="591" t="s">
        <v>1355</v>
      </c>
      <c r="D7" s="592" t="s">
        <v>89</v>
      </c>
      <c r="E7" s="593"/>
      <c r="F7" s="594" t="n">
        <v>5910008304</v>
      </c>
      <c r="G7" s="595" t="n">
        <f aca="false">E7-F7</f>
        <v>-5910008304</v>
      </c>
      <c r="H7" s="596" t="n">
        <v>5874630086</v>
      </c>
      <c r="I7" s="597" t="n">
        <v>10209423196</v>
      </c>
      <c r="J7" s="595" t="n">
        <f aca="false">H7-I7</f>
        <v>-4334793110</v>
      </c>
      <c r="K7" s="598" t="n">
        <f aca="false">決算精算表!G39</f>
        <v>89655843</v>
      </c>
      <c r="L7" s="599" t="n">
        <v>82167559</v>
      </c>
      <c r="M7" s="595" t="n">
        <f aca="false">K7-L7</f>
        <v>7488284</v>
      </c>
      <c r="N7" s="600"/>
      <c r="O7" s="600" t="n">
        <v>393344415</v>
      </c>
      <c r="P7" s="601" t="n">
        <f aca="false">N7-O7</f>
        <v>-393344415</v>
      </c>
      <c r="Q7" s="602"/>
      <c r="R7" s="599"/>
      <c r="S7" s="603" t="n">
        <f aca="false">Q7-R7</f>
        <v>0</v>
      </c>
      <c r="T7" s="10"/>
      <c r="U7" s="10"/>
      <c r="V7" s="10"/>
      <c r="W7" s="10"/>
      <c r="X7" s="10"/>
    </row>
    <row r="8" customFormat="false" ht="19.5" hidden="false" customHeight="true" outlineLevel="0" collapsed="false">
      <c r="A8" s="567"/>
      <c r="B8" s="568"/>
      <c r="C8" s="591"/>
      <c r="D8" s="604" t="s">
        <v>1356</v>
      </c>
      <c r="E8" s="605"/>
      <c r="F8" s="606" t="n">
        <v>5945270515</v>
      </c>
      <c r="G8" s="607" t="n">
        <f aca="false">E8-F8</f>
        <v>-5945270515</v>
      </c>
      <c r="H8" s="608" t="n">
        <v>2964516955</v>
      </c>
      <c r="I8" s="609" t="n">
        <v>6009799333</v>
      </c>
      <c r="J8" s="607" t="n">
        <f aca="false">H8-I8</f>
        <v>-3045282378</v>
      </c>
      <c r="K8" s="610"/>
      <c r="L8" s="611"/>
      <c r="M8" s="607" t="n">
        <f aca="false">K8-L8</f>
        <v>0</v>
      </c>
      <c r="N8" s="606"/>
      <c r="O8" s="606" t="n">
        <v>215569947</v>
      </c>
      <c r="P8" s="612" t="n">
        <f aca="false">N8-O8</f>
        <v>-215569947</v>
      </c>
      <c r="Q8" s="608"/>
      <c r="R8" s="611"/>
      <c r="S8" s="613" t="n">
        <f aca="false">Q8-R8</f>
        <v>0</v>
      </c>
      <c r="T8" s="10"/>
      <c r="U8" s="10"/>
      <c r="V8" s="10"/>
      <c r="W8" s="10"/>
      <c r="X8" s="10"/>
    </row>
    <row r="9" customFormat="false" ht="19.5" hidden="false" customHeight="true" outlineLevel="0" collapsed="false">
      <c r="A9" s="567"/>
      <c r="B9" s="568"/>
      <c r="C9" s="591"/>
      <c r="D9" s="604" t="s">
        <v>1101</v>
      </c>
      <c r="E9" s="605"/>
      <c r="F9" s="606" t="n">
        <v>0</v>
      </c>
      <c r="G9" s="607" t="n">
        <f aca="false">E9-F9</f>
        <v>0</v>
      </c>
      <c r="H9" s="608" t="n">
        <v>1204704253</v>
      </c>
      <c r="I9" s="609" t="n">
        <v>2333415822</v>
      </c>
      <c r="J9" s="607" t="n">
        <f aca="false">H9-I9</f>
        <v>-1128711569</v>
      </c>
      <c r="K9" s="614" t="n">
        <f aca="false">決算精算表!G43</f>
        <v>0</v>
      </c>
      <c r="L9" s="611"/>
      <c r="M9" s="607" t="n">
        <f aca="false">K9-L9</f>
        <v>0</v>
      </c>
      <c r="N9" s="606"/>
      <c r="O9" s="606" t="n">
        <v>0</v>
      </c>
      <c r="P9" s="607" t="n">
        <f aca="false">N9-O9</f>
        <v>0</v>
      </c>
      <c r="Q9" s="608"/>
      <c r="R9" s="611"/>
      <c r="S9" s="613" t="n">
        <f aca="false">Q9-R9</f>
        <v>0</v>
      </c>
      <c r="T9" s="10"/>
      <c r="U9" s="10"/>
      <c r="V9" s="10"/>
      <c r="W9" s="10"/>
      <c r="X9" s="10"/>
    </row>
    <row r="10" customFormat="false" ht="19.5" hidden="false" customHeight="true" outlineLevel="0" collapsed="false">
      <c r="A10" s="567"/>
      <c r="B10" s="568"/>
      <c r="C10" s="591"/>
      <c r="D10" s="604" t="s">
        <v>1357</v>
      </c>
      <c r="E10" s="605"/>
      <c r="F10" s="606"/>
      <c r="G10" s="607" t="n">
        <f aca="false">E10-F10</f>
        <v>0</v>
      </c>
      <c r="H10" s="608" t="n">
        <v>3820000</v>
      </c>
      <c r="I10" s="609" t="n">
        <v>14466000</v>
      </c>
      <c r="J10" s="607" t="n">
        <f aca="false">H10-I10</f>
        <v>-10646000</v>
      </c>
      <c r="K10" s="610"/>
      <c r="L10" s="611"/>
      <c r="M10" s="607" t="n">
        <f aca="false">K10-L10</f>
        <v>0</v>
      </c>
      <c r="N10" s="606"/>
      <c r="O10" s="606"/>
      <c r="P10" s="607" t="n">
        <f aca="false">N10-O10</f>
        <v>0</v>
      </c>
      <c r="Q10" s="608"/>
      <c r="R10" s="611"/>
      <c r="S10" s="613" t="n">
        <f aca="false">Q10-R10</f>
        <v>0</v>
      </c>
      <c r="T10" s="10"/>
      <c r="U10" s="10"/>
      <c r="V10" s="10"/>
      <c r="W10" s="10"/>
      <c r="X10" s="10"/>
    </row>
    <row r="11" customFormat="false" ht="19.5" hidden="false" customHeight="true" outlineLevel="0" collapsed="false">
      <c r="A11" s="567"/>
      <c r="B11" s="568"/>
      <c r="C11" s="591"/>
      <c r="D11" s="615" t="s">
        <v>1358</v>
      </c>
      <c r="E11" s="605"/>
      <c r="F11" s="606" t="n">
        <v>512653248</v>
      </c>
      <c r="G11" s="607" t="n">
        <f aca="false">E11-F11</f>
        <v>-512653248</v>
      </c>
      <c r="H11" s="616"/>
      <c r="I11" s="609"/>
      <c r="J11" s="617"/>
      <c r="K11" s="610"/>
      <c r="L11" s="611"/>
      <c r="M11" s="607" t="n">
        <f aca="false">K11-L11</f>
        <v>0</v>
      </c>
      <c r="N11" s="606"/>
      <c r="O11" s="606"/>
      <c r="P11" s="607" t="n">
        <f aca="false">N11-O11</f>
        <v>0</v>
      </c>
      <c r="Q11" s="608"/>
      <c r="R11" s="611"/>
      <c r="S11" s="613" t="n">
        <f aca="false">Q11-R11</f>
        <v>0</v>
      </c>
      <c r="T11" s="10"/>
      <c r="U11" s="10"/>
      <c r="V11" s="10"/>
      <c r="W11" s="10"/>
      <c r="X11" s="10"/>
    </row>
    <row r="12" customFormat="false" ht="19.5" hidden="false" customHeight="true" outlineLevel="0" collapsed="false">
      <c r="A12" s="567"/>
      <c r="B12" s="568"/>
      <c r="C12" s="591"/>
      <c r="D12" s="618" t="s">
        <v>1359</v>
      </c>
      <c r="E12" s="605"/>
      <c r="F12" s="606" t="n">
        <v>98548000</v>
      </c>
      <c r="G12" s="607" t="n">
        <f aca="false">E12-F12</f>
        <v>-98548000</v>
      </c>
      <c r="H12" s="616"/>
      <c r="I12" s="609"/>
      <c r="J12" s="617"/>
      <c r="K12" s="610"/>
      <c r="L12" s="611"/>
      <c r="M12" s="617"/>
      <c r="N12" s="606"/>
      <c r="O12" s="606"/>
      <c r="P12" s="617"/>
      <c r="Q12" s="608"/>
      <c r="R12" s="611"/>
      <c r="S12" s="619"/>
      <c r="T12" s="10"/>
      <c r="U12" s="10"/>
      <c r="V12" s="10"/>
      <c r="W12" s="10"/>
      <c r="X12" s="10"/>
    </row>
    <row r="13" customFormat="false" ht="19.5" hidden="false" customHeight="true" outlineLevel="0" collapsed="false">
      <c r="A13" s="567"/>
      <c r="B13" s="568"/>
      <c r="C13" s="591"/>
      <c r="D13" s="618" t="s">
        <v>1360</v>
      </c>
      <c r="E13" s="605"/>
      <c r="F13" s="606" t="n">
        <v>0</v>
      </c>
      <c r="G13" s="607" t="n">
        <f aca="false">E13-F13</f>
        <v>0</v>
      </c>
      <c r="H13" s="616"/>
      <c r="I13" s="609"/>
      <c r="J13" s="617"/>
      <c r="K13" s="610"/>
      <c r="L13" s="611"/>
      <c r="M13" s="607" t="n">
        <f aca="false">K13-L13</f>
        <v>0</v>
      </c>
      <c r="N13" s="606"/>
      <c r="O13" s="606"/>
      <c r="P13" s="607" t="n">
        <f aca="false">N13-O13</f>
        <v>0</v>
      </c>
      <c r="Q13" s="608"/>
      <c r="R13" s="611"/>
      <c r="S13" s="619"/>
      <c r="T13" s="10"/>
      <c r="U13" s="10"/>
      <c r="V13" s="10"/>
      <c r="W13" s="10"/>
      <c r="X13" s="10"/>
    </row>
    <row r="14" customFormat="false" ht="19.5" hidden="false" customHeight="true" outlineLevel="0" collapsed="false">
      <c r="A14" s="567"/>
      <c r="B14" s="568"/>
      <c r="C14" s="591"/>
      <c r="D14" s="604" t="s">
        <v>1361</v>
      </c>
      <c r="E14" s="605"/>
      <c r="F14" s="606" t="n">
        <v>2621295</v>
      </c>
      <c r="G14" s="607" t="n">
        <f aca="false">E14-F14</f>
        <v>-2621295</v>
      </c>
      <c r="H14" s="616"/>
      <c r="I14" s="609"/>
      <c r="J14" s="617"/>
      <c r="K14" s="610"/>
      <c r="L14" s="611"/>
      <c r="M14" s="607" t="n">
        <f aca="false">K14-L14</f>
        <v>0</v>
      </c>
      <c r="N14" s="606"/>
      <c r="O14" s="606"/>
      <c r="P14" s="607" t="n">
        <f aca="false">N14-O14</f>
        <v>0</v>
      </c>
      <c r="Q14" s="608"/>
      <c r="R14" s="611"/>
      <c r="S14" s="613" t="n">
        <f aca="false">Q14-R14</f>
        <v>0</v>
      </c>
      <c r="T14" s="10"/>
      <c r="U14" s="10"/>
      <c r="V14" s="10"/>
      <c r="W14" s="10"/>
      <c r="X14" s="10"/>
    </row>
    <row r="15" customFormat="false" ht="19.5" hidden="false" customHeight="true" outlineLevel="0" collapsed="false">
      <c r="A15" s="567"/>
      <c r="B15" s="568"/>
      <c r="C15" s="591"/>
      <c r="D15" s="620" t="s">
        <v>1362</v>
      </c>
      <c r="E15" s="605"/>
      <c r="F15" s="606"/>
      <c r="G15" s="607" t="n">
        <f aca="false">E15-F15</f>
        <v>0</v>
      </c>
      <c r="H15" s="608" t="n">
        <v>5464540</v>
      </c>
      <c r="I15" s="609" t="n">
        <v>11601546</v>
      </c>
      <c r="J15" s="607" t="n">
        <f aca="false">H15-I15</f>
        <v>-6137006</v>
      </c>
      <c r="K15" s="610"/>
      <c r="L15" s="611"/>
      <c r="M15" s="607" t="n">
        <f aca="false">K15-L15</f>
        <v>0</v>
      </c>
      <c r="N15" s="606"/>
      <c r="O15" s="606"/>
      <c r="P15" s="607" t="n">
        <f aca="false">N15-O15</f>
        <v>0</v>
      </c>
      <c r="Q15" s="608"/>
      <c r="R15" s="611"/>
      <c r="S15" s="613" t="n">
        <f aca="false">Q15-R15</f>
        <v>0</v>
      </c>
      <c r="T15" s="10"/>
      <c r="U15" s="10"/>
      <c r="V15" s="10"/>
      <c r="W15" s="10"/>
      <c r="X15" s="10"/>
    </row>
    <row r="16" customFormat="false" ht="19.5" hidden="false" customHeight="true" outlineLevel="0" collapsed="false">
      <c r="A16" s="567"/>
      <c r="B16" s="568"/>
      <c r="C16" s="591"/>
      <c r="D16" s="604" t="s">
        <v>1363</v>
      </c>
      <c r="E16" s="605"/>
      <c r="F16" s="606" t="n">
        <v>7979689</v>
      </c>
      <c r="G16" s="607" t="n">
        <f aca="false">E16-F16</f>
        <v>-7979689</v>
      </c>
      <c r="H16" s="608" t="n">
        <v>289600155</v>
      </c>
      <c r="I16" s="609" t="n">
        <v>639077000</v>
      </c>
      <c r="J16" s="607" t="n">
        <f aca="false">H16-I16</f>
        <v>-349476845</v>
      </c>
      <c r="K16" s="610"/>
      <c r="L16" s="611"/>
      <c r="M16" s="607" t="n">
        <f aca="false">K16-L16</f>
        <v>0</v>
      </c>
      <c r="N16" s="606"/>
      <c r="O16" s="606"/>
      <c r="P16" s="607" t="n">
        <f aca="false">N16-O16</f>
        <v>0</v>
      </c>
      <c r="Q16" s="608"/>
      <c r="R16" s="611"/>
      <c r="S16" s="613" t="n">
        <f aca="false">Q16-R16</f>
        <v>0</v>
      </c>
      <c r="T16" s="10"/>
      <c r="U16" s="10"/>
      <c r="V16" s="10"/>
      <c r="W16" s="10"/>
      <c r="X16" s="10"/>
    </row>
    <row r="17" customFormat="false" ht="19.5" hidden="false" customHeight="true" outlineLevel="0" collapsed="false">
      <c r="A17" s="567"/>
      <c r="B17" s="568"/>
      <c r="C17" s="591"/>
      <c r="D17" s="604" t="s">
        <v>1364</v>
      </c>
      <c r="E17" s="605"/>
      <c r="F17" s="606"/>
      <c r="G17" s="607" t="n">
        <f aca="false">E17-F17</f>
        <v>0</v>
      </c>
      <c r="H17" s="616"/>
      <c r="I17" s="609"/>
      <c r="J17" s="617"/>
      <c r="K17" s="610"/>
      <c r="L17" s="611"/>
      <c r="M17" s="607" t="n">
        <f aca="false">K17-L17</f>
        <v>0</v>
      </c>
      <c r="N17" s="606" t="n">
        <v>0</v>
      </c>
      <c r="O17" s="606" t="n">
        <v>0</v>
      </c>
      <c r="P17" s="607" t="n">
        <f aca="false">N17-O17</f>
        <v>0</v>
      </c>
      <c r="Q17" s="608"/>
      <c r="R17" s="611"/>
      <c r="S17" s="613" t="n">
        <f aca="false">Q17-R17</f>
        <v>0</v>
      </c>
      <c r="T17" s="10"/>
      <c r="U17" s="10"/>
      <c r="V17" s="10"/>
      <c r="W17" s="10"/>
      <c r="X17" s="10"/>
    </row>
    <row r="18" customFormat="false" ht="19.5" hidden="false" customHeight="true" outlineLevel="0" collapsed="false">
      <c r="A18" s="567"/>
      <c r="B18" s="568"/>
      <c r="C18" s="591"/>
      <c r="D18" s="604" t="s">
        <v>1365</v>
      </c>
      <c r="E18" s="605"/>
      <c r="F18" s="606" t="n">
        <v>211390</v>
      </c>
      <c r="G18" s="607" t="n">
        <f aca="false">E18-F18</f>
        <v>-211390</v>
      </c>
      <c r="H18" s="616"/>
      <c r="I18" s="609"/>
      <c r="J18" s="617"/>
      <c r="K18" s="614" t="n">
        <f aca="false">決算精算表!G40</f>
        <v>77607</v>
      </c>
      <c r="L18" s="611" t="n">
        <v>69345</v>
      </c>
      <c r="M18" s="607" t="n">
        <f aca="false">K18-L18</f>
        <v>8262</v>
      </c>
      <c r="N18" s="606"/>
      <c r="O18" s="606"/>
      <c r="P18" s="607" t="n">
        <f aca="false">N18-O18</f>
        <v>0</v>
      </c>
      <c r="Q18" s="608"/>
      <c r="R18" s="611"/>
      <c r="S18" s="613" t="n">
        <f aca="false">Q18-R18</f>
        <v>0</v>
      </c>
      <c r="T18" s="10"/>
      <c r="U18" s="10"/>
      <c r="V18" s="10"/>
      <c r="W18" s="10"/>
      <c r="X18" s="10"/>
    </row>
    <row r="19" customFormat="false" ht="19.5" hidden="false" customHeight="true" outlineLevel="0" collapsed="false">
      <c r="A19" s="567"/>
      <c r="B19" s="568"/>
      <c r="C19" s="591"/>
      <c r="D19" s="604" t="s">
        <v>96</v>
      </c>
      <c r="E19" s="605"/>
      <c r="F19" s="606"/>
      <c r="G19" s="607" t="n">
        <f aca="false">E19-F19</f>
        <v>0</v>
      </c>
      <c r="H19" s="616"/>
      <c r="I19" s="609"/>
      <c r="J19" s="617"/>
      <c r="K19" s="614" t="n">
        <f aca="false">決算精算表!G42</f>
        <v>23159738</v>
      </c>
      <c r="L19" s="611" t="n">
        <v>20856594</v>
      </c>
      <c r="M19" s="607" t="n">
        <f aca="false">K19-L19</f>
        <v>2303144</v>
      </c>
      <c r="N19" s="606"/>
      <c r="O19" s="606"/>
      <c r="P19" s="607" t="n">
        <f aca="false">N19-O19</f>
        <v>0</v>
      </c>
      <c r="Q19" s="610"/>
      <c r="R19" s="611" t="n">
        <v>44000</v>
      </c>
      <c r="S19" s="613" t="n">
        <f aca="false">Q19-R19</f>
        <v>-44000</v>
      </c>
      <c r="T19" s="10"/>
      <c r="U19" s="10"/>
      <c r="V19" s="10"/>
      <c r="W19" s="10"/>
      <c r="X19" s="10"/>
    </row>
    <row r="20" customFormat="false" ht="19.5" hidden="false" customHeight="true" outlineLevel="0" collapsed="false">
      <c r="A20" s="567"/>
      <c r="B20" s="568"/>
      <c r="C20" s="591"/>
      <c r="D20" s="621" t="s">
        <v>1102</v>
      </c>
      <c r="E20" s="605"/>
      <c r="F20" s="606"/>
      <c r="G20" s="607" t="n">
        <f aca="false">E20-F20</f>
        <v>0</v>
      </c>
      <c r="H20" s="616"/>
      <c r="I20" s="609"/>
      <c r="J20" s="617"/>
      <c r="K20" s="614" t="n">
        <f aca="false">決算精算表!G44</f>
        <v>11834281</v>
      </c>
      <c r="L20" s="611" t="n">
        <v>11648520</v>
      </c>
      <c r="M20" s="607" t="n">
        <f aca="false">K20-L20</f>
        <v>185761</v>
      </c>
      <c r="N20" s="606"/>
      <c r="O20" s="606"/>
      <c r="P20" s="607" t="n">
        <f aca="false">N20-O20</f>
        <v>0</v>
      </c>
      <c r="Q20" s="610"/>
      <c r="R20" s="611"/>
      <c r="S20" s="613" t="n">
        <f aca="false">Q20-R20</f>
        <v>0</v>
      </c>
      <c r="T20" s="10"/>
      <c r="U20" s="10"/>
      <c r="V20" s="10"/>
      <c r="W20" s="10"/>
      <c r="X20" s="10"/>
    </row>
    <row r="21" customFormat="false" ht="19.5" hidden="false" customHeight="true" outlineLevel="0" collapsed="false">
      <c r="A21" s="567"/>
      <c r="B21" s="568"/>
      <c r="C21" s="591"/>
      <c r="D21" s="621" t="s">
        <v>1366</v>
      </c>
      <c r="E21" s="605"/>
      <c r="F21" s="606"/>
      <c r="G21" s="607" t="n">
        <f aca="false">E21-F21</f>
        <v>0</v>
      </c>
      <c r="H21" s="616"/>
      <c r="I21" s="609"/>
      <c r="J21" s="617"/>
      <c r="K21" s="616"/>
      <c r="L21" s="609"/>
      <c r="M21" s="607" t="n">
        <f aca="false">K21-L21</f>
        <v>0</v>
      </c>
      <c r="N21" s="606"/>
      <c r="O21" s="606"/>
      <c r="P21" s="607" t="n">
        <f aca="false">N21-O21</f>
        <v>0</v>
      </c>
      <c r="Q21" s="610"/>
      <c r="R21" s="611"/>
      <c r="S21" s="613" t="n">
        <f aca="false">Q21-R21</f>
        <v>0</v>
      </c>
      <c r="T21" s="10"/>
      <c r="U21" s="10"/>
      <c r="V21" s="10"/>
      <c r="W21" s="10"/>
      <c r="X21" s="10"/>
    </row>
    <row r="22" customFormat="false" ht="19.5" hidden="false" customHeight="true" outlineLevel="0" collapsed="false">
      <c r="A22" s="567"/>
      <c r="B22" s="568"/>
      <c r="C22" s="591"/>
      <c r="D22" s="622" t="s">
        <v>1367</v>
      </c>
      <c r="E22" s="605"/>
      <c r="F22" s="606"/>
      <c r="G22" s="607" t="n">
        <f aca="false">E22-F22</f>
        <v>0</v>
      </c>
      <c r="H22" s="616"/>
      <c r="I22" s="609"/>
      <c r="J22" s="617"/>
      <c r="K22" s="608"/>
      <c r="L22" s="611"/>
      <c r="M22" s="607" t="n">
        <f aca="false">K22-L22</f>
        <v>0</v>
      </c>
      <c r="N22" s="606"/>
      <c r="O22" s="606"/>
      <c r="P22" s="607" t="n">
        <f aca="false">N22-O22</f>
        <v>0</v>
      </c>
      <c r="Q22" s="610"/>
      <c r="R22" s="611" t="n">
        <v>12712000</v>
      </c>
      <c r="S22" s="613" t="n">
        <f aca="false">Q22-R22</f>
        <v>-12712000</v>
      </c>
      <c r="T22" s="10"/>
      <c r="U22" s="10"/>
      <c r="V22" s="10"/>
      <c r="W22" s="10"/>
      <c r="X22" s="10"/>
    </row>
    <row r="23" customFormat="false" ht="19.5" hidden="false" customHeight="true" outlineLevel="0" collapsed="false">
      <c r="A23" s="567"/>
      <c r="B23" s="568"/>
      <c r="C23" s="591"/>
      <c r="D23" s="623" t="s">
        <v>1100</v>
      </c>
      <c r="E23" s="624"/>
      <c r="F23" s="625" t="n">
        <v>0</v>
      </c>
      <c r="G23" s="607" t="n">
        <f aca="false">E23-F23</f>
        <v>0</v>
      </c>
      <c r="H23" s="626"/>
      <c r="I23" s="627"/>
      <c r="J23" s="628"/>
      <c r="K23" s="629" t="n">
        <f aca="false">決算精算表!G41</f>
        <v>0</v>
      </c>
      <c r="L23" s="630" t="n">
        <v>1206000</v>
      </c>
      <c r="M23" s="607" t="n">
        <f aca="false">K23-L23</f>
        <v>-1206000</v>
      </c>
      <c r="N23" s="625"/>
      <c r="O23" s="625"/>
      <c r="P23" s="607" t="n">
        <f aca="false">N23-O23</f>
        <v>0</v>
      </c>
      <c r="Q23" s="631"/>
      <c r="R23" s="630"/>
      <c r="S23" s="632" t="n">
        <f aca="false">Q23-R23</f>
        <v>0</v>
      </c>
      <c r="T23" s="10"/>
      <c r="U23" s="10"/>
      <c r="V23" s="10"/>
      <c r="W23" s="10"/>
      <c r="X23" s="10"/>
    </row>
    <row r="24" customFormat="false" ht="19.5" hidden="false" customHeight="true" outlineLevel="0" collapsed="false">
      <c r="A24" s="567"/>
      <c r="B24" s="568"/>
      <c r="C24" s="591"/>
      <c r="D24" s="623" t="s">
        <v>1368</v>
      </c>
      <c r="E24" s="624"/>
      <c r="F24" s="625"/>
      <c r="G24" s="607" t="n">
        <f aca="false">E24-F24</f>
        <v>0</v>
      </c>
      <c r="H24" s="626"/>
      <c r="I24" s="627"/>
      <c r="J24" s="628"/>
      <c r="K24" s="631"/>
      <c r="L24" s="630"/>
      <c r="M24" s="607" t="n">
        <f aca="false">K24-L24</f>
        <v>0</v>
      </c>
      <c r="N24" s="625"/>
      <c r="O24" s="625"/>
      <c r="P24" s="607" t="n">
        <f aca="false">N24-O24</f>
        <v>0</v>
      </c>
      <c r="Q24" s="631"/>
      <c r="R24" s="630"/>
      <c r="S24" s="633"/>
      <c r="T24" s="10"/>
      <c r="U24" s="10"/>
      <c r="V24" s="10"/>
      <c r="W24" s="10"/>
      <c r="X24" s="10"/>
    </row>
    <row r="25" customFormat="false" ht="19.5" hidden="false" customHeight="true" outlineLevel="0" collapsed="false">
      <c r="A25" s="567"/>
      <c r="B25" s="568"/>
      <c r="C25" s="591"/>
      <c r="D25" s="634" t="s">
        <v>1369</v>
      </c>
      <c r="E25" s="605"/>
      <c r="F25" s="625"/>
      <c r="G25" s="635" t="n">
        <f aca="false">E25-F25</f>
        <v>0</v>
      </c>
      <c r="H25" s="626"/>
      <c r="I25" s="627"/>
      <c r="J25" s="628"/>
      <c r="K25" s="631"/>
      <c r="L25" s="630"/>
      <c r="M25" s="607" t="n">
        <f aca="false">K25-L25</f>
        <v>0</v>
      </c>
      <c r="N25" s="625"/>
      <c r="O25" s="625"/>
      <c r="P25" s="607" t="n">
        <f aca="false">N25-O25</f>
        <v>0</v>
      </c>
      <c r="Q25" s="631"/>
      <c r="R25" s="630"/>
      <c r="S25" s="632" t="n">
        <f aca="false">Q25-R25</f>
        <v>0</v>
      </c>
      <c r="T25" s="10"/>
      <c r="U25" s="10"/>
      <c r="V25" s="10"/>
      <c r="W25" s="10"/>
      <c r="X25" s="10"/>
    </row>
    <row r="26" customFormat="false" ht="19.5" hidden="false" customHeight="true" outlineLevel="0" collapsed="false">
      <c r="A26" s="567"/>
      <c r="B26" s="568"/>
      <c r="C26" s="591"/>
      <c r="D26" s="634" t="s">
        <v>1103</v>
      </c>
      <c r="E26" s="624"/>
      <c r="F26" s="625" t="n">
        <v>2100931</v>
      </c>
      <c r="G26" s="635" t="n">
        <f aca="false">E26-F26</f>
        <v>-2100931</v>
      </c>
      <c r="H26" s="626"/>
      <c r="I26" s="609"/>
      <c r="J26" s="628"/>
      <c r="K26" s="629" t="n">
        <f aca="false">決算精算表!G45</f>
        <v>0</v>
      </c>
      <c r="L26" s="630"/>
      <c r="M26" s="607" t="n">
        <f aca="false">K26-L26</f>
        <v>0</v>
      </c>
      <c r="N26" s="625" t="n">
        <v>0</v>
      </c>
      <c r="O26" s="625" t="n">
        <v>0</v>
      </c>
      <c r="P26" s="607" t="n">
        <f aca="false">N26-O26</f>
        <v>0</v>
      </c>
      <c r="Q26" s="631"/>
      <c r="R26" s="630"/>
      <c r="S26" s="632" t="n">
        <f aca="false">Q26-R26</f>
        <v>0</v>
      </c>
      <c r="T26" s="10"/>
      <c r="U26" s="10"/>
      <c r="V26" s="10"/>
      <c r="W26" s="10"/>
      <c r="X26" s="10"/>
    </row>
    <row r="27" customFormat="false" ht="19.5" hidden="false" customHeight="true" outlineLevel="0" collapsed="false">
      <c r="A27" s="567"/>
      <c r="B27" s="568"/>
      <c r="C27" s="591"/>
      <c r="D27" s="636" t="s">
        <v>1370</v>
      </c>
      <c r="E27" s="637"/>
      <c r="F27" s="638" t="n">
        <v>883951850</v>
      </c>
      <c r="G27" s="635" t="n">
        <f aca="false">E27-F27</f>
        <v>-883951850</v>
      </c>
      <c r="H27" s="631"/>
      <c r="I27" s="639"/>
      <c r="J27" s="628"/>
      <c r="K27" s="640"/>
      <c r="L27" s="641"/>
      <c r="M27" s="635" t="n">
        <f aca="false">K27-L27</f>
        <v>0</v>
      </c>
      <c r="N27" s="642"/>
      <c r="O27" s="625"/>
      <c r="P27" s="635" t="n">
        <f aca="false">N27-O27</f>
        <v>0</v>
      </c>
      <c r="Q27" s="640"/>
      <c r="R27" s="641"/>
      <c r="S27" s="632" t="n">
        <f aca="false">Q27-R27</f>
        <v>0</v>
      </c>
      <c r="T27" s="10"/>
      <c r="U27" s="10"/>
      <c r="V27" s="10"/>
      <c r="W27" s="10"/>
      <c r="X27" s="10"/>
    </row>
    <row r="28" customFormat="false" ht="28.5" hidden="false" customHeight="true" outlineLevel="0" collapsed="false">
      <c r="A28" s="567"/>
      <c r="B28" s="568"/>
      <c r="C28" s="643" t="s">
        <v>1371</v>
      </c>
      <c r="D28" s="643"/>
      <c r="E28" s="585" t="n">
        <f aca="false">SUM(E7:E27)</f>
        <v>0</v>
      </c>
      <c r="F28" s="587" t="n">
        <f aca="false">SUM(F7:F27)</f>
        <v>13363345222</v>
      </c>
      <c r="G28" s="583" t="n">
        <f aca="false">SUM(G7:G27)</f>
        <v>-13363345222</v>
      </c>
      <c r="H28" s="581" t="n">
        <f aca="false">SUM(H7:H27)</f>
        <v>10342735989</v>
      </c>
      <c r="I28" s="644" t="n">
        <f aca="false">SUM(I7:I27)</f>
        <v>19217782897</v>
      </c>
      <c r="J28" s="583" t="n">
        <f aca="false">SUM(J7:J27)</f>
        <v>-8875046908</v>
      </c>
      <c r="K28" s="581" t="n">
        <f aca="false">SUM(K7:K27)</f>
        <v>124727469</v>
      </c>
      <c r="L28" s="644" t="n">
        <f aca="false">SUM(L7:L27)</f>
        <v>115948018</v>
      </c>
      <c r="M28" s="583" t="n">
        <f aca="false">SUM(M7:M27)</f>
        <v>8779451</v>
      </c>
      <c r="N28" s="587" t="n">
        <f aca="false">SUM(N7:N27)</f>
        <v>0</v>
      </c>
      <c r="O28" s="644" t="n">
        <f aca="false">SUM(O7:O27)</f>
        <v>608914362</v>
      </c>
      <c r="P28" s="583" t="n">
        <f aca="false">SUM(P7:P27)</f>
        <v>-608914362</v>
      </c>
      <c r="Q28" s="581" t="n">
        <f aca="false">SUM(Q7:Q27)</f>
        <v>0</v>
      </c>
      <c r="R28" s="644" t="n">
        <f aca="false">SUM(R7:R27)</f>
        <v>12756000</v>
      </c>
      <c r="S28" s="590" t="n">
        <f aca="false">SUM(S7:S27)</f>
        <v>-12756000</v>
      </c>
      <c r="T28" s="10"/>
      <c r="U28" s="10"/>
      <c r="V28" s="10"/>
      <c r="W28" s="10"/>
      <c r="X28" s="10"/>
    </row>
    <row r="29" customFormat="false" ht="19.5" hidden="false" customHeight="true" outlineLevel="0" collapsed="false">
      <c r="A29" s="567"/>
      <c r="B29" s="568"/>
      <c r="C29" s="645" t="s">
        <v>1372</v>
      </c>
      <c r="D29" s="646" t="s">
        <v>1373</v>
      </c>
      <c r="E29" s="593"/>
      <c r="F29" s="594" t="n">
        <v>5062957780</v>
      </c>
      <c r="G29" s="601" t="n">
        <f aca="false">E29-F29</f>
        <v>-5062957780</v>
      </c>
      <c r="H29" s="647"/>
      <c r="I29" s="597"/>
      <c r="J29" s="648"/>
      <c r="K29" s="602"/>
      <c r="L29" s="599"/>
      <c r="M29" s="601" t="n">
        <f aca="false">K29-L29</f>
        <v>0</v>
      </c>
      <c r="N29" s="649"/>
      <c r="O29" s="649"/>
      <c r="P29" s="612" t="n">
        <f aca="false">N29-O29</f>
        <v>0</v>
      </c>
      <c r="Q29" s="650"/>
      <c r="R29" s="651"/>
      <c r="S29" s="652" t="n">
        <f aca="false">Q29-R29</f>
        <v>0</v>
      </c>
      <c r="T29" s="10"/>
      <c r="U29" s="10"/>
      <c r="V29" s="10"/>
      <c r="W29" s="10"/>
      <c r="X29" s="10"/>
    </row>
    <row r="30" customFormat="false" ht="19.5" hidden="false" customHeight="true" outlineLevel="0" collapsed="false">
      <c r="A30" s="567"/>
      <c r="B30" s="568"/>
      <c r="C30" s="645"/>
      <c r="D30" s="646" t="s">
        <v>1374</v>
      </c>
      <c r="E30" s="653"/>
      <c r="F30" s="600" t="n">
        <v>596910377</v>
      </c>
      <c r="G30" s="612" t="n">
        <f aca="false">E30-F30</f>
        <v>-596910377</v>
      </c>
      <c r="H30" s="616"/>
      <c r="I30" s="609"/>
      <c r="J30" s="617"/>
      <c r="K30" s="654"/>
      <c r="L30" s="655"/>
      <c r="M30" s="595" t="n">
        <f aca="false">K30-L30</f>
        <v>0</v>
      </c>
      <c r="N30" s="606"/>
      <c r="O30" s="606"/>
      <c r="P30" s="607" t="n">
        <f aca="false">N30-O30</f>
        <v>0</v>
      </c>
      <c r="Q30" s="608"/>
      <c r="R30" s="611"/>
      <c r="S30" s="613" t="n">
        <f aca="false">Q30-R30</f>
        <v>0</v>
      </c>
      <c r="T30" s="10"/>
      <c r="U30" s="10"/>
      <c r="V30" s="10"/>
      <c r="W30" s="10"/>
      <c r="X30" s="10"/>
    </row>
    <row r="31" customFormat="false" ht="19.5" hidden="false" customHeight="true" outlineLevel="0" collapsed="false">
      <c r="A31" s="567"/>
      <c r="B31" s="568"/>
      <c r="C31" s="645"/>
      <c r="D31" s="646" t="s">
        <v>1375</v>
      </c>
      <c r="E31" s="653"/>
      <c r="F31" s="600" t="n">
        <v>0</v>
      </c>
      <c r="G31" s="607" t="n">
        <f aca="false">E31-F31</f>
        <v>0</v>
      </c>
      <c r="H31" s="656"/>
      <c r="I31" s="657"/>
      <c r="J31" s="658"/>
      <c r="K31" s="608"/>
      <c r="L31" s="611"/>
      <c r="M31" s="607" t="n">
        <f aca="false">K31-L31</f>
        <v>0</v>
      </c>
      <c r="N31" s="649"/>
      <c r="O31" s="649"/>
      <c r="P31" s="612" t="n">
        <f aca="false">N31-O31</f>
        <v>0</v>
      </c>
      <c r="Q31" s="608"/>
      <c r="R31" s="611"/>
      <c r="S31" s="613" t="n">
        <f aca="false">Q31-R31</f>
        <v>0</v>
      </c>
      <c r="T31" s="10"/>
      <c r="U31" s="10"/>
      <c r="V31" s="10"/>
      <c r="W31" s="10"/>
      <c r="X31" s="10"/>
    </row>
    <row r="32" customFormat="false" ht="19.5" hidden="false" customHeight="true" outlineLevel="0" collapsed="false">
      <c r="A32" s="567"/>
      <c r="B32" s="568"/>
      <c r="C32" s="645"/>
      <c r="D32" s="634" t="s">
        <v>1376</v>
      </c>
      <c r="E32" s="653"/>
      <c r="F32" s="600" t="n">
        <v>36121513</v>
      </c>
      <c r="G32" s="607" t="n">
        <f aca="false">E32-F32</f>
        <v>-36121513</v>
      </c>
      <c r="H32" s="616"/>
      <c r="I32" s="609"/>
      <c r="J32" s="617"/>
      <c r="K32" s="608"/>
      <c r="L32" s="611"/>
      <c r="M32" s="607" t="n">
        <f aca="false">K32-L32</f>
        <v>0</v>
      </c>
      <c r="N32" s="606"/>
      <c r="O32" s="606"/>
      <c r="P32" s="607" t="n">
        <f aca="false">N32-O32</f>
        <v>0</v>
      </c>
      <c r="Q32" s="608"/>
      <c r="R32" s="611"/>
      <c r="S32" s="613" t="n">
        <f aca="false">Q32-R32</f>
        <v>0</v>
      </c>
      <c r="T32" s="10"/>
      <c r="U32" s="10"/>
      <c r="V32" s="10"/>
      <c r="W32" s="10"/>
      <c r="X32" s="10"/>
    </row>
    <row r="33" customFormat="false" ht="19.5" hidden="false" customHeight="true" outlineLevel="0" collapsed="false">
      <c r="A33" s="567"/>
      <c r="B33" s="568"/>
      <c r="C33" s="645"/>
      <c r="D33" s="622" t="s">
        <v>1377</v>
      </c>
      <c r="E33" s="653"/>
      <c r="F33" s="600" t="n">
        <v>74042318</v>
      </c>
      <c r="G33" s="607" t="n">
        <f aca="false">E33-F33</f>
        <v>-74042318</v>
      </c>
      <c r="H33" s="616"/>
      <c r="I33" s="609"/>
      <c r="J33" s="617"/>
      <c r="K33" s="654"/>
      <c r="L33" s="655"/>
      <c r="M33" s="612" t="n">
        <f aca="false">K33-L33</f>
        <v>0</v>
      </c>
      <c r="N33" s="606"/>
      <c r="O33" s="606"/>
      <c r="P33" s="607" t="n">
        <f aca="false">N33-O33</f>
        <v>0</v>
      </c>
      <c r="Q33" s="608"/>
      <c r="R33" s="611"/>
      <c r="S33" s="613" t="n">
        <f aca="false">Q33-R33</f>
        <v>0</v>
      </c>
      <c r="T33" s="10"/>
      <c r="U33" s="10"/>
      <c r="V33" s="10"/>
      <c r="W33" s="10"/>
      <c r="X33" s="10"/>
    </row>
    <row r="34" customFormat="false" ht="19.5" hidden="false" customHeight="true" outlineLevel="0" collapsed="false">
      <c r="A34" s="567"/>
      <c r="B34" s="568"/>
      <c r="C34" s="645"/>
      <c r="D34" s="646" t="s">
        <v>1378</v>
      </c>
      <c r="E34" s="605"/>
      <c r="F34" s="606" t="n">
        <v>5748963367</v>
      </c>
      <c r="G34" s="607" t="n">
        <f aca="false">E34-F34</f>
        <v>-5748963367</v>
      </c>
      <c r="H34" s="616"/>
      <c r="I34" s="609"/>
      <c r="J34" s="617"/>
      <c r="K34" s="608"/>
      <c r="L34" s="611"/>
      <c r="M34" s="607" t="n">
        <f aca="false">K34-L34</f>
        <v>0</v>
      </c>
      <c r="N34" s="606"/>
      <c r="O34" s="606"/>
      <c r="P34" s="607" t="n">
        <f aca="false">N34-O34</f>
        <v>0</v>
      </c>
      <c r="Q34" s="654"/>
      <c r="R34" s="655"/>
      <c r="S34" s="652" t="n">
        <f aca="false">Q34-R34</f>
        <v>0</v>
      </c>
      <c r="T34" s="10"/>
      <c r="U34" s="10"/>
      <c r="V34" s="10"/>
      <c r="W34" s="10"/>
      <c r="X34" s="10"/>
    </row>
    <row r="35" customFormat="false" ht="19.5" hidden="false" customHeight="true" outlineLevel="0" collapsed="false">
      <c r="A35" s="567"/>
      <c r="B35" s="568"/>
      <c r="C35" s="645"/>
      <c r="D35" s="659" t="s">
        <v>1379</v>
      </c>
      <c r="E35" s="605"/>
      <c r="F35" s="606"/>
      <c r="G35" s="607" t="n">
        <f aca="false">E35-F35</f>
        <v>0</v>
      </c>
      <c r="H35" s="616"/>
      <c r="I35" s="609"/>
      <c r="J35" s="617"/>
      <c r="K35" s="608"/>
      <c r="L35" s="611"/>
      <c r="M35" s="607" t="n">
        <f aca="false">K35-L35</f>
        <v>0</v>
      </c>
      <c r="N35" s="606"/>
      <c r="O35" s="606"/>
      <c r="P35" s="607" t="n">
        <f aca="false">N35-O35</f>
        <v>0</v>
      </c>
      <c r="Q35" s="608"/>
      <c r="R35" s="611"/>
      <c r="S35" s="613" t="n">
        <f aca="false">Q35-R35</f>
        <v>0</v>
      </c>
      <c r="T35" s="10"/>
      <c r="U35" s="10"/>
      <c r="V35" s="10"/>
      <c r="W35" s="10"/>
      <c r="X35" s="10"/>
    </row>
    <row r="36" customFormat="false" ht="19.5" hidden="false" customHeight="true" outlineLevel="0" collapsed="false">
      <c r="A36" s="567"/>
      <c r="B36" s="568"/>
      <c r="C36" s="645"/>
      <c r="D36" s="646" t="s">
        <v>1380</v>
      </c>
      <c r="E36" s="605"/>
      <c r="F36" s="606"/>
      <c r="G36" s="607" t="n">
        <f aca="false">E36-F36</f>
        <v>0</v>
      </c>
      <c r="H36" s="608" t="n">
        <v>5516016459</v>
      </c>
      <c r="I36" s="609" t="n">
        <v>10787321768</v>
      </c>
      <c r="J36" s="607" t="n">
        <f aca="false">H36-I36</f>
        <v>-5271305309</v>
      </c>
      <c r="K36" s="608"/>
      <c r="L36" s="611"/>
      <c r="M36" s="607" t="n">
        <f aca="false">K36-L36</f>
        <v>0</v>
      </c>
      <c r="N36" s="606"/>
      <c r="O36" s="606"/>
      <c r="P36" s="607" t="n">
        <f aca="false">N36-O36</f>
        <v>0</v>
      </c>
      <c r="Q36" s="608"/>
      <c r="R36" s="611"/>
      <c r="S36" s="613" t="n">
        <f aca="false">Q36-R36</f>
        <v>0</v>
      </c>
      <c r="T36" s="10"/>
      <c r="U36" s="10"/>
      <c r="V36" s="10"/>
      <c r="W36" s="10"/>
      <c r="X36" s="10"/>
    </row>
    <row r="37" customFormat="false" ht="19.5" hidden="false" customHeight="true" outlineLevel="0" collapsed="false">
      <c r="A37" s="567"/>
      <c r="B37" s="568"/>
      <c r="C37" s="645"/>
      <c r="D37" s="646" t="s">
        <v>1381</v>
      </c>
      <c r="E37" s="660"/>
      <c r="F37" s="661"/>
      <c r="G37" s="607" t="n">
        <f aca="false">E37-F37</f>
        <v>0</v>
      </c>
      <c r="H37" s="662" t="n">
        <v>45220684</v>
      </c>
      <c r="I37" s="663" t="n">
        <v>87548431</v>
      </c>
      <c r="J37" s="607" t="n">
        <f aca="false">H37-I37</f>
        <v>-42327747</v>
      </c>
      <c r="K37" s="662"/>
      <c r="L37" s="664"/>
      <c r="M37" s="607" t="n">
        <f aca="false">K37-L37</f>
        <v>0</v>
      </c>
      <c r="N37" s="661"/>
      <c r="O37" s="661"/>
      <c r="P37" s="607" t="n">
        <f aca="false">N37-O37</f>
        <v>0</v>
      </c>
      <c r="Q37" s="662"/>
      <c r="R37" s="664"/>
      <c r="S37" s="613" t="n">
        <f aca="false">Q37-R37</f>
        <v>0</v>
      </c>
      <c r="T37" s="10"/>
      <c r="U37" s="10"/>
      <c r="V37" s="10"/>
      <c r="W37" s="10"/>
      <c r="X37" s="10"/>
    </row>
    <row r="38" customFormat="false" ht="19.5" hidden="false" customHeight="true" outlineLevel="0" collapsed="false">
      <c r="A38" s="567"/>
      <c r="B38" s="568"/>
      <c r="C38" s="645"/>
      <c r="D38" s="646" t="s">
        <v>1382</v>
      </c>
      <c r="E38" s="605"/>
      <c r="F38" s="606"/>
      <c r="G38" s="607" t="n">
        <f aca="false">E38-F38</f>
        <v>0</v>
      </c>
      <c r="H38" s="608" t="n">
        <v>995045755</v>
      </c>
      <c r="I38" s="609" t="n">
        <v>2016533515</v>
      </c>
      <c r="J38" s="607" t="n">
        <f aca="false">H38-I38</f>
        <v>-1021487760</v>
      </c>
      <c r="K38" s="608"/>
      <c r="L38" s="611"/>
      <c r="M38" s="607" t="n">
        <f aca="false">K38-L38</f>
        <v>0</v>
      </c>
      <c r="N38" s="606"/>
      <c r="O38" s="606"/>
      <c r="P38" s="607" t="n">
        <f aca="false">N38-O38</f>
        <v>0</v>
      </c>
      <c r="Q38" s="608"/>
      <c r="R38" s="611"/>
      <c r="S38" s="613" t="n">
        <f aca="false">Q38-R38</f>
        <v>0</v>
      </c>
      <c r="T38" s="10"/>
      <c r="U38" s="10"/>
      <c r="V38" s="10"/>
      <c r="W38" s="10"/>
      <c r="X38" s="10"/>
    </row>
    <row r="39" customFormat="false" ht="19.5" hidden="false" customHeight="true" outlineLevel="0" collapsed="false">
      <c r="A39" s="567"/>
      <c r="B39" s="568"/>
      <c r="C39" s="645"/>
      <c r="D39" s="665" t="s">
        <v>1383</v>
      </c>
      <c r="E39" s="605"/>
      <c r="F39" s="606"/>
      <c r="G39" s="607" t="n">
        <f aca="false">E39-F39</f>
        <v>0</v>
      </c>
      <c r="H39" s="608" t="n">
        <v>2802837274</v>
      </c>
      <c r="I39" s="609" t="n">
        <v>5376398659</v>
      </c>
      <c r="J39" s="607" t="n">
        <f aca="false">H39-I39</f>
        <v>-2573561385</v>
      </c>
      <c r="K39" s="608"/>
      <c r="L39" s="611"/>
      <c r="M39" s="607" t="n">
        <f aca="false">K39-L39</f>
        <v>0</v>
      </c>
      <c r="N39" s="606"/>
      <c r="O39" s="606"/>
      <c r="P39" s="607" t="n">
        <f aca="false">N39-O39</f>
        <v>0</v>
      </c>
      <c r="Q39" s="608"/>
      <c r="R39" s="611"/>
      <c r="S39" s="613" t="n">
        <f aca="false">Q39-R39</f>
        <v>0</v>
      </c>
      <c r="T39" s="10"/>
      <c r="U39" s="10"/>
      <c r="V39" s="10"/>
      <c r="W39" s="10"/>
      <c r="X39" s="10"/>
    </row>
    <row r="40" customFormat="false" ht="19.5" hidden="false" customHeight="true" outlineLevel="0" collapsed="false">
      <c r="A40" s="567"/>
      <c r="B40" s="568"/>
      <c r="C40" s="645"/>
      <c r="D40" s="604" t="s">
        <v>1324</v>
      </c>
      <c r="E40" s="605"/>
      <c r="F40" s="606"/>
      <c r="G40" s="607" t="n">
        <f aca="false">E40-F40</f>
        <v>0</v>
      </c>
      <c r="H40" s="608"/>
      <c r="I40" s="609"/>
      <c r="J40" s="617"/>
      <c r="K40" s="608"/>
      <c r="L40" s="611"/>
      <c r="M40" s="607" t="n">
        <f aca="false">K40-L40</f>
        <v>0</v>
      </c>
      <c r="N40" s="606"/>
      <c r="O40" s="606"/>
      <c r="P40" s="607" t="n">
        <f aca="false">N40-O40</f>
        <v>0</v>
      </c>
      <c r="Q40" s="608"/>
      <c r="R40" s="611"/>
      <c r="S40" s="613" t="n">
        <f aca="false">Q40-R40</f>
        <v>0</v>
      </c>
      <c r="T40" s="10"/>
      <c r="U40" s="10"/>
      <c r="V40" s="10"/>
      <c r="W40" s="10"/>
      <c r="X40" s="10"/>
    </row>
    <row r="41" customFormat="false" ht="19.5" hidden="false" customHeight="true" outlineLevel="0" collapsed="false">
      <c r="A41" s="567"/>
      <c r="B41" s="568"/>
      <c r="C41" s="645"/>
      <c r="D41" s="604" t="s">
        <v>1384</v>
      </c>
      <c r="E41" s="605"/>
      <c r="F41" s="606" t="n">
        <v>132291047</v>
      </c>
      <c r="G41" s="607" t="n">
        <f aca="false">E41-F41</f>
        <v>-132291047</v>
      </c>
      <c r="H41" s="608" t="n">
        <v>26027000</v>
      </c>
      <c r="I41" s="609" t="n">
        <v>249923000</v>
      </c>
      <c r="J41" s="607" t="n">
        <f aca="false">H41-I41</f>
        <v>-223896000</v>
      </c>
      <c r="K41" s="608"/>
      <c r="L41" s="611"/>
      <c r="M41" s="607" t="n">
        <f aca="false">K41-L41</f>
        <v>0</v>
      </c>
      <c r="N41" s="606"/>
      <c r="O41" s="606"/>
      <c r="P41" s="607" t="n">
        <f aca="false">N41-O41</f>
        <v>0</v>
      </c>
      <c r="Q41" s="610"/>
      <c r="R41" s="611"/>
      <c r="S41" s="613" t="n">
        <f aca="false">Q41-R41</f>
        <v>0</v>
      </c>
      <c r="T41" s="10"/>
      <c r="U41" s="10"/>
      <c r="V41" s="10"/>
      <c r="W41" s="10"/>
      <c r="X41" s="10"/>
    </row>
    <row r="42" customFormat="false" ht="19.5" hidden="false" customHeight="true" outlineLevel="0" collapsed="false">
      <c r="A42" s="567"/>
      <c r="B42" s="568"/>
      <c r="C42" s="645"/>
      <c r="D42" s="604" t="s">
        <v>1385</v>
      </c>
      <c r="E42" s="605"/>
      <c r="F42" s="606" t="n">
        <v>11648520</v>
      </c>
      <c r="G42" s="607" t="n">
        <f aca="false">E42-F42</f>
        <v>-11648520</v>
      </c>
      <c r="H42" s="608" t="n">
        <v>13252000</v>
      </c>
      <c r="I42" s="609" t="n">
        <v>30145946</v>
      </c>
      <c r="J42" s="607" t="n">
        <f aca="false">H42-I42</f>
        <v>-16893946</v>
      </c>
      <c r="K42" s="608"/>
      <c r="L42" s="611"/>
      <c r="M42" s="607" t="n">
        <f aca="false">K42-L42</f>
        <v>0</v>
      </c>
      <c r="N42" s="606"/>
      <c r="O42" s="606"/>
      <c r="P42" s="607" t="n">
        <f aca="false">N42-O42</f>
        <v>0</v>
      </c>
      <c r="Q42" s="610"/>
      <c r="R42" s="611"/>
      <c r="S42" s="613" t="n">
        <f aca="false">Q42-R42</f>
        <v>0</v>
      </c>
      <c r="T42" s="10"/>
      <c r="U42" s="10"/>
      <c r="V42" s="10"/>
      <c r="W42" s="10"/>
      <c r="X42" s="10"/>
    </row>
    <row r="43" customFormat="false" ht="19.5" hidden="false" customHeight="true" outlineLevel="0" collapsed="false">
      <c r="A43" s="567"/>
      <c r="B43" s="568"/>
      <c r="C43" s="645"/>
      <c r="D43" s="604" t="s">
        <v>79</v>
      </c>
      <c r="E43" s="605"/>
      <c r="F43" s="606"/>
      <c r="G43" s="607" t="n">
        <f aca="false">E43-F43</f>
        <v>0</v>
      </c>
      <c r="H43" s="616"/>
      <c r="I43" s="609"/>
      <c r="J43" s="617"/>
      <c r="K43" s="614" t="n">
        <f aca="false">決算精算表!A22</f>
        <v>10141337</v>
      </c>
      <c r="L43" s="611" t="n">
        <v>9574938</v>
      </c>
      <c r="M43" s="607" t="n">
        <f aca="false">K43-L43</f>
        <v>566399</v>
      </c>
      <c r="N43" s="606"/>
      <c r="O43" s="606" t="n">
        <v>6040584</v>
      </c>
      <c r="P43" s="607" t="n">
        <f aca="false">N43-O43</f>
        <v>-6040584</v>
      </c>
      <c r="Q43" s="610"/>
      <c r="R43" s="611" t="n">
        <v>6160420</v>
      </c>
      <c r="S43" s="613" t="n">
        <f aca="false">Q43-R43</f>
        <v>-6160420</v>
      </c>
      <c r="T43" s="10"/>
      <c r="U43" s="10"/>
      <c r="V43" s="10"/>
      <c r="W43" s="10"/>
      <c r="X43" s="10"/>
    </row>
    <row r="44" customFormat="false" ht="19.5" hidden="false" customHeight="true" outlineLevel="0" collapsed="false">
      <c r="A44" s="567"/>
      <c r="B44" s="568"/>
      <c r="C44" s="645"/>
      <c r="D44" s="646" t="s">
        <v>1386</v>
      </c>
      <c r="E44" s="605"/>
      <c r="F44" s="606"/>
      <c r="G44" s="607" t="n">
        <f aca="false">E44-F44</f>
        <v>0</v>
      </c>
      <c r="H44" s="616"/>
      <c r="I44" s="609"/>
      <c r="J44" s="617"/>
      <c r="K44" s="614" t="n">
        <f aca="false">SUM(決算精算表!A21:A36)-決算精算表!A22</f>
        <v>110982622</v>
      </c>
      <c r="L44" s="611" t="n">
        <v>101872292</v>
      </c>
      <c r="M44" s="607" t="n">
        <f aca="false">K44-L44</f>
        <v>9110330</v>
      </c>
      <c r="N44" s="606"/>
      <c r="O44" s="606" t="n">
        <v>608161999</v>
      </c>
      <c r="P44" s="607" t="n">
        <f aca="false">N44-O44</f>
        <v>-608161999</v>
      </c>
      <c r="Q44" s="610"/>
      <c r="R44" s="611" t="n">
        <v>11949705</v>
      </c>
      <c r="S44" s="613" t="n">
        <f aca="false">Q44-R44</f>
        <v>-11949705</v>
      </c>
      <c r="T44" s="10"/>
      <c r="U44" s="10"/>
      <c r="V44" s="10"/>
      <c r="W44" s="10"/>
      <c r="X44" s="10"/>
    </row>
    <row r="45" customFormat="false" ht="19.5" hidden="false" customHeight="true" outlineLevel="0" collapsed="false">
      <c r="A45" s="567"/>
      <c r="B45" s="568"/>
      <c r="C45" s="645"/>
      <c r="D45" s="634" t="s">
        <v>1387</v>
      </c>
      <c r="E45" s="624"/>
      <c r="F45" s="625"/>
      <c r="G45" s="635" t="n">
        <f aca="false">E45-F45</f>
        <v>0</v>
      </c>
      <c r="H45" s="626"/>
      <c r="I45" s="627"/>
      <c r="J45" s="628"/>
      <c r="K45" s="608"/>
      <c r="L45" s="611"/>
      <c r="M45" s="607" t="n">
        <f aca="false">K45-L45</f>
        <v>0</v>
      </c>
      <c r="N45" s="625"/>
      <c r="O45" s="625"/>
      <c r="P45" s="607" t="n">
        <f aca="false">N45-O45</f>
        <v>0</v>
      </c>
      <c r="Q45" s="631"/>
      <c r="R45" s="630"/>
      <c r="S45" s="632" t="n">
        <f aca="false">Q45-R45</f>
        <v>0</v>
      </c>
      <c r="T45" s="10"/>
      <c r="U45" s="10"/>
      <c r="V45" s="10"/>
      <c r="W45" s="10"/>
      <c r="X45" s="10"/>
    </row>
    <row r="46" customFormat="false" ht="19.5" hidden="false" customHeight="true" outlineLevel="0" collapsed="false">
      <c r="A46" s="567"/>
      <c r="B46" s="568"/>
      <c r="C46" s="645"/>
      <c r="D46" s="634" t="s">
        <v>1388</v>
      </c>
      <c r="E46" s="624"/>
      <c r="F46" s="625"/>
      <c r="G46" s="635" t="n">
        <f aca="false">E46-F46</f>
        <v>0</v>
      </c>
      <c r="H46" s="626"/>
      <c r="I46" s="627"/>
      <c r="J46" s="628"/>
      <c r="K46" s="608"/>
      <c r="L46" s="611"/>
      <c r="M46" s="607" t="n">
        <f aca="false">K46-L46</f>
        <v>0</v>
      </c>
      <c r="N46" s="625"/>
      <c r="O46" s="625"/>
      <c r="P46" s="635" t="n">
        <f aca="false">N46-O46</f>
        <v>0</v>
      </c>
      <c r="Q46" s="631"/>
      <c r="R46" s="630"/>
      <c r="S46" s="632" t="n">
        <f aca="false">Q46-R46</f>
        <v>0</v>
      </c>
      <c r="T46" s="10"/>
      <c r="U46" s="10"/>
      <c r="V46" s="10"/>
      <c r="W46" s="10"/>
      <c r="X46" s="10"/>
    </row>
    <row r="47" customFormat="false" ht="19.5" hidden="false" customHeight="true" outlineLevel="0" collapsed="false">
      <c r="A47" s="567"/>
      <c r="B47" s="568"/>
      <c r="C47" s="645"/>
      <c r="D47" s="634" t="s">
        <v>1098</v>
      </c>
      <c r="E47" s="624"/>
      <c r="F47" s="625" t="n">
        <v>0</v>
      </c>
      <c r="G47" s="635" t="n">
        <f aca="false">E47-F47</f>
        <v>0</v>
      </c>
      <c r="H47" s="626"/>
      <c r="I47" s="627"/>
      <c r="J47" s="628"/>
      <c r="K47" s="666" t="n">
        <f aca="false">決算精算表!A37</f>
        <v>0</v>
      </c>
      <c r="L47" s="611"/>
      <c r="M47" s="607" t="n">
        <f aca="false">K47-L47</f>
        <v>0</v>
      </c>
      <c r="N47" s="625"/>
      <c r="O47" s="625" t="n">
        <v>0</v>
      </c>
      <c r="P47" s="607" t="n">
        <f aca="false">N47-O47</f>
        <v>0</v>
      </c>
      <c r="Q47" s="608"/>
      <c r="R47" s="611"/>
      <c r="S47" s="613" t="n">
        <f aca="false">Q47-R47</f>
        <v>0</v>
      </c>
      <c r="T47" s="10"/>
      <c r="U47" s="10"/>
      <c r="V47" s="10"/>
      <c r="W47" s="10"/>
      <c r="X47" s="10"/>
    </row>
    <row r="48" customFormat="false" ht="19.5" hidden="false" customHeight="true" outlineLevel="0" collapsed="false">
      <c r="A48" s="567"/>
      <c r="B48" s="568"/>
      <c r="C48" s="645"/>
      <c r="D48" s="636" t="s">
        <v>1389</v>
      </c>
      <c r="E48" s="637"/>
      <c r="F48" s="638" t="n">
        <v>876229790</v>
      </c>
      <c r="G48" s="635" t="n">
        <f aca="false">E48-F48</f>
        <v>-876229790</v>
      </c>
      <c r="H48" s="631"/>
      <c r="I48" s="627"/>
      <c r="J48" s="628"/>
      <c r="K48" s="667"/>
      <c r="L48" s="668"/>
      <c r="M48" s="635" t="n">
        <f aca="false">K48-L48</f>
        <v>0</v>
      </c>
      <c r="N48" s="625"/>
      <c r="O48" s="625"/>
      <c r="P48" s="635" t="n">
        <f aca="false">N48-O48</f>
        <v>0</v>
      </c>
      <c r="Q48" s="640"/>
      <c r="R48" s="641"/>
      <c r="S48" s="632" t="n">
        <f aca="false">Q48-R48</f>
        <v>0</v>
      </c>
      <c r="T48" s="10"/>
      <c r="U48" s="10"/>
      <c r="V48" s="10"/>
      <c r="W48" s="10"/>
      <c r="X48" s="10"/>
    </row>
    <row r="49" customFormat="false" ht="28.5" hidden="false" customHeight="true" outlineLevel="0" collapsed="false">
      <c r="A49" s="567"/>
      <c r="B49" s="568"/>
      <c r="C49" s="669" t="s">
        <v>1390</v>
      </c>
      <c r="D49" s="669"/>
      <c r="E49" s="581" t="n">
        <f aca="false">SUM(E29:E48)</f>
        <v>0</v>
      </c>
      <c r="F49" s="644" t="n">
        <f aca="false">SUM(F29:F48)</f>
        <v>12539164712</v>
      </c>
      <c r="G49" s="583" t="n">
        <f aca="false">SUM(G29:G48)</f>
        <v>-12539164712</v>
      </c>
      <c r="H49" s="581" t="n">
        <f aca="false">SUM(H36:H48)</f>
        <v>9398399172</v>
      </c>
      <c r="I49" s="644" t="n">
        <f aca="false">SUM(I36:I48)</f>
        <v>18547871319</v>
      </c>
      <c r="J49" s="583" t="n">
        <f aca="false">SUM(J36:J48)</f>
        <v>-9149472147</v>
      </c>
      <c r="K49" s="585" t="n">
        <f aca="false">SUM(K29:K48)</f>
        <v>121123959</v>
      </c>
      <c r="L49" s="670" t="n">
        <f aca="false">SUM(L29:L48)</f>
        <v>111447230</v>
      </c>
      <c r="M49" s="583" t="n">
        <f aca="false">SUM(M29:M48)</f>
        <v>9676729</v>
      </c>
      <c r="N49" s="587" t="n">
        <f aca="false">SUM(N29:N48)</f>
        <v>0</v>
      </c>
      <c r="O49" s="587" t="n">
        <f aca="false">SUM(O29:O48)</f>
        <v>614202583</v>
      </c>
      <c r="P49" s="583" t="n">
        <f aca="false">SUM(P29:P48)</f>
        <v>-614202583</v>
      </c>
      <c r="Q49" s="585" t="n">
        <f aca="false">SUM(Q29:Q48)</f>
        <v>0</v>
      </c>
      <c r="R49" s="587" t="n">
        <f aca="false">SUM(R29:R48)</f>
        <v>18110125</v>
      </c>
      <c r="S49" s="590" t="n">
        <f aca="false">SUM(S29:S48)</f>
        <v>-18110125</v>
      </c>
      <c r="T49" s="10"/>
      <c r="U49" s="10"/>
      <c r="V49" s="10"/>
      <c r="W49" s="10"/>
      <c r="X49" s="10"/>
    </row>
    <row r="50" customFormat="false" ht="28.5" hidden="false" customHeight="true" outlineLevel="0" collapsed="false">
      <c r="A50" s="567"/>
      <c r="B50" s="568"/>
      <c r="C50" s="671" t="s">
        <v>1391</v>
      </c>
      <c r="D50" s="671"/>
      <c r="E50" s="672" t="n">
        <f aca="false">E28-E49</f>
        <v>0</v>
      </c>
      <c r="F50" s="673" t="n">
        <f aca="false">F28-F49</f>
        <v>824180510</v>
      </c>
      <c r="G50" s="595" t="n">
        <f aca="false">E50-F50</f>
        <v>-824180510</v>
      </c>
      <c r="H50" s="672" t="n">
        <f aca="false">H28-H49</f>
        <v>944336817</v>
      </c>
      <c r="I50" s="673" t="n">
        <f aca="false">I28-I49</f>
        <v>669911578</v>
      </c>
      <c r="J50" s="595" t="n">
        <f aca="false">H50-I50</f>
        <v>274425239</v>
      </c>
      <c r="K50" s="674" t="n">
        <f aca="false">K28-K49</f>
        <v>3603510</v>
      </c>
      <c r="L50" s="675" t="n">
        <f aca="false">L28-L49</f>
        <v>4500788</v>
      </c>
      <c r="M50" s="595" t="n">
        <f aca="false">K50-L50</f>
        <v>-897278</v>
      </c>
      <c r="N50" s="676" t="n">
        <f aca="false">N28-N49</f>
        <v>0</v>
      </c>
      <c r="O50" s="676" t="n">
        <f aca="false">O28-O49</f>
        <v>-5288221</v>
      </c>
      <c r="P50" s="595" t="n">
        <f aca="false">N50-O50</f>
        <v>5288221</v>
      </c>
      <c r="Q50" s="674" t="n">
        <f aca="false">Q28-Q49</f>
        <v>0</v>
      </c>
      <c r="R50" s="676" t="n">
        <f aca="false">R28-R49</f>
        <v>-5354125</v>
      </c>
      <c r="S50" s="603" t="n">
        <f aca="false">Q50-R50</f>
        <v>5354125</v>
      </c>
      <c r="T50" s="10"/>
      <c r="U50" s="10"/>
      <c r="V50" s="10"/>
      <c r="W50" s="10"/>
      <c r="X50" s="10"/>
    </row>
    <row r="51" customFormat="false" ht="28.5" hidden="false" customHeight="true" outlineLevel="0" collapsed="false">
      <c r="A51" s="567"/>
      <c r="B51" s="568"/>
      <c r="C51" s="677" t="s">
        <v>1392</v>
      </c>
      <c r="D51" s="677"/>
      <c r="E51" s="678" t="n">
        <f aca="false">E6+E50</f>
        <v>2237365593</v>
      </c>
      <c r="F51" s="679" t="n">
        <f aca="false">F6+F50</f>
        <v>2237365593</v>
      </c>
      <c r="G51" s="680" t="n">
        <f aca="false">E51-F51</f>
        <v>0</v>
      </c>
      <c r="H51" s="678" t="n">
        <f aca="false">H6+H50</f>
        <v>116214028015</v>
      </c>
      <c r="I51" s="679" t="n">
        <f aca="false">I6+I50</f>
        <v>115269691198</v>
      </c>
      <c r="J51" s="680" t="n">
        <f aca="false">H51-I51</f>
        <v>944336817</v>
      </c>
      <c r="K51" s="681" t="n">
        <f aca="false">K6+K50</f>
        <v>74697421</v>
      </c>
      <c r="L51" s="682" t="n">
        <f aca="false">L6+L50</f>
        <v>71093911</v>
      </c>
      <c r="M51" s="680" t="n">
        <f aca="false">K51-L51</f>
        <v>3603510</v>
      </c>
      <c r="N51" s="683" t="n">
        <f aca="false">N6+N50</f>
        <v>270947604</v>
      </c>
      <c r="O51" s="683" t="n">
        <f aca="false">O6+O50</f>
        <v>270947604</v>
      </c>
      <c r="P51" s="680" t="n">
        <f aca="false">N51-O51</f>
        <v>0</v>
      </c>
      <c r="Q51" s="681" t="n">
        <f aca="false">Q6+Q50</f>
        <v>1961052168</v>
      </c>
      <c r="R51" s="683" t="n">
        <f aca="false">R6+R50</f>
        <v>1961052168</v>
      </c>
      <c r="S51" s="684" t="n">
        <f aca="false">Q51-R51</f>
        <v>0</v>
      </c>
      <c r="T51" s="10"/>
      <c r="U51" s="10"/>
      <c r="V51" s="10"/>
      <c r="W51" s="10"/>
      <c r="X51" s="10"/>
    </row>
    <row r="52" customFormat="false" ht="23.25" hidden="false" customHeight="true" outlineLevel="0" collapsed="false">
      <c r="A52" s="10"/>
      <c r="B52" s="10"/>
      <c r="C52" s="10"/>
      <c r="D52" s="685"/>
      <c r="E52" s="10"/>
      <c r="F52" s="10"/>
      <c r="G52" s="10"/>
      <c r="H52" s="10"/>
      <c r="I52" s="10"/>
      <c r="J52" s="10"/>
      <c r="K52" s="10"/>
      <c r="L52" s="10"/>
      <c r="M52" s="10"/>
      <c r="N52" s="10"/>
      <c r="O52" s="10"/>
      <c r="P52" s="10"/>
      <c r="Q52" s="10"/>
      <c r="R52" s="10"/>
      <c r="S52" s="10"/>
      <c r="T52" s="10"/>
      <c r="U52" s="10"/>
      <c r="V52" s="10"/>
      <c r="W52" s="10"/>
      <c r="X52" s="10"/>
    </row>
    <row r="53" customFormat="false" ht="23.25" hidden="false" customHeight="true" outlineLevel="0" collapsed="false">
      <c r="A53" s="10"/>
      <c r="B53" s="10"/>
      <c r="C53" s="10"/>
      <c r="D53" s="685"/>
      <c r="E53" s="686" t="n">
        <v>2569892204</v>
      </c>
      <c r="F53" s="10"/>
      <c r="G53" s="10"/>
      <c r="H53" s="10"/>
      <c r="I53" s="10"/>
      <c r="J53" s="10"/>
      <c r="K53" s="10"/>
      <c r="L53" s="10"/>
      <c r="M53" s="10"/>
      <c r="N53" s="687" t="n">
        <v>521829447</v>
      </c>
      <c r="O53" s="10"/>
      <c r="P53" s="10"/>
      <c r="Q53" s="10"/>
      <c r="R53" s="10"/>
      <c r="S53" s="10"/>
      <c r="T53" s="10"/>
      <c r="U53" s="10"/>
      <c r="V53" s="10"/>
      <c r="W53" s="10"/>
      <c r="X53" s="10"/>
    </row>
    <row r="54" customFormat="false" ht="23.25" hidden="false" customHeight="true" outlineLevel="0" collapsed="false">
      <c r="A54" s="10"/>
      <c r="B54" s="10"/>
      <c r="C54" s="10"/>
      <c r="D54" s="688" t="s">
        <v>1393</v>
      </c>
      <c r="E54" s="689" t="n">
        <f aca="false">SUM(E29:E41)</f>
        <v>0</v>
      </c>
      <c r="F54" s="10"/>
      <c r="G54" s="10"/>
      <c r="H54" s="10"/>
      <c r="I54" s="10"/>
      <c r="J54" s="10"/>
      <c r="K54" s="10"/>
      <c r="L54" s="10"/>
      <c r="M54" s="10"/>
      <c r="N54" s="10"/>
      <c r="O54" s="10"/>
      <c r="P54" s="10"/>
      <c r="Q54" s="10"/>
      <c r="R54" s="10"/>
      <c r="S54" s="10"/>
      <c r="T54" s="10"/>
      <c r="U54" s="10"/>
      <c r="V54" s="10"/>
      <c r="W54" s="10"/>
      <c r="X54" s="10"/>
    </row>
    <row r="55" customFormat="false" ht="23.25" hidden="false" customHeight="true" outlineLevel="0" collapsed="false">
      <c r="A55" s="10"/>
      <c r="B55" s="10"/>
      <c r="C55" s="10"/>
      <c r="D55" s="685"/>
      <c r="E55" s="10"/>
      <c r="F55" s="10"/>
      <c r="G55" s="10"/>
      <c r="H55" s="10"/>
      <c r="I55" s="10"/>
      <c r="J55" s="10"/>
      <c r="K55" s="10"/>
      <c r="L55" s="10"/>
      <c r="M55" s="10"/>
      <c r="N55" s="10"/>
      <c r="O55" s="10"/>
      <c r="P55" s="10"/>
      <c r="Q55" s="10"/>
      <c r="R55" s="10"/>
      <c r="S55" s="10"/>
      <c r="T55" s="10"/>
      <c r="U55" s="10"/>
      <c r="V55" s="10"/>
      <c r="W55" s="10"/>
      <c r="X55" s="10"/>
    </row>
    <row r="56" customFormat="false" ht="23.25" hidden="false" customHeight="true" outlineLevel="0" collapsed="false">
      <c r="A56" s="10"/>
      <c r="B56" s="10"/>
      <c r="C56" s="10"/>
      <c r="D56" s="685"/>
      <c r="E56" s="10"/>
      <c r="F56" s="10"/>
      <c r="G56" s="10"/>
      <c r="H56" s="10"/>
      <c r="I56" s="10"/>
      <c r="J56" s="10"/>
      <c r="K56" s="10"/>
      <c r="L56" s="10"/>
      <c r="M56" s="10"/>
      <c r="N56" s="10"/>
      <c r="O56" s="10"/>
      <c r="P56" s="10"/>
      <c r="Q56" s="10"/>
      <c r="R56" s="10"/>
      <c r="S56" s="10"/>
      <c r="T56" s="10"/>
      <c r="U56" s="10"/>
      <c r="V56" s="10"/>
      <c r="W56" s="10"/>
      <c r="X56" s="10"/>
    </row>
    <row r="57" customFormat="false" ht="17.25" hidden="false" customHeight="true" outlineLevel="0" collapsed="false">
      <c r="A57" s="10"/>
      <c r="B57" s="10"/>
      <c r="C57" s="10"/>
      <c r="D57" s="685"/>
      <c r="E57" s="10"/>
      <c r="F57" s="10"/>
      <c r="G57" s="566" t="s">
        <v>1394</v>
      </c>
      <c r="H57" s="463" t="s">
        <v>1384</v>
      </c>
      <c r="I57" s="690" t="s">
        <v>1395</v>
      </c>
      <c r="J57" s="690"/>
      <c r="K57" s="690"/>
      <c r="L57" s="690"/>
      <c r="M57" s="690"/>
      <c r="N57" s="690"/>
      <c r="O57" s="10"/>
      <c r="P57" s="10"/>
      <c r="Q57" s="10"/>
      <c r="R57" s="10"/>
      <c r="S57" s="10"/>
      <c r="T57" s="10"/>
      <c r="U57" s="10"/>
      <c r="V57" s="10"/>
      <c r="W57" s="10"/>
      <c r="X57" s="10"/>
    </row>
    <row r="58" customFormat="false" ht="17.25" hidden="false" customHeight="true" outlineLevel="0" collapsed="false">
      <c r="A58" s="10"/>
      <c r="B58" s="10"/>
      <c r="C58" s="10"/>
      <c r="D58" s="691"/>
      <c r="E58" s="10"/>
      <c r="F58" s="10"/>
      <c r="G58" s="566" t="s">
        <v>1396</v>
      </c>
      <c r="H58" s="463" t="s">
        <v>1386</v>
      </c>
      <c r="I58" s="690"/>
      <c r="J58" s="690"/>
      <c r="K58" s="690"/>
      <c r="L58" s="690"/>
      <c r="M58" s="690"/>
      <c r="N58" s="690"/>
      <c r="O58" s="691"/>
      <c r="P58" s="691"/>
      <c r="Q58" s="10"/>
      <c r="R58" s="10"/>
      <c r="S58" s="10"/>
      <c r="T58" s="10"/>
      <c r="U58" s="10"/>
      <c r="V58" s="10"/>
      <c r="W58" s="10"/>
      <c r="X58" s="10"/>
    </row>
    <row r="59" customFormat="false" ht="17.25" hidden="false" customHeight="true" outlineLevel="0" collapsed="false">
      <c r="A59" s="10"/>
      <c r="B59" s="10"/>
      <c r="C59" s="10"/>
      <c r="D59" s="685"/>
      <c r="E59" s="10"/>
      <c r="F59" s="10"/>
      <c r="G59" s="692"/>
      <c r="H59" s="10"/>
      <c r="I59" s="10"/>
      <c r="J59" s="10"/>
      <c r="K59" s="685"/>
      <c r="L59" s="685"/>
      <c r="M59" s="685"/>
      <c r="N59" s="685"/>
      <c r="O59" s="685"/>
      <c r="P59" s="685"/>
      <c r="Q59" s="10"/>
      <c r="R59" s="10"/>
      <c r="S59" s="10"/>
      <c r="T59" s="10"/>
      <c r="U59" s="10"/>
      <c r="V59" s="10"/>
      <c r="W59" s="10"/>
      <c r="X59" s="10"/>
    </row>
    <row r="60" customFormat="false" ht="17.25" hidden="false" customHeight="true" outlineLevel="0" collapsed="false">
      <c r="A60" s="10"/>
      <c r="B60" s="10"/>
      <c r="C60" s="10"/>
      <c r="D60" s="685"/>
      <c r="E60" s="10"/>
      <c r="F60" s="10"/>
      <c r="G60" s="10"/>
      <c r="H60" s="10"/>
      <c r="I60" s="10"/>
      <c r="J60" s="10"/>
      <c r="K60" s="685"/>
      <c r="L60" s="685"/>
      <c r="M60" s="685"/>
      <c r="N60" s="685"/>
      <c r="O60" s="685"/>
      <c r="P60" s="685"/>
      <c r="Q60" s="10"/>
      <c r="R60" s="10"/>
      <c r="S60" s="10"/>
      <c r="T60" s="10"/>
      <c r="U60" s="10"/>
      <c r="V60" s="10"/>
      <c r="W60" s="10"/>
      <c r="X60" s="10"/>
    </row>
    <row r="61" customFormat="false" ht="17.25" hidden="false" customHeight="true" outlineLevel="0" collapsed="false">
      <c r="A61" s="10"/>
      <c r="B61" s="10"/>
      <c r="C61" s="10"/>
      <c r="D61" s="685"/>
      <c r="E61" s="10"/>
      <c r="F61" s="10"/>
      <c r="G61" s="10"/>
      <c r="H61" s="10"/>
      <c r="I61" s="10"/>
      <c r="J61" s="10"/>
      <c r="K61" s="10"/>
      <c r="L61" s="10"/>
      <c r="M61" s="10"/>
      <c r="N61" s="10"/>
      <c r="O61" s="10"/>
      <c r="P61" s="10"/>
      <c r="Q61" s="10"/>
      <c r="R61" s="10"/>
      <c r="S61" s="10"/>
      <c r="T61" s="10"/>
      <c r="U61" s="10"/>
      <c r="V61" s="10"/>
      <c r="W61" s="10"/>
      <c r="X61" s="10"/>
    </row>
    <row r="62" customFormat="false" ht="17.25" hidden="false" customHeight="true" outlineLevel="0" collapsed="false">
      <c r="A62" s="10"/>
      <c r="B62" s="10"/>
      <c r="C62" s="10"/>
      <c r="D62" s="685"/>
      <c r="E62" s="10"/>
      <c r="F62" s="10"/>
      <c r="G62" s="10"/>
      <c r="H62" s="10"/>
      <c r="I62" s="10"/>
      <c r="J62" s="10"/>
      <c r="K62" s="10"/>
      <c r="L62" s="10"/>
      <c r="M62" s="10"/>
      <c r="N62" s="10"/>
      <c r="O62" s="10"/>
      <c r="P62" s="10"/>
      <c r="Q62" s="10"/>
      <c r="R62" s="10"/>
      <c r="S62" s="10"/>
      <c r="T62" s="10"/>
      <c r="U62" s="10"/>
      <c r="V62" s="10"/>
      <c r="W62" s="10"/>
      <c r="X62" s="10"/>
    </row>
    <row r="63" customFormat="false" ht="17.25" hidden="false" customHeight="true" outlineLevel="0" collapsed="false">
      <c r="A63" s="10"/>
      <c r="B63" s="10"/>
      <c r="C63" s="10"/>
      <c r="D63" s="685"/>
      <c r="E63" s="10"/>
      <c r="F63" s="10"/>
      <c r="G63" s="10"/>
      <c r="H63" s="10"/>
      <c r="I63" s="10"/>
      <c r="J63" s="10"/>
      <c r="K63" s="10"/>
      <c r="L63" s="10"/>
      <c r="M63" s="10"/>
      <c r="N63" s="10"/>
      <c r="O63" s="10"/>
      <c r="P63" s="10"/>
      <c r="Q63" s="10"/>
      <c r="R63" s="10"/>
      <c r="S63" s="10"/>
      <c r="T63" s="10"/>
      <c r="U63" s="10"/>
      <c r="V63" s="10"/>
      <c r="W63" s="10"/>
      <c r="X63" s="10"/>
    </row>
    <row r="64" customFormat="false" ht="17.25" hidden="false" customHeight="true" outlineLevel="0" collapsed="false">
      <c r="A64" s="10"/>
      <c r="B64" s="10"/>
      <c r="C64" s="10"/>
      <c r="D64" s="685"/>
      <c r="E64" s="10"/>
      <c r="F64" s="10"/>
      <c r="G64" s="10"/>
      <c r="H64" s="10"/>
      <c r="I64" s="10"/>
      <c r="J64" s="10"/>
      <c r="K64" s="10"/>
      <c r="L64" s="10"/>
      <c r="M64" s="10"/>
      <c r="N64" s="10"/>
      <c r="O64" s="10"/>
      <c r="P64" s="10"/>
      <c r="Q64" s="10"/>
      <c r="R64" s="10"/>
      <c r="S64" s="10"/>
      <c r="T64" s="10"/>
      <c r="U64" s="10"/>
      <c r="V64" s="10"/>
      <c r="W64" s="10"/>
      <c r="X64" s="10"/>
    </row>
    <row r="65" customFormat="false" ht="17.25" hidden="false" customHeight="true" outlineLevel="0" collapsed="false">
      <c r="A65" s="10"/>
      <c r="B65" s="10"/>
      <c r="C65" s="10"/>
      <c r="D65" s="685"/>
      <c r="E65" s="10"/>
      <c r="F65" s="10"/>
      <c r="G65" s="10"/>
      <c r="H65" s="10"/>
      <c r="I65" s="10"/>
      <c r="J65" s="10"/>
      <c r="K65" s="10"/>
      <c r="L65" s="10"/>
      <c r="M65" s="10"/>
      <c r="N65" s="10"/>
      <c r="O65" s="10"/>
      <c r="P65" s="10"/>
      <c r="Q65" s="10"/>
      <c r="R65" s="10"/>
      <c r="S65" s="10"/>
      <c r="T65" s="10"/>
      <c r="U65" s="10"/>
      <c r="V65" s="10"/>
      <c r="W65" s="10"/>
      <c r="X65" s="10"/>
    </row>
    <row r="66" customFormat="false" ht="17.25" hidden="false" customHeight="true" outlineLevel="0" collapsed="false">
      <c r="A66" s="10"/>
      <c r="B66" s="10"/>
      <c r="C66" s="10"/>
      <c r="D66" s="685"/>
      <c r="E66" s="10"/>
      <c r="F66" s="10"/>
      <c r="G66" s="10"/>
      <c r="H66" s="10"/>
      <c r="I66" s="10"/>
      <c r="J66" s="10"/>
      <c r="K66" s="10"/>
      <c r="L66" s="10"/>
      <c r="M66" s="10"/>
      <c r="N66" s="10"/>
      <c r="O66" s="10"/>
      <c r="P66" s="10"/>
      <c r="Q66" s="10"/>
      <c r="R66" s="10"/>
      <c r="S66" s="10"/>
      <c r="T66" s="10"/>
      <c r="U66" s="10"/>
      <c r="V66" s="10"/>
      <c r="W66" s="10"/>
      <c r="X66" s="10"/>
    </row>
    <row r="67" customFormat="false" ht="17.25" hidden="false" customHeight="true" outlineLevel="0" collapsed="false">
      <c r="A67" s="10"/>
      <c r="B67" s="10"/>
      <c r="C67" s="10"/>
      <c r="D67" s="685"/>
      <c r="E67" s="10"/>
      <c r="F67" s="10"/>
      <c r="G67" s="10"/>
      <c r="H67" s="10"/>
      <c r="I67" s="10"/>
      <c r="J67" s="10"/>
      <c r="K67" s="10"/>
      <c r="L67" s="10"/>
      <c r="M67" s="10"/>
      <c r="N67" s="10"/>
      <c r="O67" s="10"/>
      <c r="P67" s="10"/>
      <c r="Q67" s="10"/>
      <c r="R67" s="10"/>
      <c r="S67" s="10"/>
      <c r="T67" s="10"/>
      <c r="U67" s="10"/>
      <c r="V67" s="10"/>
      <c r="W67" s="10"/>
      <c r="X67" s="10"/>
    </row>
    <row r="68" customFormat="false" ht="17.25" hidden="false" customHeight="true" outlineLevel="0" collapsed="false">
      <c r="A68" s="10"/>
      <c r="B68" s="10"/>
      <c r="C68" s="10"/>
      <c r="D68" s="685"/>
      <c r="E68" s="10"/>
      <c r="F68" s="10"/>
      <c r="G68" s="10"/>
      <c r="H68" s="10"/>
      <c r="I68" s="10"/>
      <c r="J68" s="10"/>
      <c r="K68" s="10"/>
      <c r="L68" s="10"/>
      <c r="M68" s="10"/>
      <c r="N68" s="10"/>
      <c r="O68" s="10"/>
      <c r="P68" s="10"/>
      <c r="Q68" s="10"/>
      <c r="R68" s="10"/>
      <c r="S68" s="10"/>
      <c r="T68" s="10"/>
      <c r="U68" s="10"/>
      <c r="V68" s="10"/>
      <c r="W68" s="10"/>
      <c r="X68" s="10"/>
    </row>
    <row r="69" customFormat="false" ht="17.25" hidden="false" customHeight="true" outlineLevel="0" collapsed="false">
      <c r="A69" s="10"/>
      <c r="B69" s="10"/>
      <c r="C69" s="10"/>
      <c r="D69" s="685"/>
      <c r="E69" s="10"/>
      <c r="F69" s="10"/>
      <c r="G69" s="10"/>
      <c r="H69" s="10"/>
      <c r="I69" s="10"/>
      <c r="J69" s="10"/>
      <c r="K69" s="10"/>
      <c r="L69" s="10"/>
      <c r="M69" s="10"/>
      <c r="N69" s="10"/>
      <c r="O69" s="10"/>
      <c r="P69" s="10"/>
      <c r="Q69" s="10"/>
      <c r="R69" s="10"/>
      <c r="S69" s="10"/>
      <c r="T69" s="10"/>
      <c r="U69" s="10"/>
      <c r="V69" s="10"/>
      <c r="W69" s="10"/>
      <c r="X69" s="10"/>
    </row>
    <row r="70" customFormat="false" ht="17.25" hidden="false" customHeight="true" outlineLevel="0" collapsed="false">
      <c r="A70" s="10"/>
      <c r="B70" s="10"/>
      <c r="C70" s="10"/>
      <c r="D70" s="685"/>
      <c r="E70" s="10"/>
      <c r="F70" s="10"/>
      <c r="G70" s="10"/>
      <c r="H70" s="10"/>
      <c r="I70" s="10"/>
      <c r="J70" s="10"/>
      <c r="K70" s="10"/>
      <c r="L70" s="10"/>
      <c r="M70" s="10"/>
      <c r="N70" s="10"/>
      <c r="O70" s="10"/>
      <c r="P70" s="10"/>
      <c r="Q70" s="10"/>
      <c r="R70" s="10"/>
      <c r="S70" s="10"/>
      <c r="T70" s="10"/>
      <c r="U70" s="10"/>
      <c r="V70" s="10"/>
      <c r="W70" s="10"/>
      <c r="X70" s="10"/>
    </row>
    <row r="71" customFormat="false" ht="17.25" hidden="false" customHeight="true" outlineLevel="0" collapsed="false">
      <c r="A71" s="10"/>
      <c r="B71" s="10"/>
      <c r="C71" s="10"/>
      <c r="D71" s="691"/>
      <c r="E71" s="10"/>
      <c r="F71" s="10"/>
      <c r="G71" s="10"/>
      <c r="H71" s="10"/>
      <c r="I71" s="10"/>
      <c r="J71" s="10"/>
      <c r="K71" s="691"/>
      <c r="L71" s="691"/>
      <c r="M71" s="691"/>
      <c r="N71" s="691"/>
      <c r="O71" s="691"/>
      <c r="P71" s="691"/>
      <c r="Q71" s="10"/>
      <c r="R71" s="10"/>
      <c r="S71" s="10"/>
      <c r="T71" s="10"/>
      <c r="U71" s="10"/>
      <c r="V71" s="10"/>
      <c r="W71" s="10"/>
      <c r="X71" s="10"/>
    </row>
    <row r="72" customFormat="false" ht="17.25" hidden="false" customHeight="true" outlineLevel="0" collapsed="false">
      <c r="A72" s="10"/>
      <c r="B72" s="10"/>
      <c r="C72" s="10"/>
      <c r="D72" s="685"/>
      <c r="E72" s="10"/>
      <c r="F72" s="10"/>
      <c r="G72" s="10"/>
      <c r="H72" s="10"/>
      <c r="I72" s="10"/>
      <c r="J72" s="10"/>
      <c r="K72" s="685"/>
      <c r="L72" s="685"/>
      <c r="M72" s="685"/>
      <c r="N72" s="685"/>
      <c r="O72" s="685"/>
      <c r="P72" s="685"/>
      <c r="Q72" s="10"/>
      <c r="R72" s="10"/>
      <c r="S72" s="10"/>
      <c r="T72" s="10"/>
      <c r="U72" s="10"/>
      <c r="V72" s="10"/>
      <c r="W72" s="10"/>
      <c r="X72" s="10"/>
    </row>
    <row r="73" customFormat="false" ht="17.25" hidden="false" customHeight="true" outlineLevel="0" collapsed="false">
      <c r="A73" s="10"/>
      <c r="B73" s="10"/>
      <c r="C73" s="10"/>
      <c r="D73" s="685"/>
      <c r="E73" s="10"/>
      <c r="F73" s="10"/>
      <c r="G73" s="10"/>
      <c r="H73" s="10"/>
      <c r="I73" s="10"/>
      <c r="J73" s="10"/>
      <c r="K73" s="685"/>
      <c r="L73" s="685"/>
      <c r="M73" s="685"/>
      <c r="N73" s="685"/>
      <c r="O73" s="685"/>
      <c r="P73" s="685"/>
      <c r="Q73" s="10"/>
      <c r="R73" s="10"/>
      <c r="S73" s="10"/>
      <c r="T73" s="10"/>
      <c r="U73" s="10"/>
      <c r="V73" s="10"/>
      <c r="W73" s="10"/>
      <c r="X73" s="10"/>
    </row>
    <row r="74" customFormat="false" ht="17.25" hidden="false" customHeight="true" outlineLevel="0" collapsed="false">
      <c r="A74" s="10"/>
      <c r="B74" s="10"/>
      <c r="C74" s="10"/>
      <c r="D74" s="10"/>
      <c r="E74" s="10"/>
      <c r="F74" s="10"/>
      <c r="G74" s="10"/>
      <c r="H74" s="10"/>
      <c r="I74" s="10"/>
      <c r="J74" s="10"/>
      <c r="K74" s="10"/>
      <c r="L74" s="10"/>
      <c r="M74" s="10"/>
      <c r="N74" s="10"/>
      <c r="O74" s="10"/>
      <c r="P74" s="10"/>
      <c r="Q74" s="10"/>
      <c r="R74" s="10"/>
      <c r="S74" s="10"/>
      <c r="T74" s="10"/>
      <c r="U74" s="10"/>
      <c r="V74" s="10"/>
      <c r="W74" s="10"/>
      <c r="X74" s="10"/>
    </row>
    <row r="75" customFormat="false" ht="17.25" hidden="false" customHeight="true" outlineLevel="0" collapsed="false">
      <c r="A75" s="10"/>
      <c r="B75" s="10"/>
      <c r="C75" s="10"/>
      <c r="D75" s="685"/>
      <c r="E75" s="10"/>
      <c r="F75" s="10"/>
      <c r="G75" s="10"/>
      <c r="H75" s="10"/>
      <c r="I75" s="10"/>
      <c r="J75" s="10"/>
      <c r="K75" s="685"/>
      <c r="L75" s="685"/>
      <c r="M75" s="685"/>
      <c r="N75" s="685"/>
      <c r="O75" s="685"/>
      <c r="P75" s="685"/>
      <c r="Q75" s="10"/>
      <c r="R75" s="10"/>
      <c r="S75" s="10"/>
      <c r="T75" s="10"/>
      <c r="U75" s="10"/>
      <c r="V75" s="10"/>
      <c r="W75" s="10"/>
      <c r="X75" s="10"/>
    </row>
    <row r="76" customFormat="false" ht="17.25" hidden="false" customHeight="true" outlineLevel="0" collapsed="false"/>
    <row r="77" customFormat="false" ht="17.25" hidden="false" customHeight="true" outlineLevel="0" collapsed="false"/>
  </sheetData>
  <sheetProtection sheet="true" formatCells="false" formatColumns="false" formatRows="false" sort="false" autoFilter="false"/>
  <mergeCells count="17">
    <mergeCell ref="C1:S1"/>
    <mergeCell ref="A4:A51"/>
    <mergeCell ref="B4:B51"/>
    <mergeCell ref="C4:D5"/>
    <mergeCell ref="E4:G4"/>
    <mergeCell ref="H4:J4"/>
    <mergeCell ref="K4:M4"/>
    <mergeCell ref="N4:P4"/>
    <mergeCell ref="Q4:S4"/>
    <mergeCell ref="C6:D6"/>
    <mergeCell ref="C7:C27"/>
    <mergeCell ref="C28:D28"/>
    <mergeCell ref="C29:C48"/>
    <mergeCell ref="C49:D49"/>
    <mergeCell ref="C50:D50"/>
    <mergeCell ref="C51:D51"/>
    <mergeCell ref="I57:N5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5" zeroHeight="false" outlineLevelRow="0" outlineLevelCol="0"/>
  <cols>
    <col collapsed="false" customWidth="true" hidden="false" outlineLevel="0" max="1" min="1" style="0" width="4.42"/>
    <col collapsed="false" customWidth="true" hidden="false" outlineLevel="0" max="2" min="2" style="0" width="1.42"/>
    <col collapsed="false" customWidth="true" hidden="false" outlineLevel="0" max="3" min="3" style="0" width="2.28"/>
    <col collapsed="false" customWidth="true" hidden="false" outlineLevel="0" max="4" min="4" style="0" width="20.99"/>
    <col collapsed="false" customWidth="true" hidden="false" outlineLevel="0" max="7" min="5" style="0" width="20.71"/>
    <col collapsed="false" customWidth="true" hidden="true" outlineLevel="0" max="8" min="8" style="0" width="17.7"/>
    <col collapsed="false" customWidth="true" hidden="true" outlineLevel="0" max="9" min="9" style="0" width="17.57"/>
    <col collapsed="false" customWidth="true" hidden="true" outlineLevel="0" max="10" min="10" style="0" width="16.71"/>
    <col collapsed="false" customWidth="true" hidden="false" outlineLevel="0" max="19" min="11" style="0" width="20.71"/>
    <col collapsed="false" customWidth="true" hidden="false" outlineLevel="0" max="257" min="20" style="0" width="17.85"/>
  </cols>
  <sheetData>
    <row r="1" customFormat="false" ht="24" hidden="false" customHeight="true" outlineLevel="0" collapsed="false">
      <c r="A1" s="10"/>
      <c r="B1" s="10"/>
      <c r="C1" s="693" t="str">
        <f aca="false">'○総括　5～6 (メモなし)'!C1:S1</f>
        <v>令和６年度決算総括表</v>
      </c>
      <c r="D1" s="693"/>
      <c r="E1" s="693"/>
      <c r="F1" s="693"/>
      <c r="G1" s="693"/>
      <c r="H1" s="693"/>
      <c r="I1" s="693"/>
      <c r="J1" s="693"/>
      <c r="K1" s="693"/>
      <c r="L1" s="693"/>
      <c r="M1" s="693"/>
      <c r="N1" s="693"/>
      <c r="O1" s="693"/>
      <c r="P1" s="693"/>
      <c r="Q1" s="693"/>
      <c r="R1" s="693"/>
      <c r="S1" s="693"/>
      <c r="T1" s="10"/>
      <c r="U1" s="10"/>
      <c r="V1" s="10"/>
      <c r="W1" s="10"/>
      <c r="X1" s="10"/>
      <c r="Y1" s="10"/>
      <c r="Z1" s="10"/>
      <c r="AA1" s="10"/>
      <c r="AB1" s="10"/>
      <c r="AC1" s="10"/>
      <c r="AD1" s="10"/>
      <c r="AE1" s="10"/>
    </row>
    <row r="2" customFormat="false" ht="76.5" hidden="false" customHeight="true" outlineLevel="0" collapsed="false">
      <c r="A2" s="10"/>
      <c r="B2" s="10"/>
      <c r="C2" s="565"/>
      <c r="D2" s="565"/>
      <c r="E2" s="565"/>
      <c r="F2" s="565"/>
      <c r="G2" s="565"/>
      <c r="H2" s="565"/>
      <c r="I2" s="565"/>
      <c r="J2" s="565"/>
      <c r="K2" s="565"/>
      <c r="L2" s="565"/>
      <c r="M2" s="10"/>
      <c r="N2" s="565"/>
      <c r="O2" s="565"/>
      <c r="P2" s="565"/>
      <c r="Q2" s="565"/>
      <c r="R2" s="565"/>
      <c r="S2" s="565"/>
      <c r="T2" s="10"/>
      <c r="U2" s="10"/>
      <c r="V2" s="10"/>
      <c r="W2" s="10"/>
      <c r="X2" s="565"/>
      <c r="Y2" s="10"/>
      <c r="Z2" s="10"/>
      <c r="AA2" s="10"/>
      <c r="AB2" s="10"/>
      <c r="AC2" s="10"/>
      <c r="AD2" s="10"/>
      <c r="AE2" s="10"/>
    </row>
    <row r="3" customFormat="false" ht="14.25" hidden="false" customHeight="true" outlineLevel="0" collapsed="false">
      <c r="A3" s="10"/>
      <c r="B3" s="10"/>
      <c r="C3" s="565"/>
      <c r="D3" s="565"/>
      <c r="E3" s="565"/>
      <c r="F3" s="565"/>
      <c r="G3" s="565"/>
      <c r="H3" s="565"/>
      <c r="I3" s="565"/>
      <c r="J3" s="565"/>
      <c r="K3" s="565"/>
      <c r="L3" s="565"/>
      <c r="M3" s="565"/>
      <c r="N3" s="565"/>
      <c r="O3" s="565"/>
      <c r="P3" s="565"/>
      <c r="Q3" s="565"/>
      <c r="R3" s="565"/>
      <c r="S3" s="566" t="s">
        <v>1283</v>
      </c>
      <c r="T3" s="10"/>
      <c r="U3" s="10"/>
      <c r="V3" s="10"/>
      <c r="W3" s="10"/>
      <c r="X3" s="10"/>
      <c r="Y3" s="10"/>
      <c r="Z3" s="10"/>
      <c r="AA3" s="10"/>
      <c r="AB3" s="10"/>
      <c r="AC3" s="10"/>
      <c r="AD3" s="10"/>
      <c r="AE3" s="10"/>
    </row>
    <row r="4" customFormat="false" ht="18" hidden="false" customHeight="true" outlineLevel="0" collapsed="false">
      <c r="A4" s="567"/>
      <c r="B4" s="568"/>
      <c r="C4" s="694" t="s">
        <v>1348</v>
      </c>
      <c r="D4" s="694"/>
      <c r="E4" s="695" t="s">
        <v>1349</v>
      </c>
      <c r="F4" s="695"/>
      <c r="G4" s="695"/>
      <c r="H4" s="696" t="s">
        <v>1350</v>
      </c>
      <c r="I4" s="696"/>
      <c r="J4" s="696"/>
      <c r="K4" s="696" t="s">
        <v>1107</v>
      </c>
      <c r="L4" s="696"/>
      <c r="M4" s="696"/>
      <c r="N4" s="696" t="s">
        <v>1351</v>
      </c>
      <c r="O4" s="696"/>
      <c r="P4" s="696"/>
      <c r="Q4" s="697" t="s">
        <v>1352</v>
      </c>
      <c r="R4" s="697"/>
      <c r="S4" s="697"/>
      <c r="T4" s="10"/>
      <c r="U4" s="10"/>
      <c r="V4" s="10"/>
      <c r="W4" s="10"/>
      <c r="X4" s="10"/>
      <c r="Y4" s="10"/>
      <c r="Z4" s="10"/>
      <c r="AA4" s="10"/>
      <c r="AB4" s="10"/>
      <c r="AC4" s="10"/>
      <c r="AD4" s="10"/>
      <c r="AE4" s="10"/>
    </row>
    <row r="5" customFormat="false" ht="16.5" hidden="false" customHeight="true" outlineLevel="0" collapsed="false">
      <c r="A5" s="567"/>
      <c r="B5" s="568"/>
      <c r="C5" s="694"/>
      <c r="D5" s="694"/>
      <c r="E5" s="698" t="str">
        <f aca="false">'○総括　5～6 (メモなし)'!E5</f>
        <v>６年度</v>
      </c>
      <c r="F5" s="699" t="str">
        <f aca="false">'○総括　5～6 (メモなし)'!F5</f>
        <v>５年度</v>
      </c>
      <c r="G5" s="700" t="s">
        <v>1353</v>
      </c>
      <c r="H5" s="698" t="str">
        <f aca="false">E5</f>
        <v>６年度</v>
      </c>
      <c r="I5" s="701" t="str">
        <f aca="false">F5</f>
        <v>５年度</v>
      </c>
      <c r="J5" s="700" t="s">
        <v>1353</v>
      </c>
      <c r="K5" s="698" t="str">
        <f aca="false">E5</f>
        <v>６年度</v>
      </c>
      <c r="L5" s="699" t="str">
        <f aca="false">F5</f>
        <v>５年度</v>
      </c>
      <c r="M5" s="700" t="s">
        <v>1353</v>
      </c>
      <c r="N5" s="698" t="str">
        <f aca="false">E5</f>
        <v>６年度</v>
      </c>
      <c r="O5" s="701" t="str">
        <f aca="false">F5</f>
        <v>５年度</v>
      </c>
      <c r="P5" s="700" t="s">
        <v>1353</v>
      </c>
      <c r="Q5" s="698" t="str">
        <f aca="false">E5</f>
        <v>６年度</v>
      </c>
      <c r="R5" s="701" t="str">
        <f aca="false">F5</f>
        <v>５年度</v>
      </c>
      <c r="S5" s="702" t="s">
        <v>1353</v>
      </c>
      <c r="T5" s="10"/>
      <c r="U5" s="10"/>
      <c r="V5" s="10"/>
      <c r="W5" s="10"/>
      <c r="X5" s="10"/>
      <c r="Y5" s="10"/>
      <c r="Z5" s="10"/>
      <c r="AA5" s="10"/>
      <c r="AB5" s="10"/>
      <c r="AC5" s="10"/>
      <c r="AD5" s="10"/>
      <c r="AE5" s="10"/>
    </row>
    <row r="6" customFormat="false" ht="19.5" hidden="false" customHeight="true" outlineLevel="0" collapsed="false">
      <c r="A6" s="567"/>
      <c r="B6" s="568"/>
      <c r="C6" s="580" t="s">
        <v>1354</v>
      </c>
      <c r="D6" s="580"/>
      <c r="E6" s="703" t="n">
        <f aca="false">F51</f>
        <v>1413185083</v>
      </c>
      <c r="F6" s="704" t="n">
        <f aca="false">'○総括　5～6 (メモなし)'!F6</f>
        <v>1981222650</v>
      </c>
      <c r="G6" s="705" t="n">
        <f aca="false">E6-F6</f>
        <v>-568037567</v>
      </c>
      <c r="H6" s="703" t="n">
        <f aca="false">I51</f>
        <v>115269691198</v>
      </c>
      <c r="I6" s="706" t="n">
        <v>114599779620</v>
      </c>
      <c r="J6" s="705" t="n">
        <f aca="false">H6-I6</f>
        <v>669911578</v>
      </c>
      <c r="K6" s="707" t="n">
        <f aca="false">L51</f>
        <v>66593123</v>
      </c>
      <c r="L6" s="708" t="n">
        <f aca="false">'○総括　5～6 (メモなし)'!L6</f>
        <v>60989730</v>
      </c>
      <c r="M6" s="705" t="n">
        <f aca="false">K6-L6</f>
        <v>5603393</v>
      </c>
      <c r="N6" s="708" t="n">
        <f aca="false">O51</f>
        <v>276235825</v>
      </c>
      <c r="O6" s="708" t="n">
        <f aca="false">'○総括　5～6 (メモなし)'!O6</f>
        <v>366055505</v>
      </c>
      <c r="P6" s="705" t="n">
        <f aca="false">N6-O6</f>
        <v>-89819680</v>
      </c>
      <c r="Q6" s="707" t="n">
        <f aca="false">R51</f>
        <v>1966406293</v>
      </c>
      <c r="R6" s="708" t="n">
        <f aca="false">'○総括　5～6 (メモなし)'!R6</f>
        <v>1965597915</v>
      </c>
      <c r="S6" s="709" t="n">
        <f aca="false">Q6-R6</f>
        <v>808378</v>
      </c>
      <c r="T6" s="10"/>
      <c r="U6" s="10"/>
      <c r="V6" s="10"/>
      <c r="W6" s="10"/>
      <c r="X6" s="10"/>
      <c r="Y6" s="10"/>
      <c r="Z6" s="10"/>
      <c r="AA6" s="10"/>
      <c r="AB6" s="10"/>
      <c r="AC6" s="10"/>
      <c r="AD6" s="10"/>
      <c r="AE6" s="10"/>
    </row>
    <row r="7" customFormat="false" ht="18" hidden="false" customHeight="true" outlineLevel="0" collapsed="false">
      <c r="A7" s="567"/>
      <c r="B7" s="568"/>
      <c r="C7" s="645" t="s">
        <v>1355</v>
      </c>
      <c r="D7" s="592" t="s">
        <v>89</v>
      </c>
      <c r="E7" s="710" t="n">
        <f aca="false">'○総括　5～6 (メモなし)'!E7</f>
        <v>5910008304</v>
      </c>
      <c r="F7" s="711" t="n">
        <f aca="false">'○総括　5～6 (メモなし)'!F7</f>
        <v>4825002280</v>
      </c>
      <c r="G7" s="712" t="n">
        <f aca="false">E7-F7</f>
        <v>1085006024</v>
      </c>
      <c r="H7" s="713" t="n">
        <v>5874630086</v>
      </c>
      <c r="I7" s="714" t="n">
        <v>10209423196</v>
      </c>
      <c r="J7" s="712" t="n">
        <f aca="false">H7-I7</f>
        <v>-4334793110</v>
      </c>
      <c r="K7" s="710" t="n">
        <f aca="false">'○総括　5～6 (メモなし)'!K7</f>
        <v>82167559</v>
      </c>
      <c r="L7" s="711" t="n">
        <f aca="false">'○総括　5～6 (メモなし)'!L7</f>
        <v>67101258</v>
      </c>
      <c r="M7" s="712" t="n">
        <f aca="false">K7-L7</f>
        <v>15066301</v>
      </c>
      <c r="N7" s="715" t="n">
        <f aca="false">'○総括　5～6 (メモなし)'!N7</f>
        <v>393344415</v>
      </c>
      <c r="O7" s="715" t="n">
        <f aca="false">'○総括　5～6 (メモなし)'!O7</f>
        <v>327613612</v>
      </c>
      <c r="P7" s="716" t="n">
        <f aca="false">N7-O7</f>
        <v>65730803</v>
      </c>
      <c r="Q7" s="717" t="n">
        <f aca="false">'○総括　5～6 (メモなし)'!Q7</f>
        <v>0</v>
      </c>
      <c r="R7" s="711" t="n">
        <f aca="false">'○総括　5～6 (メモなし)'!R7</f>
        <v>0</v>
      </c>
      <c r="S7" s="718" t="n">
        <f aca="false">Q7-R7</f>
        <v>0</v>
      </c>
      <c r="T7" s="10"/>
      <c r="U7" s="10"/>
      <c r="V7" s="10"/>
      <c r="W7" s="10"/>
      <c r="X7" s="10"/>
      <c r="Y7" s="10"/>
      <c r="Z7" s="10"/>
      <c r="AA7" s="10"/>
      <c r="AB7" s="10"/>
      <c r="AC7" s="10"/>
      <c r="AD7" s="10"/>
      <c r="AE7" s="10"/>
    </row>
    <row r="8" customFormat="false" ht="18" hidden="false" customHeight="true" outlineLevel="0" collapsed="false">
      <c r="A8" s="567"/>
      <c r="B8" s="568"/>
      <c r="C8" s="645"/>
      <c r="D8" s="604" t="s">
        <v>1356</v>
      </c>
      <c r="E8" s="719" t="n">
        <f aca="false">'○総括　5～6 (メモなし)'!E8</f>
        <v>5945270515</v>
      </c>
      <c r="F8" s="720" t="n">
        <f aca="false">'○総括　5～6 (メモなし)'!F8</f>
        <v>4874201257</v>
      </c>
      <c r="G8" s="721" t="n">
        <f aca="false">E8-F8</f>
        <v>1071069258</v>
      </c>
      <c r="H8" s="722" t="n">
        <v>2964516955</v>
      </c>
      <c r="I8" s="723" t="n">
        <v>6009799333</v>
      </c>
      <c r="J8" s="721" t="n">
        <f aca="false">H8-I8</f>
        <v>-3045282378</v>
      </c>
      <c r="K8" s="719" t="n">
        <f aca="false">'○総括　5～6 (メモなし)'!K8</f>
        <v>0</v>
      </c>
      <c r="L8" s="720" t="n">
        <f aca="false">'○総括　5～6 (メモなし)'!L8</f>
        <v>0</v>
      </c>
      <c r="M8" s="721" t="n">
        <f aca="false">K8-L8</f>
        <v>0</v>
      </c>
      <c r="N8" s="724" t="n">
        <f aca="false">'○総括　5～6 (メモなし)'!N8</f>
        <v>215569947</v>
      </c>
      <c r="O8" s="724" t="n">
        <f aca="false">'○総括　5～6 (メモなし)'!O8</f>
        <v>166041412</v>
      </c>
      <c r="P8" s="725" t="n">
        <f aca="false">N8-O8</f>
        <v>49528535</v>
      </c>
      <c r="Q8" s="719" t="n">
        <f aca="false">'○総括　5～6 (メモなし)'!Q8</f>
        <v>0</v>
      </c>
      <c r="R8" s="720" t="n">
        <f aca="false">'○総括　5～6 (メモなし)'!R8</f>
        <v>0</v>
      </c>
      <c r="S8" s="726" t="n">
        <f aca="false">Q8-R8</f>
        <v>0</v>
      </c>
      <c r="T8" s="10"/>
      <c r="U8" s="10"/>
      <c r="V8" s="10"/>
      <c r="W8" s="10"/>
      <c r="X8" s="10"/>
      <c r="Y8" s="10"/>
      <c r="Z8" s="10"/>
      <c r="AA8" s="10"/>
      <c r="AB8" s="10"/>
      <c r="AC8" s="10"/>
      <c r="AD8" s="10"/>
      <c r="AE8" s="10"/>
    </row>
    <row r="9" customFormat="false" ht="18" hidden="false" customHeight="true" outlineLevel="0" collapsed="false">
      <c r="A9" s="567"/>
      <c r="B9" s="568"/>
      <c r="C9" s="645"/>
      <c r="D9" s="604" t="s">
        <v>1101</v>
      </c>
      <c r="E9" s="719" t="n">
        <f aca="false">'○総括　5～6 (メモなし)'!E9</f>
        <v>0</v>
      </c>
      <c r="F9" s="720" t="n">
        <f aca="false">'○総括　5～6 (メモなし)'!F9</f>
        <v>0</v>
      </c>
      <c r="G9" s="721" t="n">
        <f aca="false">E9-F9</f>
        <v>0</v>
      </c>
      <c r="H9" s="722" t="n">
        <v>1204704253</v>
      </c>
      <c r="I9" s="723" t="n">
        <v>2333415822</v>
      </c>
      <c r="J9" s="721" t="n">
        <f aca="false">H9-I9</f>
        <v>-1128711569</v>
      </c>
      <c r="K9" s="719" t="n">
        <f aca="false">'○総括　5～6 (メモなし)'!K9</f>
        <v>0</v>
      </c>
      <c r="L9" s="720" t="n">
        <f aca="false">'○総括　5～6 (メモなし)'!L9</f>
        <v>0</v>
      </c>
      <c r="M9" s="721" t="n">
        <f aca="false">K9-L9</f>
        <v>0</v>
      </c>
      <c r="N9" s="724" t="n">
        <f aca="false">'○総括　5～6 (メモなし)'!N9</f>
        <v>0</v>
      </c>
      <c r="O9" s="724" t="n">
        <f aca="false">'○総括　5～6 (メモなし)'!O9</f>
        <v>0</v>
      </c>
      <c r="P9" s="721" t="n">
        <f aca="false">N9-O9</f>
        <v>0</v>
      </c>
      <c r="Q9" s="719" t="n">
        <f aca="false">'○総括　5～6 (メモなし)'!Q9</f>
        <v>0</v>
      </c>
      <c r="R9" s="720" t="n">
        <f aca="false">'○総括　5～6 (メモなし)'!R9</f>
        <v>0</v>
      </c>
      <c r="S9" s="726" t="n">
        <f aca="false">Q9-R9</f>
        <v>0</v>
      </c>
      <c r="T9" s="10"/>
      <c r="U9" s="10"/>
      <c r="V9" s="10"/>
      <c r="W9" s="10"/>
      <c r="X9" s="10"/>
      <c r="Y9" s="10"/>
      <c r="Z9" s="10"/>
      <c r="AA9" s="10"/>
      <c r="AB9" s="10"/>
      <c r="AC9" s="10"/>
      <c r="AD9" s="10"/>
      <c r="AE9" s="10"/>
    </row>
    <row r="10" customFormat="false" ht="18" hidden="false" customHeight="true" outlineLevel="0" collapsed="false">
      <c r="A10" s="567"/>
      <c r="B10" s="568"/>
      <c r="C10" s="645"/>
      <c r="D10" s="604" t="s">
        <v>1357</v>
      </c>
      <c r="E10" s="719" t="n">
        <f aca="false">'○総括　5～6 (メモなし)'!E10</f>
        <v>0</v>
      </c>
      <c r="F10" s="720" t="n">
        <f aca="false">'○総括　5～6 (メモなし)'!F10</f>
        <v>0</v>
      </c>
      <c r="G10" s="721" t="n">
        <f aca="false">E10-F10</f>
        <v>0</v>
      </c>
      <c r="H10" s="722" t="n">
        <v>3820000</v>
      </c>
      <c r="I10" s="723" t="n">
        <v>14466000</v>
      </c>
      <c r="J10" s="721" t="n">
        <f aca="false">H10-I10</f>
        <v>-10646000</v>
      </c>
      <c r="K10" s="719" t="n">
        <f aca="false">'○総括　5～6 (メモなし)'!K10</f>
        <v>0</v>
      </c>
      <c r="L10" s="720" t="n">
        <f aca="false">'○総括　5～6 (メモなし)'!L10</f>
        <v>0</v>
      </c>
      <c r="M10" s="721" t="n">
        <f aca="false">K10-L10</f>
        <v>0</v>
      </c>
      <c r="N10" s="724" t="n">
        <f aca="false">'○総括　5～6 (メモなし)'!N10</f>
        <v>0</v>
      </c>
      <c r="O10" s="724" t="n">
        <f aca="false">'○総括　5～6 (メモなし)'!O10</f>
        <v>0</v>
      </c>
      <c r="P10" s="721" t="n">
        <f aca="false">N10-O10</f>
        <v>0</v>
      </c>
      <c r="Q10" s="719" t="n">
        <f aca="false">'○総括　5～6 (メモなし)'!Q10</f>
        <v>0</v>
      </c>
      <c r="R10" s="720" t="n">
        <f aca="false">'○総括　5～6 (メモなし)'!R10</f>
        <v>0</v>
      </c>
      <c r="S10" s="726" t="n">
        <f aca="false">Q10-R10</f>
        <v>0</v>
      </c>
      <c r="T10" s="10"/>
      <c r="U10" s="10"/>
      <c r="V10" s="10"/>
      <c r="W10" s="10"/>
      <c r="X10" s="10"/>
      <c r="Y10" s="10"/>
      <c r="Z10" s="10"/>
      <c r="AA10" s="10"/>
      <c r="AB10" s="10"/>
      <c r="AC10" s="10"/>
      <c r="AD10" s="10"/>
      <c r="AE10" s="10"/>
    </row>
    <row r="11" customFormat="false" ht="18" hidden="false" customHeight="true" outlineLevel="0" collapsed="false">
      <c r="A11" s="567"/>
      <c r="B11" s="568"/>
      <c r="C11" s="645"/>
      <c r="D11" s="615" t="s">
        <v>1358</v>
      </c>
      <c r="E11" s="719" t="n">
        <f aca="false">'○総括　5～6 (メモなし)'!E11</f>
        <v>512653248</v>
      </c>
      <c r="F11" s="720" t="n">
        <f aca="false">'○総括　5～6 (メモなし)'!F11</f>
        <v>498922077</v>
      </c>
      <c r="G11" s="721" t="n">
        <f aca="false">E11-F11</f>
        <v>13731171</v>
      </c>
      <c r="H11" s="727"/>
      <c r="I11" s="723"/>
      <c r="J11" s="728"/>
      <c r="K11" s="719" t="n">
        <f aca="false">'○総括　5～6 (メモなし)'!K11</f>
        <v>0</v>
      </c>
      <c r="L11" s="720" t="n">
        <f aca="false">'○総括　5～6 (メモなし)'!L11</f>
        <v>0</v>
      </c>
      <c r="M11" s="721" t="n">
        <f aca="false">K11-L11</f>
        <v>0</v>
      </c>
      <c r="N11" s="724" t="n">
        <f aca="false">'○総括　5～6 (メモなし)'!N11</f>
        <v>0</v>
      </c>
      <c r="O11" s="724" t="n">
        <f aca="false">'○総括　5～6 (メモなし)'!O11</f>
        <v>0</v>
      </c>
      <c r="P11" s="721" t="n">
        <f aca="false">N11-O11</f>
        <v>0</v>
      </c>
      <c r="Q11" s="719" t="n">
        <f aca="false">'○総括　5～6 (メモなし)'!Q11</f>
        <v>0</v>
      </c>
      <c r="R11" s="720" t="n">
        <f aca="false">'○総括　5～6 (メモなし)'!R11</f>
        <v>0</v>
      </c>
      <c r="S11" s="726" t="n">
        <f aca="false">Q11-R11</f>
        <v>0</v>
      </c>
      <c r="T11" s="10"/>
      <c r="U11" s="10"/>
      <c r="V11" s="10"/>
      <c r="W11" s="10"/>
      <c r="X11" s="10"/>
      <c r="Y11" s="10"/>
      <c r="Z11" s="10"/>
      <c r="AA11" s="10"/>
      <c r="AB11" s="10"/>
      <c r="AC11" s="10"/>
      <c r="AD11" s="10"/>
      <c r="AE11" s="729" t="n">
        <v>0</v>
      </c>
    </row>
    <row r="12" customFormat="false" ht="18" hidden="false" customHeight="true" outlineLevel="0" collapsed="false">
      <c r="A12" s="567"/>
      <c r="B12" s="568"/>
      <c r="C12" s="645"/>
      <c r="D12" s="618" t="s">
        <v>1359</v>
      </c>
      <c r="E12" s="719" t="n">
        <f aca="false">'○総括　5～6 (メモなし)'!E12</f>
        <v>98548000</v>
      </c>
      <c r="F12" s="720" t="n">
        <f aca="false">'○総括　5～6 (メモなし)'!F12</f>
        <v>86648000</v>
      </c>
      <c r="G12" s="721" t="n">
        <f aca="false">E12-F12</f>
        <v>11900000</v>
      </c>
      <c r="H12" s="727"/>
      <c r="I12" s="723"/>
      <c r="J12" s="728"/>
      <c r="K12" s="719" t="n">
        <f aca="false">'○総括　5～6 (メモなし)'!K12</f>
        <v>0</v>
      </c>
      <c r="L12" s="720" t="n">
        <f aca="false">'○総括　5～6 (メモなし)'!L12</f>
        <v>0</v>
      </c>
      <c r="M12" s="721" t="n">
        <f aca="false">K12-L12</f>
        <v>0</v>
      </c>
      <c r="N12" s="724" t="n">
        <f aca="false">'○総括　5～6 (メモなし)'!N12</f>
        <v>0</v>
      </c>
      <c r="O12" s="724" t="n">
        <f aca="false">'○総括　5～6 (メモなし)'!O12</f>
        <v>0</v>
      </c>
      <c r="P12" s="721" t="n">
        <f aca="false">N12-O12</f>
        <v>0</v>
      </c>
      <c r="Q12" s="689" t="n">
        <f aca="false">'○総括　5～6 (メモなし)'!Q12</f>
        <v>0</v>
      </c>
      <c r="R12" s="720" t="n">
        <f aca="false">'○総括　5～6 (メモなし)'!R12</f>
        <v>0</v>
      </c>
      <c r="S12" s="726" t="n">
        <f aca="false">AE11-R12</f>
        <v>0</v>
      </c>
      <c r="T12" s="10"/>
      <c r="U12" s="10"/>
      <c r="V12" s="10"/>
      <c r="W12" s="10"/>
      <c r="X12" s="10"/>
      <c r="Y12" s="10"/>
      <c r="Z12" s="10"/>
      <c r="AA12" s="10"/>
      <c r="AB12" s="10"/>
      <c r="AC12" s="10"/>
      <c r="AD12" s="10"/>
      <c r="AE12" s="10"/>
    </row>
    <row r="13" customFormat="false" ht="18" hidden="false" customHeight="true" outlineLevel="0" collapsed="false">
      <c r="A13" s="567"/>
      <c r="B13" s="568"/>
      <c r="C13" s="645"/>
      <c r="D13" s="618" t="s">
        <v>1360</v>
      </c>
      <c r="E13" s="719" t="n">
        <f aca="false">'○総括　5～6 (メモなし)'!E13</f>
        <v>0</v>
      </c>
      <c r="F13" s="720" t="n">
        <f aca="false">'○総括　5～6 (メモなし)'!F13</f>
        <v>0</v>
      </c>
      <c r="G13" s="721" t="n">
        <f aca="false">E13-F13</f>
        <v>0</v>
      </c>
      <c r="H13" s="727"/>
      <c r="I13" s="723"/>
      <c r="J13" s="728"/>
      <c r="K13" s="719" t="n">
        <f aca="false">'○総括　5～6 (メモなし)'!K13</f>
        <v>0</v>
      </c>
      <c r="L13" s="720" t="n">
        <f aca="false">'○総括　5～6 (メモなし)'!L13</f>
        <v>0</v>
      </c>
      <c r="M13" s="728"/>
      <c r="N13" s="724" t="n">
        <f aca="false">'○総括　5～6 (メモなし)'!N13</f>
        <v>0</v>
      </c>
      <c r="O13" s="724" t="n">
        <f aca="false">'○総括　5～6 (メモなし)'!O13</f>
        <v>0</v>
      </c>
      <c r="P13" s="728"/>
      <c r="Q13" s="719" t="n">
        <f aca="false">'○総括　5～6 (メモなし)'!Q13</f>
        <v>0</v>
      </c>
      <c r="R13" s="720" t="n">
        <f aca="false">'○総括　5～6 (メモなし)'!R13</f>
        <v>0</v>
      </c>
      <c r="S13" s="730"/>
      <c r="T13" s="10"/>
      <c r="U13" s="10"/>
      <c r="V13" s="10"/>
      <c r="W13" s="10"/>
      <c r="X13" s="10"/>
      <c r="Y13" s="10"/>
      <c r="Z13" s="10"/>
      <c r="AA13" s="10"/>
      <c r="AB13" s="10"/>
      <c r="AC13" s="10"/>
      <c r="AD13" s="10"/>
      <c r="AE13" s="10"/>
    </row>
    <row r="14" customFormat="false" ht="18" hidden="false" customHeight="true" outlineLevel="0" collapsed="false">
      <c r="A14" s="567"/>
      <c r="B14" s="568"/>
      <c r="C14" s="645"/>
      <c r="D14" s="604" t="s">
        <v>1361</v>
      </c>
      <c r="E14" s="719" t="n">
        <f aca="false">'○総括　5～6 (メモなし)'!E14</f>
        <v>2621295</v>
      </c>
      <c r="F14" s="720" t="n">
        <f aca="false">'○総括　5～6 (メモなし)'!F14</f>
        <v>287297</v>
      </c>
      <c r="G14" s="721" t="n">
        <f aca="false">E14-F14</f>
        <v>2333998</v>
      </c>
      <c r="H14" s="727"/>
      <c r="I14" s="723"/>
      <c r="J14" s="728"/>
      <c r="K14" s="719" t="n">
        <f aca="false">'○総括　5～6 (メモなし)'!K14</f>
        <v>0</v>
      </c>
      <c r="L14" s="720" t="n">
        <f aca="false">'○総括　5～6 (メモなし)'!L14</f>
        <v>0</v>
      </c>
      <c r="M14" s="721" t="n">
        <f aca="false">K14-L14</f>
        <v>0</v>
      </c>
      <c r="N14" s="724" t="n">
        <f aca="false">'○総括　5～6 (メモなし)'!N14</f>
        <v>0</v>
      </c>
      <c r="O14" s="724" t="n">
        <f aca="false">'○総括　5～6 (メモなし)'!O14</f>
        <v>0</v>
      </c>
      <c r="P14" s="721" t="n">
        <f aca="false">N14-O14</f>
        <v>0</v>
      </c>
      <c r="Q14" s="719" t="n">
        <f aca="false">'○総括　5～6 (メモなし)'!Q14</f>
        <v>0</v>
      </c>
      <c r="R14" s="720" t="n">
        <f aca="false">'○総括　5～6 (メモなし)'!R14</f>
        <v>0</v>
      </c>
      <c r="S14" s="726" t="n">
        <f aca="false">Q14-R14</f>
        <v>0</v>
      </c>
      <c r="T14" s="10"/>
      <c r="U14" s="10"/>
      <c r="V14" s="10"/>
      <c r="W14" s="10"/>
      <c r="X14" s="10"/>
      <c r="Y14" s="10"/>
      <c r="Z14" s="10"/>
      <c r="AA14" s="10"/>
      <c r="AB14" s="10"/>
      <c r="AC14" s="10"/>
      <c r="AD14" s="10"/>
      <c r="AE14" s="10"/>
    </row>
    <row r="15" customFormat="false" ht="18" hidden="false" customHeight="true" outlineLevel="0" collapsed="false">
      <c r="A15" s="567"/>
      <c r="B15" s="568"/>
      <c r="C15" s="645"/>
      <c r="D15" s="620" t="s">
        <v>1362</v>
      </c>
      <c r="E15" s="719" t="n">
        <f aca="false">'○総括　5～6 (メモなし)'!E15</f>
        <v>0</v>
      </c>
      <c r="F15" s="720" t="n">
        <f aca="false">'○総括　5～6 (メモなし)'!F15</f>
        <v>0</v>
      </c>
      <c r="G15" s="721" t="n">
        <f aca="false">E15-F15</f>
        <v>0</v>
      </c>
      <c r="H15" s="722" t="n">
        <v>5464540</v>
      </c>
      <c r="I15" s="723" t="n">
        <v>11601546</v>
      </c>
      <c r="J15" s="721" t="n">
        <f aca="false">H15-I15</f>
        <v>-6137006</v>
      </c>
      <c r="K15" s="719" t="n">
        <f aca="false">'○総括　5～6 (メモなし)'!K15</f>
        <v>0</v>
      </c>
      <c r="L15" s="720" t="n">
        <f aca="false">'○総括　5～6 (メモなし)'!L15</f>
        <v>0</v>
      </c>
      <c r="M15" s="721" t="n">
        <f aca="false">K15-L15</f>
        <v>0</v>
      </c>
      <c r="N15" s="724" t="n">
        <f aca="false">'○総括　5～6 (メモなし)'!N15</f>
        <v>0</v>
      </c>
      <c r="O15" s="724" t="n">
        <f aca="false">'○総括　5～6 (メモなし)'!O15</f>
        <v>0</v>
      </c>
      <c r="P15" s="721" t="n">
        <f aca="false">N15-O15</f>
        <v>0</v>
      </c>
      <c r="Q15" s="719" t="n">
        <f aca="false">'○総括　5～6 (メモなし)'!Q15</f>
        <v>0</v>
      </c>
      <c r="R15" s="720" t="n">
        <f aca="false">'○総括　5～6 (メモなし)'!R15</f>
        <v>0</v>
      </c>
      <c r="S15" s="726" t="n">
        <f aca="false">Q15-R15</f>
        <v>0</v>
      </c>
      <c r="T15" s="10"/>
      <c r="U15" s="10"/>
      <c r="V15" s="10"/>
      <c r="W15" s="10"/>
      <c r="X15" s="10"/>
      <c r="Y15" s="10"/>
      <c r="Z15" s="10"/>
      <c r="AA15" s="10"/>
      <c r="AB15" s="10"/>
      <c r="AC15" s="10"/>
      <c r="AD15" s="10"/>
      <c r="AE15" s="10"/>
    </row>
    <row r="16" customFormat="false" ht="18" hidden="false" customHeight="true" outlineLevel="0" collapsed="false">
      <c r="A16" s="567"/>
      <c r="B16" s="568"/>
      <c r="C16" s="645"/>
      <c r="D16" s="604" t="s">
        <v>1363</v>
      </c>
      <c r="E16" s="719" t="n">
        <f aca="false">'○総括　5～6 (メモなし)'!E16</f>
        <v>7979689</v>
      </c>
      <c r="F16" s="720" t="n">
        <f aca="false">'○総括　5～6 (メモなし)'!F16</f>
        <v>0</v>
      </c>
      <c r="G16" s="721" t="n">
        <f aca="false">E16-F16</f>
        <v>7979689</v>
      </c>
      <c r="H16" s="722" t="n">
        <v>289600155</v>
      </c>
      <c r="I16" s="723" t="n">
        <v>639077000</v>
      </c>
      <c r="J16" s="721" t="n">
        <f aca="false">H16-I16</f>
        <v>-349476845</v>
      </c>
      <c r="K16" s="719" t="n">
        <f aca="false">'○総括　5～6 (メモなし)'!K16</f>
        <v>0</v>
      </c>
      <c r="L16" s="720" t="n">
        <f aca="false">'○総括　5～6 (メモなし)'!L16</f>
        <v>0</v>
      </c>
      <c r="M16" s="721" t="n">
        <f aca="false">K16-L16</f>
        <v>0</v>
      </c>
      <c r="N16" s="724" t="n">
        <f aca="false">'○総括　5～6 (メモなし)'!N16</f>
        <v>0</v>
      </c>
      <c r="O16" s="724" t="n">
        <f aca="false">'○総括　5～6 (メモなし)'!O16</f>
        <v>0</v>
      </c>
      <c r="P16" s="721" t="n">
        <f aca="false">N16-O16</f>
        <v>0</v>
      </c>
      <c r="Q16" s="719" t="n">
        <f aca="false">'○総括　5～6 (メモなし)'!Q16</f>
        <v>0</v>
      </c>
      <c r="R16" s="720" t="n">
        <f aca="false">'○総括　5～6 (メモなし)'!R16</f>
        <v>0</v>
      </c>
      <c r="S16" s="726" t="n">
        <f aca="false">Q16-R16</f>
        <v>0</v>
      </c>
      <c r="T16" s="10"/>
      <c r="U16" s="10"/>
      <c r="V16" s="10"/>
      <c r="W16" s="10"/>
      <c r="X16" s="10"/>
      <c r="Y16" s="10"/>
      <c r="Z16" s="10"/>
      <c r="AA16" s="10"/>
      <c r="AB16" s="10"/>
      <c r="AC16" s="10"/>
      <c r="AD16" s="10"/>
      <c r="AE16" s="10"/>
    </row>
    <row r="17" customFormat="false" ht="18" hidden="false" customHeight="true" outlineLevel="0" collapsed="false">
      <c r="A17" s="567"/>
      <c r="B17" s="568"/>
      <c r="C17" s="645"/>
      <c r="D17" s="604" t="s">
        <v>1364</v>
      </c>
      <c r="E17" s="719" t="n">
        <f aca="false">'○総括　5～6 (メモなし)'!E17</f>
        <v>0</v>
      </c>
      <c r="F17" s="720" t="n">
        <f aca="false">'○総括　5～6 (メモなし)'!F17</f>
        <v>0</v>
      </c>
      <c r="G17" s="721" t="n">
        <f aca="false">E17-F17</f>
        <v>0</v>
      </c>
      <c r="H17" s="727"/>
      <c r="I17" s="723"/>
      <c r="J17" s="728"/>
      <c r="K17" s="719" t="n">
        <f aca="false">'○総括　5～6 (メモなし)'!K17</f>
        <v>0</v>
      </c>
      <c r="L17" s="720" t="n">
        <f aca="false">'○総括　5～6 (メモなし)'!L17</f>
        <v>0</v>
      </c>
      <c r="M17" s="721" t="n">
        <f aca="false">K17-L17</f>
        <v>0</v>
      </c>
      <c r="N17" s="724" t="n">
        <f aca="false">'○総括　5～6 (メモなし)'!N17</f>
        <v>0</v>
      </c>
      <c r="O17" s="724" t="n">
        <f aca="false">'○総括　5～6 (メモなし)'!O17</f>
        <v>1334956</v>
      </c>
      <c r="P17" s="721" t="n">
        <f aca="false">N17-O17</f>
        <v>-1334956</v>
      </c>
      <c r="Q17" s="719" t="n">
        <f aca="false">'○総括　5～6 (メモなし)'!Q17</f>
        <v>0</v>
      </c>
      <c r="R17" s="720" t="n">
        <f aca="false">'○総括　5～6 (メモなし)'!R17</f>
        <v>0</v>
      </c>
      <c r="S17" s="726" t="n">
        <f aca="false">Q17-R17</f>
        <v>0</v>
      </c>
      <c r="T17" s="10"/>
      <c r="U17" s="10"/>
      <c r="V17" s="10"/>
      <c r="W17" s="10"/>
      <c r="X17" s="10"/>
      <c r="Y17" s="10"/>
      <c r="Z17" s="10"/>
      <c r="AA17" s="10"/>
      <c r="AB17" s="10"/>
      <c r="AC17" s="10"/>
      <c r="AD17" s="10"/>
      <c r="AE17" s="10"/>
    </row>
    <row r="18" customFormat="false" ht="18" hidden="false" customHeight="true" outlineLevel="0" collapsed="false">
      <c r="A18" s="567"/>
      <c r="B18" s="568"/>
      <c r="C18" s="645"/>
      <c r="D18" s="604" t="s">
        <v>1365</v>
      </c>
      <c r="E18" s="719" t="n">
        <f aca="false">'○総括　5～6 (メモなし)'!E18</f>
        <v>211390</v>
      </c>
      <c r="F18" s="720" t="n">
        <f aca="false">'○総括　5～6 (メモなし)'!F18</f>
        <v>1374137</v>
      </c>
      <c r="G18" s="721" t="n">
        <f aca="false">E18-F18</f>
        <v>-1162747</v>
      </c>
      <c r="H18" s="727"/>
      <c r="I18" s="723"/>
      <c r="J18" s="728"/>
      <c r="K18" s="719" t="n">
        <f aca="false">'○総括　5～6 (メモなし)'!K18</f>
        <v>69345</v>
      </c>
      <c r="L18" s="720" t="n">
        <f aca="false">'○総括　5～6 (メモなし)'!L18</f>
        <v>67154</v>
      </c>
      <c r="M18" s="721" t="n">
        <f aca="false">K18-L18</f>
        <v>2191</v>
      </c>
      <c r="N18" s="724" t="n">
        <f aca="false">'○総括　5～6 (メモなし)'!N18</f>
        <v>0</v>
      </c>
      <c r="O18" s="724" t="n">
        <f aca="false">'○総括　5～6 (メモなし)'!O18</f>
        <v>0</v>
      </c>
      <c r="P18" s="721" t="n">
        <f aca="false">N18-O18</f>
        <v>0</v>
      </c>
      <c r="Q18" s="731" t="n">
        <f aca="false">'○総括　5～6 (メモなし)'!Q18</f>
        <v>0</v>
      </c>
      <c r="R18" s="720" t="n">
        <f aca="false">'○総括　5～6 (メモなし)'!R18</f>
        <v>0</v>
      </c>
      <c r="S18" s="726" t="n">
        <f aca="false">Q18-AE18</f>
        <v>0</v>
      </c>
      <c r="T18" s="10"/>
      <c r="U18" s="10"/>
      <c r="V18" s="10"/>
      <c r="W18" s="10"/>
      <c r="X18" s="10"/>
      <c r="Y18" s="10"/>
      <c r="Z18" s="10"/>
      <c r="AA18" s="10"/>
      <c r="AB18" s="10"/>
      <c r="AC18" s="10"/>
      <c r="AD18" s="10"/>
      <c r="AE18" s="732" t="n">
        <v>0</v>
      </c>
    </row>
    <row r="19" customFormat="false" ht="18" hidden="false" customHeight="true" outlineLevel="0" collapsed="false">
      <c r="A19" s="567"/>
      <c r="B19" s="568"/>
      <c r="C19" s="645"/>
      <c r="D19" s="604" t="s">
        <v>96</v>
      </c>
      <c r="E19" s="719" t="n">
        <f aca="false">'○総括　5～6 (メモなし)'!E19</f>
        <v>0</v>
      </c>
      <c r="F19" s="720" t="n">
        <f aca="false">'○総括　5～6 (メモなし)'!F19</f>
        <v>0</v>
      </c>
      <c r="G19" s="721" t="n">
        <f aca="false">E19-F19</f>
        <v>0</v>
      </c>
      <c r="H19" s="727"/>
      <c r="I19" s="723"/>
      <c r="J19" s="728"/>
      <c r="K19" s="719" t="n">
        <f aca="false">'○総括　5～6 (メモなし)'!K19</f>
        <v>20856594</v>
      </c>
      <c r="L19" s="720" t="n">
        <f aca="false">'○総括　5～6 (メモなし)'!L19</f>
        <v>20847288</v>
      </c>
      <c r="M19" s="721" t="n">
        <f aca="false">K19-L19</f>
        <v>9306</v>
      </c>
      <c r="N19" s="724" t="n">
        <f aca="false">'○総括　5～6 (メモなし)'!N19</f>
        <v>0</v>
      </c>
      <c r="O19" s="724" t="n">
        <f aca="false">'○総括　5～6 (メモなし)'!O19</f>
        <v>0</v>
      </c>
      <c r="P19" s="721" t="n">
        <f aca="false">N19-O19</f>
        <v>0</v>
      </c>
      <c r="Q19" s="731" t="n">
        <f aca="false">'○総括　5～6 (メモなし)'!Q19</f>
        <v>44000</v>
      </c>
      <c r="R19" s="720" t="n">
        <f aca="false">'○総括　5～6 (メモなし)'!R19</f>
        <v>53000</v>
      </c>
      <c r="S19" s="726" t="n">
        <f aca="false">Q19-R19</f>
        <v>-9000</v>
      </c>
      <c r="T19" s="10"/>
      <c r="U19" s="10"/>
      <c r="V19" s="10"/>
      <c r="W19" s="10"/>
      <c r="X19" s="10"/>
      <c r="Y19" s="10"/>
      <c r="Z19" s="10"/>
      <c r="AA19" s="10"/>
      <c r="AB19" s="10"/>
      <c r="AC19" s="10"/>
      <c r="AD19" s="10"/>
      <c r="AE19" s="10"/>
    </row>
    <row r="20" customFormat="false" ht="18" hidden="false" customHeight="true" outlineLevel="0" collapsed="false">
      <c r="A20" s="567"/>
      <c r="B20" s="568"/>
      <c r="C20" s="645"/>
      <c r="D20" s="621" t="s">
        <v>1102</v>
      </c>
      <c r="E20" s="719" t="n">
        <f aca="false">'○総括　5～6 (メモなし)'!E20</f>
        <v>0</v>
      </c>
      <c r="F20" s="720" t="n">
        <f aca="false">'○総括　5～6 (メモなし)'!F20</f>
        <v>0</v>
      </c>
      <c r="G20" s="721" t="n">
        <f aca="false">E20-F20</f>
        <v>0</v>
      </c>
      <c r="H20" s="727"/>
      <c r="I20" s="723"/>
      <c r="J20" s="728"/>
      <c r="K20" s="719" t="n">
        <f aca="false">'○総括　5～6 (メモなし)'!K20</f>
        <v>11648520</v>
      </c>
      <c r="L20" s="720" t="n">
        <f aca="false">'○総括　5～6 (メモなし)'!L20</f>
        <v>8154087</v>
      </c>
      <c r="M20" s="721" t="n">
        <f aca="false">K20-L20</f>
        <v>3494433</v>
      </c>
      <c r="N20" s="724" t="n">
        <f aca="false">'○総括　5～6 (メモなし)'!N20</f>
        <v>0</v>
      </c>
      <c r="O20" s="724" t="n">
        <f aca="false">'○総括　5～6 (メモなし)'!O20</f>
        <v>0</v>
      </c>
      <c r="P20" s="721" t="n">
        <f aca="false">N20-O20</f>
        <v>0</v>
      </c>
      <c r="Q20" s="731" t="n">
        <f aca="false">'○総括　5～6 (メモなし)'!Q20</f>
        <v>0</v>
      </c>
      <c r="R20" s="720" t="n">
        <f aca="false">'○総括　5～6 (メモなし)'!R20</f>
        <v>0</v>
      </c>
      <c r="S20" s="726" t="n">
        <f aca="false">Q20-R20</f>
        <v>0</v>
      </c>
      <c r="T20" s="10"/>
      <c r="U20" s="10"/>
      <c r="V20" s="10"/>
      <c r="W20" s="10"/>
      <c r="X20" s="10"/>
      <c r="Y20" s="10"/>
      <c r="Z20" s="10"/>
      <c r="AA20" s="10"/>
      <c r="AB20" s="10"/>
      <c r="AC20" s="10"/>
      <c r="AD20" s="10"/>
      <c r="AE20" s="10"/>
    </row>
    <row r="21" customFormat="false" ht="18" hidden="false" customHeight="true" outlineLevel="0" collapsed="false">
      <c r="A21" s="567"/>
      <c r="B21" s="568"/>
      <c r="C21" s="645"/>
      <c r="D21" s="621" t="s">
        <v>1366</v>
      </c>
      <c r="E21" s="719" t="n">
        <f aca="false">'○総括　5～6 (メモなし)'!E21</f>
        <v>0</v>
      </c>
      <c r="F21" s="720" t="n">
        <f aca="false">'○総括　5～6 (メモなし)'!F21</f>
        <v>0</v>
      </c>
      <c r="G21" s="721" t="n">
        <f aca="false">E21-F21</f>
        <v>0</v>
      </c>
      <c r="H21" s="727"/>
      <c r="I21" s="723"/>
      <c r="J21" s="728"/>
      <c r="K21" s="719" t="n">
        <f aca="false">'○総括　5～6 (メモなし)'!K21</f>
        <v>0</v>
      </c>
      <c r="L21" s="720" t="n">
        <f aca="false">'○総括　5～6 (メモなし)'!L21</f>
        <v>0</v>
      </c>
      <c r="M21" s="721" t="n">
        <f aca="false">K21-L21</f>
        <v>0</v>
      </c>
      <c r="N21" s="724" t="n">
        <f aca="false">'○総括　5～6 (メモなし)'!N21</f>
        <v>0</v>
      </c>
      <c r="O21" s="724" t="n">
        <f aca="false">'○総括　5～6 (メモなし)'!O21</f>
        <v>0</v>
      </c>
      <c r="P21" s="721" t="n">
        <f aca="false">N21-O21</f>
        <v>0</v>
      </c>
      <c r="Q21" s="731" t="n">
        <f aca="false">'○総括　5～6 (メモなし)'!Q21</f>
        <v>0</v>
      </c>
      <c r="R21" s="720" t="n">
        <f aca="false">'○総括　5～6 (メモなし)'!R21</f>
        <v>0</v>
      </c>
      <c r="S21" s="726" t="n">
        <f aca="false">Q21-R21</f>
        <v>0</v>
      </c>
      <c r="T21" s="10"/>
      <c r="U21" s="10"/>
      <c r="V21" s="10"/>
      <c r="W21" s="10"/>
      <c r="X21" s="10"/>
      <c r="Y21" s="10"/>
      <c r="Z21" s="10"/>
      <c r="AA21" s="10"/>
      <c r="AB21" s="10"/>
      <c r="AC21" s="10"/>
      <c r="AD21" s="10"/>
      <c r="AE21" s="10"/>
    </row>
    <row r="22" customFormat="false" ht="18" hidden="false" customHeight="true" outlineLevel="0" collapsed="false">
      <c r="A22" s="567"/>
      <c r="B22" s="568"/>
      <c r="C22" s="645"/>
      <c r="D22" s="622" t="s">
        <v>1367</v>
      </c>
      <c r="E22" s="719" t="n">
        <f aca="false">'○総括　5～6 (メモなし)'!E22</f>
        <v>0</v>
      </c>
      <c r="F22" s="720" t="n">
        <f aca="false">'○総括　5～6 (メモなし)'!F22</f>
        <v>0</v>
      </c>
      <c r="G22" s="721" t="n">
        <f aca="false">E22-F22</f>
        <v>0</v>
      </c>
      <c r="H22" s="727"/>
      <c r="I22" s="723"/>
      <c r="J22" s="728"/>
      <c r="K22" s="719" t="n">
        <f aca="false">'○総括　5～6 (メモなし)'!K22</f>
        <v>0</v>
      </c>
      <c r="L22" s="720" t="n">
        <f aca="false">'○総括　5～6 (メモなし)'!L22</f>
        <v>0</v>
      </c>
      <c r="M22" s="721" t="n">
        <f aca="false">K22-L22</f>
        <v>0</v>
      </c>
      <c r="N22" s="724" t="n">
        <f aca="false">'○総括　5～6 (メモなし)'!N22</f>
        <v>0</v>
      </c>
      <c r="O22" s="724" t="n">
        <f aca="false">'○総括　5～6 (メモなし)'!O22</f>
        <v>0</v>
      </c>
      <c r="P22" s="721" t="n">
        <f aca="false">N22-O22</f>
        <v>0</v>
      </c>
      <c r="Q22" s="731" t="n">
        <f aca="false">'○総括　5～6 (メモなし)'!Q22</f>
        <v>12712000</v>
      </c>
      <c r="R22" s="720" t="n">
        <f aca="false">'○総括　5～6 (メモなし)'!R22</f>
        <v>14228186</v>
      </c>
      <c r="S22" s="726" t="n">
        <f aca="false">Q22-R22</f>
        <v>-1516186</v>
      </c>
      <c r="T22" s="10"/>
      <c r="U22" s="10"/>
      <c r="V22" s="10"/>
      <c r="W22" s="10"/>
      <c r="X22" s="10"/>
      <c r="Y22" s="10"/>
      <c r="Z22" s="10"/>
      <c r="AA22" s="10"/>
      <c r="AB22" s="10"/>
      <c r="AC22" s="10"/>
      <c r="AD22" s="10"/>
      <c r="AE22" s="10"/>
    </row>
    <row r="23" customFormat="false" ht="18" hidden="false" customHeight="true" outlineLevel="0" collapsed="false">
      <c r="A23" s="567"/>
      <c r="B23" s="568"/>
      <c r="C23" s="645"/>
      <c r="D23" s="623" t="s">
        <v>1100</v>
      </c>
      <c r="E23" s="719" t="n">
        <f aca="false">'○総括　5～6 (メモなし)'!E23</f>
        <v>0</v>
      </c>
      <c r="F23" s="720" t="n">
        <f aca="false">'○総括　5～6 (メモなし)'!F23</f>
        <v>19595000</v>
      </c>
      <c r="G23" s="721" t="n">
        <f aca="false">E23-F23</f>
        <v>-19595000</v>
      </c>
      <c r="H23" s="733"/>
      <c r="I23" s="734"/>
      <c r="J23" s="735"/>
      <c r="K23" s="719" t="n">
        <f aca="false">'○総括　5～6 (メモなし)'!K23</f>
        <v>1206000</v>
      </c>
      <c r="L23" s="720" t="n">
        <f aca="false">'○総括　5～6 (メモなし)'!L23</f>
        <v>0</v>
      </c>
      <c r="M23" s="721" t="n">
        <f aca="false">K23-L23</f>
        <v>1206000</v>
      </c>
      <c r="N23" s="724" t="n">
        <f aca="false">'○総括　5～6 (メモなし)'!N23</f>
        <v>0</v>
      </c>
      <c r="O23" s="724" t="n">
        <f aca="false">'○総括　5～6 (メモなし)'!O23</f>
        <v>0</v>
      </c>
      <c r="P23" s="721" t="n">
        <f aca="false">N23-O23</f>
        <v>0</v>
      </c>
      <c r="Q23" s="719" t="n">
        <f aca="false">'○総括　5～6 (メモなし)'!Q23</f>
        <v>0</v>
      </c>
      <c r="R23" s="720" t="n">
        <f aca="false">'○総括　5～6 (メモなし)'!R23</f>
        <v>0</v>
      </c>
      <c r="S23" s="736" t="n">
        <f aca="false">Q23-R23</f>
        <v>0</v>
      </c>
      <c r="T23" s="10"/>
      <c r="U23" s="10"/>
      <c r="V23" s="10"/>
      <c r="W23" s="10"/>
      <c r="X23" s="10"/>
      <c r="Y23" s="10"/>
      <c r="Z23" s="10"/>
      <c r="AA23" s="10"/>
      <c r="AB23" s="10"/>
      <c r="AC23" s="10"/>
      <c r="AD23" s="10"/>
      <c r="AE23" s="10"/>
    </row>
    <row r="24" customFormat="false" ht="18" hidden="false" customHeight="true" outlineLevel="0" collapsed="false">
      <c r="A24" s="567"/>
      <c r="B24" s="568"/>
      <c r="C24" s="645"/>
      <c r="D24" s="623" t="s">
        <v>1368</v>
      </c>
      <c r="E24" s="719" t="n">
        <f aca="false">'○総括　5～6 (メモなし)'!E24</f>
        <v>0</v>
      </c>
      <c r="F24" s="720" t="n">
        <f aca="false">'○総括　5～6 (メモなし)'!F24</f>
        <v>0</v>
      </c>
      <c r="G24" s="721" t="n">
        <f aca="false">E24-F24</f>
        <v>0</v>
      </c>
      <c r="H24" s="733"/>
      <c r="I24" s="734"/>
      <c r="J24" s="735"/>
      <c r="K24" s="719" t="n">
        <f aca="false">'○総括　5～6 (メモなし)'!K24</f>
        <v>0</v>
      </c>
      <c r="L24" s="720" t="n">
        <f aca="false">'○総括　5～6 (メモなし)'!L24</f>
        <v>0</v>
      </c>
      <c r="M24" s="721" t="n">
        <f aca="false">K24-L24</f>
        <v>0</v>
      </c>
      <c r="N24" s="724" t="n">
        <f aca="false">'○総括　5～6 (メモなし)'!N24</f>
        <v>0</v>
      </c>
      <c r="O24" s="724" t="n">
        <f aca="false">'○総括　5～6 (メモなし)'!O24</f>
        <v>0</v>
      </c>
      <c r="P24" s="721" t="n">
        <f aca="false">N24-O24</f>
        <v>0</v>
      </c>
      <c r="Q24" s="719" t="n">
        <f aca="false">'○総括　5～6 (メモなし)'!Q24</f>
        <v>0</v>
      </c>
      <c r="R24" s="720" t="n">
        <f aca="false">'○総括　5～6 (メモなし)'!R24</f>
        <v>0</v>
      </c>
      <c r="S24" s="736" t="n">
        <f aca="false">Q24-R24</f>
        <v>0</v>
      </c>
      <c r="T24" s="10"/>
      <c r="U24" s="10"/>
      <c r="V24" s="10"/>
      <c r="W24" s="10"/>
      <c r="X24" s="10"/>
      <c r="Y24" s="10"/>
      <c r="Z24" s="10"/>
      <c r="AA24" s="10"/>
      <c r="AB24" s="10"/>
      <c r="AC24" s="10"/>
      <c r="AD24" s="10"/>
      <c r="AE24" s="10"/>
    </row>
    <row r="25" customFormat="false" ht="18" hidden="false" customHeight="true" outlineLevel="0" collapsed="false">
      <c r="A25" s="567"/>
      <c r="B25" s="568"/>
      <c r="C25" s="645"/>
      <c r="D25" s="634" t="s">
        <v>1369</v>
      </c>
      <c r="E25" s="719" t="n">
        <f aca="false">'○総括　5～6 (メモなし)'!E25</f>
        <v>0</v>
      </c>
      <c r="F25" s="720" t="n">
        <f aca="false">'○総括　5～6 (メモなし)'!F25</f>
        <v>0</v>
      </c>
      <c r="G25" s="737" t="n">
        <f aca="false">E25-F25</f>
        <v>0</v>
      </c>
      <c r="H25" s="733"/>
      <c r="I25" s="734"/>
      <c r="J25" s="735"/>
      <c r="K25" s="719" t="n">
        <f aca="false">'○総括　5～6 (メモなし)'!K25</f>
        <v>0</v>
      </c>
      <c r="L25" s="720" t="n">
        <f aca="false">'○総括　5～6 (メモなし)'!L25</f>
        <v>0</v>
      </c>
      <c r="M25" s="721" t="n">
        <f aca="false">K25-L25</f>
        <v>0</v>
      </c>
      <c r="N25" s="724" t="n">
        <f aca="false">'○総括　5～6 (メモなし)'!N25</f>
        <v>0</v>
      </c>
      <c r="O25" s="724" t="n">
        <f aca="false">'○総括　5～6 (メモなし)'!O25</f>
        <v>0</v>
      </c>
      <c r="P25" s="721" t="n">
        <f aca="false">N25-O25</f>
        <v>0</v>
      </c>
      <c r="Q25" s="719" t="n">
        <f aca="false">'○総括　5～6 (メモなし)'!Q25</f>
        <v>0</v>
      </c>
      <c r="R25" s="720" t="n">
        <f aca="false">'○総括　5～6 (メモなし)'!R25</f>
        <v>0</v>
      </c>
      <c r="S25" s="736" t="n">
        <f aca="false">Q25-R25</f>
        <v>0</v>
      </c>
      <c r="T25" s="10"/>
      <c r="U25" s="10"/>
      <c r="V25" s="10"/>
      <c r="W25" s="10"/>
      <c r="X25" s="10"/>
      <c r="Y25" s="10"/>
      <c r="Z25" s="10"/>
      <c r="AA25" s="10"/>
      <c r="AB25" s="10"/>
      <c r="AC25" s="10"/>
      <c r="AD25" s="10"/>
      <c r="AE25" s="10"/>
    </row>
    <row r="26" customFormat="false" ht="18" hidden="false" customHeight="true" outlineLevel="0" collapsed="false">
      <c r="A26" s="567"/>
      <c r="B26" s="568"/>
      <c r="C26" s="645"/>
      <c r="D26" s="634" t="s">
        <v>1103</v>
      </c>
      <c r="E26" s="719" t="n">
        <f aca="false">'○総括　5～6 (メモなし)'!E26</f>
        <v>2100931</v>
      </c>
      <c r="F26" s="720" t="n">
        <f aca="false">'○総括　5～6 (メモなし)'!F26</f>
        <v>7326358</v>
      </c>
      <c r="G26" s="737" t="n">
        <f aca="false">E26-F26</f>
        <v>-5225427</v>
      </c>
      <c r="H26" s="733"/>
      <c r="I26" s="723"/>
      <c r="J26" s="735"/>
      <c r="K26" s="719" t="n">
        <f aca="false">'○総括　5～6 (メモなし)'!K26</f>
        <v>0</v>
      </c>
      <c r="L26" s="720" t="n">
        <f aca="false">'○総括　5～6 (メモなし)'!L26</f>
        <v>0</v>
      </c>
      <c r="M26" s="721" t="n">
        <f aca="false">K26-L26</f>
        <v>0</v>
      </c>
      <c r="N26" s="724" t="n">
        <f aca="false">'○総括　5～6 (メモなし)'!N26</f>
        <v>0</v>
      </c>
      <c r="O26" s="724" t="n">
        <f aca="false">'○総括　5～6 (メモなし)'!O26</f>
        <v>74635</v>
      </c>
      <c r="P26" s="721" t="n">
        <f aca="false">N26-O26</f>
        <v>-74635</v>
      </c>
      <c r="Q26" s="719" t="n">
        <f aca="false">'○総括　5～6 (メモなし)'!Q26</f>
        <v>0</v>
      </c>
      <c r="R26" s="720" t="n">
        <f aca="false">'○総括　5～6 (メモなし)'!R26</f>
        <v>0</v>
      </c>
      <c r="S26" s="736" t="n">
        <f aca="false">Q26-R26</f>
        <v>0</v>
      </c>
      <c r="T26" s="10"/>
      <c r="U26" s="10"/>
      <c r="V26" s="10"/>
      <c r="W26" s="10"/>
      <c r="X26" s="10"/>
      <c r="Y26" s="10"/>
      <c r="Z26" s="10"/>
      <c r="AA26" s="10"/>
      <c r="AB26" s="10"/>
      <c r="AC26" s="10"/>
      <c r="AD26" s="10"/>
      <c r="AE26" s="10"/>
    </row>
    <row r="27" customFormat="false" ht="18" hidden="false" customHeight="true" outlineLevel="0" collapsed="false">
      <c r="A27" s="567"/>
      <c r="B27" s="568"/>
      <c r="C27" s="645"/>
      <c r="D27" s="636" t="s">
        <v>1370</v>
      </c>
      <c r="E27" s="738" t="n">
        <f aca="false">'○総括　5～6 (メモなし)'!E27</f>
        <v>883951850</v>
      </c>
      <c r="F27" s="739" t="n">
        <f aca="false">'○総括　5～6 (メモなし)'!F27</f>
        <v>641256280</v>
      </c>
      <c r="G27" s="737" t="n">
        <f aca="false">E27-F27</f>
        <v>242695570</v>
      </c>
      <c r="H27" s="740"/>
      <c r="I27" s="741"/>
      <c r="J27" s="735"/>
      <c r="K27" s="719" t="n">
        <f aca="false">'○総括　5～6 (メモなし)'!K27</f>
        <v>0</v>
      </c>
      <c r="L27" s="720" t="n">
        <f aca="false">'○総括　5～6 (メモなし)'!L27</f>
        <v>0</v>
      </c>
      <c r="M27" s="737" t="n">
        <f aca="false">K27-L27</f>
        <v>0</v>
      </c>
      <c r="N27" s="742" t="n">
        <f aca="false">'○総括　5～6 (メモなし)'!N27</f>
        <v>0</v>
      </c>
      <c r="O27" s="724" t="n">
        <f aca="false">'○総括　5～6 (メモなし)'!O27</f>
        <v>0</v>
      </c>
      <c r="P27" s="737" t="n">
        <f aca="false">N27-O27</f>
        <v>0</v>
      </c>
      <c r="Q27" s="719" t="n">
        <f aca="false">'○総括　5～6 (メモなし)'!Q27</f>
        <v>0</v>
      </c>
      <c r="R27" s="720" t="n">
        <f aca="false">'○総括　5～6 (メモなし)'!R27</f>
        <v>0</v>
      </c>
      <c r="S27" s="736" t="n">
        <f aca="false">Q27-R27</f>
        <v>0</v>
      </c>
      <c r="T27" s="10"/>
      <c r="U27" s="10"/>
      <c r="V27" s="10"/>
      <c r="W27" s="10"/>
      <c r="X27" s="10"/>
      <c r="Y27" s="10"/>
      <c r="Z27" s="10"/>
      <c r="AA27" s="10"/>
      <c r="AB27" s="10"/>
      <c r="AC27" s="10"/>
      <c r="AD27" s="10"/>
      <c r="AE27" s="10"/>
    </row>
    <row r="28" customFormat="false" ht="29.25" hidden="false" customHeight="true" outlineLevel="0" collapsed="false">
      <c r="A28" s="567"/>
      <c r="B28" s="568"/>
      <c r="C28" s="643" t="s">
        <v>1371</v>
      </c>
      <c r="D28" s="643"/>
      <c r="E28" s="703" t="n">
        <f aca="false">SUM(E7:E27)</f>
        <v>13363345222</v>
      </c>
      <c r="F28" s="704" t="n">
        <f aca="false">SUM(F7:F27)</f>
        <v>10954612686</v>
      </c>
      <c r="G28" s="705" t="n">
        <f aca="false">SUM(G7:G27)</f>
        <v>2408732536</v>
      </c>
      <c r="H28" s="703" t="n">
        <f aca="false">SUM(H7:H27)</f>
        <v>10342735989</v>
      </c>
      <c r="I28" s="704" t="n">
        <f aca="false">SUM(I7:I27)</f>
        <v>19217782897</v>
      </c>
      <c r="J28" s="705" t="n">
        <f aca="false">SUM(J7:J27)</f>
        <v>-8875046908</v>
      </c>
      <c r="K28" s="703" t="n">
        <f aca="false">SUM(K7:K27)</f>
        <v>115948018</v>
      </c>
      <c r="L28" s="704" t="n">
        <f aca="false">SUM(L7:L27)</f>
        <v>96169787</v>
      </c>
      <c r="M28" s="705" t="n">
        <f aca="false">SUM(M7:M27)</f>
        <v>19778231</v>
      </c>
      <c r="N28" s="708" t="n">
        <f aca="false">SUM(N7:N27)</f>
        <v>608914362</v>
      </c>
      <c r="O28" s="704" t="n">
        <f aca="false">SUM(O7:O27)</f>
        <v>495064615</v>
      </c>
      <c r="P28" s="705" t="n">
        <f aca="false">SUM(P7:P27)</f>
        <v>113849747</v>
      </c>
      <c r="Q28" s="703" t="n">
        <f aca="false">SUM(Q7:Q27)</f>
        <v>12756000</v>
      </c>
      <c r="R28" s="704" t="n">
        <f aca="false">SUM(R7:R27)</f>
        <v>14281186</v>
      </c>
      <c r="S28" s="709" t="n">
        <f aca="false">SUM(S7:S27)</f>
        <v>-1525186</v>
      </c>
      <c r="T28" s="10"/>
      <c r="U28" s="10"/>
      <c r="V28" s="10"/>
      <c r="W28" s="10"/>
      <c r="X28" s="10"/>
      <c r="Y28" s="10"/>
      <c r="Z28" s="10"/>
      <c r="AA28" s="10"/>
      <c r="AB28" s="10"/>
      <c r="AC28" s="10"/>
      <c r="AD28" s="10"/>
      <c r="AE28" s="10"/>
    </row>
    <row r="29" customFormat="false" ht="18" hidden="false" customHeight="true" outlineLevel="0" collapsed="false">
      <c r="A29" s="567"/>
      <c r="B29" s="568"/>
      <c r="C29" s="645" t="s">
        <v>1372</v>
      </c>
      <c r="D29" s="646" t="s">
        <v>1373</v>
      </c>
      <c r="E29" s="743" t="n">
        <f aca="false">'○総括　5～6 (メモなし)'!E29</f>
        <v>5062957780</v>
      </c>
      <c r="F29" s="744" t="n">
        <f aca="false">'○総括　5～6 (メモなし)'!F29</f>
        <v>5113593844</v>
      </c>
      <c r="G29" s="716" t="n">
        <f aca="false">E29-F29</f>
        <v>-50636064</v>
      </c>
      <c r="H29" s="745"/>
      <c r="I29" s="714"/>
      <c r="J29" s="746"/>
      <c r="K29" s="717" t="n">
        <f aca="false">'○総括　5～6 (メモなし)'!K29</f>
        <v>0</v>
      </c>
      <c r="L29" s="711" t="n">
        <f aca="false">'○総括　5～6 (メモなし)'!L29</f>
        <v>0</v>
      </c>
      <c r="M29" s="716" t="n">
        <f aca="false">K29-L29</f>
        <v>0</v>
      </c>
      <c r="N29" s="747" t="n">
        <f aca="false">'○総括　5～6 (メモなし)'!N29</f>
        <v>0</v>
      </c>
      <c r="O29" s="747" t="n">
        <f aca="false">'○総括　5～6 (メモなし)'!O29</f>
        <v>0</v>
      </c>
      <c r="P29" s="725" t="n">
        <f aca="false">N29-O29</f>
        <v>0</v>
      </c>
      <c r="Q29" s="748" t="n">
        <f aca="false">'○総括　5～6 (メモなし)'!Q29</f>
        <v>0</v>
      </c>
      <c r="R29" s="749" t="n">
        <f aca="false">'○総括　5～6 (メモなし)'!R29</f>
        <v>0</v>
      </c>
      <c r="S29" s="750" t="n">
        <f aca="false">Q29-R29</f>
        <v>0</v>
      </c>
      <c r="T29" s="10"/>
      <c r="U29" s="10"/>
      <c r="V29" s="10"/>
      <c r="W29" s="10"/>
      <c r="X29" s="10"/>
      <c r="Y29" s="10"/>
      <c r="Z29" s="10"/>
      <c r="AA29" s="10"/>
      <c r="AB29" s="10"/>
      <c r="AC29" s="10"/>
      <c r="AD29" s="10"/>
      <c r="AE29" s="10"/>
    </row>
    <row r="30" customFormat="false" ht="18" hidden="false" customHeight="true" outlineLevel="0" collapsed="false">
      <c r="A30" s="567"/>
      <c r="B30" s="568"/>
      <c r="C30" s="645"/>
      <c r="D30" s="646" t="s">
        <v>1374</v>
      </c>
      <c r="E30" s="710" t="n">
        <f aca="false">'○総括　5～6 (メモなし)'!E30</f>
        <v>596910377</v>
      </c>
      <c r="F30" s="751" t="n">
        <f aca="false">'○総括　5～6 (メモなし)'!F30</f>
        <v>577150282</v>
      </c>
      <c r="G30" s="725" t="n">
        <f aca="false">E30-F30</f>
        <v>19760095</v>
      </c>
      <c r="H30" s="727"/>
      <c r="I30" s="723"/>
      <c r="J30" s="752"/>
      <c r="K30" s="720" t="n">
        <f aca="false">'○総括　5～6 (メモなし)'!K30</f>
        <v>0</v>
      </c>
      <c r="L30" s="720" t="n">
        <f aca="false">'○総括　5～6 (メモなし)'!L30</f>
        <v>0</v>
      </c>
      <c r="M30" s="712" t="n">
        <f aca="false">K30-L30</f>
        <v>0</v>
      </c>
      <c r="N30" s="724" t="n">
        <f aca="false">'○総括　5～6 (メモなし)'!N30</f>
        <v>0</v>
      </c>
      <c r="O30" s="724" t="n">
        <f aca="false">'○総括　5～6 (メモなし)'!O30</f>
        <v>0</v>
      </c>
      <c r="P30" s="721" t="n">
        <f aca="false">N30-O30</f>
        <v>0</v>
      </c>
      <c r="Q30" s="719" t="n">
        <f aca="false">'○総括　5～6 (メモなし)'!Q30</f>
        <v>0</v>
      </c>
      <c r="R30" s="720" t="n">
        <f aca="false">'○総括　5～6 (メモなし)'!R30</f>
        <v>0</v>
      </c>
      <c r="S30" s="726" t="n">
        <f aca="false">Q30-R30</f>
        <v>0</v>
      </c>
      <c r="T30" s="10"/>
      <c r="U30" s="10"/>
      <c r="V30" s="10"/>
      <c r="W30" s="10"/>
      <c r="X30" s="10"/>
      <c r="Y30" s="10"/>
      <c r="Z30" s="10"/>
      <c r="AA30" s="10"/>
      <c r="AB30" s="10"/>
      <c r="AC30" s="10"/>
      <c r="AD30" s="10"/>
      <c r="AE30" s="10"/>
    </row>
    <row r="31" customFormat="false" ht="18" hidden="false" customHeight="true" outlineLevel="0" collapsed="false">
      <c r="A31" s="567"/>
      <c r="B31" s="568"/>
      <c r="C31" s="645"/>
      <c r="D31" s="646" t="s">
        <v>1375</v>
      </c>
      <c r="E31" s="710" t="n">
        <f aca="false">'○総括　5～6 (メモなし)'!E31</f>
        <v>0</v>
      </c>
      <c r="F31" s="751" t="n">
        <f aca="false">'○総括　5～6 (メモなし)'!F31</f>
        <v>0</v>
      </c>
      <c r="G31" s="721" t="n">
        <f aca="false">E31-F31</f>
        <v>0</v>
      </c>
      <c r="H31" s="753"/>
      <c r="I31" s="754"/>
      <c r="J31" s="755"/>
      <c r="K31" s="720" t="n">
        <f aca="false">'○総括　5～6 (メモなし)'!K31</f>
        <v>0</v>
      </c>
      <c r="L31" s="720" t="n">
        <f aca="false">'○総括　5～6 (メモなし)'!L31</f>
        <v>0</v>
      </c>
      <c r="M31" s="721" t="n">
        <f aca="false">K31-L31</f>
        <v>0</v>
      </c>
      <c r="N31" s="724" t="n">
        <f aca="false">'○総括　5～6 (メモなし)'!N31</f>
        <v>0</v>
      </c>
      <c r="O31" s="724" t="n">
        <f aca="false">'○総括　5～6 (メモなし)'!O31</f>
        <v>0</v>
      </c>
      <c r="P31" s="725" t="n">
        <f aca="false">N31-O31</f>
        <v>0</v>
      </c>
      <c r="Q31" s="719" t="n">
        <f aca="false">'○総括　5～6 (メモなし)'!Q31</f>
        <v>0</v>
      </c>
      <c r="R31" s="720" t="n">
        <f aca="false">'○総括　5～6 (メモなし)'!R31</f>
        <v>0</v>
      </c>
      <c r="S31" s="726" t="n">
        <f aca="false">Q31-R31</f>
        <v>0</v>
      </c>
      <c r="T31" s="10"/>
      <c r="U31" s="10"/>
      <c r="V31" s="10"/>
      <c r="W31" s="10"/>
      <c r="X31" s="10"/>
      <c r="Y31" s="10"/>
      <c r="Z31" s="10"/>
      <c r="AA31" s="10"/>
      <c r="AB31" s="10"/>
      <c r="AC31" s="10"/>
      <c r="AD31" s="10"/>
      <c r="AE31" s="10"/>
    </row>
    <row r="32" customFormat="false" ht="18" hidden="false" customHeight="true" outlineLevel="0" collapsed="false">
      <c r="A32" s="567"/>
      <c r="B32" s="568"/>
      <c r="C32" s="645"/>
      <c r="D32" s="634" t="s">
        <v>1376</v>
      </c>
      <c r="E32" s="710" t="n">
        <f aca="false">'○総括　5～6 (メモなし)'!E32</f>
        <v>36121513</v>
      </c>
      <c r="F32" s="751" t="n">
        <f aca="false">'○総括　5～6 (メモなし)'!F32</f>
        <v>41107601</v>
      </c>
      <c r="G32" s="721" t="n">
        <f aca="false">E32-F32</f>
        <v>-4986088</v>
      </c>
      <c r="H32" s="727"/>
      <c r="I32" s="723"/>
      <c r="J32" s="752"/>
      <c r="K32" s="720" t="n">
        <f aca="false">'○総括　5～6 (メモなし)'!K32</f>
        <v>0</v>
      </c>
      <c r="L32" s="720" t="n">
        <f aca="false">'○総括　5～6 (メモなし)'!L32</f>
        <v>0</v>
      </c>
      <c r="M32" s="721" t="n">
        <f aca="false">K32-L32</f>
        <v>0</v>
      </c>
      <c r="N32" s="724" t="n">
        <f aca="false">'○総括　5～6 (メモなし)'!N32</f>
        <v>0</v>
      </c>
      <c r="O32" s="724" t="n">
        <f aca="false">'○総括　5～6 (メモなし)'!O32</f>
        <v>0</v>
      </c>
      <c r="P32" s="721" t="n">
        <f aca="false">N32-O32</f>
        <v>0</v>
      </c>
      <c r="Q32" s="719" t="n">
        <f aca="false">'○総括　5～6 (メモなし)'!Q32</f>
        <v>0</v>
      </c>
      <c r="R32" s="720" t="n">
        <f aca="false">'○総括　5～6 (メモなし)'!R32</f>
        <v>0</v>
      </c>
      <c r="S32" s="726" t="n">
        <f aca="false">Q32-R32</f>
        <v>0</v>
      </c>
      <c r="T32" s="10"/>
      <c r="U32" s="10"/>
      <c r="V32" s="10"/>
      <c r="W32" s="10"/>
      <c r="X32" s="10"/>
      <c r="Y32" s="10"/>
      <c r="Z32" s="10"/>
      <c r="AA32" s="10"/>
      <c r="AB32" s="10"/>
      <c r="AC32" s="10"/>
      <c r="AD32" s="10"/>
      <c r="AE32" s="10"/>
    </row>
    <row r="33" customFormat="false" ht="18" hidden="false" customHeight="true" outlineLevel="0" collapsed="false">
      <c r="A33" s="567"/>
      <c r="B33" s="568"/>
      <c r="C33" s="645"/>
      <c r="D33" s="622" t="s">
        <v>1377</v>
      </c>
      <c r="E33" s="710" t="n">
        <f aca="false">'○総括　5～6 (メモなし)'!E33</f>
        <v>74042318</v>
      </c>
      <c r="F33" s="751" t="n">
        <f aca="false">'○総括　5～6 (メモなし)'!F33</f>
        <v>70781450</v>
      </c>
      <c r="G33" s="721" t="n">
        <f aca="false">E33-F33</f>
        <v>3260868</v>
      </c>
      <c r="H33" s="727"/>
      <c r="I33" s="723"/>
      <c r="J33" s="752"/>
      <c r="K33" s="720" t="n">
        <f aca="false">'○総括　5～6 (メモなし)'!K33</f>
        <v>0</v>
      </c>
      <c r="L33" s="720" t="n">
        <f aca="false">'○総括　5～6 (メモなし)'!L33</f>
        <v>0</v>
      </c>
      <c r="M33" s="725" t="n">
        <f aca="false">K33-L33</f>
        <v>0</v>
      </c>
      <c r="N33" s="724" t="n">
        <f aca="false">'○総括　5～6 (メモなし)'!N33</f>
        <v>0</v>
      </c>
      <c r="O33" s="724" t="n">
        <f aca="false">'○総括　5～6 (メモなし)'!O33</f>
        <v>0</v>
      </c>
      <c r="P33" s="721" t="n">
        <f aca="false">N33-O33</f>
        <v>0</v>
      </c>
      <c r="Q33" s="719" t="n">
        <f aca="false">'○総括　5～6 (メモなし)'!Q33</f>
        <v>0</v>
      </c>
      <c r="R33" s="720" t="n">
        <f aca="false">'○総括　5～6 (メモなし)'!R33</f>
        <v>0</v>
      </c>
      <c r="S33" s="726" t="n">
        <f aca="false">Q33-R33</f>
        <v>0</v>
      </c>
      <c r="T33" s="10"/>
      <c r="U33" s="10"/>
      <c r="V33" s="10"/>
      <c r="W33" s="10"/>
      <c r="X33" s="10"/>
      <c r="Y33" s="10"/>
      <c r="Z33" s="10"/>
      <c r="AA33" s="10"/>
      <c r="AB33" s="10"/>
      <c r="AC33" s="10"/>
      <c r="AD33" s="10"/>
      <c r="AE33" s="10"/>
    </row>
    <row r="34" customFormat="false" ht="18" hidden="false" customHeight="true" outlineLevel="0" collapsed="false">
      <c r="A34" s="567"/>
      <c r="B34" s="568"/>
      <c r="C34" s="645"/>
      <c r="D34" s="646" t="s">
        <v>1378</v>
      </c>
      <c r="E34" s="710" t="n">
        <f aca="false">'○総括　5～6 (メモなし)'!E34</f>
        <v>5748963367</v>
      </c>
      <c r="F34" s="751" t="n">
        <f aca="false">'○総括　5～6 (メモなし)'!F34</f>
        <v>4701751348</v>
      </c>
      <c r="G34" s="721" t="n">
        <f aca="false">E34-F34</f>
        <v>1047212019</v>
      </c>
      <c r="H34" s="727"/>
      <c r="I34" s="723"/>
      <c r="J34" s="752"/>
      <c r="K34" s="720" t="n">
        <f aca="false">'○総括　5～6 (メモなし)'!K34</f>
        <v>0</v>
      </c>
      <c r="L34" s="720" t="n">
        <f aca="false">'○総括　5～6 (メモなし)'!L34</f>
        <v>0</v>
      </c>
      <c r="M34" s="721" t="n">
        <f aca="false">K34-L34</f>
        <v>0</v>
      </c>
      <c r="N34" s="724" t="n">
        <f aca="false">'○総括　5～6 (メモなし)'!N34</f>
        <v>0</v>
      </c>
      <c r="O34" s="724" t="n">
        <f aca="false">'○総括　5～6 (メモなし)'!O34</f>
        <v>0</v>
      </c>
      <c r="P34" s="721" t="n">
        <f aca="false">N34-O34</f>
        <v>0</v>
      </c>
      <c r="Q34" s="719" t="n">
        <f aca="false">'○総括　5～6 (メモなし)'!Q34</f>
        <v>0</v>
      </c>
      <c r="R34" s="720" t="n">
        <f aca="false">'○総括　5～6 (メモなし)'!R34</f>
        <v>0</v>
      </c>
      <c r="S34" s="750" t="n">
        <f aca="false">Q34-R34</f>
        <v>0</v>
      </c>
      <c r="T34" s="10"/>
      <c r="U34" s="10"/>
      <c r="V34" s="10"/>
      <c r="W34" s="10"/>
      <c r="X34" s="10"/>
      <c r="Y34" s="10"/>
      <c r="Z34" s="10"/>
      <c r="AA34" s="10"/>
      <c r="AB34" s="10"/>
      <c r="AC34" s="10"/>
      <c r="AD34" s="10"/>
      <c r="AE34" s="10"/>
    </row>
    <row r="35" customFormat="false" ht="18" hidden="false" customHeight="true" outlineLevel="0" collapsed="false">
      <c r="A35" s="567"/>
      <c r="B35" s="568"/>
      <c r="C35" s="645"/>
      <c r="D35" s="659" t="s">
        <v>1379</v>
      </c>
      <c r="E35" s="710" t="n">
        <f aca="false">'○総括　5～6 (メモなし)'!E35</f>
        <v>0</v>
      </c>
      <c r="F35" s="751" t="n">
        <f aca="false">'○総括　5～6 (メモなし)'!F35</f>
        <v>0</v>
      </c>
      <c r="G35" s="721" t="n">
        <f aca="false">E35-F35</f>
        <v>0</v>
      </c>
      <c r="H35" s="727"/>
      <c r="I35" s="723"/>
      <c r="J35" s="752"/>
      <c r="K35" s="720" t="n">
        <f aca="false">'○総括　5～6 (メモなし)'!K35</f>
        <v>0</v>
      </c>
      <c r="L35" s="720" t="n">
        <f aca="false">'○総括　5～6 (メモなし)'!L35</f>
        <v>0</v>
      </c>
      <c r="M35" s="721" t="n">
        <f aca="false">K35-L35</f>
        <v>0</v>
      </c>
      <c r="N35" s="724" t="n">
        <f aca="false">'○総括　5～6 (メモなし)'!N35</f>
        <v>0</v>
      </c>
      <c r="O35" s="724" t="n">
        <f aca="false">'○総括　5～6 (メモなし)'!O35</f>
        <v>0</v>
      </c>
      <c r="P35" s="721" t="n">
        <f aca="false">N35-O35</f>
        <v>0</v>
      </c>
      <c r="Q35" s="719" t="n">
        <f aca="false">'○総括　5～6 (メモなし)'!Q35</f>
        <v>0</v>
      </c>
      <c r="R35" s="720" t="n">
        <f aca="false">'○総括　5～6 (メモなし)'!R35</f>
        <v>0</v>
      </c>
      <c r="S35" s="726" t="n">
        <f aca="false">Q35-R35</f>
        <v>0</v>
      </c>
      <c r="T35" s="10"/>
      <c r="U35" s="10"/>
      <c r="V35" s="10"/>
      <c r="W35" s="10"/>
      <c r="X35" s="10"/>
      <c r="Y35" s="10"/>
      <c r="Z35" s="10"/>
      <c r="AA35" s="10"/>
      <c r="AB35" s="10"/>
      <c r="AC35" s="10"/>
      <c r="AD35" s="10"/>
      <c r="AE35" s="10"/>
    </row>
    <row r="36" customFormat="false" ht="18" hidden="false" customHeight="true" outlineLevel="0" collapsed="false">
      <c r="A36" s="567"/>
      <c r="B36" s="568"/>
      <c r="C36" s="645"/>
      <c r="D36" s="646" t="s">
        <v>1380</v>
      </c>
      <c r="E36" s="710" t="n">
        <f aca="false">'○総括　5～6 (メモなし)'!E36</f>
        <v>0</v>
      </c>
      <c r="F36" s="751" t="n">
        <f aca="false">'○総括　5～6 (メモなし)'!F36</f>
        <v>0</v>
      </c>
      <c r="G36" s="721" t="n">
        <f aca="false">E36-F36</f>
        <v>0</v>
      </c>
      <c r="H36" s="722" t="n">
        <v>5516016459</v>
      </c>
      <c r="I36" s="723" t="n">
        <v>10787321768</v>
      </c>
      <c r="J36" s="756" t="n">
        <f aca="false">H36-I36</f>
        <v>-5271305309</v>
      </c>
      <c r="K36" s="720" t="n">
        <f aca="false">'○総括　5～6 (メモなし)'!K36</f>
        <v>0</v>
      </c>
      <c r="L36" s="720" t="n">
        <f aca="false">'○総括　5～6 (メモなし)'!L36</f>
        <v>0</v>
      </c>
      <c r="M36" s="721" t="n">
        <f aca="false">K36-L36</f>
        <v>0</v>
      </c>
      <c r="N36" s="724" t="n">
        <f aca="false">'○総括　5～6 (メモなし)'!N36</f>
        <v>0</v>
      </c>
      <c r="O36" s="724" t="n">
        <f aca="false">'○総括　5～6 (メモなし)'!O36</f>
        <v>0</v>
      </c>
      <c r="P36" s="721" t="n">
        <f aca="false">N36-O36</f>
        <v>0</v>
      </c>
      <c r="Q36" s="719" t="n">
        <f aca="false">'○総括　5～6 (メモなし)'!Q36</f>
        <v>0</v>
      </c>
      <c r="R36" s="720" t="n">
        <f aca="false">'○総括　5～6 (メモなし)'!R36</f>
        <v>0</v>
      </c>
      <c r="S36" s="726" t="n">
        <f aca="false">Q36-R36</f>
        <v>0</v>
      </c>
      <c r="T36" s="10"/>
      <c r="U36" s="10"/>
      <c r="V36" s="10"/>
      <c r="W36" s="10"/>
      <c r="X36" s="10"/>
      <c r="Y36" s="10"/>
      <c r="Z36" s="10"/>
      <c r="AA36" s="10"/>
      <c r="AB36" s="10"/>
      <c r="AC36" s="10"/>
      <c r="AD36" s="10"/>
      <c r="AE36" s="10"/>
    </row>
    <row r="37" customFormat="false" ht="18" hidden="false" customHeight="true" outlineLevel="0" collapsed="false">
      <c r="A37" s="567"/>
      <c r="B37" s="568"/>
      <c r="C37" s="645"/>
      <c r="D37" s="646" t="s">
        <v>1381</v>
      </c>
      <c r="E37" s="710" t="n">
        <f aca="false">'○総括　5～6 (メモなし)'!E37</f>
        <v>0</v>
      </c>
      <c r="F37" s="751" t="n">
        <f aca="false">'○総括　5～6 (メモなし)'!F37</f>
        <v>0</v>
      </c>
      <c r="G37" s="721" t="n">
        <f aca="false">E37-F37</f>
        <v>0</v>
      </c>
      <c r="H37" s="757" t="n">
        <v>45220684</v>
      </c>
      <c r="I37" s="758" t="n">
        <v>87548431</v>
      </c>
      <c r="J37" s="756" t="n">
        <f aca="false">H37-I37</f>
        <v>-42327747</v>
      </c>
      <c r="K37" s="720" t="n">
        <f aca="false">'○総括　5～6 (メモなし)'!K37</f>
        <v>0</v>
      </c>
      <c r="L37" s="720" t="n">
        <f aca="false">'○総括　5～6 (メモなし)'!L37</f>
        <v>0</v>
      </c>
      <c r="M37" s="721" t="n">
        <f aca="false">K37-L37</f>
        <v>0</v>
      </c>
      <c r="N37" s="724" t="n">
        <f aca="false">'○総括　5～6 (メモなし)'!N37</f>
        <v>0</v>
      </c>
      <c r="O37" s="724" t="n">
        <f aca="false">'○総括　5～6 (メモなし)'!O37</f>
        <v>0</v>
      </c>
      <c r="P37" s="721" t="n">
        <f aca="false">N37-O37</f>
        <v>0</v>
      </c>
      <c r="Q37" s="719" t="n">
        <f aca="false">'○総括　5～6 (メモなし)'!Q37</f>
        <v>0</v>
      </c>
      <c r="R37" s="720" t="n">
        <f aca="false">'○総括　5～6 (メモなし)'!R37</f>
        <v>0</v>
      </c>
      <c r="S37" s="726" t="n">
        <f aca="false">Q37-R37</f>
        <v>0</v>
      </c>
      <c r="T37" s="10"/>
      <c r="U37" s="10"/>
      <c r="V37" s="10"/>
      <c r="W37" s="10"/>
      <c r="X37" s="10"/>
      <c r="Y37" s="10"/>
      <c r="Z37" s="10"/>
      <c r="AA37" s="10"/>
      <c r="AB37" s="10"/>
      <c r="AC37" s="10"/>
      <c r="AD37" s="10"/>
      <c r="AE37" s="10"/>
    </row>
    <row r="38" customFormat="false" ht="18" hidden="false" customHeight="true" outlineLevel="0" collapsed="false">
      <c r="A38" s="567"/>
      <c r="B38" s="568"/>
      <c r="C38" s="645"/>
      <c r="D38" s="646" t="s">
        <v>1382</v>
      </c>
      <c r="E38" s="710" t="n">
        <f aca="false">'○総括　5～6 (メモなし)'!E38</f>
        <v>0</v>
      </c>
      <c r="F38" s="751" t="n">
        <f aca="false">'○総括　5～6 (メモなし)'!F38</f>
        <v>0</v>
      </c>
      <c r="G38" s="721" t="n">
        <f aca="false">E38-F38</f>
        <v>0</v>
      </c>
      <c r="H38" s="722" t="n">
        <v>995045755</v>
      </c>
      <c r="I38" s="723" t="n">
        <v>2016533515</v>
      </c>
      <c r="J38" s="756" t="n">
        <f aca="false">H38-I38</f>
        <v>-1021487760</v>
      </c>
      <c r="K38" s="720" t="n">
        <f aca="false">'○総括　5～6 (メモなし)'!K38</f>
        <v>0</v>
      </c>
      <c r="L38" s="720" t="n">
        <f aca="false">'○総括　5～6 (メモなし)'!L38</f>
        <v>0</v>
      </c>
      <c r="M38" s="721" t="n">
        <f aca="false">K38-L38</f>
        <v>0</v>
      </c>
      <c r="N38" s="724" t="n">
        <f aca="false">'○総括　5～6 (メモなし)'!N38</f>
        <v>0</v>
      </c>
      <c r="O38" s="724" t="n">
        <f aca="false">'○総括　5～6 (メモなし)'!O38</f>
        <v>0</v>
      </c>
      <c r="P38" s="721" t="n">
        <f aca="false">N38-O38</f>
        <v>0</v>
      </c>
      <c r="Q38" s="719" t="n">
        <f aca="false">'○総括　5～6 (メモなし)'!Q38</f>
        <v>0</v>
      </c>
      <c r="R38" s="720" t="n">
        <f aca="false">'○総括　5～6 (メモなし)'!R38</f>
        <v>0</v>
      </c>
      <c r="S38" s="726" t="n">
        <f aca="false">Q38-R38</f>
        <v>0</v>
      </c>
      <c r="T38" s="10"/>
      <c r="U38" s="10"/>
      <c r="V38" s="10"/>
      <c r="W38" s="10"/>
      <c r="X38" s="10"/>
      <c r="Y38" s="10"/>
      <c r="Z38" s="10"/>
      <c r="AA38" s="10"/>
      <c r="AB38" s="10"/>
      <c r="AC38" s="10"/>
      <c r="AD38" s="10"/>
      <c r="AE38" s="10"/>
    </row>
    <row r="39" customFormat="false" ht="18" hidden="false" customHeight="true" outlineLevel="0" collapsed="false">
      <c r="A39" s="567"/>
      <c r="B39" s="568"/>
      <c r="C39" s="645"/>
      <c r="D39" s="665" t="s">
        <v>1383</v>
      </c>
      <c r="E39" s="710" t="n">
        <f aca="false">'○総括　5～6 (メモなし)'!E39</f>
        <v>0</v>
      </c>
      <c r="F39" s="751" t="n">
        <f aca="false">'○総括　5～6 (メモなし)'!F39</f>
        <v>0</v>
      </c>
      <c r="G39" s="721" t="n">
        <f aca="false">E39-F39</f>
        <v>0</v>
      </c>
      <c r="H39" s="722" t="n">
        <v>2802837274</v>
      </c>
      <c r="I39" s="723" t="n">
        <v>5376398659</v>
      </c>
      <c r="J39" s="756" t="n">
        <f aca="false">H39-I39</f>
        <v>-2573561385</v>
      </c>
      <c r="K39" s="720" t="n">
        <f aca="false">'○総括　5～6 (メモなし)'!K39</f>
        <v>0</v>
      </c>
      <c r="L39" s="720" t="n">
        <f aca="false">'○総括　5～6 (メモなし)'!L39</f>
        <v>0</v>
      </c>
      <c r="M39" s="721" t="n">
        <f aca="false">K39-L39</f>
        <v>0</v>
      </c>
      <c r="N39" s="724" t="n">
        <f aca="false">'○総括　5～6 (メモなし)'!N39</f>
        <v>0</v>
      </c>
      <c r="O39" s="724" t="n">
        <f aca="false">'○総括　5～6 (メモなし)'!O39</f>
        <v>0</v>
      </c>
      <c r="P39" s="721" t="n">
        <f aca="false">N39-O39</f>
        <v>0</v>
      </c>
      <c r="Q39" s="719" t="n">
        <f aca="false">'○総括　5～6 (メモなし)'!Q39</f>
        <v>0</v>
      </c>
      <c r="R39" s="720" t="n">
        <f aca="false">'○総括　5～6 (メモなし)'!R39</f>
        <v>0</v>
      </c>
      <c r="S39" s="726" t="n">
        <f aca="false">Q39-R39</f>
        <v>0</v>
      </c>
      <c r="T39" s="10"/>
      <c r="U39" s="10"/>
      <c r="V39" s="10"/>
      <c r="W39" s="10"/>
      <c r="X39" s="10"/>
      <c r="Y39" s="10"/>
      <c r="Z39" s="10"/>
      <c r="AA39" s="10"/>
      <c r="AB39" s="10"/>
      <c r="AC39" s="10"/>
      <c r="AD39" s="10"/>
      <c r="AE39" s="10"/>
    </row>
    <row r="40" customFormat="false" ht="18" hidden="false" customHeight="true" outlineLevel="0" collapsed="false">
      <c r="A40" s="567"/>
      <c r="B40" s="568"/>
      <c r="C40" s="645"/>
      <c r="D40" s="604" t="s">
        <v>1324</v>
      </c>
      <c r="E40" s="710" t="n">
        <f aca="false">'○総括　5～6 (メモなし)'!E40</f>
        <v>0</v>
      </c>
      <c r="F40" s="751" t="n">
        <f aca="false">'○総括　5～6 (メモなし)'!F40</f>
        <v>0</v>
      </c>
      <c r="G40" s="721" t="n">
        <f aca="false">E40-F40</f>
        <v>0</v>
      </c>
      <c r="H40" s="722"/>
      <c r="I40" s="723"/>
      <c r="J40" s="752"/>
      <c r="K40" s="720" t="n">
        <f aca="false">'○総括　5～6 (メモなし)'!K40</f>
        <v>0</v>
      </c>
      <c r="L40" s="720" t="n">
        <f aca="false">'○総括　5～6 (メモなし)'!L40</f>
        <v>0</v>
      </c>
      <c r="M40" s="721" t="n">
        <f aca="false">K40-L40</f>
        <v>0</v>
      </c>
      <c r="N40" s="724" t="n">
        <f aca="false">'○総括　5～6 (メモなし)'!N40</f>
        <v>0</v>
      </c>
      <c r="O40" s="724" t="n">
        <f aca="false">'○総括　5～6 (メモなし)'!O40</f>
        <v>0</v>
      </c>
      <c r="P40" s="721" t="n">
        <f aca="false">N40-O40</f>
        <v>0</v>
      </c>
      <c r="Q40" s="719" t="n">
        <f aca="false">'○総括　5～6 (メモなし)'!Q40</f>
        <v>0</v>
      </c>
      <c r="R40" s="720" t="n">
        <f aca="false">'○総括　5～6 (メモなし)'!R40</f>
        <v>0</v>
      </c>
      <c r="S40" s="726" t="n">
        <f aca="false">Q40-R40</f>
        <v>0</v>
      </c>
      <c r="T40" s="10"/>
      <c r="U40" s="10"/>
      <c r="V40" s="10"/>
      <c r="W40" s="10"/>
      <c r="X40" s="10"/>
      <c r="Y40" s="10"/>
      <c r="Z40" s="10"/>
      <c r="AA40" s="10"/>
      <c r="AB40" s="10"/>
      <c r="AC40" s="10"/>
      <c r="AD40" s="10"/>
      <c r="AE40" s="10"/>
    </row>
    <row r="41" customFormat="false" ht="18" hidden="false" customHeight="true" outlineLevel="0" collapsed="false">
      <c r="A41" s="567"/>
      <c r="B41" s="568"/>
      <c r="C41" s="645"/>
      <c r="D41" s="604" t="s">
        <v>1384</v>
      </c>
      <c r="E41" s="710" t="n">
        <f aca="false">'○総括　5～6 (メモなし)'!E41</f>
        <v>132291047</v>
      </c>
      <c r="F41" s="751" t="n">
        <f aca="false">'○総括　5～6 (メモなし)'!F41</f>
        <v>126119215</v>
      </c>
      <c r="G41" s="721" t="n">
        <f aca="false">E41-F41</f>
        <v>6171832</v>
      </c>
      <c r="H41" s="722" t="n">
        <v>26027000</v>
      </c>
      <c r="I41" s="723" t="n">
        <v>249923000</v>
      </c>
      <c r="J41" s="756" t="n">
        <f aca="false">H41-I41</f>
        <v>-223896000</v>
      </c>
      <c r="K41" s="720" t="n">
        <f aca="false">'○総括　5～6 (メモなし)'!K41</f>
        <v>0</v>
      </c>
      <c r="L41" s="720" t="n">
        <f aca="false">'○総括　5～6 (メモなし)'!L41</f>
        <v>0</v>
      </c>
      <c r="M41" s="721" t="n">
        <f aca="false">K41-L41</f>
        <v>0</v>
      </c>
      <c r="N41" s="724" t="n">
        <f aca="false">'○総括　5～6 (メモなし)'!N41</f>
        <v>0</v>
      </c>
      <c r="O41" s="724" t="n">
        <f aca="false">'○総括　5～6 (メモなし)'!O41</f>
        <v>0</v>
      </c>
      <c r="P41" s="721" t="n">
        <f aca="false">N41-O41</f>
        <v>0</v>
      </c>
      <c r="Q41" s="731" t="n">
        <f aca="false">'○総括　5～6 (メモなし)'!Q41</f>
        <v>0</v>
      </c>
      <c r="R41" s="720" t="n">
        <f aca="false">'○総括　5～6 (メモなし)'!R41</f>
        <v>465236</v>
      </c>
      <c r="S41" s="726" t="n">
        <f aca="false">Q41-R41</f>
        <v>-465236</v>
      </c>
      <c r="T41" s="10"/>
      <c r="U41" s="10"/>
      <c r="V41" s="10"/>
      <c r="W41" s="10"/>
      <c r="X41" s="10"/>
      <c r="Y41" s="10"/>
      <c r="Z41" s="10"/>
      <c r="AA41" s="10"/>
      <c r="AB41" s="10"/>
      <c r="AC41" s="10"/>
      <c r="AD41" s="10"/>
      <c r="AE41" s="10"/>
    </row>
    <row r="42" customFormat="false" ht="18" hidden="false" customHeight="true" outlineLevel="0" collapsed="false">
      <c r="A42" s="567"/>
      <c r="B42" s="568"/>
      <c r="C42" s="645"/>
      <c r="D42" s="604" t="s">
        <v>1385</v>
      </c>
      <c r="E42" s="710" t="n">
        <f aca="false">'○総括　5～6 (メモなし)'!E42</f>
        <v>11648520</v>
      </c>
      <c r="F42" s="751" t="n">
        <f aca="false">'○総括　5～6 (メモなし)'!F42</f>
        <v>8154087</v>
      </c>
      <c r="G42" s="721" t="n">
        <f aca="false">E42-F42</f>
        <v>3494433</v>
      </c>
      <c r="H42" s="722" t="n">
        <v>13252000</v>
      </c>
      <c r="I42" s="723" t="n">
        <v>30145946</v>
      </c>
      <c r="J42" s="756" t="n">
        <f aca="false">H42-I42</f>
        <v>-16893946</v>
      </c>
      <c r="K42" s="720" t="n">
        <f aca="false">'○総括　5～6 (メモなし)'!K42</f>
        <v>0</v>
      </c>
      <c r="L42" s="720" t="n">
        <f aca="false">'○総括　5～6 (メモなし)'!L42</f>
        <v>0</v>
      </c>
      <c r="M42" s="721" t="n">
        <f aca="false">K42-L42</f>
        <v>0</v>
      </c>
      <c r="N42" s="724" t="n">
        <f aca="false">'○総括　5～6 (メモなし)'!N42</f>
        <v>0</v>
      </c>
      <c r="O42" s="724" t="n">
        <f aca="false">'○総括　5～6 (メモなし)'!O42</f>
        <v>0</v>
      </c>
      <c r="P42" s="721" t="n">
        <f aca="false">N42-O42</f>
        <v>0</v>
      </c>
      <c r="Q42" s="731" t="n">
        <f aca="false">'○総括　5～6 (メモなし)'!Q42</f>
        <v>0</v>
      </c>
      <c r="R42" s="720" t="n">
        <f aca="false">'○総括　5～6 (メモなし)'!R42</f>
        <v>0</v>
      </c>
      <c r="S42" s="726" t="n">
        <f aca="false">Q42-R42</f>
        <v>0</v>
      </c>
      <c r="T42" s="10"/>
      <c r="U42" s="10"/>
      <c r="V42" s="10"/>
      <c r="W42" s="10"/>
      <c r="X42" s="10"/>
      <c r="Y42" s="10"/>
      <c r="Z42" s="10"/>
      <c r="AA42" s="10"/>
      <c r="AB42" s="10"/>
      <c r="AC42" s="10"/>
      <c r="AD42" s="10"/>
      <c r="AE42" s="10"/>
    </row>
    <row r="43" customFormat="false" ht="18" hidden="false" customHeight="true" outlineLevel="0" collapsed="false">
      <c r="A43" s="567"/>
      <c r="B43" s="568"/>
      <c r="C43" s="645"/>
      <c r="D43" s="604" t="s">
        <v>79</v>
      </c>
      <c r="E43" s="710" t="n">
        <f aca="false">'○総括　5～6 (メモなし)'!E43</f>
        <v>0</v>
      </c>
      <c r="F43" s="751" t="n">
        <f aca="false">'○総括　5～6 (メモなし)'!F43</f>
        <v>0</v>
      </c>
      <c r="G43" s="721" t="n">
        <f aca="false">E43-F43</f>
        <v>0</v>
      </c>
      <c r="H43" s="727"/>
      <c r="I43" s="723"/>
      <c r="J43" s="752"/>
      <c r="K43" s="720" t="n">
        <f aca="false">'○総括　5～6 (メモなし)'!K43</f>
        <v>9574938</v>
      </c>
      <c r="L43" s="720" t="n">
        <f aca="false">'○総括　5～6 (メモなし)'!L43</f>
        <v>7908615</v>
      </c>
      <c r="M43" s="721" t="n">
        <f aca="false">K43-L43</f>
        <v>1666323</v>
      </c>
      <c r="N43" s="724" t="n">
        <f aca="false">'○総括　5～6 (メモなし)'!N43</f>
        <v>6040584</v>
      </c>
      <c r="O43" s="724" t="n">
        <f aca="false">'○総括　5～6 (メモなし)'!O43</f>
        <v>5032581</v>
      </c>
      <c r="P43" s="721" t="n">
        <f aca="false">N43-O43</f>
        <v>1008003</v>
      </c>
      <c r="Q43" s="731" t="n">
        <f aca="false">'○総括　5～6 (メモなし)'!Q43</f>
        <v>6160420</v>
      </c>
      <c r="R43" s="720" t="n">
        <f aca="false">'○総括　5～6 (メモなし)'!R43</f>
        <v>4862540</v>
      </c>
      <c r="S43" s="726" t="n">
        <f aca="false">Q43-R43</f>
        <v>1297880</v>
      </c>
      <c r="T43" s="10"/>
      <c r="U43" s="10"/>
      <c r="V43" s="10"/>
      <c r="W43" s="10"/>
      <c r="X43" s="10"/>
      <c r="Y43" s="10"/>
      <c r="Z43" s="10"/>
      <c r="AA43" s="10"/>
      <c r="AB43" s="10"/>
      <c r="AC43" s="10"/>
      <c r="AD43" s="10"/>
      <c r="AE43" s="10"/>
    </row>
    <row r="44" customFormat="false" ht="18" hidden="false" customHeight="true" outlineLevel="0" collapsed="false">
      <c r="A44" s="567"/>
      <c r="B44" s="568"/>
      <c r="C44" s="645"/>
      <c r="D44" s="646" t="s">
        <v>1386</v>
      </c>
      <c r="E44" s="710" t="n">
        <f aca="false">'○総括　5～6 (メモなし)'!E44</f>
        <v>0</v>
      </c>
      <c r="F44" s="751" t="n">
        <f aca="false">'○総括　5～6 (メモなし)'!F44</f>
        <v>0</v>
      </c>
      <c r="G44" s="721" t="n">
        <f aca="false">E44-F44</f>
        <v>0</v>
      </c>
      <c r="H44" s="727"/>
      <c r="I44" s="723"/>
      <c r="J44" s="752"/>
      <c r="K44" s="720" t="n">
        <f aca="false">'○総括　5～6 (メモなし)'!K44</f>
        <v>101872292</v>
      </c>
      <c r="L44" s="720" t="n">
        <f aca="false">'○総括　5～6 (メモなし)'!L44</f>
        <v>82657779</v>
      </c>
      <c r="M44" s="721" t="n">
        <f aca="false">K44-L44</f>
        <v>19214513</v>
      </c>
      <c r="N44" s="724" t="n">
        <f aca="false">'○総括　5～6 (メモなし)'!N44</f>
        <v>608161999</v>
      </c>
      <c r="O44" s="724" t="n">
        <f aca="false">'○総括　5～6 (メモなし)'!O44</f>
        <v>579831941</v>
      </c>
      <c r="P44" s="721" t="n">
        <f aca="false">N44-O44</f>
        <v>28330058</v>
      </c>
      <c r="Q44" s="731" t="n">
        <f aca="false">'○総括　5～6 (メモなし)'!Q44</f>
        <v>11949705</v>
      </c>
      <c r="R44" s="720" t="n">
        <f aca="false">'○総括　5～6 (メモなし)'!R44</f>
        <v>8145032</v>
      </c>
      <c r="S44" s="726" t="n">
        <f aca="false">Q44-R44</f>
        <v>3804673</v>
      </c>
      <c r="T44" s="10"/>
      <c r="U44" s="10"/>
      <c r="V44" s="10"/>
      <c r="W44" s="10"/>
      <c r="X44" s="10"/>
      <c r="Y44" s="10"/>
      <c r="Z44" s="10"/>
      <c r="AA44" s="10"/>
      <c r="AB44" s="10"/>
      <c r="AC44" s="10"/>
      <c r="AD44" s="10"/>
      <c r="AE44" s="10"/>
    </row>
    <row r="45" customFormat="false" ht="18" hidden="false" customHeight="true" outlineLevel="0" collapsed="false">
      <c r="A45" s="567"/>
      <c r="B45" s="568"/>
      <c r="C45" s="645"/>
      <c r="D45" s="634" t="s">
        <v>1387</v>
      </c>
      <c r="E45" s="710" t="n">
        <f aca="false">'○総括　5～6 (メモなし)'!E45</f>
        <v>0</v>
      </c>
      <c r="F45" s="751" t="n">
        <f aca="false">'○総括　5～6 (メモなし)'!F45</f>
        <v>0</v>
      </c>
      <c r="G45" s="737" t="n">
        <f aca="false">E45-F45</f>
        <v>0</v>
      </c>
      <c r="H45" s="733"/>
      <c r="I45" s="734"/>
      <c r="J45" s="759"/>
      <c r="K45" s="720" t="n">
        <f aca="false">'○総括　5～6 (メモなし)'!K45</f>
        <v>0</v>
      </c>
      <c r="L45" s="720" t="n">
        <f aca="false">'○総括　5～6 (メモなし)'!L45</f>
        <v>0</v>
      </c>
      <c r="M45" s="721" t="n">
        <f aca="false">K45-L45</f>
        <v>0</v>
      </c>
      <c r="N45" s="724" t="n">
        <f aca="false">'○総括　5～6 (メモなし)'!N45</f>
        <v>0</v>
      </c>
      <c r="O45" s="724" t="n">
        <f aca="false">'○総括　5～6 (メモなし)'!O45</f>
        <v>0</v>
      </c>
      <c r="P45" s="721" t="n">
        <f aca="false">N45-O45</f>
        <v>0</v>
      </c>
      <c r="Q45" s="731" t="n">
        <f aca="false">'○総括　5～6 (メモなし)'!Q45</f>
        <v>0</v>
      </c>
      <c r="R45" s="720" t="n">
        <f aca="false">'○総括　5～6 (メモなし)'!R45</f>
        <v>0</v>
      </c>
      <c r="S45" s="736" t="n">
        <f aca="false">Q45-R45</f>
        <v>0</v>
      </c>
      <c r="T45" s="10"/>
      <c r="U45" s="10"/>
      <c r="V45" s="10"/>
      <c r="W45" s="10"/>
      <c r="X45" s="10"/>
      <c r="Y45" s="10"/>
      <c r="Z45" s="10"/>
      <c r="AA45" s="10"/>
      <c r="AB45" s="10"/>
      <c r="AC45" s="10"/>
      <c r="AD45" s="10"/>
      <c r="AE45" s="10"/>
    </row>
    <row r="46" customFormat="false" ht="18" hidden="false" customHeight="true" outlineLevel="0" collapsed="false">
      <c r="A46" s="567"/>
      <c r="B46" s="568"/>
      <c r="C46" s="645"/>
      <c r="D46" s="634" t="s">
        <v>1388</v>
      </c>
      <c r="E46" s="710" t="n">
        <f aca="false">'○総括　5～6 (メモなし)'!E46</f>
        <v>0</v>
      </c>
      <c r="F46" s="751" t="n">
        <f aca="false">'○総括　5～6 (メモなし)'!F46</f>
        <v>0</v>
      </c>
      <c r="G46" s="737" t="n">
        <f aca="false">E46-F46</f>
        <v>0</v>
      </c>
      <c r="H46" s="733"/>
      <c r="I46" s="734"/>
      <c r="J46" s="759"/>
      <c r="K46" s="720" t="n">
        <f aca="false">'○総括　5～6 (メモなし)'!K46</f>
        <v>0</v>
      </c>
      <c r="L46" s="720" t="n">
        <f aca="false">'○総括　5～6 (メモなし)'!L46</f>
        <v>0</v>
      </c>
      <c r="M46" s="721" t="n">
        <f aca="false">K46-L46</f>
        <v>0</v>
      </c>
      <c r="N46" s="724" t="n">
        <f aca="false">'○総括　5～6 (メモなし)'!N46</f>
        <v>0</v>
      </c>
      <c r="O46" s="724" t="n">
        <f aca="false">'○総括　5～6 (メモなし)'!O46</f>
        <v>0</v>
      </c>
      <c r="P46" s="737" t="n">
        <f aca="false">N46-O46</f>
        <v>0</v>
      </c>
      <c r="Q46" s="731" t="n">
        <f aca="false">'○総括　5～6 (メモなし)'!Q46</f>
        <v>0</v>
      </c>
      <c r="R46" s="720" t="n">
        <f aca="false">'○総括　5～6 (メモなし)'!R46</f>
        <v>0</v>
      </c>
      <c r="S46" s="736" t="n">
        <f aca="false">Q46-R46</f>
        <v>0</v>
      </c>
      <c r="T46" s="10"/>
      <c r="U46" s="10"/>
      <c r="V46" s="10"/>
      <c r="W46" s="10"/>
      <c r="X46" s="10"/>
      <c r="Y46" s="10"/>
      <c r="Z46" s="10"/>
      <c r="AA46" s="10"/>
      <c r="AB46" s="10"/>
      <c r="AC46" s="10"/>
      <c r="AD46" s="10"/>
      <c r="AE46" s="10"/>
    </row>
    <row r="47" customFormat="false" ht="18" hidden="false" customHeight="true" outlineLevel="0" collapsed="false">
      <c r="A47" s="567"/>
      <c r="B47" s="568"/>
      <c r="C47" s="645"/>
      <c r="D47" s="634" t="s">
        <v>1098</v>
      </c>
      <c r="E47" s="710" t="n">
        <f aca="false">'○総括　5～6 (メモなし)'!E47</f>
        <v>0</v>
      </c>
      <c r="F47" s="751" t="n">
        <f aca="false">'○総括　5～6 (メモなし)'!F47</f>
        <v>40576</v>
      </c>
      <c r="G47" s="737" t="n">
        <f aca="false">E47-F47</f>
        <v>-40576</v>
      </c>
      <c r="H47" s="733"/>
      <c r="I47" s="734"/>
      <c r="J47" s="759"/>
      <c r="K47" s="720" t="n">
        <f aca="false">'○総括　5～6 (メモなし)'!K47</f>
        <v>0</v>
      </c>
      <c r="L47" s="720" t="n">
        <f aca="false">'○総括　5～6 (メモなし)'!L47</f>
        <v>0</v>
      </c>
      <c r="M47" s="721" t="n">
        <f aca="false">K47-L47</f>
        <v>0</v>
      </c>
      <c r="N47" s="724" t="n">
        <f aca="false">'○総括　5～6 (メモなし)'!N47</f>
        <v>0</v>
      </c>
      <c r="O47" s="724" t="n">
        <f aca="false">'○総括　5～6 (メモなし)'!O47</f>
        <v>19773</v>
      </c>
      <c r="P47" s="721" t="n">
        <f aca="false">N47-O47</f>
        <v>-19773</v>
      </c>
      <c r="Q47" s="731" t="n">
        <f aca="false">'○総括　5～6 (メモなし)'!Q47</f>
        <v>0</v>
      </c>
      <c r="R47" s="720" t="n">
        <f aca="false">'○総括　5～6 (メモなし)'!R47</f>
        <v>0</v>
      </c>
      <c r="S47" s="726" t="n">
        <f aca="false">Q47-R47</f>
        <v>0</v>
      </c>
      <c r="T47" s="10"/>
      <c r="U47" s="10"/>
      <c r="V47" s="10"/>
      <c r="W47" s="10"/>
      <c r="X47" s="10"/>
      <c r="Y47" s="10"/>
      <c r="Z47" s="10"/>
      <c r="AA47" s="10"/>
      <c r="AB47" s="10"/>
      <c r="AC47" s="10"/>
      <c r="AD47" s="10"/>
      <c r="AE47" s="10"/>
    </row>
    <row r="48" customFormat="false" ht="18" hidden="false" customHeight="true" outlineLevel="0" collapsed="false">
      <c r="A48" s="567"/>
      <c r="B48" s="568"/>
      <c r="C48" s="645"/>
      <c r="D48" s="636" t="s">
        <v>1389</v>
      </c>
      <c r="E48" s="760" t="n">
        <f aca="false">'○総括　5～6 (メモなし)'!E48</f>
        <v>876229790</v>
      </c>
      <c r="F48" s="739" t="n">
        <f aca="false">'○総括　5～6 (メモなし)'!F48</f>
        <v>883951850</v>
      </c>
      <c r="G48" s="737" t="n">
        <f aca="false">E48-F48</f>
        <v>-7722060</v>
      </c>
      <c r="H48" s="740"/>
      <c r="I48" s="734"/>
      <c r="J48" s="735"/>
      <c r="K48" s="748" t="n">
        <f aca="false">'○総括　5～6 (メモなし)'!K48</f>
        <v>0</v>
      </c>
      <c r="L48" s="761" t="n">
        <f aca="false">'○総括　5～6 (メモなし)'!L48</f>
        <v>0</v>
      </c>
      <c r="M48" s="737" t="n">
        <f aca="false">K48-L48</f>
        <v>0</v>
      </c>
      <c r="N48" s="724" t="n">
        <f aca="false">'○総括　5～6 (メモなし)'!N48</f>
        <v>0</v>
      </c>
      <c r="O48" s="724" t="n">
        <f aca="false">'○総括　5～6 (メモなし)'!O48</f>
        <v>0</v>
      </c>
      <c r="P48" s="737" t="n">
        <f aca="false">N48-O48</f>
        <v>0</v>
      </c>
      <c r="Q48" s="738" t="n">
        <f aca="false">'○総括　5～6 (メモなし)'!Q48</f>
        <v>0</v>
      </c>
      <c r="R48" s="739" t="n">
        <f aca="false">'○総括　5～6 (メモなし)'!R48</f>
        <v>0</v>
      </c>
      <c r="S48" s="736" t="n">
        <f aca="false">Q48-R48</f>
        <v>0</v>
      </c>
      <c r="T48" s="10"/>
      <c r="U48" s="10"/>
      <c r="V48" s="10"/>
      <c r="W48" s="10"/>
      <c r="X48" s="10"/>
      <c r="Y48" s="10"/>
      <c r="Z48" s="10"/>
      <c r="AA48" s="10"/>
      <c r="AB48" s="10"/>
      <c r="AC48" s="10"/>
      <c r="AD48" s="10"/>
      <c r="AE48" s="10"/>
    </row>
    <row r="49" customFormat="false" ht="24" hidden="false" customHeight="true" outlineLevel="0" collapsed="false">
      <c r="A49" s="567"/>
      <c r="B49" s="568"/>
      <c r="C49" s="669" t="s">
        <v>1390</v>
      </c>
      <c r="D49" s="669"/>
      <c r="E49" s="703" t="n">
        <f aca="false">SUM(E29:E48)</f>
        <v>12539164712</v>
      </c>
      <c r="F49" s="704" t="n">
        <f aca="false">SUM(F29:F48)</f>
        <v>11522650253</v>
      </c>
      <c r="G49" s="705" t="n">
        <f aca="false">SUM(G29:G48)</f>
        <v>1016514459</v>
      </c>
      <c r="H49" s="703" t="n">
        <f aca="false">SUM(H36:H48)</f>
        <v>9398399172</v>
      </c>
      <c r="I49" s="704" t="n">
        <f aca="false">SUM(I36:I48)</f>
        <v>18547871319</v>
      </c>
      <c r="J49" s="705" t="n">
        <f aca="false">SUM(J36:J48)</f>
        <v>-9149472147</v>
      </c>
      <c r="K49" s="707" t="n">
        <f aca="false">SUM(K29:K48)</f>
        <v>111447230</v>
      </c>
      <c r="L49" s="762" t="n">
        <f aca="false">SUM(L29:L48)</f>
        <v>90566394</v>
      </c>
      <c r="M49" s="705" t="n">
        <f aca="false">SUM(M29:M48)</f>
        <v>20880836</v>
      </c>
      <c r="N49" s="708" t="n">
        <f aca="false">SUM(N29:N48)</f>
        <v>614202583</v>
      </c>
      <c r="O49" s="708" t="n">
        <f aca="false">SUM(O29:O48)</f>
        <v>584884295</v>
      </c>
      <c r="P49" s="705" t="n">
        <f aca="false">SUM(P29:P48)</f>
        <v>29318288</v>
      </c>
      <c r="Q49" s="707" t="n">
        <f aca="false">SUM(Q29:Q48)</f>
        <v>18110125</v>
      </c>
      <c r="R49" s="708" t="n">
        <f aca="false">SUM(R29:R48)</f>
        <v>13472808</v>
      </c>
      <c r="S49" s="709" t="n">
        <f aca="false">SUM(S29:S48)</f>
        <v>4637317</v>
      </c>
      <c r="T49" s="10"/>
      <c r="U49" s="10"/>
      <c r="V49" s="10"/>
      <c r="W49" s="10"/>
      <c r="X49" s="10"/>
      <c r="Y49" s="10"/>
      <c r="Z49" s="10"/>
      <c r="AA49" s="10"/>
      <c r="AB49" s="10"/>
      <c r="AC49" s="10"/>
      <c r="AD49" s="10"/>
      <c r="AE49" s="10"/>
    </row>
    <row r="50" customFormat="false" ht="24" hidden="false" customHeight="true" outlineLevel="0" collapsed="false">
      <c r="A50" s="567"/>
      <c r="B50" s="568"/>
      <c r="C50" s="671" t="s">
        <v>1391</v>
      </c>
      <c r="D50" s="671"/>
      <c r="E50" s="710" t="n">
        <f aca="false">E28-E49</f>
        <v>824180510</v>
      </c>
      <c r="F50" s="751" t="n">
        <f aca="false">F28-F49</f>
        <v>-568037567</v>
      </c>
      <c r="G50" s="712" t="n">
        <f aca="false">E50-F50</f>
        <v>1392218077</v>
      </c>
      <c r="H50" s="710" t="n">
        <f aca="false">H28-H49</f>
        <v>944336817</v>
      </c>
      <c r="I50" s="751" t="n">
        <f aca="false">I28-I49</f>
        <v>669911578</v>
      </c>
      <c r="J50" s="712" t="n">
        <f aca="false">H50-I50</f>
        <v>274425239</v>
      </c>
      <c r="K50" s="763" t="n">
        <f aca="false">K28-K49</f>
        <v>4500788</v>
      </c>
      <c r="L50" s="764" t="n">
        <f aca="false">L28-L49</f>
        <v>5603393</v>
      </c>
      <c r="M50" s="712" t="n">
        <f aca="false">K50-L50</f>
        <v>-1102605</v>
      </c>
      <c r="N50" s="715" t="n">
        <f aca="false">N28-N49</f>
        <v>-5288221</v>
      </c>
      <c r="O50" s="715" t="n">
        <f aca="false">O28-O49</f>
        <v>-89819680</v>
      </c>
      <c r="P50" s="712" t="n">
        <f aca="false">N50-O50</f>
        <v>84531459</v>
      </c>
      <c r="Q50" s="763" t="n">
        <f aca="false">Q28-Q49</f>
        <v>-5354125</v>
      </c>
      <c r="R50" s="715" t="n">
        <f aca="false">R28-R49</f>
        <v>808378</v>
      </c>
      <c r="S50" s="718" t="n">
        <f aca="false">Q50-R50</f>
        <v>-6162503</v>
      </c>
      <c r="T50" s="10"/>
      <c r="U50" s="10"/>
      <c r="V50" s="10"/>
      <c r="W50" s="10"/>
      <c r="X50" s="10"/>
      <c r="Y50" s="10"/>
      <c r="Z50" s="10"/>
      <c r="AA50" s="10"/>
      <c r="AB50" s="10"/>
      <c r="AC50" s="10"/>
      <c r="AD50" s="10"/>
      <c r="AE50" s="10"/>
    </row>
    <row r="51" customFormat="false" ht="24" hidden="false" customHeight="true" outlineLevel="0" collapsed="false">
      <c r="A51" s="567"/>
      <c r="B51" s="568"/>
      <c r="C51" s="677" t="s">
        <v>1392</v>
      </c>
      <c r="D51" s="677"/>
      <c r="E51" s="765" t="n">
        <f aca="false">E6+E50</f>
        <v>2237365593</v>
      </c>
      <c r="F51" s="766" t="n">
        <f aca="false">F6+F50</f>
        <v>1413185083</v>
      </c>
      <c r="G51" s="767" t="n">
        <f aca="false">E51-F51</f>
        <v>824180510</v>
      </c>
      <c r="H51" s="765" t="n">
        <f aca="false">H6+H50</f>
        <v>116214028015</v>
      </c>
      <c r="I51" s="766" t="n">
        <f aca="false">I6+I50</f>
        <v>115269691198</v>
      </c>
      <c r="J51" s="767" t="n">
        <f aca="false">H51-I51</f>
        <v>944336817</v>
      </c>
      <c r="K51" s="768" t="n">
        <f aca="false">K6+K50</f>
        <v>71093911</v>
      </c>
      <c r="L51" s="769" t="n">
        <f aca="false">L6+L50</f>
        <v>66593123</v>
      </c>
      <c r="M51" s="767" t="n">
        <f aca="false">K51-L51</f>
        <v>4500788</v>
      </c>
      <c r="N51" s="770" t="n">
        <f aca="false">N6+N50</f>
        <v>270947604</v>
      </c>
      <c r="O51" s="770" t="n">
        <f aca="false">O6+O50</f>
        <v>276235825</v>
      </c>
      <c r="P51" s="767" t="n">
        <f aca="false">N51-O51</f>
        <v>-5288221</v>
      </c>
      <c r="Q51" s="768" t="n">
        <f aca="false">Q6+Q50</f>
        <v>1961052168</v>
      </c>
      <c r="R51" s="770" t="n">
        <f aca="false">R6+R50</f>
        <v>1966406293</v>
      </c>
      <c r="S51" s="771" t="n">
        <f aca="false">Q51-R51</f>
        <v>-5354125</v>
      </c>
      <c r="T51" s="10"/>
      <c r="U51" s="10"/>
      <c r="V51" s="10"/>
      <c r="W51" s="10"/>
      <c r="X51" s="10"/>
      <c r="Y51" s="10"/>
      <c r="Z51" s="10"/>
      <c r="AA51" s="10"/>
      <c r="AB51" s="10"/>
      <c r="AC51" s="10"/>
      <c r="AD51" s="10"/>
      <c r="AE51" s="10"/>
    </row>
    <row r="52" customFormat="false" ht="23.25" hidden="false" customHeight="true" outlineLevel="0" collapsed="false">
      <c r="A52" s="10"/>
      <c r="B52" s="10"/>
      <c r="C52" s="10"/>
      <c r="D52" s="685"/>
      <c r="E52" s="10"/>
      <c r="F52" s="10"/>
      <c r="G52" s="10"/>
      <c r="H52" s="10"/>
      <c r="I52" s="10"/>
      <c r="J52" s="10"/>
      <c r="K52" s="10"/>
      <c r="L52" s="10"/>
      <c r="M52" s="10"/>
      <c r="N52" s="687"/>
      <c r="O52" s="10"/>
      <c r="P52" s="10"/>
      <c r="Q52" s="10"/>
      <c r="R52" s="10"/>
      <c r="S52" s="10"/>
      <c r="T52" s="10"/>
      <c r="U52" s="10"/>
      <c r="V52" s="10"/>
      <c r="W52" s="10"/>
      <c r="X52" s="10"/>
      <c r="Y52" s="10"/>
      <c r="Z52" s="10"/>
      <c r="AA52" s="10"/>
      <c r="AB52" s="10"/>
      <c r="AC52" s="10"/>
      <c r="AD52" s="10"/>
      <c r="AE52" s="10"/>
    </row>
    <row r="53" customFormat="false" ht="23.25" hidden="false" customHeight="true" outlineLevel="0" collapsed="false">
      <c r="A53" s="10"/>
      <c r="B53" s="10"/>
      <c r="C53" s="10"/>
      <c r="D53" s="685"/>
      <c r="E53" s="10"/>
      <c r="F53" s="10"/>
      <c r="G53" s="10"/>
      <c r="H53" s="10"/>
      <c r="I53" s="10"/>
      <c r="J53" s="10"/>
      <c r="K53" s="10"/>
      <c r="L53" s="10"/>
      <c r="M53" s="10"/>
      <c r="N53" s="687"/>
      <c r="O53" s="10"/>
      <c r="P53" s="10"/>
      <c r="Q53" s="10"/>
      <c r="R53" s="10"/>
      <c r="S53" s="10"/>
      <c r="T53" s="10"/>
      <c r="U53" s="10"/>
      <c r="V53" s="10"/>
      <c r="W53" s="10"/>
      <c r="X53" s="10"/>
      <c r="Y53" s="10"/>
      <c r="Z53" s="10"/>
      <c r="AA53" s="10"/>
      <c r="AB53" s="10"/>
      <c r="AC53" s="10"/>
      <c r="AD53" s="10"/>
      <c r="AE53" s="10"/>
    </row>
    <row r="54" customFormat="false" ht="23.25" hidden="false" customHeight="true" outlineLevel="0" collapsed="false">
      <c r="A54" s="10"/>
      <c r="B54" s="10"/>
      <c r="C54" s="10"/>
      <c r="D54" s="685"/>
      <c r="E54" s="10"/>
      <c r="F54" s="10"/>
      <c r="G54" s="10"/>
      <c r="H54" s="10"/>
      <c r="I54" s="10"/>
      <c r="J54" s="10"/>
      <c r="K54" s="10"/>
      <c r="L54" s="10"/>
      <c r="M54" s="10"/>
      <c r="N54" s="687"/>
      <c r="O54" s="10"/>
      <c r="P54" s="10"/>
      <c r="Q54" s="10"/>
      <c r="R54" s="10"/>
      <c r="S54" s="10"/>
      <c r="T54" s="10"/>
      <c r="U54" s="10"/>
      <c r="V54" s="10"/>
      <c r="W54" s="10"/>
      <c r="X54" s="10"/>
      <c r="Y54" s="10"/>
      <c r="Z54" s="10"/>
      <c r="AA54" s="10"/>
      <c r="AB54" s="10"/>
      <c r="AC54" s="10"/>
      <c r="AD54" s="10"/>
      <c r="AE54" s="10"/>
    </row>
    <row r="55" customFormat="false" ht="23.25" hidden="false" customHeight="true" outlineLevel="0" collapsed="false">
      <c r="A55" s="10"/>
      <c r="B55" s="10"/>
      <c r="C55" s="10"/>
      <c r="D55" s="685"/>
      <c r="E55" s="10"/>
      <c r="F55" s="10"/>
      <c r="G55" s="10"/>
      <c r="H55" s="10"/>
      <c r="I55" s="10"/>
      <c r="J55" s="10"/>
      <c r="K55" s="10"/>
      <c r="L55" s="10"/>
      <c r="M55" s="10"/>
      <c r="N55" s="687"/>
      <c r="O55" s="10"/>
      <c r="P55" s="10"/>
      <c r="Q55" s="10"/>
      <c r="R55" s="10"/>
      <c r="S55" s="10"/>
      <c r="T55" s="10"/>
      <c r="U55" s="10"/>
      <c r="V55" s="10"/>
      <c r="W55" s="10"/>
      <c r="X55" s="10"/>
      <c r="Y55" s="10"/>
      <c r="Z55" s="10"/>
      <c r="AA55" s="10"/>
      <c r="AB55" s="10"/>
      <c r="AC55" s="10"/>
      <c r="AD55" s="10"/>
      <c r="AE55" s="10"/>
    </row>
    <row r="56" customFormat="false" ht="23.25" hidden="false" customHeight="true" outlineLevel="0" collapsed="false">
      <c r="A56" s="10"/>
      <c r="B56" s="10"/>
      <c r="C56" s="10"/>
      <c r="D56" s="685"/>
      <c r="E56" s="10"/>
      <c r="F56" s="10"/>
      <c r="G56" s="10"/>
      <c r="H56" s="10"/>
      <c r="I56" s="10"/>
      <c r="J56" s="10"/>
      <c r="K56" s="10"/>
      <c r="L56" s="10"/>
      <c r="M56" s="10"/>
      <c r="N56" s="687"/>
      <c r="O56" s="10"/>
      <c r="P56" s="10"/>
      <c r="Q56" s="10"/>
      <c r="R56" s="10"/>
      <c r="S56" s="10"/>
      <c r="T56" s="10"/>
      <c r="U56" s="10"/>
      <c r="V56" s="10"/>
      <c r="W56" s="10"/>
      <c r="X56" s="10"/>
      <c r="Y56" s="10"/>
      <c r="Z56" s="10"/>
      <c r="AA56" s="10"/>
      <c r="AB56" s="10"/>
      <c r="AC56" s="10"/>
      <c r="AD56" s="10"/>
      <c r="AE56" s="10"/>
    </row>
    <row r="57" customFormat="false" ht="17.25" hidden="false" customHeight="true" outlineLevel="0" collapsed="false">
      <c r="A57" s="10"/>
      <c r="B57" s="10"/>
      <c r="C57" s="10"/>
      <c r="D57" s="685"/>
      <c r="E57" s="10"/>
      <c r="F57" s="10"/>
      <c r="G57" s="566" t="s">
        <v>1394</v>
      </c>
      <c r="H57" s="463" t="s">
        <v>1384</v>
      </c>
      <c r="I57" s="690" t="s">
        <v>1395</v>
      </c>
      <c r="J57" s="690"/>
      <c r="K57" s="690"/>
      <c r="L57" s="690"/>
      <c r="M57" s="690"/>
      <c r="N57" s="690"/>
      <c r="O57" s="10"/>
      <c r="P57" s="10"/>
      <c r="Q57" s="10"/>
      <c r="R57" s="10"/>
      <c r="S57" s="10"/>
      <c r="T57" s="10"/>
      <c r="U57" s="10"/>
      <c r="V57" s="10"/>
      <c r="W57" s="10"/>
      <c r="X57" s="10"/>
      <c r="Y57" s="10"/>
      <c r="Z57" s="10"/>
      <c r="AA57" s="10"/>
      <c r="AB57" s="10"/>
      <c r="AC57" s="10"/>
      <c r="AD57" s="10"/>
      <c r="AE57" s="10"/>
    </row>
    <row r="58" customFormat="false" ht="17.25" hidden="false" customHeight="true" outlineLevel="0" collapsed="false">
      <c r="A58" s="10"/>
      <c r="B58" s="10"/>
      <c r="C58" s="10"/>
      <c r="D58" s="691"/>
      <c r="E58" s="10"/>
      <c r="F58" s="10"/>
      <c r="G58" s="566" t="s">
        <v>1396</v>
      </c>
      <c r="H58" s="463" t="s">
        <v>1386</v>
      </c>
      <c r="I58" s="690"/>
      <c r="J58" s="690"/>
      <c r="K58" s="690"/>
      <c r="L58" s="690"/>
      <c r="M58" s="690"/>
      <c r="N58" s="690"/>
      <c r="O58" s="691"/>
      <c r="P58" s="691"/>
      <c r="Q58" s="10"/>
      <c r="R58" s="10"/>
      <c r="S58" s="10"/>
      <c r="T58" s="10"/>
      <c r="U58" s="10"/>
      <c r="V58" s="10"/>
      <c r="W58" s="10"/>
      <c r="X58" s="10"/>
      <c r="Y58" s="10"/>
      <c r="Z58" s="10"/>
      <c r="AA58" s="10"/>
      <c r="AB58" s="10"/>
      <c r="AC58" s="10"/>
      <c r="AD58" s="10"/>
      <c r="AE58" s="10"/>
    </row>
    <row r="59" customFormat="false" ht="17.25" hidden="false" customHeight="true" outlineLevel="0" collapsed="false">
      <c r="A59" s="10"/>
      <c r="B59" s="10"/>
      <c r="C59" s="10"/>
      <c r="D59" s="685"/>
      <c r="E59" s="10"/>
      <c r="F59" s="10"/>
      <c r="G59" s="692"/>
      <c r="H59" s="10"/>
      <c r="I59" s="10"/>
      <c r="J59" s="10"/>
      <c r="K59" s="685"/>
      <c r="L59" s="685"/>
      <c r="M59" s="685"/>
      <c r="N59" s="685"/>
      <c r="O59" s="685"/>
      <c r="P59" s="685"/>
      <c r="Q59" s="10"/>
      <c r="R59" s="10"/>
      <c r="S59" s="10"/>
      <c r="T59" s="10"/>
      <c r="U59" s="10"/>
      <c r="V59" s="10"/>
      <c r="W59" s="10"/>
      <c r="X59" s="10"/>
      <c r="Y59" s="10"/>
      <c r="Z59" s="10"/>
      <c r="AA59" s="10"/>
      <c r="AB59" s="10"/>
      <c r="AC59" s="10"/>
      <c r="AD59" s="10"/>
      <c r="AE59" s="10"/>
    </row>
    <row r="60" customFormat="false" ht="17.25" hidden="false" customHeight="true" outlineLevel="0" collapsed="false">
      <c r="A60" s="10"/>
      <c r="B60" s="10"/>
      <c r="C60" s="10"/>
      <c r="D60" s="685"/>
      <c r="E60" s="10"/>
      <c r="F60" s="10"/>
      <c r="G60" s="10"/>
      <c r="H60" s="10"/>
      <c r="I60" s="10"/>
      <c r="J60" s="10"/>
      <c r="K60" s="685"/>
      <c r="L60" s="685"/>
      <c r="M60" s="685"/>
      <c r="N60" s="685"/>
      <c r="O60" s="685"/>
      <c r="P60" s="685"/>
      <c r="Q60" s="10"/>
      <c r="R60" s="10"/>
      <c r="S60" s="10"/>
      <c r="T60" s="10"/>
      <c r="U60" s="10"/>
      <c r="V60" s="10"/>
      <c r="W60" s="10"/>
      <c r="X60" s="10"/>
      <c r="Y60" s="10"/>
      <c r="Z60" s="10"/>
      <c r="AA60" s="10"/>
      <c r="AB60" s="10"/>
      <c r="AC60" s="10"/>
      <c r="AD60" s="10"/>
      <c r="AE60" s="10"/>
    </row>
    <row r="61" customFormat="false" ht="17.25" hidden="false" customHeight="true" outlineLevel="0" collapsed="false">
      <c r="A61" s="10"/>
      <c r="B61" s="10"/>
      <c r="C61" s="10"/>
      <c r="D61" s="685"/>
      <c r="E61" s="10"/>
      <c r="F61" s="10"/>
      <c r="G61" s="10"/>
      <c r="H61" s="10"/>
      <c r="I61" s="10"/>
      <c r="J61" s="10"/>
      <c r="K61" s="10"/>
      <c r="L61" s="10"/>
      <c r="M61" s="10"/>
      <c r="N61" s="687"/>
      <c r="O61" s="10"/>
      <c r="P61" s="10"/>
      <c r="Q61" s="10"/>
      <c r="R61" s="10"/>
      <c r="S61" s="10"/>
      <c r="T61" s="10"/>
      <c r="U61" s="10"/>
      <c r="V61" s="10"/>
      <c r="W61" s="10"/>
      <c r="X61" s="10"/>
      <c r="Y61" s="10"/>
      <c r="Z61" s="10"/>
      <c r="AA61" s="10"/>
      <c r="AB61" s="10"/>
      <c r="AC61" s="10"/>
      <c r="AD61" s="10"/>
      <c r="AE61" s="10"/>
    </row>
    <row r="62" customFormat="false" ht="17.25" hidden="false" customHeight="true" outlineLevel="0" collapsed="false">
      <c r="A62" s="10"/>
      <c r="B62" s="10"/>
      <c r="C62" s="10"/>
      <c r="D62" s="685"/>
      <c r="E62" s="10"/>
      <c r="F62" s="10"/>
      <c r="G62" s="10"/>
      <c r="H62" s="10"/>
      <c r="I62" s="10"/>
      <c r="J62" s="10"/>
      <c r="K62" s="10"/>
      <c r="L62" s="10"/>
      <c r="M62" s="10"/>
      <c r="N62" s="687"/>
      <c r="O62" s="10"/>
      <c r="P62" s="10"/>
      <c r="Q62" s="10"/>
      <c r="R62" s="10"/>
      <c r="S62" s="10"/>
      <c r="T62" s="10"/>
      <c r="U62" s="10"/>
      <c r="V62" s="10"/>
      <c r="W62" s="10"/>
      <c r="X62" s="10"/>
      <c r="Y62" s="10"/>
      <c r="Z62" s="10"/>
      <c r="AA62" s="10"/>
      <c r="AB62" s="10"/>
      <c r="AC62" s="10"/>
      <c r="AD62" s="10"/>
      <c r="AE62" s="10"/>
    </row>
    <row r="63" customFormat="false" ht="17.25" hidden="false" customHeight="true" outlineLevel="0" collapsed="false">
      <c r="A63" s="10"/>
      <c r="B63" s="10"/>
      <c r="C63" s="10"/>
      <c r="D63" s="685"/>
      <c r="E63" s="10"/>
      <c r="F63" s="10"/>
      <c r="G63" s="10"/>
      <c r="H63" s="10"/>
      <c r="I63" s="10"/>
      <c r="J63" s="10"/>
      <c r="K63" s="10"/>
      <c r="L63" s="10"/>
      <c r="M63" s="10"/>
      <c r="N63" s="687"/>
      <c r="O63" s="10"/>
      <c r="P63" s="10"/>
      <c r="Q63" s="10"/>
      <c r="R63" s="10"/>
      <c r="S63" s="10"/>
      <c r="T63" s="10"/>
      <c r="U63" s="10"/>
      <c r="V63" s="10"/>
      <c r="W63" s="10"/>
      <c r="X63" s="10"/>
      <c r="Y63" s="10"/>
      <c r="Z63" s="10"/>
      <c r="AA63" s="10"/>
      <c r="AB63" s="10"/>
      <c r="AC63" s="10"/>
      <c r="AD63" s="10"/>
      <c r="AE63" s="10"/>
    </row>
    <row r="64" customFormat="false" ht="17.25" hidden="false" customHeight="true" outlineLevel="0" collapsed="false">
      <c r="A64" s="10"/>
      <c r="B64" s="10"/>
      <c r="C64" s="10"/>
      <c r="D64" s="685"/>
      <c r="E64" s="10"/>
      <c r="F64" s="10"/>
      <c r="G64" s="10"/>
      <c r="H64" s="10"/>
      <c r="I64" s="10"/>
      <c r="J64" s="10"/>
      <c r="K64" s="10"/>
      <c r="L64" s="10"/>
      <c r="M64" s="10"/>
      <c r="N64" s="687"/>
      <c r="O64" s="10"/>
      <c r="P64" s="10"/>
      <c r="Q64" s="10"/>
      <c r="R64" s="10"/>
      <c r="S64" s="10"/>
      <c r="T64" s="10"/>
      <c r="U64" s="10"/>
      <c r="V64" s="10"/>
      <c r="W64" s="10"/>
      <c r="X64" s="10"/>
      <c r="Y64" s="10"/>
      <c r="Z64" s="10"/>
      <c r="AA64" s="10"/>
      <c r="AB64" s="10"/>
      <c r="AC64" s="10"/>
      <c r="AD64" s="10"/>
      <c r="AE64" s="10"/>
    </row>
    <row r="65" customFormat="false" ht="17.25" hidden="false" customHeight="true" outlineLevel="0" collapsed="false">
      <c r="A65" s="10"/>
      <c r="B65" s="10"/>
      <c r="C65" s="10"/>
      <c r="D65" s="685"/>
      <c r="E65" s="10"/>
      <c r="F65" s="10"/>
      <c r="G65" s="10"/>
      <c r="H65" s="10"/>
      <c r="I65" s="10"/>
      <c r="J65" s="10"/>
      <c r="K65" s="10"/>
      <c r="L65" s="10"/>
      <c r="M65" s="10"/>
      <c r="N65" s="687"/>
      <c r="O65" s="10"/>
      <c r="P65" s="10"/>
      <c r="Q65" s="10"/>
      <c r="R65" s="10"/>
      <c r="S65" s="10"/>
      <c r="T65" s="10"/>
      <c r="U65" s="10"/>
      <c r="V65" s="10"/>
      <c r="W65" s="10"/>
      <c r="X65" s="10"/>
      <c r="Y65" s="10"/>
      <c r="Z65" s="10"/>
      <c r="AA65" s="10"/>
      <c r="AB65" s="10"/>
      <c r="AC65" s="10"/>
      <c r="AD65" s="10"/>
      <c r="AE65" s="10"/>
    </row>
    <row r="66" customFormat="false" ht="17.25" hidden="false" customHeight="true" outlineLevel="0" collapsed="false">
      <c r="A66" s="10"/>
      <c r="B66" s="10"/>
      <c r="C66" s="10"/>
      <c r="D66" s="685"/>
      <c r="E66" s="10"/>
      <c r="F66" s="10"/>
      <c r="G66" s="10"/>
      <c r="H66" s="10"/>
      <c r="I66" s="10"/>
      <c r="J66" s="10"/>
      <c r="K66" s="10"/>
      <c r="L66" s="10"/>
      <c r="M66" s="10"/>
      <c r="N66" s="687"/>
      <c r="O66" s="10"/>
      <c r="P66" s="10"/>
      <c r="Q66" s="10"/>
      <c r="R66" s="10"/>
      <c r="S66" s="10"/>
      <c r="T66" s="10"/>
      <c r="U66" s="10"/>
      <c r="V66" s="10"/>
      <c r="W66" s="10"/>
      <c r="X66" s="10"/>
      <c r="Y66" s="10"/>
      <c r="Z66" s="10"/>
      <c r="AA66" s="10"/>
      <c r="AB66" s="10"/>
      <c r="AC66" s="10"/>
      <c r="AD66" s="10"/>
      <c r="AE66" s="10"/>
    </row>
    <row r="67" customFormat="false" ht="17.25" hidden="false" customHeight="true" outlineLevel="0" collapsed="false">
      <c r="A67" s="10"/>
      <c r="B67" s="10"/>
      <c r="C67" s="10"/>
      <c r="D67" s="685"/>
      <c r="E67" s="10"/>
      <c r="F67" s="10"/>
      <c r="G67" s="10"/>
      <c r="H67" s="10"/>
      <c r="I67" s="10"/>
      <c r="J67" s="10"/>
      <c r="K67" s="10"/>
      <c r="L67" s="10"/>
      <c r="M67" s="10"/>
      <c r="N67" s="687"/>
      <c r="O67" s="10"/>
      <c r="P67" s="10"/>
      <c r="Q67" s="10"/>
      <c r="R67" s="10"/>
      <c r="S67" s="10"/>
      <c r="T67" s="10"/>
      <c r="U67" s="10"/>
      <c r="V67" s="10"/>
      <c r="W67" s="10"/>
      <c r="X67" s="10"/>
      <c r="Y67" s="10"/>
      <c r="Z67" s="10"/>
      <c r="AA67" s="10"/>
      <c r="AB67" s="10"/>
      <c r="AC67" s="10"/>
      <c r="AD67" s="10"/>
      <c r="AE67" s="10"/>
    </row>
    <row r="68" customFormat="false" ht="17.25" hidden="false" customHeight="true" outlineLevel="0" collapsed="false">
      <c r="A68" s="10"/>
      <c r="B68" s="10"/>
      <c r="C68" s="10"/>
      <c r="D68" s="685"/>
      <c r="E68" s="10"/>
      <c r="F68" s="10"/>
      <c r="G68" s="10"/>
      <c r="H68" s="10"/>
      <c r="I68" s="10"/>
      <c r="J68" s="10"/>
      <c r="K68" s="10"/>
      <c r="L68" s="10"/>
      <c r="M68" s="10"/>
      <c r="N68" s="687"/>
      <c r="O68" s="10"/>
      <c r="P68" s="10"/>
      <c r="Q68" s="10"/>
      <c r="R68" s="10"/>
      <c r="S68" s="10"/>
      <c r="T68" s="10"/>
      <c r="U68" s="10"/>
      <c r="V68" s="10"/>
      <c r="W68" s="10"/>
      <c r="X68" s="10"/>
      <c r="Y68" s="10"/>
      <c r="Z68" s="10"/>
      <c r="AA68" s="10"/>
      <c r="AB68" s="10"/>
      <c r="AC68" s="10"/>
      <c r="AD68" s="10"/>
      <c r="AE68" s="10"/>
    </row>
    <row r="69" customFormat="false" ht="17.25" hidden="false" customHeight="true" outlineLevel="0" collapsed="false">
      <c r="A69" s="10"/>
      <c r="B69" s="10"/>
      <c r="C69" s="10"/>
      <c r="D69" s="685"/>
      <c r="E69" s="10"/>
      <c r="F69" s="10"/>
      <c r="G69" s="10"/>
      <c r="H69" s="10"/>
      <c r="I69" s="10"/>
      <c r="J69" s="10"/>
      <c r="K69" s="10"/>
      <c r="L69" s="10"/>
      <c r="M69" s="10"/>
      <c r="N69" s="687"/>
      <c r="O69" s="10"/>
      <c r="P69" s="10"/>
      <c r="Q69" s="10"/>
      <c r="R69" s="10"/>
      <c r="S69" s="10"/>
      <c r="T69" s="10"/>
      <c r="U69" s="10"/>
      <c r="V69" s="10"/>
      <c r="W69" s="10"/>
      <c r="X69" s="10"/>
      <c r="Y69" s="10"/>
      <c r="Z69" s="10"/>
      <c r="AA69" s="10"/>
      <c r="AB69" s="10"/>
      <c r="AC69" s="10"/>
      <c r="AD69" s="10"/>
      <c r="AE69" s="10"/>
    </row>
    <row r="70" customFormat="false" ht="17.25" hidden="false" customHeight="true" outlineLevel="0" collapsed="false">
      <c r="A70" s="10"/>
      <c r="B70" s="10"/>
      <c r="C70" s="10"/>
      <c r="D70" s="685"/>
      <c r="E70" s="10"/>
      <c r="F70" s="10"/>
      <c r="G70" s="10"/>
      <c r="H70" s="10"/>
      <c r="I70" s="10"/>
      <c r="J70" s="10"/>
      <c r="K70" s="10"/>
      <c r="L70" s="10"/>
      <c r="M70" s="10"/>
      <c r="N70" s="687"/>
      <c r="O70" s="10"/>
      <c r="P70" s="10"/>
      <c r="Q70" s="10"/>
      <c r="R70" s="10"/>
      <c r="S70" s="10"/>
      <c r="T70" s="10"/>
      <c r="U70" s="10"/>
      <c r="V70" s="10"/>
      <c r="W70" s="10"/>
      <c r="X70" s="10"/>
      <c r="Y70" s="10"/>
      <c r="Z70" s="10"/>
      <c r="AA70" s="10"/>
      <c r="AB70" s="10"/>
      <c r="AC70" s="10"/>
      <c r="AD70" s="10"/>
      <c r="AE70" s="10"/>
    </row>
    <row r="71" customFormat="false" ht="17.25" hidden="false" customHeight="true" outlineLevel="0" collapsed="false">
      <c r="A71" s="10"/>
      <c r="B71" s="10"/>
      <c r="C71" s="10"/>
      <c r="D71" s="691"/>
      <c r="E71" s="10"/>
      <c r="F71" s="10"/>
      <c r="G71" s="10"/>
      <c r="H71" s="10"/>
      <c r="I71" s="10"/>
      <c r="J71" s="10"/>
      <c r="K71" s="691"/>
      <c r="L71" s="691"/>
      <c r="M71" s="691"/>
      <c r="N71" s="691"/>
      <c r="O71" s="691"/>
      <c r="P71" s="691"/>
      <c r="Q71" s="10"/>
      <c r="R71" s="10"/>
      <c r="S71" s="10"/>
      <c r="T71" s="10"/>
      <c r="U71" s="10"/>
      <c r="V71" s="10"/>
      <c r="W71" s="10"/>
      <c r="X71" s="10"/>
      <c r="Y71" s="10"/>
      <c r="Z71" s="10"/>
      <c r="AA71" s="10"/>
      <c r="AB71" s="10"/>
      <c r="AC71" s="10"/>
      <c r="AD71" s="10"/>
      <c r="AE71" s="10"/>
    </row>
    <row r="72" customFormat="false" ht="17.25" hidden="false" customHeight="true" outlineLevel="0" collapsed="false">
      <c r="A72" s="10"/>
      <c r="B72" s="10"/>
      <c r="C72" s="10"/>
      <c r="D72" s="685"/>
      <c r="E72" s="10"/>
      <c r="F72" s="10"/>
      <c r="G72" s="10"/>
      <c r="H72" s="10"/>
      <c r="I72" s="10"/>
      <c r="J72" s="10"/>
      <c r="K72" s="685"/>
      <c r="L72" s="685"/>
      <c r="M72" s="685"/>
      <c r="N72" s="685"/>
      <c r="O72" s="685"/>
      <c r="P72" s="685"/>
      <c r="Q72" s="10"/>
      <c r="R72" s="10"/>
      <c r="S72" s="10"/>
      <c r="T72" s="10"/>
      <c r="U72" s="10"/>
      <c r="V72" s="10"/>
      <c r="W72" s="10"/>
      <c r="X72" s="10"/>
      <c r="Y72" s="10"/>
      <c r="Z72" s="10"/>
      <c r="AA72" s="10"/>
      <c r="AB72" s="10"/>
      <c r="AC72" s="10"/>
      <c r="AD72" s="10"/>
      <c r="AE72" s="10"/>
    </row>
    <row r="73" customFormat="false" ht="17.25" hidden="false" customHeight="true" outlineLevel="0" collapsed="false">
      <c r="A73" s="10"/>
      <c r="B73" s="10"/>
      <c r="C73" s="10"/>
      <c r="D73" s="685"/>
      <c r="E73" s="10"/>
      <c r="F73" s="10"/>
      <c r="G73" s="10"/>
      <c r="H73" s="10"/>
      <c r="I73" s="10"/>
      <c r="J73" s="10"/>
      <c r="K73" s="685"/>
      <c r="L73" s="685"/>
      <c r="M73" s="685"/>
      <c r="N73" s="685"/>
      <c r="O73" s="685"/>
      <c r="P73" s="685"/>
      <c r="Q73" s="10"/>
      <c r="R73" s="10"/>
      <c r="S73" s="10"/>
      <c r="T73" s="10"/>
      <c r="U73" s="10"/>
      <c r="V73" s="10"/>
      <c r="W73" s="10"/>
      <c r="X73" s="10"/>
      <c r="Y73" s="10"/>
      <c r="Z73" s="10"/>
      <c r="AA73" s="10"/>
      <c r="AB73" s="10"/>
      <c r="AC73" s="10"/>
      <c r="AD73" s="10"/>
      <c r="AE73" s="10"/>
    </row>
    <row r="74" customFormat="false" ht="17.25" hidden="false" customHeight="true" outlineLevel="0" collapsed="false">
      <c r="A74" s="10"/>
      <c r="B74" s="10"/>
      <c r="C74" s="10"/>
      <c r="D74" s="10"/>
      <c r="E74" s="10"/>
      <c r="F74" s="10"/>
      <c r="G74" s="10"/>
      <c r="H74" s="10"/>
      <c r="I74" s="10"/>
      <c r="J74" s="10"/>
      <c r="K74" s="10"/>
      <c r="L74" s="10"/>
      <c r="M74" s="10"/>
      <c r="N74" s="687"/>
      <c r="O74" s="10"/>
      <c r="P74" s="10"/>
      <c r="Q74" s="10"/>
      <c r="R74" s="10"/>
      <c r="S74" s="10"/>
      <c r="T74" s="10"/>
      <c r="U74" s="10"/>
      <c r="V74" s="10"/>
      <c r="W74" s="10"/>
      <c r="X74" s="10"/>
      <c r="Y74" s="10"/>
      <c r="Z74" s="10"/>
      <c r="AA74" s="10"/>
      <c r="AB74" s="10"/>
      <c r="AC74" s="10"/>
      <c r="AD74" s="10"/>
      <c r="AE74" s="10"/>
    </row>
    <row r="75" customFormat="false" ht="17.25" hidden="false" customHeight="true" outlineLevel="0" collapsed="false">
      <c r="A75" s="10"/>
      <c r="B75" s="10"/>
      <c r="C75" s="10"/>
      <c r="D75" s="685"/>
      <c r="E75" s="10"/>
      <c r="F75" s="10"/>
      <c r="G75" s="10"/>
      <c r="H75" s="10"/>
      <c r="I75" s="10"/>
      <c r="J75" s="10"/>
      <c r="K75" s="685"/>
      <c r="L75" s="685"/>
      <c r="M75" s="685"/>
      <c r="N75" s="685"/>
      <c r="O75" s="685"/>
      <c r="P75" s="685"/>
      <c r="Q75" s="10"/>
      <c r="R75" s="10"/>
      <c r="S75" s="10"/>
      <c r="T75" s="10"/>
      <c r="U75" s="10"/>
      <c r="V75" s="10"/>
      <c r="W75" s="10"/>
      <c r="X75" s="10"/>
      <c r="Y75" s="10"/>
      <c r="Z75" s="10"/>
      <c r="AA75" s="10"/>
      <c r="AB75" s="10"/>
      <c r="AC75" s="10"/>
      <c r="AD75" s="10"/>
      <c r="AE75" s="10"/>
    </row>
    <row r="76" customFormat="false" ht="17.25" hidden="false" customHeight="true" outlineLevel="0" collapsed="false">
      <c r="A76" s="10"/>
      <c r="B76" s="10"/>
      <c r="C76" s="10"/>
      <c r="D76" s="10"/>
      <c r="E76" s="10"/>
      <c r="F76" s="10"/>
      <c r="G76" s="10"/>
      <c r="H76" s="10"/>
      <c r="I76" s="10"/>
      <c r="J76" s="10"/>
      <c r="K76" s="10"/>
      <c r="L76" s="10"/>
      <c r="M76" s="10"/>
      <c r="N76" s="687"/>
      <c r="O76" s="10"/>
      <c r="P76" s="10"/>
      <c r="Q76" s="10"/>
      <c r="R76" s="10"/>
      <c r="S76" s="10"/>
      <c r="T76" s="10"/>
      <c r="U76" s="10"/>
      <c r="V76" s="10"/>
      <c r="W76" s="10"/>
      <c r="X76" s="10"/>
      <c r="Y76" s="10"/>
      <c r="Z76" s="10"/>
      <c r="AA76" s="10"/>
      <c r="AB76" s="10"/>
      <c r="AC76" s="10"/>
      <c r="AD76" s="10"/>
      <c r="AE76" s="10"/>
    </row>
    <row r="77" customFormat="false" ht="17.25" hidden="false" customHeight="true" outlineLevel="0" collapsed="false">
      <c r="A77" s="10"/>
      <c r="B77" s="10"/>
      <c r="C77" s="10"/>
      <c r="D77" s="10"/>
      <c r="E77" s="10"/>
      <c r="F77" s="10"/>
      <c r="G77" s="10"/>
      <c r="H77" s="10"/>
      <c r="I77" s="10"/>
      <c r="J77" s="10"/>
      <c r="K77" s="10"/>
      <c r="L77" s="10"/>
      <c r="M77" s="10"/>
      <c r="N77" s="687"/>
      <c r="O77" s="10"/>
      <c r="P77" s="10"/>
      <c r="Q77" s="10"/>
      <c r="R77" s="10"/>
      <c r="S77" s="10"/>
      <c r="T77" s="10"/>
      <c r="U77" s="10"/>
      <c r="V77" s="10"/>
      <c r="W77" s="10"/>
      <c r="X77" s="10"/>
      <c r="Y77" s="10"/>
      <c r="Z77" s="10"/>
      <c r="AA77" s="10"/>
      <c r="AB77" s="10"/>
      <c r="AC77" s="10"/>
      <c r="AD77" s="10"/>
      <c r="AE77" s="10"/>
    </row>
  </sheetData>
  <sheetProtection sheet="true" formatCells="false" formatColumns="false" formatRows="false" sort="false" autoFilter="false"/>
  <mergeCells count="17">
    <mergeCell ref="C1:S1"/>
    <mergeCell ref="A4:A51"/>
    <mergeCell ref="B4:B51"/>
    <mergeCell ref="C4:D5"/>
    <mergeCell ref="E4:G4"/>
    <mergeCell ref="H4:J4"/>
    <mergeCell ref="K4:M4"/>
    <mergeCell ref="N4:P4"/>
    <mergeCell ref="Q4:S4"/>
    <mergeCell ref="C6:D6"/>
    <mergeCell ref="C7:C27"/>
    <mergeCell ref="C28:D28"/>
    <mergeCell ref="C29:C48"/>
    <mergeCell ref="C49:D49"/>
    <mergeCell ref="C50:D50"/>
    <mergeCell ref="C51:D51"/>
    <mergeCell ref="I57:N58"/>
  </mergeCells>
  <printOptions headings="false" gridLines="false" gridLinesSet="true" horizontalCentered="false" verticalCentered="false"/>
  <pageMargins left="0.708333333333333" right="0.708333333333333" top="0.747916666666667" bottom="0.755555555555556" header="0.511811023622047" footer="0.315277777777778"/>
  <pageSetup paperSize="8" scale="62" fitToWidth="1" fitToHeight="1" pageOrder="downThenOver" orientation="landscape" blackAndWhite="false" draft="false" cellComments="none" horizontalDpi="300" verticalDpi="300" copies="1"/>
  <headerFooter differentFirst="false" differentOddEven="false">
    <oddHeader/>
    <oddFooter>&amp;C&amp;Z&amp;F</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5" zeroHeight="false" outlineLevelRow="0" outlineLevelCol="0"/>
  <cols>
    <col collapsed="false" customWidth="true" hidden="false" outlineLevel="0" max="1" min="1" style="0" width="2.57"/>
    <col collapsed="false" customWidth="true" hidden="false" outlineLevel="0" max="2" min="2" style="0" width="1.42"/>
    <col collapsed="false" customWidth="true" hidden="false" outlineLevel="0" max="3" min="3" style="0" width="2.28"/>
    <col collapsed="false" customWidth="true" hidden="false" outlineLevel="0" max="4" min="4" style="0" width="20.99"/>
    <col collapsed="false" customWidth="true" hidden="false" outlineLevel="0" max="7" min="5" style="0" width="20.71"/>
    <col collapsed="false" customWidth="true" hidden="true" outlineLevel="0" max="8" min="8" style="0" width="17.7"/>
    <col collapsed="false" customWidth="true" hidden="true" outlineLevel="0" max="9" min="9" style="0" width="17.57"/>
    <col collapsed="false" customWidth="true" hidden="true" outlineLevel="0" max="10" min="10" style="0" width="16.71"/>
    <col collapsed="false" customWidth="true" hidden="false" outlineLevel="0" max="19" min="11" style="0" width="20.71"/>
    <col collapsed="false" customWidth="true" hidden="false" outlineLevel="0" max="257" min="20" style="0" width="17.85"/>
  </cols>
  <sheetData>
    <row r="1" customFormat="false" ht="24" hidden="false" customHeight="true" outlineLevel="0" collapsed="false">
      <c r="A1" s="10"/>
      <c r="B1" s="10"/>
      <c r="C1" s="772" t="s">
        <v>1397</v>
      </c>
      <c r="D1" s="772"/>
      <c r="E1" s="772"/>
      <c r="F1" s="772"/>
      <c r="G1" s="772"/>
      <c r="H1" s="772"/>
      <c r="I1" s="772"/>
      <c r="J1" s="772"/>
      <c r="K1" s="772"/>
      <c r="L1" s="772"/>
      <c r="M1" s="772"/>
      <c r="N1" s="772"/>
      <c r="O1" s="772"/>
      <c r="P1" s="772"/>
      <c r="Q1" s="772"/>
      <c r="R1" s="772"/>
      <c r="S1" s="772"/>
      <c r="T1" s="10"/>
      <c r="U1" s="10"/>
      <c r="V1" s="10"/>
      <c r="W1" s="10"/>
      <c r="X1" s="10"/>
    </row>
    <row r="2" customFormat="false" ht="23.25" hidden="false" customHeight="true" outlineLevel="0" collapsed="false">
      <c r="A2" s="10"/>
      <c r="B2" s="10"/>
      <c r="C2" s="565"/>
      <c r="D2" s="565"/>
      <c r="E2" s="565"/>
      <c r="F2" s="565"/>
      <c r="G2" s="565"/>
      <c r="H2" s="565"/>
      <c r="I2" s="565"/>
      <c r="J2" s="565"/>
      <c r="K2" s="565"/>
      <c r="L2" s="565"/>
      <c r="M2" s="10"/>
      <c r="N2" s="565"/>
      <c r="O2" s="565"/>
      <c r="P2" s="565"/>
      <c r="Q2" s="565"/>
      <c r="R2" s="565"/>
      <c r="S2" s="565"/>
      <c r="T2" s="10"/>
      <c r="U2" s="10"/>
      <c r="V2" s="10"/>
      <c r="W2" s="10"/>
      <c r="X2" s="565"/>
    </row>
    <row r="3" customFormat="false" ht="14.25" hidden="false" customHeight="true" outlineLevel="0" collapsed="false">
      <c r="A3" s="10"/>
      <c r="B3" s="10"/>
      <c r="C3" s="565"/>
      <c r="D3" s="565"/>
      <c r="E3" s="565"/>
      <c r="F3" s="565"/>
      <c r="G3" s="565"/>
      <c r="H3" s="565"/>
      <c r="I3" s="565"/>
      <c r="J3" s="565"/>
      <c r="K3" s="565"/>
      <c r="L3" s="565"/>
      <c r="M3" s="565"/>
      <c r="N3" s="565"/>
      <c r="O3" s="565"/>
      <c r="P3" s="565"/>
      <c r="Q3" s="565"/>
      <c r="R3" s="565"/>
      <c r="S3" s="566" t="s">
        <v>1283</v>
      </c>
      <c r="T3" s="10"/>
      <c r="U3" s="10"/>
      <c r="V3" s="10"/>
      <c r="W3" s="10"/>
      <c r="X3" s="10"/>
    </row>
    <row r="4" customFormat="false" ht="18" hidden="false" customHeight="true" outlineLevel="0" collapsed="false">
      <c r="A4" s="567"/>
      <c r="B4" s="568"/>
      <c r="C4" s="569" t="s">
        <v>1348</v>
      </c>
      <c r="D4" s="569"/>
      <c r="E4" s="570" t="s">
        <v>1349</v>
      </c>
      <c r="F4" s="570"/>
      <c r="G4" s="570"/>
      <c r="H4" s="571" t="s">
        <v>1350</v>
      </c>
      <c r="I4" s="571"/>
      <c r="J4" s="571"/>
      <c r="K4" s="571" t="s">
        <v>1107</v>
      </c>
      <c r="L4" s="571"/>
      <c r="M4" s="571"/>
      <c r="N4" s="571" t="s">
        <v>1351</v>
      </c>
      <c r="O4" s="571"/>
      <c r="P4" s="571"/>
      <c r="Q4" s="572" t="s">
        <v>1352</v>
      </c>
      <c r="R4" s="572"/>
      <c r="S4" s="572"/>
      <c r="T4" s="10"/>
      <c r="U4" s="10"/>
      <c r="V4" s="10"/>
      <c r="W4" s="10"/>
      <c r="X4" s="10"/>
    </row>
    <row r="5" customFormat="false" ht="16.5" hidden="false" customHeight="true" outlineLevel="0" collapsed="false">
      <c r="A5" s="567"/>
      <c r="B5" s="568"/>
      <c r="C5" s="569"/>
      <c r="D5" s="569"/>
      <c r="E5" s="773" t="s">
        <v>1398</v>
      </c>
      <c r="F5" s="774" t="s">
        <v>1399</v>
      </c>
      <c r="G5" s="575" t="s">
        <v>1353</v>
      </c>
      <c r="H5" s="576" t="str">
        <f aca="false">E5</f>
        <v>６年度</v>
      </c>
      <c r="I5" s="577" t="str">
        <f aca="false">F5</f>
        <v>５年度</v>
      </c>
      <c r="J5" s="575" t="s">
        <v>1353</v>
      </c>
      <c r="K5" s="576" t="str">
        <f aca="false">E5</f>
        <v>６年度</v>
      </c>
      <c r="L5" s="578" t="str">
        <f aca="false">F5</f>
        <v>５年度</v>
      </c>
      <c r="M5" s="575" t="s">
        <v>1353</v>
      </c>
      <c r="N5" s="576" t="str">
        <f aca="false">E5</f>
        <v>６年度</v>
      </c>
      <c r="O5" s="577" t="str">
        <f aca="false">F5</f>
        <v>５年度</v>
      </c>
      <c r="P5" s="575" t="s">
        <v>1353</v>
      </c>
      <c r="Q5" s="576" t="str">
        <f aca="false">E5</f>
        <v>６年度</v>
      </c>
      <c r="R5" s="577" t="str">
        <f aca="false">F5</f>
        <v>５年度</v>
      </c>
      <c r="S5" s="579" t="s">
        <v>1353</v>
      </c>
      <c r="T5" s="10"/>
      <c r="U5" s="10"/>
      <c r="V5" s="10"/>
      <c r="W5" s="10"/>
      <c r="X5" s="10"/>
    </row>
    <row r="6" customFormat="false" ht="19.5" hidden="false" customHeight="true" outlineLevel="0" collapsed="false">
      <c r="A6" s="567"/>
      <c r="B6" s="568"/>
      <c r="C6" s="580" t="s">
        <v>1354</v>
      </c>
      <c r="D6" s="580"/>
      <c r="E6" s="581" t="n">
        <f aca="false">F51</f>
        <v>1413185083</v>
      </c>
      <c r="F6" s="582" t="n">
        <v>1981222650</v>
      </c>
      <c r="G6" s="583" t="n">
        <f aca="false">E6-F6</f>
        <v>-568037567</v>
      </c>
      <c r="H6" s="581" t="n">
        <f aca="false">I51</f>
        <v>115269691198</v>
      </c>
      <c r="I6" s="584" t="n">
        <v>114599779620</v>
      </c>
      <c r="J6" s="583" t="n">
        <f aca="false">H6-I6</f>
        <v>669911578</v>
      </c>
      <c r="K6" s="585" t="n">
        <f aca="false">L51</f>
        <v>66593123</v>
      </c>
      <c r="L6" s="586" t="n">
        <v>60989730</v>
      </c>
      <c r="M6" s="583" t="n">
        <f aca="false">K6-L6</f>
        <v>5603393</v>
      </c>
      <c r="N6" s="587" t="n">
        <f aca="false">O51</f>
        <v>276235825</v>
      </c>
      <c r="O6" s="588" t="n">
        <v>366055505</v>
      </c>
      <c r="P6" s="583" t="n">
        <f aca="false">N6-O6</f>
        <v>-89819680</v>
      </c>
      <c r="Q6" s="585" t="n">
        <f aca="false">R51</f>
        <v>1966406293</v>
      </c>
      <c r="R6" s="589" t="n">
        <v>1965597915</v>
      </c>
      <c r="S6" s="590" t="n">
        <f aca="false">Q6-R6</f>
        <v>808378</v>
      </c>
      <c r="T6" s="10"/>
      <c r="U6" s="10"/>
      <c r="V6" s="10"/>
      <c r="W6" s="10"/>
      <c r="X6" s="10"/>
    </row>
    <row r="7" customFormat="false" ht="19.5" hidden="false" customHeight="true" outlineLevel="0" collapsed="false">
      <c r="A7" s="567"/>
      <c r="B7" s="568"/>
      <c r="C7" s="591" t="s">
        <v>1355</v>
      </c>
      <c r="D7" s="592" t="s">
        <v>89</v>
      </c>
      <c r="E7" s="593" t="n">
        <v>5910008304</v>
      </c>
      <c r="F7" s="594" t="n">
        <v>4825002280</v>
      </c>
      <c r="G7" s="595" t="n">
        <f aca="false">E7-F7</f>
        <v>1085006024</v>
      </c>
      <c r="H7" s="596" t="n">
        <v>5874630086</v>
      </c>
      <c r="I7" s="597" t="n">
        <v>10209423196</v>
      </c>
      <c r="J7" s="595" t="n">
        <f aca="false">H7-I7</f>
        <v>-4334793110</v>
      </c>
      <c r="K7" s="775" t="n">
        <v>82167559</v>
      </c>
      <c r="L7" s="599" t="n">
        <v>67101258</v>
      </c>
      <c r="M7" s="595" t="n">
        <f aca="false">K7-L7</f>
        <v>15066301</v>
      </c>
      <c r="N7" s="600" t="n">
        <v>393344415</v>
      </c>
      <c r="O7" s="600" t="n">
        <v>327613612</v>
      </c>
      <c r="P7" s="601" t="n">
        <f aca="false">N7-O7</f>
        <v>65730803</v>
      </c>
      <c r="Q7" s="602"/>
      <c r="R7" s="599"/>
      <c r="S7" s="603" t="n">
        <f aca="false">Q7-R7</f>
        <v>0</v>
      </c>
      <c r="T7" s="10"/>
      <c r="U7" s="10"/>
      <c r="V7" s="10"/>
      <c r="W7" s="10"/>
      <c r="X7" s="10"/>
    </row>
    <row r="8" customFormat="false" ht="19.5" hidden="false" customHeight="true" outlineLevel="0" collapsed="false">
      <c r="A8" s="567"/>
      <c r="B8" s="568"/>
      <c r="C8" s="591"/>
      <c r="D8" s="604" t="s">
        <v>1356</v>
      </c>
      <c r="E8" s="605" t="n">
        <v>5945270515</v>
      </c>
      <c r="F8" s="606" t="n">
        <v>4874201257</v>
      </c>
      <c r="G8" s="607" t="n">
        <f aca="false">E8-F8</f>
        <v>1071069258</v>
      </c>
      <c r="H8" s="608" t="n">
        <v>2964516955</v>
      </c>
      <c r="I8" s="609" t="n">
        <v>6009799333</v>
      </c>
      <c r="J8" s="607" t="n">
        <f aca="false">H8-I8</f>
        <v>-3045282378</v>
      </c>
      <c r="K8" s="610"/>
      <c r="L8" s="611"/>
      <c r="M8" s="607" t="n">
        <f aca="false">K8-L8</f>
        <v>0</v>
      </c>
      <c r="N8" s="606" t="n">
        <v>215569947</v>
      </c>
      <c r="O8" s="606" t="n">
        <v>166041412</v>
      </c>
      <c r="P8" s="612" t="n">
        <f aca="false">N8-O8</f>
        <v>49528535</v>
      </c>
      <c r="Q8" s="608"/>
      <c r="R8" s="611"/>
      <c r="S8" s="613" t="n">
        <f aca="false">Q8-R8</f>
        <v>0</v>
      </c>
      <c r="T8" s="10"/>
      <c r="U8" s="10"/>
      <c r="V8" s="10"/>
      <c r="W8" s="10"/>
      <c r="X8" s="10"/>
    </row>
    <row r="9" customFormat="false" ht="19.5" hidden="false" customHeight="true" outlineLevel="0" collapsed="false">
      <c r="A9" s="567"/>
      <c r="B9" s="568"/>
      <c r="C9" s="591"/>
      <c r="D9" s="604" t="s">
        <v>1101</v>
      </c>
      <c r="E9" s="605" t="n">
        <v>0</v>
      </c>
      <c r="F9" s="606" t="n">
        <v>0</v>
      </c>
      <c r="G9" s="607" t="n">
        <f aca="false">E9-F9</f>
        <v>0</v>
      </c>
      <c r="H9" s="608" t="n">
        <v>1204704253</v>
      </c>
      <c r="I9" s="609" t="n">
        <v>2333415822</v>
      </c>
      <c r="J9" s="607" t="n">
        <f aca="false">H9-I9</f>
        <v>-1128711569</v>
      </c>
      <c r="K9" s="610"/>
      <c r="L9" s="611"/>
      <c r="M9" s="607" t="n">
        <f aca="false">K9-L9</f>
        <v>0</v>
      </c>
      <c r="N9" s="606" t="n">
        <v>0</v>
      </c>
      <c r="O9" s="606" t="n">
        <v>0</v>
      </c>
      <c r="P9" s="607" t="n">
        <f aca="false">N9-O9</f>
        <v>0</v>
      </c>
      <c r="Q9" s="608"/>
      <c r="R9" s="611"/>
      <c r="S9" s="613" t="n">
        <f aca="false">Q9-R9</f>
        <v>0</v>
      </c>
      <c r="T9" s="10"/>
      <c r="U9" s="10"/>
      <c r="V9" s="10"/>
      <c r="W9" s="10"/>
      <c r="X9" s="10"/>
    </row>
    <row r="10" customFormat="false" ht="19.5" hidden="false" customHeight="true" outlineLevel="0" collapsed="false">
      <c r="A10" s="567"/>
      <c r="B10" s="568"/>
      <c r="C10" s="591"/>
      <c r="D10" s="604" t="s">
        <v>1357</v>
      </c>
      <c r="E10" s="605"/>
      <c r="F10" s="606"/>
      <c r="G10" s="607" t="n">
        <f aca="false">E10-F10</f>
        <v>0</v>
      </c>
      <c r="H10" s="608" t="n">
        <v>3820000</v>
      </c>
      <c r="I10" s="609" t="n">
        <v>14466000</v>
      </c>
      <c r="J10" s="607" t="n">
        <f aca="false">H10-I10</f>
        <v>-10646000</v>
      </c>
      <c r="K10" s="610"/>
      <c r="L10" s="611"/>
      <c r="M10" s="607" t="n">
        <f aca="false">K10-L10</f>
        <v>0</v>
      </c>
      <c r="N10" s="606"/>
      <c r="O10" s="606"/>
      <c r="P10" s="607" t="n">
        <f aca="false">N10-O10</f>
        <v>0</v>
      </c>
      <c r="Q10" s="608"/>
      <c r="R10" s="611"/>
      <c r="S10" s="613" t="n">
        <f aca="false">Q10-R10</f>
        <v>0</v>
      </c>
      <c r="T10" s="10"/>
      <c r="U10" s="10"/>
      <c r="V10" s="10"/>
      <c r="W10" s="10"/>
      <c r="X10" s="10"/>
    </row>
    <row r="11" customFormat="false" ht="19.5" hidden="false" customHeight="true" outlineLevel="0" collapsed="false">
      <c r="A11" s="567"/>
      <c r="B11" s="568"/>
      <c r="C11" s="591"/>
      <c r="D11" s="615" t="s">
        <v>1358</v>
      </c>
      <c r="E11" s="605" t="n">
        <v>512653248</v>
      </c>
      <c r="F11" s="606" t="n">
        <v>498922077</v>
      </c>
      <c r="G11" s="607" t="n">
        <f aca="false">E11-F11</f>
        <v>13731171</v>
      </c>
      <c r="H11" s="616"/>
      <c r="I11" s="609"/>
      <c r="J11" s="617"/>
      <c r="K11" s="610"/>
      <c r="L11" s="611"/>
      <c r="M11" s="607" t="n">
        <f aca="false">K11-L11</f>
        <v>0</v>
      </c>
      <c r="N11" s="606"/>
      <c r="O11" s="606"/>
      <c r="P11" s="607" t="n">
        <f aca="false">N11-O11</f>
        <v>0</v>
      </c>
      <c r="Q11" s="608"/>
      <c r="R11" s="611"/>
      <c r="S11" s="613" t="n">
        <f aca="false">Q11-R11</f>
        <v>0</v>
      </c>
      <c r="T11" s="10"/>
      <c r="U11" s="10"/>
      <c r="V11" s="10"/>
      <c r="W11" s="10"/>
      <c r="X11" s="10"/>
    </row>
    <row r="12" customFormat="false" ht="19.5" hidden="false" customHeight="true" outlineLevel="0" collapsed="false">
      <c r="A12" s="567"/>
      <c r="B12" s="568"/>
      <c r="C12" s="591"/>
      <c r="D12" s="618" t="s">
        <v>1359</v>
      </c>
      <c r="E12" s="605" t="n">
        <v>98548000</v>
      </c>
      <c r="F12" s="606" t="n">
        <v>86648000</v>
      </c>
      <c r="G12" s="607" t="n">
        <f aca="false">E12-F12</f>
        <v>11900000</v>
      </c>
      <c r="H12" s="616"/>
      <c r="I12" s="609"/>
      <c r="J12" s="617"/>
      <c r="K12" s="610"/>
      <c r="L12" s="611"/>
      <c r="M12" s="617"/>
      <c r="N12" s="606"/>
      <c r="O12" s="606"/>
      <c r="P12" s="617"/>
      <c r="Q12" s="608"/>
      <c r="R12" s="611"/>
      <c r="S12" s="619"/>
      <c r="T12" s="10"/>
      <c r="U12" s="10"/>
      <c r="V12" s="10"/>
      <c r="W12" s="10"/>
      <c r="X12" s="10"/>
    </row>
    <row r="13" customFormat="false" ht="19.5" hidden="false" customHeight="true" outlineLevel="0" collapsed="false">
      <c r="A13" s="567"/>
      <c r="B13" s="568"/>
      <c r="C13" s="591"/>
      <c r="D13" s="618" t="s">
        <v>1360</v>
      </c>
      <c r="E13" s="605" t="n">
        <v>0</v>
      </c>
      <c r="F13" s="606" t="n">
        <v>0</v>
      </c>
      <c r="G13" s="607" t="n">
        <f aca="false">E13-F13</f>
        <v>0</v>
      </c>
      <c r="H13" s="616"/>
      <c r="I13" s="609"/>
      <c r="J13" s="617"/>
      <c r="K13" s="610"/>
      <c r="L13" s="611"/>
      <c r="M13" s="607" t="n">
        <f aca="false">K13-L13</f>
        <v>0</v>
      </c>
      <c r="N13" s="606"/>
      <c r="O13" s="606"/>
      <c r="P13" s="607" t="n">
        <f aca="false">N13-O13</f>
        <v>0</v>
      </c>
      <c r="Q13" s="608"/>
      <c r="R13" s="611"/>
      <c r="S13" s="619"/>
      <c r="T13" s="10"/>
      <c r="U13" s="10"/>
      <c r="V13" s="10"/>
      <c r="W13" s="10"/>
      <c r="X13" s="10"/>
    </row>
    <row r="14" customFormat="false" ht="19.5" hidden="false" customHeight="true" outlineLevel="0" collapsed="false">
      <c r="A14" s="567"/>
      <c r="B14" s="568"/>
      <c r="C14" s="591"/>
      <c r="D14" s="604" t="s">
        <v>1361</v>
      </c>
      <c r="E14" s="605" t="n">
        <v>2621295</v>
      </c>
      <c r="F14" s="606" t="n">
        <v>287297</v>
      </c>
      <c r="G14" s="607" t="n">
        <f aca="false">E14-F14</f>
        <v>2333998</v>
      </c>
      <c r="H14" s="616"/>
      <c r="I14" s="609"/>
      <c r="J14" s="617"/>
      <c r="K14" s="610"/>
      <c r="L14" s="611"/>
      <c r="M14" s="607" t="n">
        <f aca="false">K14-L14</f>
        <v>0</v>
      </c>
      <c r="N14" s="606"/>
      <c r="O14" s="606"/>
      <c r="P14" s="607" t="n">
        <f aca="false">N14-O14</f>
        <v>0</v>
      </c>
      <c r="Q14" s="608"/>
      <c r="R14" s="611"/>
      <c r="S14" s="613" t="n">
        <f aca="false">Q14-R14</f>
        <v>0</v>
      </c>
      <c r="T14" s="10"/>
      <c r="U14" s="10"/>
      <c r="V14" s="10"/>
      <c r="W14" s="10"/>
      <c r="X14" s="10"/>
    </row>
    <row r="15" customFormat="false" ht="19.5" hidden="false" customHeight="true" outlineLevel="0" collapsed="false">
      <c r="A15" s="567"/>
      <c r="B15" s="568"/>
      <c r="C15" s="591"/>
      <c r="D15" s="620" t="s">
        <v>1362</v>
      </c>
      <c r="E15" s="605"/>
      <c r="F15" s="606"/>
      <c r="G15" s="607" t="n">
        <f aca="false">E15-F15</f>
        <v>0</v>
      </c>
      <c r="H15" s="608" t="n">
        <v>5464540</v>
      </c>
      <c r="I15" s="609" t="n">
        <v>11601546</v>
      </c>
      <c r="J15" s="607" t="n">
        <f aca="false">H15-I15</f>
        <v>-6137006</v>
      </c>
      <c r="K15" s="610"/>
      <c r="L15" s="611"/>
      <c r="M15" s="607" t="n">
        <f aca="false">K15-L15</f>
        <v>0</v>
      </c>
      <c r="N15" s="606"/>
      <c r="O15" s="606"/>
      <c r="P15" s="607" t="n">
        <f aca="false">N15-O15</f>
        <v>0</v>
      </c>
      <c r="Q15" s="608"/>
      <c r="R15" s="611"/>
      <c r="S15" s="613" t="n">
        <f aca="false">Q15-R15</f>
        <v>0</v>
      </c>
      <c r="T15" s="10"/>
      <c r="U15" s="10"/>
      <c r="V15" s="10"/>
      <c r="W15" s="10"/>
      <c r="X15" s="10"/>
    </row>
    <row r="16" customFormat="false" ht="19.5" hidden="false" customHeight="true" outlineLevel="0" collapsed="false">
      <c r="A16" s="567"/>
      <c r="B16" s="568"/>
      <c r="C16" s="591"/>
      <c r="D16" s="604" t="s">
        <v>1363</v>
      </c>
      <c r="E16" s="605" t="n">
        <v>7979689</v>
      </c>
      <c r="F16" s="606"/>
      <c r="G16" s="607" t="n">
        <f aca="false">E16-F16</f>
        <v>7979689</v>
      </c>
      <c r="H16" s="608" t="n">
        <v>289600155</v>
      </c>
      <c r="I16" s="609" t="n">
        <v>639077000</v>
      </c>
      <c r="J16" s="607" t="n">
        <f aca="false">H16-I16</f>
        <v>-349476845</v>
      </c>
      <c r="K16" s="610"/>
      <c r="L16" s="611"/>
      <c r="M16" s="607" t="n">
        <f aca="false">K16-L16</f>
        <v>0</v>
      </c>
      <c r="N16" s="606"/>
      <c r="O16" s="606"/>
      <c r="P16" s="607" t="n">
        <f aca="false">N16-O16</f>
        <v>0</v>
      </c>
      <c r="Q16" s="608"/>
      <c r="R16" s="611"/>
      <c r="S16" s="613" t="n">
        <f aca="false">Q16-R16</f>
        <v>0</v>
      </c>
      <c r="T16" s="10"/>
      <c r="U16" s="10"/>
      <c r="V16" s="10"/>
      <c r="W16" s="10"/>
      <c r="X16" s="10"/>
    </row>
    <row r="17" customFormat="false" ht="19.5" hidden="false" customHeight="true" outlineLevel="0" collapsed="false">
      <c r="A17" s="567"/>
      <c r="B17" s="568"/>
      <c r="C17" s="591"/>
      <c r="D17" s="604" t="s">
        <v>1364</v>
      </c>
      <c r="E17" s="605"/>
      <c r="F17" s="606"/>
      <c r="G17" s="607" t="n">
        <f aca="false">E17-F17</f>
        <v>0</v>
      </c>
      <c r="H17" s="616"/>
      <c r="I17" s="609"/>
      <c r="J17" s="617"/>
      <c r="K17" s="610"/>
      <c r="L17" s="611"/>
      <c r="M17" s="607" t="n">
        <f aca="false">K17-L17</f>
        <v>0</v>
      </c>
      <c r="N17" s="606" t="n">
        <v>0</v>
      </c>
      <c r="O17" s="606" t="n">
        <v>1334956</v>
      </c>
      <c r="P17" s="607" t="n">
        <f aca="false">N17-O17</f>
        <v>-1334956</v>
      </c>
      <c r="Q17" s="608"/>
      <c r="R17" s="611"/>
      <c r="S17" s="613" t="n">
        <f aca="false">Q17-R17</f>
        <v>0</v>
      </c>
      <c r="T17" s="10"/>
      <c r="U17" s="10"/>
      <c r="V17" s="10"/>
      <c r="W17" s="10"/>
      <c r="X17" s="10"/>
    </row>
    <row r="18" customFormat="false" ht="19.5" hidden="false" customHeight="true" outlineLevel="0" collapsed="false">
      <c r="A18" s="567"/>
      <c r="B18" s="568"/>
      <c r="C18" s="591"/>
      <c r="D18" s="604" t="s">
        <v>1365</v>
      </c>
      <c r="E18" s="605" t="n">
        <v>211390</v>
      </c>
      <c r="F18" s="606" t="n">
        <v>1374137</v>
      </c>
      <c r="G18" s="607" t="n">
        <f aca="false">E18-F18</f>
        <v>-1162747</v>
      </c>
      <c r="H18" s="616"/>
      <c r="I18" s="609"/>
      <c r="J18" s="617"/>
      <c r="K18" s="610" t="n">
        <v>69345</v>
      </c>
      <c r="L18" s="611" t="n">
        <v>67154</v>
      </c>
      <c r="M18" s="607" t="n">
        <f aca="false">K18-L18</f>
        <v>2191</v>
      </c>
      <c r="N18" s="606"/>
      <c r="O18" s="606"/>
      <c r="P18" s="607" t="n">
        <f aca="false">N18-O18</f>
        <v>0</v>
      </c>
      <c r="Q18" s="608"/>
      <c r="R18" s="611"/>
      <c r="S18" s="613" t="n">
        <f aca="false">Q18-R18</f>
        <v>0</v>
      </c>
      <c r="T18" s="10"/>
      <c r="U18" s="10"/>
      <c r="V18" s="10"/>
      <c r="W18" s="10"/>
      <c r="X18" s="10"/>
    </row>
    <row r="19" customFormat="false" ht="19.5" hidden="false" customHeight="true" outlineLevel="0" collapsed="false">
      <c r="A19" s="567"/>
      <c r="B19" s="568"/>
      <c r="C19" s="591"/>
      <c r="D19" s="604" t="s">
        <v>96</v>
      </c>
      <c r="E19" s="605"/>
      <c r="F19" s="606"/>
      <c r="G19" s="607" t="n">
        <f aca="false">E19-F19</f>
        <v>0</v>
      </c>
      <c r="H19" s="616"/>
      <c r="I19" s="609"/>
      <c r="J19" s="617"/>
      <c r="K19" s="610" t="n">
        <v>20856594</v>
      </c>
      <c r="L19" s="611" t="n">
        <v>20847288</v>
      </c>
      <c r="M19" s="607" t="n">
        <f aca="false">K19-L19</f>
        <v>9306</v>
      </c>
      <c r="N19" s="606"/>
      <c r="O19" s="606"/>
      <c r="P19" s="607" t="n">
        <f aca="false">N19-O19</f>
        <v>0</v>
      </c>
      <c r="Q19" s="610" t="n">
        <v>44000</v>
      </c>
      <c r="R19" s="611" t="n">
        <v>53000</v>
      </c>
      <c r="S19" s="613" t="n">
        <f aca="false">Q19-R19</f>
        <v>-9000</v>
      </c>
      <c r="T19" s="10"/>
      <c r="U19" s="10"/>
      <c r="V19" s="10"/>
      <c r="W19" s="10"/>
      <c r="X19" s="10"/>
    </row>
    <row r="20" customFormat="false" ht="19.5" hidden="false" customHeight="true" outlineLevel="0" collapsed="false">
      <c r="A20" s="567"/>
      <c r="B20" s="568"/>
      <c r="C20" s="591"/>
      <c r="D20" s="621" t="s">
        <v>1102</v>
      </c>
      <c r="E20" s="605"/>
      <c r="F20" s="606"/>
      <c r="G20" s="607" t="n">
        <f aca="false">E20-F20</f>
        <v>0</v>
      </c>
      <c r="H20" s="616"/>
      <c r="I20" s="609"/>
      <c r="J20" s="617"/>
      <c r="K20" s="610" t="n">
        <v>11648520</v>
      </c>
      <c r="L20" s="611" t="n">
        <v>8154087</v>
      </c>
      <c r="M20" s="607" t="n">
        <f aca="false">K20-L20</f>
        <v>3494433</v>
      </c>
      <c r="N20" s="606"/>
      <c r="O20" s="606"/>
      <c r="P20" s="607" t="n">
        <f aca="false">N20-O20</f>
        <v>0</v>
      </c>
      <c r="Q20" s="610"/>
      <c r="R20" s="611"/>
      <c r="S20" s="613" t="n">
        <f aca="false">Q20-R20</f>
        <v>0</v>
      </c>
      <c r="T20" s="10"/>
      <c r="U20" s="10"/>
      <c r="V20" s="10"/>
      <c r="W20" s="10"/>
      <c r="X20" s="10"/>
    </row>
    <row r="21" customFormat="false" ht="19.5" hidden="false" customHeight="true" outlineLevel="0" collapsed="false">
      <c r="A21" s="567"/>
      <c r="B21" s="568"/>
      <c r="C21" s="591"/>
      <c r="D21" s="621" t="s">
        <v>1366</v>
      </c>
      <c r="E21" s="605"/>
      <c r="F21" s="606"/>
      <c r="G21" s="607" t="n">
        <f aca="false">E21-F21</f>
        <v>0</v>
      </c>
      <c r="H21" s="616"/>
      <c r="I21" s="609"/>
      <c r="J21" s="617"/>
      <c r="K21" s="616"/>
      <c r="L21" s="609"/>
      <c r="M21" s="607" t="n">
        <f aca="false">K21-L21</f>
        <v>0</v>
      </c>
      <c r="N21" s="606"/>
      <c r="O21" s="606"/>
      <c r="P21" s="607" t="n">
        <f aca="false">N21-O21</f>
        <v>0</v>
      </c>
      <c r="Q21" s="610"/>
      <c r="R21" s="611"/>
      <c r="S21" s="613" t="n">
        <f aca="false">Q21-R21</f>
        <v>0</v>
      </c>
      <c r="T21" s="10"/>
      <c r="U21" s="10"/>
      <c r="V21" s="10"/>
      <c r="W21" s="10"/>
      <c r="X21" s="10"/>
    </row>
    <row r="22" customFormat="false" ht="19.5" hidden="false" customHeight="true" outlineLevel="0" collapsed="false">
      <c r="A22" s="567"/>
      <c r="B22" s="568"/>
      <c r="C22" s="591"/>
      <c r="D22" s="622" t="s">
        <v>1367</v>
      </c>
      <c r="E22" s="605"/>
      <c r="F22" s="606"/>
      <c r="G22" s="607" t="n">
        <f aca="false">E22-F22</f>
        <v>0</v>
      </c>
      <c r="H22" s="616"/>
      <c r="I22" s="609"/>
      <c r="J22" s="617"/>
      <c r="K22" s="608"/>
      <c r="L22" s="611"/>
      <c r="M22" s="607" t="n">
        <f aca="false">K22-L22</f>
        <v>0</v>
      </c>
      <c r="N22" s="606"/>
      <c r="O22" s="606"/>
      <c r="P22" s="607" t="n">
        <f aca="false">N22-O22</f>
        <v>0</v>
      </c>
      <c r="Q22" s="610" t="n">
        <v>12712000</v>
      </c>
      <c r="R22" s="611" t="n">
        <v>14228186</v>
      </c>
      <c r="S22" s="613" t="n">
        <f aca="false">Q22-R22</f>
        <v>-1516186</v>
      </c>
      <c r="T22" s="10"/>
      <c r="U22" s="10"/>
      <c r="V22" s="10"/>
      <c r="W22" s="10"/>
      <c r="X22" s="10"/>
    </row>
    <row r="23" customFormat="false" ht="19.5" hidden="false" customHeight="true" outlineLevel="0" collapsed="false">
      <c r="A23" s="567"/>
      <c r="B23" s="568"/>
      <c r="C23" s="591"/>
      <c r="D23" s="623" t="s">
        <v>1100</v>
      </c>
      <c r="E23" s="624" t="n">
        <v>0</v>
      </c>
      <c r="F23" s="625" t="n">
        <v>19595000</v>
      </c>
      <c r="G23" s="607" t="n">
        <f aca="false">E23-F23</f>
        <v>-19595000</v>
      </c>
      <c r="H23" s="626"/>
      <c r="I23" s="627"/>
      <c r="J23" s="628"/>
      <c r="K23" s="631" t="n">
        <v>1206000</v>
      </c>
      <c r="L23" s="630"/>
      <c r="M23" s="607" t="n">
        <f aca="false">K23-L23</f>
        <v>1206000</v>
      </c>
      <c r="N23" s="625"/>
      <c r="O23" s="625"/>
      <c r="P23" s="607" t="n">
        <f aca="false">N23-O23</f>
        <v>0</v>
      </c>
      <c r="Q23" s="631"/>
      <c r="R23" s="630"/>
      <c r="S23" s="632" t="n">
        <f aca="false">Q23-R23</f>
        <v>0</v>
      </c>
      <c r="T23" s="10"/>
      <c r="U23" s="10"/>
      <c r="V23" s="10"/>
      <c r="W23" s="10"/>
      <c r="X23" s="10"/>
    </row>
    <row r="24" customFormat="false" ht="19.5" hidden="false" customHeight="true" outlineLevel="0" collapsed="false">
      <c r="A24" s="567"/>
      <c r="B24" s="568"/>
      <c r="C24" s="591"/>
      <c r="D24" s="623" t="s">
        <v>1368</v>
      </c>
      <c r="E24" s="624"/>
      <c r="F24" s="625"/>
      <c r="G24" s="607" t="n">
        <f aca="false">E24-F24</f>
        <v>0</v>
      </c>
      <c r="H24" s="626"/>
      <c r="I24" s="627"/>
      <c r="J24" s="628"/>
      <c r="K24" s="631"/>
      <c r="L24" s="630"/>
      <c r="M24" s="607" t="n">
        <f aca="false">K24-L24</f>
        <v>0</v>
      </c>
      <c r="N24" s="625"/>
      <c r="O24" s="625"/>
      <c r="P24" s="607" t="n">
        <f aca="false">N24-O24</f>
        <v>0</v>
      </c>
      <c r="Q24" s="631"/>
      <c r="R24" s="630"/>
      <c r="S24" s="633"/>
      <c r="T24" s="10"/>
      <c r="U24" s="10"/>
      <c r="V24" s="10"/>
      <c r="W24" s="10"/>
      <c r="X24" s="10"/>
    </row>
    <row r="25" customFormat="false" ht="19.5" hidden="false" customHeight="true" outlineLevel="0" collapsed="false">
      <c r="A25" s="567"/>
      <c r="B25" s="568"/>
      <c r="C25" s="591"/>
      <c r="D25" s="634" t="s">
        <v>1369</v>
      </c>
      <c r="E25" s="605"/>
      <c r="F25" s="625"/>
      <c r="G25" s="635" t="n">
        <f aca="false">E25-F25</f>
        <v>0</v>
      </c>
      <c r="H25" s="626"/>
      <c r="I25" s="627"/>
      <c r="J25" s="628"/>
      <c r="K25" s="631"/>
      <c r="L25" s="630"/>
      <c r="M25" s="607" t="n">
        <f aca="false">K25-L25</f>
        <v>0</v>
      </c>
      <c r="N25" s="625"/>
      <c r="O25" s="625"/>
      <c r="P25" s="607" t="n">
        <f aca="false">N25-O25</f>
        <v>0</v>
      </c>
      <c r="Q25" s="631"/>
      <c r="R25" s="630"/>
      <c r="S25" s="632" t="n">
        <f aca="false">Q25-R25</f>
        <v>0</v>
      </c>
      <c r="T25" s="10"/>
      <c r="U25" s="10"/>
      <c r="V25" s="10"/>
      <c r="W25" s="10"/>
      <c r="X25" s="10"/>
    </row>
    <row r="26" customFormat="false" ht="19.5" hidden="false" customHeight="true" outlineLevel="0" collapsed="false">
      <c r="A26" s="567"/>
      <c r="B26" s="568"/>
      <c r="C26" s="591"/>
      <c r="D26" s="634" t="s">
        <v>1103</v>
      </c>
      <c r="E26" s="624" t="n">
        <v>2100931</v>
      </c>
      <c r="F26" s="625" t="n">
        <v>7326358</v>
      </c>
      <c r="G26" s="635" t="n">
        <f aca="false">E26-F26</f>
        <v>-5225427</v>
      </c>
      <c r="H26" s="626"/>
      <c r="I26" s="609"/>
      <c r="J26" s="628"/>
      <c r="K26" s="631"/>
      <c r="L26" s="630"/>
      <c r="M26" s="607" t="n">
        <f aca="false">K26-L26</f>
        <v>0</v>
      </c>
      <c r="N26" s="625" t="n">
        <v>0</v>
      </c>
      <c r="O26" s="625" t="n">
        <v>74635</v>
      </c>
      <c r="P26" s="607" t="n">
        <f aca="false">N26-O26</f>
        <v>-74635</v>
      </c>
      <c r="Q26" s="631"/>
      <c r="R26" s="630"/>
      <c r="S26" s="632" t="n">
        <f aca="false">Q26-R26</f>
        <v>0</v>
      </c>
      <c r="T26" s="10"/>
      <c r="U26" s="10"/>
      <c r="V26" s="10"/>
      <c r="W26" s="10"/>
      <c r="X26" s="10"/>
    </row>
    <row r="27" customFormat="false" ht="19.5" hidden="false" customHeight="true" outlineLevel="0" collapsed="false">
      <c r="A27" s="567"/>
      <c r="B27" s="568"/>
      <c r="C27" s="591"/>
      <c r="D27" s="636" t="s">
        <v>1370</v>
      </c>
      <c r="E27" s="637" t="n">
        <v>883951850</v>
      </c>
      <c r="F27" s="638" t="n">
        <v>641256280</v>
      </c>
      <c r="G27" s="635" t="n">
        <f aca="false">E27-F27</f>
        <v>242695570</v>
      </c>
      <c r="H27" s="631"/>
      <c r="I27" s="639"/>
      <c r="J27" s="628"/>
      <c r="K27" s="640"/>
      <c r="L27" s="641"/>
      <c r="M27" s="635" t="n">
        <f aca="false">K27-L27</f>
        <v>0</v>
      </c>
      <c r="N27" s="642"/>
      <c r="O27" s="625"/>
      <c r="P27" s="635" t="n">
        <f aca="false">N27-O27</f>
        <v>0</v>
      </c>
      <c r="Q27" s="640"/>
      <c r="R27" s="641"/>
      <c r="S27" s="632" t="n">
        <f aca="false">Q27-R27</f>
        <v>0</v>
      </c>
      <c r="T27" s="10"/>
      <c r="U27" s="10"/>
      <c r="V27" s="10"/>
      <c r="W27" s="10"/>
      <c r="X27" s="10"/>
    </row>
    <row r="28" customFormat="false" ht="28.5" hidden="false" customHeight="true" outlineLevel="0" collapsed="false">
      <c r="A28" s="567"/>
      <c r="B28" s="568"/>
      <c r="C28" s="643" t="s">
        <v>1371</v>
      </c>
      <c r="D28" s="643"/>
      <c r="E28" s="585" t="n">
        <f aca="false">SUM(E7:E27)</f>
        <v>13363345222</v>
      </c>
      <c r="F28" s="587" t="n">
        <f aca="false">SUM(F7:F27)</f>
        <v>10954612686</v>
      </c>
      <c r="G28" s="583" t="n">
        <f aca="false">SUM(G7:G27)</f>
        <v>2408732536</v>
      </c>
      <c r="H28" s="581" t="n">
        <f aca="false">SUM(H7:H27)</f>
        <v>10342735989</v>
      </c>
      <c r="I28" s="644" t="n">
        <f aca="false">SUM(I7:I27)</f>
        <v>19217782897</v>
      </c>
      <c r="J28" s="583" t="n">
        <f aca="false">SUM(J7:J27)</f>
        <v>-8875046908</v>
      </c>
      <c r="K28" s="581" t="n">
        <f aca="false">SUM(K7:K27)</f>
        <v>115948018</v>
      </c>
      <c r="L28" s="644" t="n">
        <f aca="false">SUM(L7:L27)</f>
        <v>96169787</v>
      </c>
      <c r="M28" s="583" t="n">
        <f aca="false">SUM(M7:M27)</f>
        <v>19778231</v>
      </c>
      <c r="N28" s="587" t="n">
        <f aca="false">SUM(N7:N27)</f>
        <v>608914362</v>
      </c>
      <c r="O28" s="644" t="n">
        <f aca="false">SUM(O7:O27)</f>
        <v>495064615</v>
      </c>
      <c r="P28" s="583" t="n">
        <f aca="false">SUM(P7:P27)</f>
        <v>113849747</v>
      </c>
      <c r="Q28" s="581" t="n">
        <f aca="false">SUM(Q7:Q27)</f>
        <v>12756000</v>
      </c>
      <c r="R28" s="644" t="n">
        <f aca="false">SUM(R7:R27)</f>
        <v>14281186</v>
      </c>
      <c r="S28" s="590" t="n">
        <f aca="false">SUM(S7:S27)</f>
        <v>-1525186</v>
      </c>
      <c r="T28" s="10"/>
      <c r="U28" s="10"/>
      <c r="V28" s="10"/>
      <c r="W28" s="10"/>
      <c r="X28" s="10"/>
    </row>
    <row r="29" customFormat="false" ht="19.5" hidden="false" customHeight="true" outlineLevel="0" collapsed="false">
      <c r="A29" s="567"/>
      <c r="B29" s="568"/>
      <c r="C29" s="645" t="s">
        <v>1372</v>
      </c>
      <c r="D29" s="646" t="s">
        <v>1373</v>
      </c>
      <c r="E29" s="593" t="n">
        <v>5062957780</v>
      </c>
      <c r="F29" s="594" t="n">
        <v>5113593844</v>
      </c>
      <c r="G29" s="601" t="n">
        <f aca="false">E29-F29</f>
        <v>-50636064</v>
      </c>
      <c r="H29" s="647"/>
      <c r="I29" s="597"/>
      <c r="J29" s="648"/>
      <c r="K29" s="602"/>
      <c r="L29" s="599"/>
      <c r="M29" s="601" t="n">
        <f aca="false">K29-L29</f>
        <v>0</v>
      </c>
      <c r="N29" s="649"/>
      <c r="O29" s="649"/>
      <c r="P29" s="612" t="n">
        <f aca="false">N29-O29</f>
        <v>0</v>
      </c>
      <c r="Q29" s="650"/>
      <c r="R29" s="651"/>
      <c r="S29" s="652" t="n">
        <f aca="false">Q29-R29</f>
        <v>0</v>
      </c>
      <c r="T29" s="10"/>
      <c r="U29" s="10"/>
      <c r="V29" s="10"/>
      <c r="W29" s="10"/>
      <c r="X29" s="10"/>
    </row>
    <row r="30" customFormat="false" ht="19.5" hidden="false" customHeight="true" outlineLevel="0" collapsed="false">
      <c r="A30" s="567"/>
      <c r="B30" s="568"/>
      <c r="C30" s="645"/>
      <c r="D30" s="646" t="s">
        <v>1374</v>
      </c>
      <c r="E30" s="653" t="n">
        <v>596910377</v>
      </c>
      <c r="F30" s="600" t="n">
        <v>577150282</v>
      </c>
      <c r="G30" s="612" t="n">
        <f aca="false">E30-F30</f>
        <v>19760095</v>
      </c>
      <c r="H30" s="616"/>
      <c r="I30" s="609"/>
      <c r="J30" s="617"/>
      <c r="K30" s="654"/>
      <c r="L30" s="655"/>
      <c r="M30" s="595" t="n">
        <f aca="false">K30-L30</f>
        <v>0</v>
      </c>
      <c r="N30" s="606"/>
      <c r="O30" s="606"/>
      <c r="P30" s="607" t="n">
        <f aca="false">N30-O30</f>
        <v>0</v>
      </c>
      <c r="Q30" s="608"/>
      <c r="R30" s="611"/>
      <c r="S30" s="613" t="n">
        <f aca="false">Q30-R30</f>
        <v>0</v>
      </c>
      <c r="T30" s="10"/>
      <c r="U30" s="10"/>
      <c r="V30" s="10"/>
      <c r="W30" s="10"/>
      <c r="X30" s="10"/>
    </row>
    <row r="31" customFormat="false" ht="19.5" hidden="false" customHeight="true" outlineLevel="0" collapsed="false">
      <c r="A31" s="567"/>
      <c r="B31" s="568"/>
      <c r="C31" s="645"/>
      <c r="D31" s="646" t="s">
        <v>1375</v>
      </c>
      <c r="E31" s="653" t="n">
        <v>0</v>
      </c>
      <c r="F31" s="600" t="n">
        <v>0</v>
      </c>
      <c r="G31" s="607" t="n">
        <f aca="false">E31-F31</f>
        <v>0</v>
      </c>
      <c r="H31" s="656"/>
      <c r="I31" s="657"/>
      <c r="J31" s="658"/>
      <c r="K31" s="608"/>
      <c r="L31" s="611"/>
      <c r="M31" s="607" t="n">
        <f aca="false">K31-L31</f>
        <v>0</v>
      </c>
      <c r="N31" s="649"/>
      <c r="O31" s="649"/>
      <c r="P31" s="612" t="n">
        <f aca="false">N31-O31</f>
        <v>0</v>
      </c>
      <c r="Q31" s="608"/>
      <c r="R31" s="611"/>
      <c r="S31" s="613" t="n">
        <f aca="false">Q31-R31</f>
        <v>0</v>
      </c>
      <c r="T31" s="10"/>
      <c r="U31" s="10"/>
      <c r="V31" s="10"/>
      <c r="W31" s="10"/>
      <c r="X31" s="10"/>
    </row>
    <row r="32" customFormat="false" ht="19.5" hidden="false" customHeight="true" outlineLevel="0" collapsed="false">
      <c r="A32" s="567"/>
      <c r="B32" s="568"/>
      <c r="C32" s="645"/>
      <c r="D32" s="634" t="s">
        <v>1376</v>
      </c>
      <c r="E32" s="653" t="n">
        <v>36121513</v>
      </c>
      <c r="F32" s="600" t="n">
        <v>41107601</v>
      </c>
      <c r="G32" s="607" t="n">
        <f aca="false">E32-F32</f>
        <v>-4986088</v>
      </c>
      <c r="H32" s="616"/>
      <c r="I32" s="609"/>
      <c r="J32" s="617"/>
      <c r="K32" s="608"/>
      <c r="L32" s="611"/>
      <c r="M32" s="607" t="n">
        <f aca="false">K32-L32</f>
        <v>0</v>
      </c>
      <c r="N32" s="606"/>
      <c r="O32" s="606"/>
      <c r="P32" s="607" t="n">
        <f aca="false">N32-O32</f>
        <v>0</v>
      </c>
      <c r="Q32" s="608"/>
      <c r="R32" s="611"/>
      <c r="S32" s="613" t="n">
        <f aca="false">Q32-R32</f>
        <v>0</v>
      </c>
      <c r="T32" s="10"/>
      <c r="U32" s="10"/>
      <c r="V32" s="10"/>
      <c r="W32" s="10"/>
      <c r="X32" s="10"/>
    </row>
    <row r="33" customFormat="false" ht="19.5" hidden="false" customHeight="true" outlineLevel="0" collapsed="false">
      <c r="A33" s="567"/>
      <c r="B33" s="568"/>
      <c r="C33" s="645"/>
      <c r="D33" s="622" t="s">
        <v>1377</v>
      </c>
      <c r="E33" s="653" t="n">
        <v>74042318</v>
      </c>
      <c r="F33" s="600" t="n">
        <v>70781450</v>
      </c>
      <c r="G33" s="607" t="n">
        <f aca="false">E33-F33</f>
        <v>3260868</v>
      </c>
      <c r="H33" s="616"/>
      <c r="I33" s="609"/>
      <c r="J33" s="617"/>
      <c r="K33" s="654"/>
      <c r="L33" s="655"/>
      <c r="M33" s="612" t="n">
        <f aca="false">K33-L33</f>
        <v>0</v>
      </c>
      <c r="N33" s="606"/>
      <c r="O33" s="606"/>
      <c r="P33" s="607" t="n">
        <f aca="false">N33-O33</f>
        <v>0</v>
      </c>
      <c r="Q33" s="608"/>
      <c r="R33" s="611"/>
      <c r="S33" s="613" t="n">
        <f aca="false">Q33-R33</f>
        <v>0</v>
      </c>
      <c r="T33" s="10"/>
      <c r="U33" s="10"/>
      <c r="V33" s="10"/>
      <c r="W33" s="10"/>
      <c r="X33" s="10"/>
    </row>
    <row r="34" customFormat="false" ht="19.5" hidden="false" customHeight="true" outlineLevel="0" collapsed="false">
      <c r="A34" s="567"/>
      <c r="B34" s="568"/>
      <c r="C34" s="645"/>
      <c r="D34" s="646" t="s">
        <v>1378</v>
      </c>
      <c r="E34" s="605" t="n">
        <v>5748963367</v>
      </c>
      <c r="F34" s="606" t="n">
        <v>4701751348</v>
      </c>
      <c r="G34" s="607" t="n">
        <f aca="false">E34-F34</f>
        <v>1047212019</v>
      </c>
      <c r="H34" s="616"/>
      <c r="I34" s="609"/>
      <c r="J34" s="617"/>
      <c r="K34" s="608"/>
      <c r="L34" s="611"/>
      <c r="M34" s="607" t="n">
        <f aca="false">K34-L34</f>
        <v>0</v>
      </c>
      <c r="N34" s="606"/>
      <c r="O34" s="606"/>
      <c r="P34" s="607" t="n">
        <f aca="false">N34-O34</f>
        <v>0</v>
      </c>
      <c r="Q34" s="654"/>
      <c r="R34" s="655"/>
      <c r="S34" s="652" t="n">
        <f aca="false">Q34-R34</f>
        <v>0</v>
      </c>
      <c r="T34" s="10"/>
      <c r="U34" s="10"/>
      <c r="V34" s="10"/>
      <c r="W34" s="10"/>
      <c r="X34" s="10"/>
    </row>
    <row r="35" customFormat="false" ht="19.5" hidden="false" customHeight="true" outlineLevel="0" collapsed="false">
      <c r="A35" s="567"/>
      <c r="B35" s="568"/>
      <c r="C35" s="645"/>
      <c r="D35" s="659" t="s">
        <v>1379</v>
      </c>
      <c r="E35" s="605"/>
      <c r="F35" s="606"/>
      <c r="G35" s="607" t="n">
        <f aca="false">E35-F35</f>
        <v>0</v>
      </c>
      <c r="H35" s="616"/>
      <c r="I35" s="609"/>
      <c r="J35" s="617"/>
      <c r="K35" s="608"/>
      <c r="L35" s="611"/>
      <c r="M35" s="607" t="n">
        <f aca="false">K35-L35</f>
        <v>0</v>
      </c>
      <c r="N35" s="606"/>
      <c r="O35" s="606"/>
      <c r="P35" s="607" t="n">
        <f aca="false">N35-O35</f>
        <v>0</v>
      </c>
      <c r="Q35" s="608"/>
      <c r="R35" s="611"/>
      <c r="S35" s="613" t="n">
        <f aca="false">Q35-R35</f>
        <v>0</v>
      </c>
      <c r="T35" s="10"/>
      <c r="U35" s="10"/>
      <c r="V35" s="10"/>
      <c r="W35" s="10"/>
      <c r="X35" s="10"/>
    </row>
    <row r="36" customFormat="false" ht="19.5" hidden="false" customHeight="true" outlineLevel="0" collapsed="false">
      <c r="A36" s="567"/>
      <c r="B36" s="568"/>
      <c r="C36" s="645"/>
      <c r="D36" s="646" t="s">
        <v>1380</v>
      </c>
      <c r="E36" s="605"/>
      <c r="F36" s="606"/>
      <c r="G36" s="607" t="n">
        <f aca="false">E36-F36</f>
        <v>0</v>
      </c>
      <c r="H36" s="608" t="n">
        <v>5516016459</v>
      </c>
      <c r="I36" s="609" t="n">
        <v>10787321768</v>
      </c>
      <c r="J36" s="607" t="n">
        <f aca="false">H36-I36</f>
        <v>-5271305309</v>
      </c>
      <c r="K36" s="608"/>
      <c r="L36" s="611"/>
      <c r="M36" s="607" t="n">
        <f aca="false">K36-L36</f>
        <v>0</v>
      </c>
      <c r="N36" s="606"/>
      <c r="O36" s="606"/>
      <c r="P36" s="607" t="n">
        <f aca="false">N36-O36</f>
        <v>0</v>
      </c>
      <c r="Q36" s="608"/>
      <c r="R36" s="611"/>
      <c r="S36" s="613" t="n">
        <f aca="false">Q36-R36</f>
        <v>0</v>
      </c>
      <c r="T36" s="10"/>
      <c r="U36" s="10"/>
      <c r="V36" s="10"/>
      <c r="W36" s="10"/>
      <c r="X36" s="10"/>
    </row>
    <row r="37" customFormat="false" ht="19.5" hidden="false" customHeight="true" outlineLevel="0" collapsed="false">
      <c r="A37" s="567"/>
      <c r="B37" s="568"/>
      <c r="C37" s="645"/>
      <c r="D37" s="646" t="s">
        <v>1381</v>
      </c>
      <c r="E37" s="660"/>
      <c r="F37" s="661"/>
      <c r="G37" s="607" t="n">
        <f aca="false">E37-F37</f>
        <v>0</v>
      </c>
      <c r="H37" s="662" t="n">
        <v>45220684</v>
      </c>
      <c r="I37" s="663" t="n">
        <v>87548431</v>
      </c>
      <c r="J37" s="607" t="n">
        <f aca="false">H37-I37</f>
        <v>-42327747</v>
      </c>
      <c r="K37" s="662"/>
      <c r="L37" s="664"/>
      <c r="M37" s="607" t="n">
        <f aca="false">K37-L37</f>
        <v>0</v>
      </c>
      <c r="N37" s="661"/>
      <c r="O37" s="661"/>
      <c r="P37" s="607" t="n">
        <f aca="false">N37-O37</f>
        <v>0</v>
      </c>
      <c r="Q37" s="662"/>
      <c r="R37" s="664"/>
      <c r="S37" s="613" t="n">
        <f aca="false">Q37-R37</f>
        <v>0</v>
      </c>
      <c r="T37" s="10"/>
      <c r="U37" s="10"/>
      <c r="V37" s="10"/>
      <c r="W37" s="10"/>
      <c r="X37" s="10"/>
    </row>
    <row r="38" customFormat="false" ht="19.5" hidden="false" customHeight="true" outlineLevel="0" collapsed="false">
      <c r="A38" s="567"/>
      <c r="B38" s="568"/>
      <c r="C38" s="645"/>
      <c r="D38" s="646" t="s">
        <v>1382</v>
      </c>
      <c r="E38" s="605"/>
      <c r="F38" s="606"/>
      <c r="G38" s="607" t="n">
        <f aca="false">E38-F38</f>
        <v>0</v>
      </c>
      <c r="H38" s="608" t="n">
        <v>995045755</v>
      </c>
      <c r="I38" s="609" t="n">
        <v>2016533515</v>
      </c>
      <c r="J38" s="607" t="n">
        <f aca="false">H38-I38</f>
        <v>-1021487760</v>
      </c>
      <c r="K38" s="608"/>
      <c r="L38" s="611"/>
      <c r="M38" s="607" t="n">
        <f aca="false">K38-L38</f>
        <v>0</v>
      </c>
      <c r="N38" s="606"/>
      <c r="O38" s="606"/>
      <c r="P38" s="607" t="n">
        <f aca="false">N38-O38</f>
        <v>0</v>
      </c>
      <c r="Q38" s="608"/>
      <c r="R38" s="611"/>
      <c r="S38" s="613" t="n">
        <f aca="false">Q38-R38</f>
        <v>0</v>
      </c>
      <c r="T38" s="10"/>
      <c r="U38" s="10"/>
      <c r="V38" s="10"/>
      <c r="W38" s="10"/>
      <c r="X38" s="10"/>
    </row>
    <row r="39" customFormat="false" ht="19.5" hidden="false" customHeight="true" outlineLevel="0" collapsed="false">
      <c r="A39" s="567"/>
      <c r="B39" s="568"/>
      <c r="C39" s="645"/>
      <c r="D39" s="665" t="s">
        <v>1383</v>
      </c>
      <c r="E39" s="605"/>
      <c r="F39" s="606"/>
      <c r="G39" s="607" t="n">
        <f aca="false">E39-F39</f>
        <v>0</v>
      </c>
      <c r="H39" s="608" t="n">
        <v>2802837274</v>
      </c>
      <c r="I39" s="609" t="n">
        <v>5376398659</v>
      </c>
      <c r="J39" s="607" t="n">
        <f aca="false">H39-I39</f>
        <v>-2573561385</v>
      </c>
      <c r="K39" s="608"/>
      <c r="L39" s="611"/>
      <c r="M39" s="607" t="n">
        <f aca="false">K39-L39</f>
        <v>0</v>
      </c>
      <c r="N39" s="606"/>
      <c r="O39" s="606"/>
      <c r="P39" s="607" t="n">
        <f aca="false">N39-O39</f>
        <v>0</v>
      </c>
      <c r="Q39" s="608"/>
      <c r="R39" s="611"/>
      <c r="S39" s="613" t="n">
        <f aca="false">Q39-R39</f>
        <v>0</v>
      </c>
      <c r="T39" s="10"/>
      <c r="U39" s="10"/>
      <c r="V39" s="10"/>
      <c r="W39" s="10"/>
      <c r="X39" s="10"/>
    </row>
    <row r="40" customFormat="false" ht="19.5" hidden="false" customHeight="true" outlineLevel="0" collapsed="false">
      <c r="A40" s="567"/>
      <c r="B40" s="568"/>
      <c r="C40" s="645"/>
      <c r="D40" s="604" t="s">
        <v>1324</v>
      </c>
      <c r="E40" s="605"/>
      <c r="F40" s="606"/>
      <c r="G40" s="607" t="n">
        <f aca="false">E40-F40</f>
        <v>0</v>
      </c>
      <c r="H40" s="608"/>
      <c r="I40" s="609"/>
      <c r="J40" s="617"/>
      <c r="K40" s="608"/>
      <c r="L40" s="611"/>
      <c r="M40" s="607" t="n">
        <f aca="false">K40-L40</f>
        <v>0</v>
      </c>
      <c r="N40" s="606"/>
      <c r="O40" s="606"/>
      <c r="P40" s="607" t="n">
        <f aca="false">N40-O40</f>
        <v>0</v>
      </c>
      <c r="Q40" s="608"/>
      <c r="R40" s="611"/>
      <c r="S40" s="613" t="n">
        <f aca="false">Q40-R40</f>
        <v>0</v>
      </c>
      <c r="T40" s="10"/>
      <c r="U40" s="10"/>
      <c r="V40" s="10"/>
      <c r="W40" s="10"/>
      <c r="X40" s="10"/>
    </row>
    <row r="41" customFormat="false" ht="19.5" hidden="false" customHeight="true" outlineLevel="0" collapsed="false">
      <c r="A41" s="567"/>
      <c r="B41" s="568"/>
      <c r="C41" s="645"/>
      <c r="D41" s="604" t="s">
        <v>1384</v>
      </c>
      <c r="E41" s="605" t="n">
        <v>132291047</v>
      </c>
      <c r="F41" s="606" t="n">
        <v>126119215</v>
      </c>
      <c r="G41" s="607" t="n">
        <f aca="false">E41-F41</f>
        <v>6171832</v>
      </c>
      <c r="H41" s="608" t="n">
        <v>26027000</v>
      </c>
      <c r="I41" s="609" t="n">
        <v>249923000</v>
      </c>
      <c r="J41" s="607" t="n">
        <f aca="false">H41-I41</f>
        <v>-223896000</v>
      </c>
      <c r="K41" s="608"/>
      <c r="L41" s="611"/>
      <c r="M41" s="607" t="n">
        <f aca="false">K41-L41</f>
        <v>0</v>
      </c>
      <c r="N41" s="606"/>
      <c r="O41" s="606"/>
      <c r="P41" s="607" t="n">
        <f aca="false">N41-O41</f>
        <v>0</v>
      </c>
      <c r="Q41" s="610"/>
      <c r="R41" s="611" t="n">
        <v>465236</v>
      </c>
      <c r="S41" s="613" t="n">
        <f aca="false">Q41-R41</f>
        <v>-465236</v>
      </c>
      <c r="T41" s="10"/>
      <c r="U41" s="10"/>
      <c r="V41" s="10"/>
      <c r="W41" s="10"/>
      <c r="X41" s="10"/>
    </row>
    <row r="42" customFormat="false" ht="19.5" hidden="false" customHeight="true" outlineLevel="0" collapsed="false">
      <c r="A42" s="567"/>
      <c r="B42" s="568"/>
      <c r="C42" s="645"/>
      <c r="D42" s="604" t="s">
        <v>1385</v>
      </c>
      <c r="E42" s="605" t="n">
        <v>11648520</v>
      </c>
      <c r="F42" s="606" t="n">
        <v>8154087</v>
      </c>
      <c r="G42" s="607" t="n">
        <f aca="false">E42-F42</f>
        <v>3494433</v>
      </c>
      <c r="H42" s="608" t="n">
        <v>13252000</v>
      </c>
      <c r="I42" s="609" t="n">
        <v>30145946</v>
      </c>
      <c r="J42" s="607" t="n">
        <f aca="false">H42-I42</f>
        <v>-16893946</v>
      </c>
      <c r="K42" s="608"/>
      <c r="L42" s="611"/>
      <c r="M42" s="607" t="n">
        <f aca="false">K42-L42</f>
        <v>0</v>
      </c>
      <c r="N42" s="606"/>
      <c r="O42" s="606"/>
      <c r="P42" s="607" t="n">
        <f aca="false">N42-O42</f>
        <v>0</v>
      </c>
      <c r="Q42" s="610"/>
      <c r="R42" s="611"/>
      <c r="S42" s="613" t="n">
        <f aca="false">Q42-R42</f>
        <v>0</v>
      </c>
      <c r="T42" s="10"/>
      <c r="U42" s="10"/>
      <c r="V42" s="10"/>
      <c r="W42" s="10"/>
      <c r="X42" s="10"/>
    </row>
    <row r="43" customFormat="false" ht="19.5" hidden="false" customHeight="true" outlineLevel="0" collapsed="false">
      <c r="A43" s="567"/>
      <c r="B43" s="568"/>
      <c r="C43" s="645"/>
      <c r="D43" s="604" t="s">
        <v>79</v>
      </c>
      <c r="E43" s="605"/>
      <c r="F43" s="606"/>
      <c r="G43" s="607" t="n">
        <f aca="false">E43-F43</f>
        <v>0</v>
      </c>
      <c r="H43" s="616"/>
      <c r="I43" s="609"/>
      <c r="J43" s="617"/>
      <c r="K43" s="610" t="n">
        <v>9574938</v>
      </c>
      <c r="L43" s="611" t="n">
        <v>7908615</v>
      </c>
      <c r="M43" s="607" t="n">
        <f aca="false">K43-L43</f>
        <v>1666323</v>
      </c>
      <c r="N43" s="606" t="n">
        <v>6040584</v>
      </c>
      <c r="O43" s="606" t="n">
        <v>5032581</v>
      </c>
      <c r="P43" s="607" t="n">
        <f aca="false">N43-O43</f>
        <v>1008003</v>
      </c>
      <c r="Q43" s="610" t="n">
        <v>6160420</v>
      </c>
      <c r="R43" s="611" t="n">
        <v>4862540</v>
      </c>
      <c r="S43" s="613" t="n">
        <f aca="false">Q43-R43</f>
        <v>1297880</v>
      </c>
      <c r="T43" s="10"/>
      <c r="U43" s="10"/>
      <c r="V43" s="10"/>
      <c r="W43" s="10"/>
      <c r="X43" s="10"/>
    </row>
    <row r="44" customFormat="false" ht="19.5" hidden="false" customHeight="true" outlineLevel="0" collapsed="false">
      <c r="A44" s="567"/>
      <c r="B44" s="568"/>
      <c r="C44" s="645"/>
      <c r="D44" s="646" t="s">
        <v>1386</v>
      </c>
      <c r="E44" s="605"/>
      <c r="F44" s="606"/>
      <c r="G44" s="607" t="n">
        <f aca="false">E44-F44</f>
        <v>0</v>
      </c>
      <c r="H44" s="616"/>
      <c r="I44" s="609"/>
      <c r="J44" s="617"/>
      <c r="K44" s="610" t="n">
        <v>101872292</v>
      </c>
      <c r="L44" s="611" t="n">
        <v>82657779</v>
      </c>
      <c r="M44" s="607" t="n">
        <f aca="false">K44-L44</f>
        <v>19214513</v>
      </c>
      <c r="N44" s="606" t="n">
        <v>608161999</v>
      </c>
      <c r="O44" s="606" t="n">
        <v>579831941</v>
      </c>
      <c r="P44" s="607" t="n">
        <f aca="false">N44-O44</f>
        <v>28330058</v>
      </c>
      <c r="Q44" s="610" t="n">
        <v>11949705</v>
      </c>
      <c r="R44" s="611" t="n">
        <v>8145032</v>
      </c>
      <c r="S44" s="613" t="n">
        <f aca="false">Q44-R44</f>
        <v>3804673</v>
      </c>
      <c r="T44" s="10"/>
      <c r="U44" s="10"/>
      <c r="V44" s="10"/>
      <c r="W44" s="10"/>
      <c r="X44" s="10"/>
    </row>
    <row r="45" customFormat="false" ht="19.5" hidden="false" customHeight="true" outlineLevel="0" collapsed="false">
      <c r="A45" s="567"/>
      <c r="B45" s="568"/>
      <c r="C45" s="645"/>
      <c r="D45" s="634" t="s">
        <v>1387</v>
      </c>
      <c r="E45" s="624"/>
      <c r="F45" s="625"/>
      <c r="G45" s="635" t="n">
        <f aca="false">E45-F45</f>
        <v>0</v>
      </c>
      <c r="H45" s="626"/>
      <c r="I45" s="627"/>
      <c r="J45" s="628"/>
      <c r="K45" s="608"/>
      <c r="L45" s="611"/>
      <c r="M45" s="607" t="n">
        <f aca="false">K45-L45</f>
        <v>0</v>
      </c>
      <c r="N45" s="625"/>
      <c r="O45" s="625"/>
      <c r="P45" s="607" t="n">
        <f aca="false">N45-O45</f>
        <v>0</v>
      </c>
      <c r="Q45" s="631"/>
      <c r="R45" s="630"/>
      <c r="S45" s="632" t="n">
        <f aca="false">Q45-R45</f>
        <v>0</v>
      </c>
      <c r="T45" s="10"/>
      <c r="U45" s="10"/>
      <c r="V45" s="10"/>
      <c r="W45" s="10"/>
      <c r="X45" s="10"/>
    </row>
    <row r="46" customFormat="false" ht="19.5" hidden="false" customHeight="true" outlineLevel="0" collapsed="false">
      <c r="A46" s="567"/>
      <c r="B46" s="568"/>
      <c r="C46" s="645"/>
      <c r="D46" s="634" t="s">
        <v>1388</v>
      </c>
      <c r="E46" s="624"/>
      <c r="F46" s="625"/>
      <c r="G46" s="635" t="n">
        <f aca="false">E46-F46</f>
        <v>0</v>
      </c>
      <c r="H46" s="626"/>
      <c r="I46" s="627"/>
      <c r="J46" s="628"/>
      <c r="K46" s="608"/>
      <c r="L46" s="611"/>
      <c r="M46" s="607" t="n">
        <f aca="false">K46-L46</f>
        <v>0</v>
      </c>
      <c r="N46" s="625"/>
      <c r="O46" s="625"/>
      <c r="P46" s="635" t="n">
        <f aca="false">N46-O46</f>
        <v>0</v>
      </c>
      <c r="Q46" s="631"/>
      <c r="R46" s="630"/>
      <c r="S46" s="632" t="n">
        <f aca="false">Q46-R46</f>
        <v>0</v>
      </c>
      <c r="T46" s="10"/>
      <c r="U46" s="10"/>
      <c r="V46" s="10"/>
      <c r="W46" s="10"/>
      <c r="X46" s="10"/>
    </row>
    <row r="47" customFormat="false" ht="19.5" hidden="false" customHeight="true" outlineLevel="0" collapsed="false">
      <c r="A47" s="567"/>
      <c r="B47" s="568"/>
      <c r="C47" s="645"/>
      <c r="D47" s="634" t="s">
        <v>1098</v>
      </c>
      <c r="E47" s="624" t="n">
        <v>0</v>
      </c>
      <c r="F47" s="625" t="n">
        <v>40576</v>
      </c>
      <c r="G47" s="635" t="n">
        <f aca="false">E47-F47</f>
        <v>-40576</v>
      </c>
      <c r="H47" s="626"/>
      <c r="I47" s="627"/>
      <c r="J47" s="628"/>
      <c r="K47" s="616"/>
      <c r="L47" s="611"/>
      <c r="M47" s="607" t="n">
        <f aca="false">K47-L47</f>
        <v>0</v>
      </c>
      <c r="N47" s="625" t="n">
        <v>0</v>
      </c>
      <c r="O47" s="625" t="n">
        <v>19773</v>
      </c>
      <c r="P47" s="607" t="n">
        <f aca="false">N47-O47</f>
        <v>-19773</v>
      </c>
      <c r="Q47" s="608"/>
      <c r="R47" s="611"/>
      <c r="S47" s="613" t="n">
        <f aca="false">Q47-R47</f>
        <v>0</v>
      </c>
      <c r="T47" s="10"/>
      <c r="U47" s="10"/>
      <c r="V47" s="10"/>
      <c r="W47" s="10"/>
      <c r="X47" s="10"/>
    </row>
    <row r="48" customFormat="false" ht="19.5" hidden="false" customHeight="true" outlineLevel="0" collapsed="false">
      <c r="A48" s="567"/>
      <c r="B48" s="568"/>
      <c r="C48" s="645"/>
      <c r="D48" s="636" t="s">
        <v>1389</v>
      </c>
      <c r="E48" s="637" t="n">
        <v>876229790</v>
      </c>
      <c r="F48" s="638" t="n">
        <v>883951850</v>
      </c>
      <c r="G48" s="635" t="n">
        <f aca="false">E48-F48</f>
        <v>-7722060</v>
      </c>
      <c r="H48" s="631"/>
      <c r="I48" s="627"/>
      <c r="J48" s="628"/>
      <c r="K48" s="667"/>
      <c r="L48" s="668"/>
      <c r="M48" s="635" t="n">
        <f aca="false">K48-L48</f>
        <v>0</v>
      </c>
      <c r="N48" s="625"/>
      <c r="O48" s="625"/>
      <c r="P48" s="635" t="n">
        <f aca="false">N48-O48</f>
        <v>0</v>
      </c>
      <c r="Q48" s="640"/>
      <c r="R48" s="641"/>
      <c r="S48" s="632" t="n">
        <f aca="false">Q48-R48</f>
        <v>0</v>
      </c>
      <c r="T48" s="10"/>
      <c r="U48" s="10"/>
      <c r="V48" s="10"/>
      <c r="W48" s="10"/>
      <c r="X48" s="10"/>
    </row>
    <row r="49" customFormat="false" ht="28.5" hidden="false" customHeight="true" outlineLevel="0" collapsed="false">
      <c r="A49" s="567"/>
      <c r="B49" s="568"/>
      <c r="C49" s="669" t="s">
        <v>1390</v>
      </c>
      <c r="D49" s="669"/>
      <c r="E49" s="581" t="n">
        <f aca="false">SUM(E29:E48)</f>
        <v>12539164712</v>
      </c>
      <c r="F49" s="644" t="n">
        <f aca="false">SUM(F29:F48)</f>
        <v>11522650253</v>
      </c>
      <c r="G49" s="583" t="n">
        <f aca="false">SUM(G29:G48)</f>
        <v>1016514459</v>
      </c>
      <c r="H49" s="581" t="n">
        <f aca="false">SUM(H36:H48)</f>
        <v>9398399172</v>
      </c>
      <c r="I49" s="644" t="n">
        <f aca="false">SUM(I36:I48)</f>
        <v>18547871319</v>
      </c>
      <c r="J49" s="583" t="n">
        <f aca="false">SUM(J36:J48)</f>
        <v>-9149472147</v>
      </c>
      <c r="K49" s="585" t="n">
        <f aca="false">SUM(K29:K48)</f>
        <v>111447230</v>
      </c>
      <c r="L49" s="670" t="n">
        <f aca="false">SUM(L29:L48)</f>
        <v>90566394</v>
      </c>
      <c r="M49" s="583" t="n">
        <f aca="false">SUM(M29:M48)</f>
        <v>20880836</v>
      </c>
      <c r="N49" s="587" t="n">
        <f aca="false">SUM(N29:N48)</f>
        <v>614202583</v>
      </c>
      <c r="O49" s="587" t="n">
        <f aca="false">SUM(O29:O48)</f>
        <v>584884295</v>
      </c>
      <c r="P49" s="583" t="n">
        <f aca="false">SUM(P29:P48)</f>
        <v>29318288</v>
      </c>
      <c r="Q49" s="585" t="n">
        <f aca="false">SUM(Q29:Q48)</f>
        <v>18110125</v>
      </c>
      <c r="R49" s="587" t="n">
        <f aca="false">SUM(R29:R48)</f>
        <v>13472808</v>
      </c>
      <c r="S49" s="590" t="n">
        <f aca="false">SUM(S29:S48)</f>
        <v>4637317</v>
      </c>
      <c r="T49" s="10"/>
      <c r="U49" s="10"/>
      <c r="V49" s="10"/>
      <c r="W49" s="10"/>
      <c r="X49" s="10"/>
    </row>
    <row r="50" customFormat="false" ht="28.5" hidden="false" customHeight="true" outlineLevel="0" collapsed="false">
      <c r="A50" s="567"/>
      <c r="B50" s="568"/>
      <c r="C50" s="671" t="s">
        <v>1391</v>
      </c>
      <c r="D50" s="671"/>
      <c r="E50" s="672" t="n">
        <f aca="false">E28-E49</f>
        <v>824180510</v>
      </c>
      <c r="F50" s="673" t="n">
        <f aca="false">F28-F49</f>
        <v>-568037567</v>
      </c>
      <c r="G50" s="595" t="n">
        <f aca="false">E50-F50</f>
        <v>1392218077</v>
      </c>
      <c r="H50" s="672" t="n">
        <f aca="false">H28-H49</f>
        <v>944336817</v>
      </c>
      <c r="I50" s="673" t="n">
        <f aca="false">I28-I49</f>
        <v>669911578</v>
      </c>
      <c r="J50" s="595" t="n">
        <f aca="false">H50-I50</f>
        <v>274425239</v>
      </c>
      <c r="K50" s="674" t="n">
        <f aca="false">K28-K49</f>
        <v>4500788</v>
      </c>
      <c r="L50" s="675" t="n">
        <f aca="false">L28-L49</f>
        <v>5603393</v>
      </c>
      <c r="M50" s="595" t="n">
        <f aca="false">K50-L50</f>
        <v>-1102605</v>
      </c>
      <c r="N50" s="676" t="n">
        <f aca="false">N28-N49</f>
        <v>-5288221</v>
      </c>
      <c r="O50" s="676" t="n">
        <f aca="false">O28-O49</f>
        <v>-89819680</v>
      </c>
      <c r="P50" s="595" t="n">
        <f aca="false">N50-O50</f>
        <v>84531459</v>
      </c>
      <c r="Q50" s="674" t="n">
        <f aca="false">Q28-Q49</f>
        <v>-5354125</v>
      </c>
      <c r="R50" s="676" t="n">
        <f aca="false">R28-R49</f>
        <v>808378</v>
      </c>
      <c r="S50" s="603" t="n">
        <f aca="false">Q50-R50</f>
        <v>-6162503</v>
      </c>
      <c r="T50" s="10"/>
      <c r="U50" s="10"/>
      <c r="V50" s="10"/>
      <c r="W50" s="10"/>
      <c r="X50" s="10"/>
    </row>
    <row r="51" customFormat="false" ht="28.5" hidden="false" customHeight="true" outlineLevel="0" collapsed="false">
      <c r="A51" s="567"/>
      <c r="B51" s="568"/>
      <c r="C51" s="677" t="s">
        <v>1392</v>
      </c>
      <c r="D51" s="677"/>
      <c r="E51" s="678" t="n">
        <f aca="false">E6+E50</f>
        <v>2237365593</v>
      </c>
      <c r="F51" s="679" t="n">
        <f aca="false">F6+F50</f>
        <v>1413185083</v>
      </c>
      <c r="G51" s="680" t="n">
        <f aca="false">E51-F51</f>
        <v>824180510</v>
      </c>
      <c r="H51" s="678" t="n">
        <f aca="false">H6+H50</f>
        <v>116214028015</v>
      </c>
      <c r="I51" s="679" t="n">
        <f aca="false">I6+I50</f>
        <v>115269691198</v>
      </c>
      <c r="J51" s="680" t="n">
        <f aca="false">H51-I51</f>
        <v>944336817</v>
      </c>
      <c r="K51" s="681" t="n">
        <f aca="false">K6+K50</f>
        <v>71093911</v>
      </c>
      <c r="L51" s="682" t="n">
        <f aca="false">L6+L50</f>
        <v>66593123</v>
      </c>
      <c r="M51" s="680" t="n">
        <f aca="false">K51-L51</f>
        <v>4500788</v>
      </c>
      <c r="N51" s="683" t="n">
        <f aca="false">N6+N50</f>
        <v>270947604</v>
      </c>
      <c r="O51" s="683" t="n">
        <f aca="false">O6+O50</f>
        <v>276235825</v>
      </c>
      <c r="P51" s="680" t="n">
        <f aca="false">N51-O51</f>
        <v>-5288221</v>
      </c>
      <c r="Q51" s="681" t="n">
        <f aca="false">Q6+Q50</f>
        <v>1961052168</v>
      </c>
      <c r="R51" s="683" t="n">
        <f aca="false">R6+R50</f>
        <v>1966406293</v>
      </c>
      <c r="S51" s="684" t="n">
        <f aca="false">Q51-R51</f>
        <v>-5354125</v>
      </c>
      <c r="T51" s="10"/>
      <c r="U51" s="10"/>
      <c r="V51" s="10"/>
      <c r="W51" s="10"/>
      <c r="X51" s="10"/>
    </row>
    <row r="52" customFormat="false" ht="23.25" hidden="false" customHeight="true" outlineLevel="0" collapsed="false">
      <c r="A52" s="10"/>
      <c r="B52" s="10"/>
      <c r="C52" s="10"/>
      <c r="D52" s="685"/>
      <c r="E52" s="10"/>
      <c r="F52" s="10"/>
      <c r="G52" s="10"/>
      <c r="H52" s="10"/>
      <c r="I52" s="10"/>
      <c r="J52" s="10"/>
      <c r="K52" s="10"/>
      <c r="L52" s="10"/>
      <c r="M52" s="10"/>
      <c r="N52" s="10"/>
      <c r="O52" s="10"/>
      <c r="P52" s="10"/>
      <c r="Q52" s="10"/>
      <c r="R52" s="10"/>
      <c r="S52" s="10"/>
      <c r="T52" s="10"/>
      <c r="U52" s="10"/>
      <c r="V52" s="10"/>
      <c r="W52" s="10"/>
      <c r="X52" s="10"/>
    </row>
    <row r="53" customFormat="false" ht="23.25" hidden="false" customHeight="true" outlineLevel="0" collapsed="false">
      <c r="A53" s="10"/>
      <c r="B53" s="10"/>
      <c r="C53" s="10"/>
      <c r="D53" s="685"/>
      <c r="E53" s="686" t="n">
        <v>2569892204</v>
      </c>
      <c r="F53" s="10"/>
      <c r="G53" s="10"/>
      <c r="H53" s="10"/>
      <c r="I53" s="10"/>
      <c r="J53" s="10"/>
      <c r="K53" s="10"/>
      <c r="L53" s="10"/>
      <c r="M53" s="10"/>
      <c r="N53" s="687" t="n">
        <v>521829447</v>
      </c>
      <c r="O53" s="10"/>
      <c r="P53" s="10"/>
      <c r="Q53" s="10"/>
      <c r="R53" s="10"/>
      <c r="S53" s="10"/>
      <c r="T53" s="10"/>
      <c r="U53" s="10"/>
      <c r="V53" s="10"/>
      <c r="W53" s="10"/>
      <c r="X53" s="10"/>
    </row>
    <row r="54" customFormat="false" ht="23.25" hidden="false" customHeight="true" outlineLevel="0" collapsed="false">
      <c r="A54" s="10"/>
      <c r="B54" s="10"/>
      <c r="C54" s="10"/>
      <c r="D54" s="688" t="s">
        <v>1393</v>
      </c>
      <c r="E54" s="689" t="n">
        <f aca="false">SUM(E29:E41)</f>
        <v>11651286402</v>
      </c>
      <c r="F54" s="10"/>
      <c r="G54" s="10"/>
      <c r="H54" s="10"/>
      <c r="I54" s="10"/>
      <c r="J54" s="10"/>
      <c r="K54" s="10"/>
      <c r="L54" s="10"/>
      <c r="M54" s="10"/>
      <c r="N54" s="10"/>
      <c r="O54" s="10"/>
      <c r="P54" s="10"/>
      <c r="Q54" s="10"/>
      <c r="R54" s="10"/>
      <c r="S54" s="10"/>
      <c r="T54" s="10"/>
      <c r="U54" s="10"/>
      <c r="V54" s="10"/>
      <c r="W54" s="10"/>
      <c r="X54" s="10"/>
    </row>
    <row r="55" customFormat="false" ht="23.25" hidden="false" customHeight="true" outlineLevel="0" collapsed="false">
      <c r="A55" s="10"/>
      <c r="B55" s="10"/>
      <c r="C55" s="10"/>
      <c r="D55" s="685"/>
      <c r="E55" s="10"/>
      <c r="F55" s="10"/>
      <c r="G55" s="10"/>
      <c r="H55" s="10"/>
      <c r="I55" s="10"/>
      <c r="J55" s="10"/>
      <c r="K55" s="10"/>
      <c r="L55" s="10"/>
      <c r="M55" s="10"/>
      <c r="N55" s="10"/>
      <c r="O55" s="10"/>
      <c r="P55" s="10"/>
      <c r="Q55" s="10"/>
      <c r="R55" s="10"/>
      <c r="S55" s="10"/>
      <c r="T55" s="10"/>
      <c r="U55" s="10"/>
      <c r="V55" s="10"/>
      <c r="W55" s="10"/>
      <c r="X55" s="10"/>
    </row>
    <row r="56" customFormat="false" ht="23.25" hidden="false" customHeight="true" outlineLevel="0" collapsed="false">
      <c r="A56" s="10"/>
      <c r="B56" s="10"/>
      <c r="C56" s="10"/>
      <c r="D56" s="685"/>
      <c r="E56" s="10"/>
      <c r="F56" s="10"/>
      <c r="G56" s="10"/>
      <c r="H56" s="10"/>
      <c r="I56" s="10"/>
      <c r="J56" s="10"/>
      <c r="K56" s="10"/>
      <c r="L56" s="10"/>
      <c r="M56" s="10"/>
      <c r="N56" s="10"/>
      <c r="O56" s="10"/>
      <c r="P56" s="10"/>
      <c r="Q56" s="10"/>
      <c r="R56" s="10"/>
      <c r="S56" s="10"/>
      <c r="T56" s="10"/>
      <c r="U56" s="10"/>
      <c r="V56" s="10"/>
      <c r="W56" s="10"/>
      <c r="X56" s="10"/>
    </row>
    <row r="57" customFormat="false" ht="17.25" hidden="false" customHeight="true" outlineLevel="0" collapsed="false">
      <c r="A57" s="10"/>
      <c r="B57" s="10"/>
      <c r="C57" s="10"/>
      <c r="D57" s="685"/>
      <c r="E57" s="10"/>
      <c r="F57" s="10"/>
      <c r="G57" s="566" t="s">
        <v>1394</v>
      </c>
      <c r="H57" s="463" t="s">
        <v>1384</v>
      </c>
      <c r="I57" s="690" t="s">
        <v>1395</v>
      </c>
      <c r="J57" s="690"/>
      <c r="K57" s="690"/>
      <c r="L57" s="690"/>
      <c r="M57" s="690"/>
      <c r="N57" s="690"/>
      <c r="O57" s="10"/>
      <c r="P57" s="10"/>
      <c r="Q57" s="10"/>
      <c r="R57" s="10"/>
      <c r="S57" s="10"/>
      <c r="T57" s="10"/>
      <c r="U57" s="10"/>
      <c r="V57" s="10"/>
      <c r="W57" s="10"/>
      <c r="X57" s="10"/>
    </row>
    <row r="58" customFormat="false" ht="17.25" hidden="false" customHeight="true" outlineLevel="0" collapsed="false">
      <c r="A58" s="10"/>
      <c r="B58" s="10"/>
      <c r="C58" s="10"/>
      <c r="D58" s="691"/>
      <c r="E58" s="10"/>
      <c r="F58" s="10"/>
      <c r="G58" s="566" t="s">
        <v>1396</v>
      </c>
      <c r="H58" s="463" t="s">
        <v>1386</v>
      </c>
      <c r="I58" s="690"/>
      <c r="J58" s="690"/>
      <c r="K58" s="690"/>
      <c r="L58" s="690"/>
      <c r="M58" s="690"/>
      <c r="N58" s="690"/>
      <c r="O58" s="691"/>
      <c r="P58" s="691"/>
      <c r="Q58" s="10"/>
      <c r="R58" s="10"/>
      <c r="S58" s="10"/>
      <c r="T58" s="10"/>
      <c r="U58" s="10"/>
      <c r="V58" s="10"/>
      <c r="W58" s="10"/>
      <c r="X58" s="10"/>
    </row>
    <row r="59" customFormat="false" ht="17.25" hidden="false" customHeight="true" outlineLevel="0" collapsed="false">
      <c r="A59" s="10"/>
      <c r="B59" s="10"/>
      <c r="C59" s="10"/>
      <c r="D59" s="685"/>
      <c r="E59" s="10"/>
      <c r="F59" s="10"/>
      <c r="G59" s="692"/>
      <c r="H59" s="10"/>
      <c r="I59" s="10"/>
      <c r="J59" s="10"/>
      <c r="K59" s="685"/>
      <c r="L59" s="685"/>
      <c r="M59" s="685"/>
      <c r="N59" s="685"/>
      <c r="O59" s="685"/>
      <c r="P59" s="685"/>
      <c r="Q59" s="10"/>
      <c r="R59" s="10"/>
      <c r="S59" s="10"/>
      <c r="T59" s="10"/>
      <c r="U59" s="10"/>
      <c r="V59" s="10"/>
      <c r="W59" s="10"/>
      <c r="X59" s="10"/>
    </row>
    <row r="60" customFormat="false" ht="17.25" hidden="false" customHeight="true" outlineLevel="0" collapsed="false">
      <c r="A60" s="10"/>
      <c r="B60" s="10"/>
      <c r="C60" s="10"/>
      <c r="D60" s="685"/>
      <c r="E60" s="10"/>
      <c r="F60" s="10"/>
      <c r="G60" s="10"/>
      <c r="H60" s="10"/>
      <c r="I60" s="10"/>
      <c r="J60" s="10"/>
      <c r="K60" s="685"/>
      <c r="L60" s="685"/>
      <c r="M60" s="685"/>
      <c r="N60" s="685"/>
      <c r="O60" s="685"/>
      <c r="P60" s="685"/>
      <c r="Q60" s="10"/>
      <c r="R60" s="10"/>
      <c r="S60" s="10"/>
      <c r="T60" s="10"/>
      <c r="U60" s="10"/>
      <c r="V60" s="10"/>
      <c r="W60" s="10"/>
      <c r="X60" s="10"/>
    </row>
    <row r="61" customFormat="false" ht="17.25" hidden="false" customHeight="true" outlineLevel="0" collapsed="false">
      <c r="A61" s="10"/>
      <c r="B61" s="10"/>
      <c r="C61" s="10"/>
      <c r="D61" s="685"/>
      <c r="E61" s="10"/>
      <c r="F61" s="10"/>
      <c r="G61" s="10"/>
      <c r="H61" s="10"/>
      <c r="I61" s="10"/>
      <c r="J61" s="10"/>
      <c r="K61" s="10"/>
      <c r="L61" s="10"/>
      <c r="M61" s="10"/>
      <c r="N61" s="10"/>
      <c r="O61" s="10"/>
      <c r="P61" s="10"/>
      <c r="Q61" s="10"/>
      <c r="R61" s="10"/>
      <c r="S61" s="10"/>
      <c r="T61" s="10"/>
      <c r="U61" s="10"/>
      <c r="V61" s="10"/>
      <c r="W61" s="10"/>
      <c r="X61" s="10"/>
    </row>
    <row r="62" customFormat="false" ht="17.25" hidden="false" customHeight="true" outlineLevel="0" collapsed="false">
      <c r="A62" s="10"/>
      <c r="B62" s="10"/>
      <c r="C62" s="10"/>
      <c r="D62" s="685"/>
      <c r="E62" s="10"/>
      <c r="F62" s="10"/>
      <c r="G62" s="10"/>
      <c r="H62" s="10"/>
      <c r="I62" s="10"/>
      <c r="J62" s="10"/>
      <c r="K62" s="10"/>
      <c r="L62" s="10"/>
      <c r="M62" s="10"/>
      <c r="N62" s="10"/>
      <c r="O62" s="10"/>
      <c r="P62" s="10"/>
      <c r="Q62" s="10"/>
      <c r="R62" s="10"/>
      <c r="S62" s="10"/>
      <c r="T62" s="10"/>
      <c r="U62" s="10"/>
      <c r="V62" s="10"/>
      <c r="W62" s="10"/>
      <c r="X62" s="10"/>
    </row>
    <row r="63" customFormat="false" ht="17.25" hidden="false" customHeight="true" outlineLevel="0" collapsed="false">
      <c r="A63" s="10"/>
      <c r="B63" s="10"/>
      <c r="C63" s="10"/>
      <c r="D63" s="685"/>
      <c r="E63" s="10"/>
      <c r="F63" s="10"/>
      <c r="G63" s="10"/>
      <c r="H63" s="10"/>
      <c r="I63" s="10"/>
      <c r="J63" s="10"/>
      <c r="K63" s="10"/>
      <c r="L63" s="10"/>
      <c r="M63" s="10"/>
      <c r="N63" s="10"/>
      <c r="O63" s="10"/>
      <c r="P63" s="10"/>
      <c r="Q63" s="10"/>
      <c r="R63" s="10"/>
      <c r="S63" s="10"/>
      <c r="T63" s="10"/>
      <c r="U63" s="10"/>
      <c r="V63" s="10"/>
      <c r="W63" s="10"/>
      <c r="X63" s="10"/>
    </row>
    <row r="64" customFormat="false" ht="17.25" hidden="false" customHeight="true" outlineLevel="0" collapsed="false">
      <c r="A64" s="10"/>
      <c r="B64" s="10"/>
      <c r="C64" s="10"/>
      <c r="D64" s="685"/>
      <c r="E64" s="10"/>
      <c r="F64" s="10"/>
      <c r="G64" s="10"/>
      <c r="H64" s="10"/>
      <c r="I64" s="10"/>
      <c r="J64" s="10"/>
      <c r="K64" s="10"/>
      <c r="L64" s="10"/>
      <c r="M64" s="10"/>
      <c r="N64" s="10"/>
      <c r="O64" s="10"/>
      <c r="P64" s="10"/>
      <c r="Q64" s="10"/>
      <c r="R64" s="10"/>
      <c r="S64" s="10"/>
      <c r="T64" s="10"/>
      <c r="U64" s="10"/>
      <c r="V64" s="10"/>
      <c r="W64" s="10"/>
      <c r="X64" s="10"/>
    </row>
    <row r="65" customFormat="false" ht="17.25" hidden="false" customHeight="true" outlineLevel="0" collapsed="false">
      <c r="A65" s="10"/>
      <c r="B65" s="10"/>
      <c r="C65" s="10"/>
      <c r="D65" s="685"/>
      <c r="E65" s="10"/>
      <c r="F65" s="10"/>
      <c r="G65" s="10"/>
      <c r="H65" s="10"/>
      <c r="I65" s="10"/>
      <c r="J65" s="10"/>
      <c r="K65" s="10"/>
      <c r="L65" s="10"/>
      <c r="M65" s="10"/>
      <c r="N65" s="10"/>
      <c r="O65" s="10"/>
      <c r="P65" s="10"/>
      <c r="Q65" s="10"/>
      <c r="R65" s="10"/>
      <c r="S65" s="10"/>
      <c r="T65" s="10"/>
      <c r="U65" s="10"/>
      <c r="V65" s="10"/>
      <c r="W65" s="10"/>
      <c r="X65" s="10"/>
    </row>
    <row r="66" customFormat="false" ht="17.25" hidden="false" customHeight="true" outlineLevel="0" collapsed="false">
      <c r="A66" s="10"/>
      <c r="B66" s="10"/>
      <c r="C66" s="10"/>
      <c r="D66" s="685"/>
      <c r="E66" s="10"/>
      <c r="F66" s="10"/>
      <c r="G66" s="10"/>
      <c r="H66" s="10"/>
      <c r="I66" s="10"/>
      <c r="J66" s="10"/>
      <c r="K66" s="10"/>
      <c r="L66" s="10"/>
      <c r="M66" s="10"/>
      <c r="N66" s="10"/>
      <c r="O66" s="10"/>
      <c r="P66" s="10"/>
      <c r="Q66" s="10"/>
      <c r="R66" s="10"/>
      <c r="S66" s="10"/>
      <c r="T66" s="10"/>
      <c r="U66" s="10"/>
      <c r="V66" s="10"/>
      <c r="W66" s="10"/>
      <c r="X66" s="10"/>
    </row>
    <row r="67" customFormat="false" ht="17.25" hidden="false" customHeight="true" outlineLevel="0" collapsed="false">
      <c r="A67" s="10"/>
      <c r="B67" s="10"/>
      <c r="C67" s="10"/>
      <c r="D67" s="685"/>
      <c r="E67" s="10"/>
      <c r="F67" s="10"/>
      <c r="G67" s="10"/>
      <c r="H67" s="10"/>
      <c r="I67" s="10"/>
      <c r="J67" s="10"/>
      <c r="K67" s="10"/>
      <c r="L67" s="10"/>
      <c r="M67" s="10"/>
      <c r="N67" s="10"/>
      <c r="O67" s="10"/>
      <c r="P67" s="10"/>
      <c r="Q67" s="10"/>
      <c r="R67" s="10"/>
      <c r="S67" s="10"/>
      <c r="T67" s="10"/>
      <c r="U67" s="10"/>
      <c r="V67" s="10"/>
      <c r="W67" s="10"/>
      <c r="X67" s="10"/>
    </row>
    <row r="68" customFormat="false" ht="17.25" hidden="false" customHeight="true" outlineLevel="0" collapsed="false">
      <c r="A68" s="10"/>
      <c r="B68" s="10"/>
      <c r="C68" s="10"/>
      <c r="D68" s="685"/>
      <c r="E68" s="10"/>
      <c r="F68" s="10"/>
      <c r="G68" s="10"/>
      <c r="H68" s="10"/>
      <c r="I68" s="10"/>
      <c r="J68" s="10"/>
      <c r="K68" s="10"/>
      <c r="L68" s="10"/>
      <c r="M68" s="10"/>
      <c r="N68" s="10"/>
      <c r="O68" s="10"/>
      <c r="P68" s="10"/>
      <c r="Q68" s="10"/>
      <c r="R68" s="10"/>
      <c r="S68" s="10"/>
      <c r="T68" s="10"/>
      <c r="U68" s="10"/>
      <c r="V68" s="10"/>
      <c r="W68" s="10"/>
      <c r="X68" s="10"/>
    </row>
    <row r="69" customFormat="false" ht="17.25" hidden="false" customHeight="true" outlineLevel="0" collapsed="false">
      <c r="A69" s="10"/>
      <c r="B69" s="10"/>
      <c r="C69" s="10"/>
      <c r="D69" s="685"/>
      <c r="E69" s="10"/>
      <c r="F69" s="10"/>
      <c r="G69" s="10"/>
      <c r="H69" s="10"/>
      <c r="I69" s="10"/>
      <c r="J69" s="10"/>
      <c r="K69" s="10"/>
      <c r="L69" s="10"/>
      <c r="M69" s="10"/>
      <c r="N69" s="10"/>
      <c r="O69" s="10"/>
      <c r="P69" s="10"/>
      <c r="Q69" s="10"/>
      <c r="R69" s="10"/>
      <c r="S69" s="10"/>
      <c r="T69" s="10"/>
      <c r="U69" s="10"/>
      <c r="V69" s="10"/>
      <c r="W69" s="10"/>
      <c r="X69" s="10"/>
    </row>
    <row r="70" customFormat="false" ht="17.25" hidden="false" customHeight="true" outlineLevel="0" collapsed="false">
      <c r="A70" s="10"/>
      <c r="B70" s="10"/>
      <c r="C70" s="10"/>
      <c r="D70" s="685"/>
      <c r="E70" s="10"/>
      <c r="F70" s="10"/>
      <c r="G70" s="10"/>
      <c r="H70" s="10"/>
      <c r="I70" s="10"/>
      <c r="J70" s="10"/>
      <c r="K70" s="10"/>
      <c r="L70" s="10"/>
      <c r="M70" s="10"/>
      <c r="N70" s="10"/>
      <c r="O70" s="10"/>
      <c r="P70" s="10"/>
      <c r="Q70" s="10"/>
      <c r="R70" s="10"/>
      <c r="S70" s="10"/>
      <c r="T70" s="10"/>
      <c r="U70" s="10"/>
      <c r="V70" s="10"/>
      <c r="W70" s="10"/>
      <c r="X70" s="10"/>
    </row>
    <row r="71" customFormat="false" ht="17.25" hidden="false" customHeight="true" outlineLevel="0" collapsed="false">
      <c r="A71" s="10"/>
      <c r="B71" s="10"/>
      <c r="C71" s="10"/>
      <c r="D71" s="691"/>
      <c r="E71" s="10"/>
      <c r="F71" s="10"/>
      <c r="G71" s="10"/>
      <c r="H71" s="10"/>
      <c r="I71" s="10"/>
      <c r="J71" s="10"/>
      <c r="K71" s="691"/>
      <c r="L71" s="691"/>
      <c r="M71" s="691"/>
      <c r="N71" s="691"/>
      <c r="O71" s="691"/>
      <c r="P71" s="691"/>
      <c r="Q71" s="10"/>
      <c r="R71" s="10"/>
      <c r="S71" s="10"/>
      <c r="T71" s="10"/>
      <c r="U71" s="10"/>
      <c r="V71" s="10"/>
      <c r="W71" s="10"/>
      <c r="X71" s="10"/>
    </row>
    <row r="72" customFormat="false" ht="17.25" hidden="false" customHeight="true" outlineLevel="0" collapsed="false">
      <c r="A72" s="10"/>
      <c r="B72" s="10"/>
      <c r="C72" s="10"/>
      <c r="D72" s="685"/>
      <c r="E72" s="10"/>
      <c r="F72" s="10"/>
      <c r="G72" s="10"/>
      <c r="H72" s="10"/>
      <c r="I72" s="10"/>
      <c r="J72" s="10"/>
      <c r="K72" s="685"/>
      <c r="L72" s="685"/>
      <c r="M72" s="685"/>
      <c r="N72" s="685"/>
      <c r="O72" s="685"/>
      <c r="P72" s="685"/>
      <c r="Q72" s="10"/>
      <c r="R72" s="10"/>
      <c r="S72" s="10"/>
      <c r="T72" s="10"/>
      <c r="U72" s="10"/>
      <c r="V72" s="10"/>
      <c r="W72" s="10"/>
      <c r="X72" s="10"/>
    </row>
    <row r="73" customFormat="false" ht="17.25" hidden="false" customHeight="true" outlineLevel="0" collapsed="false">
      <c r="A73" s="10"/>
      <c r="B73" s="10"/>
      <c r="C73" s="10"/>
      <c r="D73" s="685"/>
      <c r="E73" s="10"/>
      <c r="F73" s="10"/>
      <c r="G73" s="10"/>
      <c r="H73" s="10"/>
      <c r="I73" s="10"/>
      <c r="J73" s="10"/>
      <c r="K73" s="685"/>
      <c r="L73" s="685"/>
      <c r="M73" s="685"/>
      <c r="N73" s="685"/>
      <c r="O73" s="685"/>
      <c r="P73" s="685"/>
      <c r="Q73" s="10"/>
      <c r="R73" s="10"/>
      <c r="S73" s="10"/>
      <c r="T73" s="10"/>
      <c r="U73" s="10"/>
      <c r="V73" s="10"/>
      <c r="W73" s="10"/>
      <c r="X73" s="10"/>
    </row>
    <row r="74" customFormat="false" ht="17.25" hidden="false" customHeight="true" outlineLevel="0" collapsed="false">
      <c r="A74" s="10"/>
      <c r="B74" s="10"/>
      <c r="C74" s="10"/>
      <c r="D74" s="10"/>
      <c r="E74" s="10"/>
      <c r="F74" s="10"/>
      <c r="G74" s="10"/>
      <c r="H74" s="10"/>
      <c r="I74" s="10"/>
      <c r="J74" s="10"/>
      <c r="K74" s="10"/>
      <c r="L74" s="10"/>
      <c r="M74" s="10"/>
      <c r="N74" s="10"/>
      <c r="O74" s="10"/>
      <c r="P74" s="10"/>
      <c r="Q74" s="10"/>
      <c r="R74" s="10"/>
      <c r="S74" s="10"/>
      <c r="T74" s="10"/>
      <c r="U74" s="10"/>
      <c r="V74" s="10"/>
      <c r="W74" s="10"/>
      <c r="X74" s="10"/>
    </row>
    <row r="75" customFormat="false" ht="17.25" hidden="false" customHeight="true" outlineLevel="0" collapsed="false">
      <c r="A75" s="10"/>
      <c r="B75" s="10"/>
      <c r="C75" s="10"/>
      <c r="D75" s="685"/>
      <c r="E75" s="10"/>
      <c r="F75" s="10"/>
      <c r="G75" s="10"/>
      <c r="H75" s="10"/>
      <c r="I75" s="10"/>
      <c r="J75" s="10"/>
      <c r="K75" s="685"/>
      <c r="L75" s="685"/>
      <c r="M75" s="685"/>
      <c r="N75" s="685"/>
      <c r="O75" s="685"/>
      <c r="P75" s="685"/>
      <c r="Q75" s="10"/>
      <c r="R75" s="10"/>
      <c r="S75" s="10"/>
      <c r="T75" s="10"/>
      <c r="U75" s="10"/>
      <c r="V75" s="10"/>
      <c r="W75" s="10"/>
      <c r="X75" s="10"/>
    </row>
    <row r="76" customFormat="false" ht="17.25" hidden="false" customHeight="true" outlineLevel="0" collapsed="false"/>
    <row r="77" customFormat="false" ht="17.25" hidden="false" customHeight="true" outlineLevel="0" collapsed="false"/>
  </sheetData>
  <sheetProtection sheet="true" formatCells="false" formatColumns="false" formatRows="false" sort="false" autoFilter="false"/>
  <mergeCells count="17">
    <mergeCell ref="C1:S1"/>
    <mergeCell ref="A4:A51"/>
    <mergeCell ref="B4:B51"/>
    <mergeCell ref="C4:D5"/>
    <mergeCell ref="E4:G4"/>
    <mergeCell ref="H4:J4"/>
    <mergeCell ref="K4:M4"/>
    <mergeCell ref="N4:P4"/>
    <mergeCell ref="Q4:S4"/>
    <mergeCell ref="C6:D6"/>
    <mergeCell ref="C7:C27"/>
    <mergeCell ref="C28:D28"/>
    <mergeCell ref="C29:C48"/>
    <mergeCell ref="C49:D49"/>
    <mergeCell ref="C50:D50"/>
    <mergeCell ref="C51:D51"/>
    <mergeCell ref="I57:N58"/>
  </mergeCells>
  <printOptions headings="false" gridLines="false" gridLinesSet="true" horizontalCentered="false" verticalCentered="false"/>
  <pageMargins left="0.25" right="0.25" top="0.75" bottom="0.756944444444444" header="0.511811023622047" footer="0.3"/>
  <pageSetup paperSize="8" scale="100" fitToWidth="1" fitToHeight="1" pageOrder="downThenOver" orientation="landscape" blackAndWhite="false" draft="false" cellComments="none" horizontalDpi="300" verticalDpi="300" copies="1"/>
  <headerFooter differentFirst="false" differentOddEven="false">
    <oddHeader/>
    <oddFooter>&amp;C&amp;Z&amp;F</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2001-01-06T08:03:36Z</dcterms:created>
  <dc:creator>広島市職員共済組合</dc:creator>
  <dc:description/>
  <dc:language>en-US</dc:language>
  <cp:lastModifiedBy>居倉 千恵</cp:lastModifiedBy>
  <cp:lastPrinted>2026-05-19T00:22:00Z</cp:lastPrinted>
  <dcterms:modified xsi:type="dcterms:W3CDTF">2026-10-21T05:56:35Z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