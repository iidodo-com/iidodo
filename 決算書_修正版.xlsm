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 sheetId="21" r:id="rId23"/>
    <sheet name="短期_附属明細表" sheetId="22" r:id="rId24"/>
    <sheet name="短期_決算精算表" sheetId="23" r:id="rId25"/>
    <sheet name="厚生_貸借・損益" sheetId="24" r:id="rId26"/>
    <sheet name="厚生_預金・立替・未収" sheetId="25" r:id="rId27"/>
    <sheet name="厚生_決算精算表" sheetId="26" r:id="rId28"/>
    <sheet name="厚生_白紙" sheetId="27" r:id="rId29"/>
    <sheet name="退職等_貸借・損益" sheetId="28" r:id="rId30"/>
    <sheet name="退職等_預金・立替・未収" sheetId="29" r:id="rId31"/>
    <sheet name="退職等_決算精算表" sheetId="30" r:id="rId32"/>
    <sheet name="退職等_白紙" sheetId="31" r:id="rId33"/>
    <sheet name="経過的_貸借・損益" sheetId="32" r:id="rId34"/>
    <sheet name="経過的_預金・立替・未収" sheetId="33" r:id="rId35"/>
    <sheet name="経過的_決算精算表" sheetId="34" r:id="rId36"/>
    <sheet name="経過的_白紙" sheetId="35" r:id="rId37"/>
    <sheet name="預託金_貸借・損益" sheetId="36" r:id="rId38"/>
    <sheet name="預託金_預金・未収・貸付・預託金" sheetId="37" r:id="rId39"/>
    <sheet name="預託金_決算精算表" sheetId="38" r:id="rId40"/>
    <sheet name="預託金_白紙" sheetId="39" r:id="rId41"/>
    <sheet name="業務_財務諸表" sheetId="40" r:id="rId42"/>
    <sheet name="業務_附属明細表" sheetId="41" r:id="rId43"/>
    <sheet name="業務_決算精算表" sheetId="42" r:id="rId44"/>
    <sheet name="業務_白紙" sheetId="43" r:id="rId45"/>
    <sheet name="保健_財務諸表" sheetId="44" r:id="rId46"/>
    <sheet name="保健_附属明細表" sheetId="45" r:id="rId47"/>
    <sheet name="保健_決算精算表" sheetId="46" r:id="rId48"/>
    <sheet name="貸付_入力" sheetId="47" r:id="rId49"/>
    <sheet name="貸付_財務諸表" sheetId="48" r:id="rId50"/>
    <sheet name="貸付_附属明細表" sheetId="49" r:id="rId51"/>
    <sheet name="貸付_決算精算表" sheetId="50" r:id="rId52"/>
    <sheet name="貸付_白紙" sheetId="51" r:id="rId53"/>
  </sheets>
  <definedNames>
    <definedName name="_xlnm.Print_Area" localSheetId="43">業務_決算精算表!$A$1:$G$54</definedName>
    <definedName name="_xlnm.Print_Area" localSheetId="44">業務_白紙!$A$1:$I$59</definedName>
    <definedName name="_xlnm.Print_Area" localSheetId="42">業務_附属明細表!$A$1:$X$140</definedName>
    <definedName name="_xlnm.Print_Area" localSheetId="35">経過的_決算精算表!$A$1:$H$23</definedName>
    <definedName name="_xlnm.Print_Area" localSheetId="33">経過的_貸借・損益!$A$1:$N$25</definedName>
    <definedName name="_xlnm.Print_Area" localSheetId="34">経過的_預金・立替・未収!$A$1:$K$23</definedName>
    <definedName name="_xlnm.Print_Area" localSheetId="27">厚生_決算精算表!$A$1:$H$26</definedName>
    <definedName name="_xlnm.Print_Area" localSheetId="25">厚生_貸借・損益!$A$1:$N$26</definedName>
    <definedName name="_xlnm.Print_Area" localSheetId="26">厚生_預金・立替・未収!$A$1:$K$38</definedName>
    <definedName name="_xlnm.Print_Area" localSheetId="51">貸付_決算精算表!$A$1:$G$45</definedName>
    <definedName name="_xlnm.Print_Area" localSheetId="52">貸付_白紙!$A$1:$I$59</definedName>
    <definedName name="_xlnm.Print_Area" localSheetId="50">貸付_附属明細表!$A$1:$X$138</definedName>
    <definedName name="_xlnm.Print_Area" localSheetId="31">退職等_決算精算表!$A$1:$H$26</definedName>
    <definedName name="_xlnm.Print_Area" localSheetId="29">退職等_貸借・損益!$A$1:$N$26</definedName>
    <definedName name="_xlnm.Print_Area" localSheetId="30">退職等_預金・立替・未収!$A$1:$K$49</definedName>
    <definedName name="_xlnm.Print_Area" localSheetId="24">短期_決算精算表!$A$1:$G$70</definedName>
    <definedName name="_xlnm.Print_Area" localSheetId="22">短期_財務諸表!$A$1:$H$67</definedName>
    <definedName name="_xlnm.Print_Area" localSheetId="23">短期_附属明細表!$A$1:$X$120</definedName>
    <definedName name="_xlnm.Print_Area" localSheetId="4">表紙等!$A$1:$R$188</definedName>
    <definedName name="_xlnm.Print_Area" localSheetId="47">保健_決算精算表!$A$1:$G$60</definedName>
    <definedName name="_xlnm.Print_Area" localSheetId="45">保健_財務諸表!$A$1:$H$64</definedName>
    <definedName name="_xlnm.Print_Area" localSheetId="46">保健_附属明細表!$A$1:$Y$168</definedName>
    <definedName name="_xlnm.Print_Area" localSheetId="6">'報告_概況P1-2'!$A$1:$Y$67</definedName>
    <definedName name="_xlnm.Print_Area" localSheetId="17">報告_業務P18!$A$1:$BG$32</definedName>
    <definedName name="_xlnm.Print_Area" localSheetId="18">報告_業務P19!$A$1:$BE$31</definedName>
    <definedName name="_xlnm.Print_Area" localSheetId="14">報告_経過的長期P16!$A$4:$BL$46</definedName>
    <definedName name="_xlnm.Print_Area" localSheetId="12">報告_厚生年金P14!$A$4:$BL$59</definedName>
    <definedName name="_xlnm.Print_Area" localSheetId="7">'報告_総括P3-5'!$A$1:$BA$96</definedName>
    <definedName name="_xlnm.Print_Area" localSheetId="20">'報告_貸付P23-25'!$A$1:$BH$96</definedName>
    <definedName name="_xlnm.Print_Area" localSheetId="13">報告_退職等年金P15!$A$4:$BL$44</definedName>
    <definedName name="_xlnm.Print_Area" localSheetId="10">'報告_短期P11-13'!$A$1:$BI$124</definedName>
    <definedName name="_xlnm.Print_Area" localSheetId="8">報告_短期P6!$A$1:$AT$31</definedName>
    <definedName name="_xlnm.Print_Area" localSheetId="9">'報告_短期P7-10'!$A$1:$GI$160</definedName>
    <definedName name="_xlnm.Print_Area" localSheetId="21">報告_白紙P26!$A$1:$I$59</definedName>
    <definedName name="_xlnm.Print_Area" localSheetId="19">'報告_保健P20-22'!$A$4:$BE$107</definedName>
    <definedName name="_xlnm.Print_Area" localSheetId="5">目次!$A$1:$R$60</definedName>
    <definedName name="_xlnm.Print_Area" localSheetId="39">預託金_決算精算表!$A$1:$H$24</definedName>
    <definedName name="_xlnm.Print_Area" localSheetId="37">預託金_貸借・損益!$A$1:$N$30</definedName>
    <definedName name="_xlnm.Print_Area" localSheetId="38">預託金_預金・未収・貸付・預託金!$A$1:$O$30</definedName>
    <definedName name="入力色表示">入力ガイド!$G$10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<sst xmlns="http://schemas.openxmlformats.org/spreadsheetml/2006/main" count="9478" uniqueCount="3256">
  <si>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</si>
  <si>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</si>
  <si>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</si>
  <si>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</si>
  <si>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</si>
  <si>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</si>
  <si>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</si>
  <si>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</si>
  <si>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</si>
  <si>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</si>
  <si>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</si>
  <si>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</si>
  <si>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</si>
  <si>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</si>
  <si>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</si>
  <si>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</si>
  <si>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</si>
  <si>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</si>
  <si>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</si>
  <si>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</si>
  <si>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</si>
  <si>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</si>
  <si>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</si>
  <si>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</si>
  <si>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</si>
  <si>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</si>
  <si>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</si>
  <si>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</si>
  <si>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</si>
  <si>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</si>
  <si>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</si>
  <si>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</si>
  <si>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</si>
  <si>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</si>
  <si>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</si>
  <si>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</si>
  <si>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</si>
  <si>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</si>
  <si>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</si>
  <si>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</si>
  <si>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</si>
  <si>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</si>
  <si>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</si>
  <si>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</si>
  <si>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</si>
  <si>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</si>
  <si>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</si>
  <si>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</si>
  <si>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</si>
  <si>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</si>
  <si>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</si>
  <si>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</si>
  <si>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</si>
  <si>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</si>
  <si>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</si>
  <si>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</si>
  <si>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</si>
  <si>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</si>
  <si>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</si>
  <si>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</si>
  <si>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</si>
  <si>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</si>
  <si>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</si>
  <si>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</si>
  <si>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</si>
  <si>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</si>
  <si>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</si>
  <si>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</si>
  <si>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</si>
  <si>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</si>
  <si>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</si>
  <si>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</si>
  <si>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</si>
  <si>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</si>
  <si>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</si>
  <si>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</si>
  <si>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</si>
  <si>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</si>
  <si>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</si>
  <si>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</si>
  <si>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</si>
  <si>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</si>
  <si>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</si>
  <si>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</si>
  <si>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</si>
  <si>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</si>
  <si>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</si>
  <si>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</si>
  <si>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</si>
  <si>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</si>
  <si>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</si>
  <si>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</si>
  <si>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</si>
  <si>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</si>
  <si>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</si>
  <si>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</si>
  <si>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</si>
  <si>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</si>
  <si>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</si>
  <si>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</si>
  <si>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</si>
  <si>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</si>
  <si>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</si>
  <si>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</si>
  <si>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</si>
  <si>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</si>
  <si>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</si>
  <si>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</si>
  <si>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</si>
  <si>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</si>
  <si>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</si>
  <si>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</si>
  <si>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</si>
  <si>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</si>
  <si>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</si>
  <si>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</si>
  <si>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</si>
  <si>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</si>
  <si>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</si>
  <si>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</si>
  <si>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</si>
  <si>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</si>
  <si>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</si>
  <si>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</si>
  <si>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</si>
  <si>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</si>
  <si>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</si>
  <si>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</si>
  <si>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</si>
  <si>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</si>
  <si>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</si>
  <si>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</si>
  <si>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</si>
  <si>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</si>
  <si>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</si>
  <si>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</si>
  <si>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</si>
  <si>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</si>
  <si>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</si>
  <si>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</si>
  <si>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</si>
  <si>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</si>
  <si>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</si>
  <si>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</si>
  <si>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</si>
  <si>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</si>
  <si>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</si>
  <si>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</si>
  <si>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</si>
  <si>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</si>
  <si>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</si>
  <si>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</si>
  <si>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</si>
  <si>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</si>
  <si>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</si>
  <si>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</si>
  <si>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</si>
  <si>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</si>
  <si>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</si>
  <si>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</si>
  <si>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</si>
  <si>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</si>
  <si>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</si>
  <si>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</si>
  <si>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</si>
  <si>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</si>
  <si>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</si>
  <si>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</si>
  <si>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</si>
  <si>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</si>
  <si>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</si>
  <si>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</si>
  <si>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</si>
  <si>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</si>
  <si>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</si>
  <si>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</si>
  <si>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</si>
  <si>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</si>
  <si>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</si>
  <si>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</si>
  <si>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</si>
  <si>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</si>
  <si>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</si>
  <si>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</si>
  <si>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</si>
  <si>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</si>
  <si>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</si>
  <si>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</si>
  <si>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</si>
  <si>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</si>
  <si>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</si>
  <si>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</si>
  <si>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</si>
  <si>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</si>
  <si>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</si>
  <si>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</si>
  <si>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</si>
  <si>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</si>
  <si>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</si>
  <si>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</si>
  <si>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</si>
  <si>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</si>
  <si>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</si>
  <si>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</si>
  <si>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</si>
  <si>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</si>
  <si>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</si>
  <si>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</si>
  <si>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</si>
  <si>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</si>
  <si>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</si>
  <si>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</si>
  <si>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</si>
  <si>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</si>
  <si>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</si>
  <si>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</si>
  <si>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</si>
  <si>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</si>
  <si>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</si>
  <si>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</si>
  <si>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</si>
  <si>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</si>
  <si>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</si>
  <si>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</si>
  <si>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</si>
  <si>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</si>
  <si>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</si>
  <si>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</si>
  <si>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</si>
  <si>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</si>
  <si>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</si>
  <si>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</si>
  <si>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</si>
  <si>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</si>
  <si>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</si>
  <si>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</si>
  <si>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</si>
  <si>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</si>
  <si>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</si>
  <si>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</si>
  <si>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</si>
  <si>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</si>
  <si>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</si>
  <si>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</si>
  <si>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</si>
  <si>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</si>
  <si>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</si>
  <si>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</si>
  <si>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</si>
  <si>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</si>
  <si>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</si>
  <si>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</si>
  <si>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</si>
  <si>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</si>
  <si>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</si>
  <si>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</si>
  <si>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</si>
  <si>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</si>
  <si>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</si>
  <si>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</si>
  <si>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</si>
  <si>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</si>
  <si>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</si>
  <si>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</si>
  <si>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</si>
  <si>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</si>
  <si>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</si>
  <si>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</si>
  <si>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</si>
  <si>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</si>
  <si>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</si>
  <si>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</si>
  <si>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</si>
  <si>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</si>
  <si>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</si>
  <si>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</si>
  <si>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</si>
  <si>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</si>
  <si>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</si>
  <si>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</si>
  <si>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</si>
  <si>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</si>
  <si>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</si>
  <si>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</si>
  <si>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</si>
  <si>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</si>
  <si>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</si>
  <si>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</si>
  <si>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</si>
  <si>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</si>
  <si>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</si>
  <si>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</si>
  <si>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</si>
  <si>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</si>
  <si>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</si>
  <si>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</si>
  <si>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</si>
  <si>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</si>
  <si>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</si>
  <si>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</si>
  <si>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</si>
  <si>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</si>
  <si>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</si>
  <si>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</si>
  <si>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</si>
  <si>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</si>
  <si>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</si>
  <si>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</si>
  <si>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</si>
  <si>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</si>
  <si>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</si>
  <si>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</si>
  <si>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</si>
  <si>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</si>
  <si>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</si>
  <si>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</si>
  <si>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</si>
  <si>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</si>
  <si>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</si>
  <si>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</si>
  <si>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</si>
  <si>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</si>
  <si>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</si>
  <si>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</si>
  <si>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</si>
  <si>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</si>
  <si>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</si>
  <si>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</si>
  <si>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</si>
  <si>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</si>
  <si>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</si>
  <si>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</si>
  <si>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</si>
  <si>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</si>
  <si>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</si>
  <si>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</si>
  <si>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</si>
  <si>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</si>
  <si>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</si>
  <si>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</si>
  <si>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</si>
  <si>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</si>
  <si>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</si>
  <si>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</si>
  <si>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</si>
  <si>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</si>
  <si>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</si>
  <si>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</si>
  <si>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</si>
  <si>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</si>
  <si>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</si>
  <si>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</si>
  <si>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</si>
  <si>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</si>
  <si>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</si>
  <si>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</si>
  <si>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</si>
  <si>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</si>
  <si>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</si>
  <si>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</si>
  <si>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</si>
  <si>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</si>
  <si>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</si>
  <si>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</si>
  <si>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</si>
  <si>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</si>
  <si>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</si>
  <si>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</si>
  <si>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</si>
  <si>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</si>
  <si>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</si>
  <si>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</si>
  <si>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</si>
  <si>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</si>
  <si>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</si>
  <si>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</si>
  <si>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</si>
  <si>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</si>
  <si>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</si>
  <si>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</si>
  <si>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</si>
  <si>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</si>
  <si>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</si>
  <si>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</si>
  <si>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</si>
  <si>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</si>
  <si>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</si>
  <si>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</si>
  <si>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</si>
  <si>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</si>
  <si>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</si>
  <si>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</si>
  <si>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</si>
  <si>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</si>
  <si>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</si>
  <si>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</si>
  <si>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</si>
  <si>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</si>
  <si>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</si>
  <si>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</si>
  <si>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</si>
  <si>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</si>
  <si>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</si>
  <si>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</si>
  <si>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</si>
  <si>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</si>
  <si>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</si>
  <si>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</si>
  <si>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</si>
  <si>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</si>
  <si>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</si>
  <si>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</si>
  <si>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</si>
  <si>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</si>
  <si>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</si>
  <si>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</si>
  <si>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</si>
  <si>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</si>
  <si>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</si>
  <si>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</si>
  <si>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</si>
  <si>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</si>
  <si>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</si>
  <si>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</si>
  <si>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</si>
  <si>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</si>
  <si>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</si>
  <si>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</si>
  <si>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</si>
  <si>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</si>
  <si>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</si>
  <si>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</si>
  <si>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</si>
  <si>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</si>
  <si>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</si>
  <si>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</si>
  <si>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</si>
  <si>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</si>
  <si>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</si>
  <si>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</si>
  <si>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</si>
  <si>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</si>
  <si>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</si>
  <si>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</si>
  <si>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</si>
  <si>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</si>
  <si>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</si>
  <si>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</si>
  <si>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</si>
  <si>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</si>
  <si>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</si>
  <si>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</si>
  <si>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</si>
  <si>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</si>
  <si>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</si>
  <si>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</si>
  <si>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</si>
  <si>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</si>
  <si>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</si>
  <si>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</si>
  <si>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</si>
  <si>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</si>
  <si>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</si>
  <si>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</si>
  <si>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</si>
  <si>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</si>
  <si>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</si>
  <si>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</si>
  <si>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</si>
  <si>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</si>
  <si>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</si>
  <si>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</si>
  <si>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</si>
  <si>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</si>
  <si>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</si>
  <si>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</si>
  <si>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</si>
  <si>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</si>
  <si>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</si>
  <si>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</si>
  <si>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</si>
  <si>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</si>
  <si>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</si>
  <si>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</si>
  <si>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</si>
  <si>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</si>
  <si>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</si>
  <si>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</si>
  <si>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</si>
  <si>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</si>
  <si>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</si>
  <si>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</si>
  <si>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</si>
  <si>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</si>
  <si>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</si>
  <si>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</si>
  <si>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</si>
  <si>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</si>
  <si>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</si>
  <si>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</si>
  <si>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</si>
  <si>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</si>
  <si>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</si>
  <si>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</si>
  <si>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</si>
  <si>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</si>
  <si>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</si>
  <si>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</si>
  <si>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</si>
  <si>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</si>
  <si>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</si>
  <si>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</si>
  <si>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</si>
  <si>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</si>
  <si>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</si>
  <si>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</si>
  <si>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</si>
  <si>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</si>
  <si>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</si>
  <si>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</si>
  <si>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</si>
  <si>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</si>
  <si>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</si>
  <si>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</si>
  <si>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</si>
  <si>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</si>
  <si>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</si>
  <si>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</si>
  <si>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</si>
  <si>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</si>
  <si>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</si>
  <si>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</si>
  <si>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</si>
  <si>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</si>
  <si>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</si>
  <si>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</si>
  <si>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</si>
  <si>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</si>
  <si>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</si>
  <si>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</si>
  <si>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</si>
  <si>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</si>
  <si>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</si>
  <si>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</si>
  <si>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</si>
  <si>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</si>
  <si>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</si>
  <si>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</si>
  <si>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</si>
  <si>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</si>
  <si>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</si>
  <si>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</si>
  <si>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</si>
  <si>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</si>
  <si>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</si>
  <si>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</si>
  <si>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</si>
  <si>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</si>
  <si>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</si>
  <si>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</si>
  <si>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</si>
  <si>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</si>
  <si>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</si>
  <si>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</si>
  <si>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</si>
  <si>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</si>
  <si>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</si>
  <si>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</si>
  <si>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</si>
  <si>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</si>
  <si>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</si>
  <si>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</si>
  <si>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</si>
  <si>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</si>
  <si>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</si>
  <si>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</si>
  <si>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</si>
  <si>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</si>
  <si>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</si>
  <si>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</si>
  <si>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</si>
  <si>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</si>
  <si>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</si>
  <si>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</si>
  <si>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</si>
  <si>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</si>
  <si>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</si>
  <si>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</si>
  <si>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</si>
  <si>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</si>
  <si>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</si>
  <si>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</si>
  <si>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</si>
  <si>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</si>
  <si>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</si>
  <si>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</si>
  <si>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</si>
  <si>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</si>
  <si>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</si>
  <si>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</si>
  <si>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</si>
  <si>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</si>
  <si>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</si>
  <si>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</si>
  <si>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</si>
  <si>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</si>
  <si>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</si>
  <si>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</si>
  <si>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</si>
  <si>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</si>
  <si>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</si>
  <si>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</si>
  <si>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</si>
  <si>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</si>
  <si>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</si>
  <si>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</si>
  <si>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</si>
  <si>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</si>
  <si>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</si>
  <si>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</si>
  <si>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</si>
  <si>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</si>
  <si>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</si>
  <si>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</si>
  <si>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</si>
  <si>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</si>
  <si>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</si>
  <si>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</si>
  <si>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</si>
  <si>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</si>
  <si>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</si>
  <si>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</si>
  <si>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</si>
  <si>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</si>
  <si>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</si>
  <si>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</si>
  <si>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</si>
  <si>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</si>
  <si>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</si>
  <si>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</si>
  <si>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</si>
  <si>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</si>
  <si>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</si>
  <si>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</si>
  <si>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</si>
  <si>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</si>
  <si>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</si>
  <si>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</si>
  <si>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</si>
  <si>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</si>
  <si>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</si>
  <si>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</si>
  <si>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</si>
  <si>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</si>
  <si>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</si>
  <si>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</si>
  <si>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</si>
  <si>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</si>
  <si>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</si>
  <si>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</si>
  <si>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</si>
  <si>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</si>
  <si>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</si>
  <si>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</si>
  <si>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</si>
  <si>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</si>
  <si>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</si>
  <si>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</si>
  <si>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</si>
  <si>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</si>
  <si>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</si>
  <si>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</si>
  <si>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</si>
  <si>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</si>
  <si>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</si>
  <si>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</si>
  <si>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</si>
  <si>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</si>
  <si>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</si>
  <si>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</si>
  <si>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</si>
  <si>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</si>
  <si>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</si>
  <si>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</si>
  <si>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</si>
  <si>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</si>
  <si>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</si>
  <si>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</si>
  <si>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</si>
  <si>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</si>
  <si>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</si>
  <si>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</si>
  <si>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</si>
  <si>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</si>
  <si>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</si>
  <si>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</si>
  <si>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</si>
  <si>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</si>
  <si>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</si>
  <si>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</si>
  <si>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</si>
  <si>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</si>
  <si>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</si>
  <si>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</si>
  <si>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</si>
  <si>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</si>
  <si>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</si>
  <si>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</si>
  <si>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</si>
  <si>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</si>
  <si>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</si>
  <si>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</si>
  <si>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</si>
  <si>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</si>
  <si>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</si>
  <si>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</si>
  <si>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</si>
  <si>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</si>
  <si>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</si>
  <si>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</si>
  <si>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</si>
  <si>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</si>
  <si>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</si>
  <si>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</si>
  <si>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</si>
  <si>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</si>
  <si>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</si>
  <si>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</si>
  <si>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</si>
  <si>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</si>
  <si>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</si>
  <si>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</si>
  <si>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</si>
  <si>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</si>
  <si>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</si>
  <si>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</si>
  <si>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</si>
  <si>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</si>
  <si>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</si>
  <si>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</si>
  <si>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</si>
  <si>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</si>
  <si>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</si>
  <si>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</si>
  <si>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</si>
  <si>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</si>
  <si>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</si>
  <si>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</si>
  <si>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</si>
  <si>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</si>
  <si>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</si>
  <si>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</si>
  <si>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</si>
  <si>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</si>
  <si>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</si>
  <si>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</si>
  <si>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</si>
  <si>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</si>
  <si>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</si>
  <si>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</si>
  <si>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</si>
  <si>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</si>
  <si>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</si>
  <si>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</si>
  <si>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</si>
  <si>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</si>
  <si>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</si>
  <si>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</si>
  <si>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</si>
  <si>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</si>
  <si>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</si>
  <si>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</si>
  <si>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</si>
  <si>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</si>
  <si>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</si>
  <si>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</si>
  <si>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</si>
  <si>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</si>
  <si>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</si>
  <si>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</si>
  <si>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</si>
  <si>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</si>
  <si>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</si>
  <si>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</si>
  <si>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</si>
  <si>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</si>
  <si>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</si>
  <si>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</si>
  <si>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</si>
  <si>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</si>
  <si>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</si>
  <si>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</si>
  <si>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</si>
  <si>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</si>
  <si>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</si>
  <si>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</si>
  <si>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</si>
  <si>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</si>
  <si>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</si>
  <si>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</si>
  <si>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</si>
  <si>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</si>
  <si>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</si>
  <si>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</si>
  <si>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</si>
  <si>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</si>
  <si>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</si>
  <si>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</si>
  <si>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</si>
  <si>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</si>
  <si>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</si>
  <si>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</si>
  <si>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</si>
  <si>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</si>
  <si>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</si>
  <si>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</si>
  <si>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</si>
  <si>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</si>
  <si>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</si>
  <si>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</si>
  <si>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</si>
  <si>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</si>
  <si>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</si>
  <si>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</si>
  <si>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</si>
  <si>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</si>
  <si>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</si>
  <si>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</si>
  <si>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</si>
  <si>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</si>
  <si>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</si>
  <si>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</si>
  <si>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</si>
  <si>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</si>
  <si>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</si>
  <si>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</si>
  <si>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</si>
  <si>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</si>
  <si>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</si>
  <si>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</si>
  <si>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</si>
  <si>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</si>
  <si>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</si>
  <si>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</si>
  <si>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</si>
  <si>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</si>
  <si>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</si>
  <si>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</si>
  <si>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</si>
  <si>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</si>
  <si>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</si>
  <si>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</si>
  <si>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</si>
  <si>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</si>
  <si>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</si>
  <si>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</si>
  <si>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</si>
  <si>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</si>
  <si>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</si>
  <si>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</si>
  <si>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</si>
  <si>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</si>
  <si>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</si>
  <si>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</si>
  <si>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</si>
  <si>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</si>
  <si>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</si>
  <si>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</si>
  <si>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</si>
  <si>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</si>
  <si>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</si>
  <si>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</si>
  <si>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</si>
  <si>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</si>
  <si>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</si>
  <si>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</si>
  <si>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</si>
  <si>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</si>
  <si>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</si>
  <si>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</si>
  <si>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</si>
  <si>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</si>
  <si>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</si>
  <si>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</si>
  <si>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</si>
  <si>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</si>
  <si>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</si>
  <si>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</si>
  <si>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</si>
  <si>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</si>
  <si>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</si>
  <si>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</si>
  <si>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</si>
  <si>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</si>
  <si>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</si>
  <si>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</si>
  <si>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</si>
  <si>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</si>
  <si>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</si>
  <si>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</si>
  <si>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</si>
  <si>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</si>
  <si>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</si>
  <si>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</si>
  <si>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</si>
  <si>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</si>
  <si>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</si>
  <si>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</si>
  <si>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</si>
  <si>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</si>
  <si>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</si>
  <si>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</si>
  <si>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</si>
  <si>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</si>
  <si>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</si>
  <si>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</si>
  <si>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</si>
  <si>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</si>
  <si>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</si>
  <si>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</si>
  <si>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</si>
  <si>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</si>
  <si>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</si>
  <si>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</si>
  <si>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</si>
  <si>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</si>
  <si>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</si>
  <si>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</si>
  <si>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</si>
  <si>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</si>
  <si>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</si>
  <si>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</si>
  <si>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</si>
  <si>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</si>
  <si>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</si>
  <si>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</si>
  <si>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</si>
  <si>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</si>
  <si>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</si>
  <si>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</si>
  <si>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</si>
  <si>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</si>
  <si>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</si>
  <si>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</si>
  <si>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</si>
  <si>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</si>
  <si>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</si>
  <si>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</si>
  <si>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</si>
  <si>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</si>
  <si>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</si>
  <si>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</si>
  <si>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</si>
  <si>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</si>
  <si>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</si>
  <si>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</si>
  <si>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</si>
  <si>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</si>
  <si>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</si>
  <si>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</si>
  <si>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</si>
  <si>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</si>
  <si>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</si>
  <si>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</si>
  <si>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</si>
  <si>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</si>
  <si>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</si>
  <si>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</si>
  <si>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</si>
  <si>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</si>
  <si>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</si>
  <si>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</si>
  <si>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</si>
  <si>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</si>
  <si>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</si>
  <si>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</si>
  <si>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</si>
  <si>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</si>
  <si>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</si>
  <si>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</si>
  <si>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</si>
  <si>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</si>
  <si>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</si>
  <si>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</si>
  <si>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</si>
  <si>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</si>
  <si>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</si>
  <si>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</si>
  <si>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</si>
  <si>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</si>
  <si>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</si>
  <si>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</si>
  <si>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</si>
  <si>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</si>
  <si>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</si>
  <si>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</si>
  <si>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</si>
  <si>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</si>
  <si>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</si>
  <si>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</si>
  <si>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</si>
  <si>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</si>
  <si>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</si>
  <si>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</si>
  <si>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</si>
  <si>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</si>
  <si>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</si>
  <si>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</si>
  <si>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</si>
  <si>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</si>
  <si>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</si>
  <si>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</si>
  <si>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</si>
  <si>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</si>
  <si>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</si>
  <si>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</si>
  <si>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</si>
  <si>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</si>
  <si>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</si>
  <si>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</si>
  <si>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</si>
  <si>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</si>
  <si>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</si>
  <si>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</si>
  <si>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</si>
  <si>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</si>
  <si>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</si>
  <si>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</si>
  <si>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</si>
  <si>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</si>
  <si>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</si>
  <si>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</si>
  <si>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</si>
  <si>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</si>
  <si>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</si>
  <si>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</si>
  <si>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</si>
  <si>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</si>
  <si>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</si>
  <si>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</si>
  <si>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</si>
  <si>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</si>
  <si>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</si>
  <si>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</si>
  <si>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</si>
  <si>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</si>
  <si>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</si>
  <si>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</si>
  <si>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</si>
  <si>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</si>
  <si>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</si>
  <si>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</si>
  <si>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</si>
  <si>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</si>
  <si>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</si>
  <si>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</si>
  <si>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</si>
  <si>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</si>
  <si>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</si>
  <si>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</si>
  <si>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</si>
  <si>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</si>
  <si>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</si>
  <si>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</si>
  <si>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</si>
  <si>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</si>
  <si>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</si>
  <si>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</si>
  <si>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</si>
  <si>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</si>
  <si>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</si>
  <si>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</si>
  <si>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</si>
  <si>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</si>
  <si>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</si>
  <si>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</si>
  <si>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</si>
  <si>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</si>
  <si>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</si>
  <si>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</si>
  <si>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</si>
  <si>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</si>
  <si>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</si>
  <si>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</si>
  <si>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</si>
  <si>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</si>
  <si>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</si>
  <si>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</si>
  <si>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</si>
  <si>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</si>
  <si>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</si>
  <si>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</si>
  <si>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</si>
  <si>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</si>
  <si>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</si>
  <si>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</si>
  <si>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</si>
  <si>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</si>
  <si>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</si>
  <si>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</si>
  <si>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</si>
  <si>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</si>
  <si>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</si>
  <si>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</si>
  <si>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</si>
  <si>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</si>
  <si>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</si>
  <si>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</si>
  <si>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</si>
  <si>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</si>
  <si>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</si>
  <si>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</si>
  <si>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</si>
  <si>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</si>
  <si>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</si>
  <si>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</si>
  <si>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</si>
  <si>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</si>
  <si>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</si>
  <si>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</si>
  <si>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</si>
  <si>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</si>
  <si>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</si>
  <si>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</si>
  <si>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</si>
  <si>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</si>
  <si>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</si>
  <si>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</si>
  <si>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</si>
  <si>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</si>
  <si>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</si>
  <si>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</si>
  <si>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</si>
  <si>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</si>
  <si>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</si>
  <si>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</si>
  <si>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</si>
  <si>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</si>
  <si>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</si>
  <si>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</si>
  <si>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</si>
  <si>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</si>
  <si>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</si>
  <si>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</si>
  <si>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</si>
  <si>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</si>
  <si>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</si>
  <si>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</si>
  <si>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</si>
  <si>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</si>
  <si>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</si>
  <si>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</si>
  <si>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</si>
  <si>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</si>
  <si>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</si>
  <si>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</si>
  <si>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</si>
  <si>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</si>
  <si>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</si>
  <si>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</si>
  <si>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</si>
  <si>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</si>
  <si>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</si>
  <si>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</si>
  <si>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</si>
  <si>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</si>
  <si>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</si>
  <si>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</si>
  <si>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</si>
  <si>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</si>
  <si>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</si>
  <si>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</si>
  <si>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</si>
  <si>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</si>
  <si>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</si>
  <si>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</si>
  <si>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</si>
  <si>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</si>
  <si>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</si>
  <si>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</si>
  <si>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</si>
  <si>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</si>
  <si>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</si>
  <si>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</si>
  <si>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</si>
  <si>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</si>
  <si>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</si>
  <si>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</si>
  <si>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</si>
  <si>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</si>
  <si>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</si>
  <si>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</si>
  <si>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</si>
  <si>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</si>
  <si>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</si>
  <si>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</si>
  <si>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</si>
  <si>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</si>
  <si>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</si>
  <si>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</si>
  <si>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</si>
  <si>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</si>
  <si>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</si>
  <si>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</si>
  <si>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</si>
  <si>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</si>
  <si>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</si>
  <si>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</si>
  <si>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</si>
  <si>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</si>
  <si>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</si>
  <si>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</si>
  <si>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</si>
  <si>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</si>
  <si>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</si>
  <si>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</si>
  <si>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</si>
  <si>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</si>
  <si>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</si>
  <si>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</si>
  <si>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</si>
  <si>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</si>
  <si>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</si>
  <si>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</si>
  <si>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</si>
  <si>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</si>
  <si>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</si>
  <si>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</si>
  <si>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</si>
  <si>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</si>
  <si>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</si>
  <si>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</si>
  <si>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</si>
  <si>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</si>
  <si>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</si>
  <si>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</si>
  <si>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</si>
  <si>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</si>
  <si>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</si>
  <si>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</si>
  <si>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</si>
  <si>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</si>
  <si>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</si>
  <si>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</si>
  <si>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</si>
  <si>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</si>
  <si>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</si>
  <si>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</si>
  <si>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</si>
  <si>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</si>
  <si>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</si>
  <si>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</si>
  <si>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</si>
  <si>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</si>
  <si>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</si>
  <si>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</si>
  <si>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</si>
  <si>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</si>
  <si>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</si>
  <si>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</si>
  <si>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</si>
  <si>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</si>
  <si>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</si>
  <si>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</si>
  <si>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</si>
  <si>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</si>
  <si>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</si>
  <si>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</si>
  <si>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</si>
  <si>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</si>
  <si>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</si>
  <si>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</si>
  <si>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</si>
  <si>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</si>
  <si>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</si>
  <si>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</si>
  <si>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</si>
  <si>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</si>
  <si>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</si>
  <si>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</si>
  <si>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</si>
  <si>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</si>
  <si>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</si>
  <si>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</si>
  <si>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</si>
  <si>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</si>
  <si>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</si>
  <si>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</si>
  <si>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帳票シートの黄色のセル（一覧は「入力セル一覧」）、「貸付_入力」の入力欄、「前年度貼付」のE列だけです。黄色は画面表示用で、印刷・PDF出力には出ません。数式が入っているセルは黄色になりません。数値の手入力セルを選ぶと反映先が表示されます。帳票の印刷設定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</si>
  <si>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</si>
  <si>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</si>
  <si>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</si>
  <si>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</si>
  <si>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</si>
  <si>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</si>
  <si>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</si>
  <si>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</si>
  <si>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</si>
  <si>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</si>
  <si>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</si>
  <si>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</si>
  <si>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</si>
  <si>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</si>
  <si>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</si>
  <si>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</si>
  <si>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</si>
  <si>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</si>
  <si>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</si>
  <si>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</si>
  <si>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</si>
  <si>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</si>
  <si>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</si>
  <si>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</si>
  <si>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</si>
  <si>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</si>
  <si>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</si>
  <si>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</si>
  <si>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</si>
  <si>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</si>
  <si>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</si>
  <si>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</si>
  <si>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</si>
  <si>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</si>
  <si>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</si>
  <si>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</si>
  <si>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</si>
  <si>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</si>
  <si>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</si>
  <si>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</si>
  <si>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</si>
  <si>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</si>
  <si>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</si>
  <si>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</si>
  <si>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</si>
  <si>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</si>
  <si>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</si>
  <si>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</si>
  <si>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</si>
  <si>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</si>
  <si>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</si>
  <si>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</si>
  <si>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</si>
  <si>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</si>
  <si>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</si>
  <si>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</si>
  <si>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</si>
  <si>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</si>
  <si>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</si>
  <si>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</si>
  <si>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</si>
  <si>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</si>
  <si>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</si>
  <si>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</si>
  <si>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</si>
  <si>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</si>
  <si>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</si>
  <si>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</si>
  <si>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</si>
  <si>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</si>
  <si>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</si>
  <si>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</si>
  <si>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</si>
  <si>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</si>
  <si>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</si>
  <si>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</si>
  <si>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</si>
  <si>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</si>
  <si>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</si>
  <si>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</si>
  <si>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</si>
  <si>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</si>
  <si>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</si>
  <si>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</si>
  <si>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</si>
  <si>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</si>
  <si>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</si>
  <si>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</si>
  <si>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</si>
  <si>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</si>
  <si>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</si>
  <si>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</si>
  <si>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</si>
  <si>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</si>
  <si>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</si>
  <si>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</si>
  <si>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</si>
  <si>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</si>
  <si>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</si>
  <si>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</si>
  <si>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</si>
  <si>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</si>
  <si>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</si>
  <si>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</si>
  <si>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</si>
  <si>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</si>
  <si>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</si>
  <si>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</si>
  <si>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</si>
  <si>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</si>
  <si>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</si>
  <si>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</si>
  <si>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</si>
  <si>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</si>
  <si>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</si>
  <si>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</si>
  <si>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</si>
  <si>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</si>
  <si>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</si>
  <si>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</si>
  <si>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</si>
  <si>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</si>
  <si>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</si>
  <si>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</si>
  <si>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</si>
  <si>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</si>
  <si>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</si>
  <si>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</si>
  <si>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</si>
  <si>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</si>
  <si>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</si>
  <si>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</si>
  <si>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</si>
  <si>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</si>
  <si>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</si>
  <si>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</si>
  <si>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</si>
  <si>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</si>
  <si>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</si>
  <si>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</si>
  <si>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</si>
  <si>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</si>
  <si>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</si>
  <si>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</si>
  <si>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</si>
  <si>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</si>
  <si>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</si>
  <si>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</si>
  <si>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</si>
  <si>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</si>
  <si>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</si>
  <si>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</si>
  <si>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</si>
  <si>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</si>
  <si>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</si>
  <si>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</si>
  <si>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</si>
  <si>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</si>
  <si>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</si>
  <si>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</si>
  <si>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</si>
  <si>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</si>
  <si>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</si>
  <si>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</si>
  <si>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</si>
  <si>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</si>
  <si>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</si>
  <si>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</si>
  <si>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</si>
  <si>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</si>
  <si>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</si>
  <si>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</si>
  <si>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</si>
  <si>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</si>
  <si>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</si>
  <si>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</si>
  <si>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</si>
  <si>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</si>
  <si>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</si>
  <si>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</si>
  <si>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</si>
  <si>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</si>
  <si>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</si>
  <si>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</si>
  <si>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</si>
  <si>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</si>
  <si>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t>
  </si>
  <si>
    <t>積立金の当期減少額＝当期損失金</t>
  </si>
  <si>
    <t>貸付_決算精算表</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</si>
  <si>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</si>
  <si>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</si>
  <si>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</si>
  <si>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</si>
  <si>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</si>
  <si>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</si>
  <si>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</si>
  <si>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</si>
  <si>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</si>
  <si>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t>
  </si>
  <si>
    <t>預り金：預り金明細表（退職等_預金・立替・未収!C33）に残っていた前年度残4,050円を0円に修正し、貸借対照表L9を明細表合計（C34）への数式連動に変更しました。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</si>
  <si>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</si>
  <si>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t>
  </si>
  <si>
    <t>欠損金補てん積立金：貸付_入力!C43および貸借対照表F20を積立金明細表の計上額（貸付_附属明細表!Q90＝1,957,132,740円）に数式連動・再計算し、不一致を解消しました。</t>
  </si>
  <si>
    <t>チェックNG解消済（差額0円でOK）。C43の手入力は不要になりました。</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</si>
  <si>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</si>
  <si>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</si>
  <si>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</si>
  <si>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</si>
  <si>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</si>
  <si>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</si>
  <si>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</si>
  <si>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</si>
  <si>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</si>
  <si>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</si>
  <si>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</si>
  <si>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</si>
  <si>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</si>
  <si>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</si>
  <si>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</si>
  <si>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</si>
  <si>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</si>
  <si>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</si>
  <si>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</si>
  <si>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</si>
  <si>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</si>
  <si>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</si>
  <si>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</si>
  <si>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</si>
  <si>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</si>
  <si>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</si>
  <si>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</si>
  <si>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</si>
  <si>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</si>
  <si>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</si>
  <si>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</si>
  <si>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帳票シートの手入力セルの黄色表示を、表示／非表示に切り替えます（入力ガイドG10の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</si>
  <si>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</si>
  <si>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</si>
  <si>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</si>
  <si>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</si>
  <si>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</si>
  <si>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</si>
  <si>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</si>
  <si>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</si>
  <si>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</si>
  <si>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</si>
  <si>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</si>
  <si>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</si>
  <si>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</si>
  <si>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</si>
  <si>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</si>
  <si>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</si>
  <si>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</si>
  <si>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</si>
  <si>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</si>
  <si>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</si>
  <si>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</si>
  <si>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</si>
  <si>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</si>
  <si>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</si>
  <si>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</si>
  <si>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</si>
  <si>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</si>
  <si>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</si>
  <si>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</si>
  <si>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</si>
  <si>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</si>
  <si>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</si>
  <si>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</si>
  <si>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</si>
  <si>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</si>
  <si>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</si>
  <si>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</si>
  <si>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</si>
  <si>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</si>
  <si>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</si>
  <si>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</si>
  <si>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</si>
  <si>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</si>
  <si>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</si>
  <si>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</si>
  <si>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</si>
  <si>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</si>
  <si>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</si>
  <si>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</si>
  <si>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</si>
  <si>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</si>
  <si>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</si>
  <si>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</si>
  <si>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</si>
  <si>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</si>
  <si>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</si>
  <si>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</si>
  <si>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</si>
  <si>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</si>
  <si>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</si>
  <si>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</si>
  <si>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</si>
  <si>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</si>
  <si>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</si>
  <si>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</si>
  <si>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</si>
  <si>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</si>
  <si>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</si>
  <si>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</si>
  <si>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</si>
  <si>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</si>
  <si>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</si>
  <si>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</si>
  <si>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</si>
  <si>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</si>
  <si>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</si>
  <si>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</si>
  <si>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</si>
  <si>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</si>
  <si>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</si>
  <si>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</si>
  <si>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</si>
  <si>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</si>
  <si>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</si>
  <si>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</si>
  <si>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</si>
  <si>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</si>
  <si>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</si>
  <si>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</si>
  <si>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</si>
  <si>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</si>
  <si>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</si>
  <si>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</si>
  <si>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</si>
  <si>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</si>
  <si>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</si>
  <si>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</si>
  <si>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</si>
  <si>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</si>
  <si>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</si>
  <si>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</si>
  <si>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</si>
  <si>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</si>
  <si>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</si>
  <si>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</si>
  <si>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</si>
  <si>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</si>
  <si>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</si>
  <si>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</si>
  <si>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</si>
  <si>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</si>
  <si>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</si>
  <si>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</si>
  <si>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</si>
  <si>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</si>
  <si>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</si>
  <si>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</si>
  <si>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</si>
  <si>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</si>
  <si>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</si>
  <si>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</si>
  <si>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</si>
  <si>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</si>
  <si>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</si>
  <si>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</si>
  <si>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</si>
  <si>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</si>
  <si>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</si>
  <si>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</si>
  <si>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</si>
  <si>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</si>
  <si>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</si>
  <si>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</si>
  <si>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</si>
  <si>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</si>
  <si>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</si>
  <si>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</si>
  <si>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</si>
  <si>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</si>
  <si>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</si>
  <si>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</si>
  <si>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</si>
  <si>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</si>
  <si>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</si>
  <si>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</si>
  <si>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</si>
  <si>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</si>
  <si>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</si>
  <si>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</si>
  <si>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</si>
  <si>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</si>
  <si>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</si>
  <si>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</si>
  <si>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</si>
  <si>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</si>
  <si>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</si>
  <si>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</si>
  <si>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</si>
  <si>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</si>
  <si>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</si>
  <si>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</si>
  <si>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</si>
  <si>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</si>
  <si>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</si>
  <si>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</si>
  <si>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</si>
  <si>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</si>
  <si>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</si>
  <si>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</si>
  <si>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</si>
  <si>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</si>
  <si>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</si>
  <si>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</si>
  <si>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</si>
  <si>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</si>
  <si>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</si>
  <si>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</si>
  <si>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</si>
  <si>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</si>
  <si>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</si>
  <si>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</si>
  <si>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</si>
  <si>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</si>
  <si>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</si>
  <si>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</si>
  <si>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</si>
  <si>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</si>
  <si>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</si>
  <si>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</si>
  <si>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</si>
  <si>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</si>
  <si>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</si>
  <si>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</si>
  <si>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</si>
  <si>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</si>
  <si>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</si>
  <si>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</si>
  <si>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</si>
  <si>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</si>
  <si>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</si>
  <si>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</si>
  <si>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</si>
  <si>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</si>
  <si>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</si>
  <si>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</si>
  <si>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</si>
  <si>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</si>
  <si>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</si>
  <si>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</si>
  <si>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</si>
  <si>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</si>
  <si>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</si>
  <si>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</si>
  <si>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</si>
  <si>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</si>
  <si>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</si>
  <si>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</si>
  <si>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</si>
  <si>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</si>
  <si>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</si>
  <si>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</si>
  <si>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</si>
  <si>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</si>
  <si>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</si>
  <si>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</si>
  <si>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</si>
  <si>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</si>
  <si>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</si>
  <si>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</si>
  <si>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</si>
  <si>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</si>
  <si>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</si>
  <si>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</si>
  <si>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</si>
  <si>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</si>
  <si>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</si>
  <si>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</si>
  <si>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</si>
  <si>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</si>
  <si>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</si>
  <si>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</si>
  <si>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</si>
  <si>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</si>
  <si>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</si>
  <si>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</si>
  <si>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</si>
  <si>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</si>
  <si>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</si>
  <si>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</si>
  <si>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</si>
  <si>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</si>
  <si>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</si>
  <si>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</si>
  <si>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</si>
  <si>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</si>
  <si>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</si>
  <si>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</si>
  <si>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</si>
  <si>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</si>
  <si>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</si>
  <si>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</si>
  <si>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</si>
  <si>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</si>
  <si>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</si>
  <si>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</si>
  <si>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</si>
  <si>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</si>
  <si>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</si>
  <si>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</si>
  <si>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</si>
  <si>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</si>
  <si>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</si>
  <si>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</si>
  <si>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</si>
  <si>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</si>
  <si>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</si>
  <si>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</si>
  <si>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</si>
  <si>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</si>
  <si>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</si>
  <si>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</si>
  <si>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</si>
  <si>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</si>
  <si>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</si>
  <si>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</si>
  <si>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</si>
  <si>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</si>
  <si>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</si>
  <si>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</si>
  <si>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</si>
  <si>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</si>
  <si>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</si>
  <si>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</si>
  <si>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</si>
  <si>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</si>
  <si>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</si>
  <si>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</si>
  <si>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</si>
  <si>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</si>
  <si>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</si>
  <si>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</si>
  <si>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</si>
  <si>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</si>
  <si>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</si>
  <si>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</si>
  <si>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</si>
  <si>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</si>
  <si>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</si>
  <si>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</si>
  <si>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</si>
  <si>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</si>
  <si>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</si>
  <si>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</si>
  <si>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</si>
  <si>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</si>
  <si>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</si>
  <si>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</si>
  <si>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</si>
  <si>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</si>
  <si>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</si>
  <si>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</si>
  <si>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</si>
  <si>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</si>
  <si>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</si>
  <si>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</si>
  <si>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</si>
  <si>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</si>
  <si>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</si>
  <si>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</si>
  <si>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</si>
  <si>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</si>
  <si>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</si>
  <si>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</si>
  <si>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</si>
  <si>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</si>
  <si>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</si>
  <si>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</si>
  <si>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</si>
  <si>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</si>
  <si>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</si>
  <si>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</si>
  <si>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</si>
  <si>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</si>
  <si>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</si>
  <si>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</si>
  <si>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</si>
  <si>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</si>
  <si>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</si>
  <si>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</si>
  <si>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</si>
  <si>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</si>
  <si>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</si>
  <si>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</si>
  <si>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</si>
  <si>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</si>
  <si>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</si>
  <si>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</si>
  <si>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</si>
  <si>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</si>
  <si>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</si>
  <si>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</si>
  <si>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</si>
  <si>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</si>
  <si>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</si>
  <si>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</si>
  <si>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</si>
  <si>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</si>
  <si>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</si>
  <si>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</si>
  <si>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</si>
  <si>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</si>
  <si>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</si>
  <si>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</si>
  <si>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</si>
  <si>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</si>
  <si>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</si>
  <si>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</si>
  <si>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</si>
  <si>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</si>
  <si>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</si>
  <si>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</si>
  <si>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</si>
  <si>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</si>
  <si>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</si>
  <si>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</si>
  <si>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</si>
  <si>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</si>
  <si>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</si>
  <si>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</si>
  <si>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</si>
  <si>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</si>
  <si>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</si>
  <si>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</si>
  <si>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</si>
  <si>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</si>
  <si>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</si>
  <si>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</si>
  <si>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</si>
  <si>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</si>
  <si>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</si>
  <si>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</si>
  <si>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</si>
  <si>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</si>
  <si>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</si>
  <si>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</si>
  <si>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</si>
  <si>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</si>
  <si>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</si>
  <si>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</si>
  <si>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</si>
  <si>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</si>
  <si>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</si>
  <si>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</si>
  <si>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</si>
  <si>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</si>
  <si>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</si>
  <si>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</si>
  <si>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</si>
  <si>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</si>
  <si>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</si>
  <si>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</si>
  <si>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</si>
  <si>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</si>
  <si>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</si>
  <si>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</si>
  <si>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</si>
  <si>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</si>
  <si>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</si>
  <si>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</si>
  <si>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</si>
  <si>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</si>
  <si>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</si>
  <si>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</si>
  <si>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</si>
  <si>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</si>
  <si>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t>
  </si>
  <si>
    <t>負担金払込金／借方３月分残高</t>
  </si>
  <si>
    <t>組合員保険料払込金／借方３月分残高</t>
  </si>
  <si>
    <t>退職等_預金・立替・未収</t>
  </si>
  <si>
    <t>標準報酬月額掛金／金額</t>
  </si>
  <si>
    <t>標準期末手当等掛金／金額</t>
  </si>
  <si>
    <t>退職等_決算精算表</t>
  </si>
  <si>
    <t>未収金／借方３月分残高</t>
  </si>
  <si>
    <t>掛金払込金／借方３月分残高</t>
  </si>
  <si>
    <t>経過的_預金・立替・未収</t>
  </si>
  <si>
    <t>経過的_決算精算表</t>
  </si>
  <si>
    <t>未収収益／金額</t>
  </si>
  <si>
    <t>連合会預託金／当期減少額</t>
  </si>
  <si>
    <t>預託金_決算精算表</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</si>
  <si>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</si>
  <si>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</si>
  <si>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</si>
  <si>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</si>
  <si>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</si>
  <si>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</si>
  <si>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</si>
  <si>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</si>
  <si>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</si>
  <si>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</si>
  <si>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</si>
  <si>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</si>
  <si>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</si>
  <si>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</si>
  <si>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</si>
  <si>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</si>
  <si>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</si>
  <si>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</si>
  <si>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</si>
  <si>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</si>
  <si>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</si>
  <si>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</si>
  <si>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</si>
  <si>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</si>
  <si>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</si>
  <si>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</si>
  <si>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</si>
  <si>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</si>
  <si>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</si>
  <si>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</si>
  <si>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</si>
  <si>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</si>
  <si>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</si>
  <si>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</si>
  <si>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</si>
  <si>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</si>
  <si>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</si>
  <si>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</si>
  <si>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</si>
  <si>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</si>
  <si>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</si>
  <si>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</si>
  <si>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</si>
  <si>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</si>
  <si>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</si>
  <si>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</si>
  <si>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</si>
  <si>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</si>
  <si>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</si>
  <si>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</si>
  <si>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</si>
  <si>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</si>
  <si>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</si>
  <si>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</si>
  <si>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</si>
  <si>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</si>
  <si>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</si>
  <si>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</si>
  <si>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</si>
  <si>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</si>
  <si>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</si>
  <si>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</si>
  <si>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</si>
  <si>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</si>
  <si>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</si>
  <si>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</si>
  <si>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</si>
  <si>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</si>
  <si>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</si>
  <si>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</si>
  <si>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</si>
  <si>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</si>
  <si>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</si>
  <si>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</si>
  <si>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</si>
  <si>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</si>
  <si>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</si>
  <si>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</si>
  <si>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</si>
  <si>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</si>
  <si>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</si>
  <si>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</si>
  <si>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</si>
  <si>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</si>
  <si>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</si>
  <si>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</si>
  <si>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</si>
  <si>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</si>
  <si>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</si>
  <si>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</si>
  <si>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</si>
  <si>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</si>
  <si>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</si>
  <si>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</si>
  <si>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</si>
  <si>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</si>
  <si>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</si>
  <si>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</si>
  <si>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</si>
  <si>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</si>
  <si>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</si>
  <si>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</si>
  <si>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</si>
  <si>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</si>
  <si>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</si>
  <si>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</si>
  <si>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</si>
  <si>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</si>
  <si>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</si>
  <si>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</si>
  <si>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</si>
  <si>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</si>
  <si>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</si>
  <si>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</si>
  <si>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</si>
  <si>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</si>
  <si>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</si>
  <si>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</si>
  <si>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</si>
  <si>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</si>
  <si>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</si>
  <si>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</si>
  <si>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</si>
  <si>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</si>
  <si>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</si>
  <si>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</si>
  <si>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</si>
  <si>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</si>
  <si>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</si>
  <si>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</si>
  <si>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</si>
  <si>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</si>
  <si>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</si>
  <si>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</si>
  <si>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</si>
  <si>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</si>
  <si>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</si>
  <si>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</si>
  <si>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</si>
  <si>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</si>
  <si>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</si>
  <si>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</si>
  <si>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</si>
  <si>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</si>
  <si>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</si>
  <si>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</si>
  <si>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</si>
  <si>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</si>
  <si>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</si>
  <si>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</si>
  <si>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</si>
  <si>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</si>
  <si>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</si>
  <si>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</si>
  <si>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</si>
  <si>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</si>
  <si>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</si>
  <si>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</si>
  <si>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</si>
  <si>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</si>
  <si>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</si>
  <si>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</si>
  <si>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</si>
  <si>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</si>
  <si>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</si>
  <si>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</si>
  <si>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</si>
  <si>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</si>
  <si>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</si>
  <si>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</si>
  <si>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</si>
  <si>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</si>
  <si>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</si>
  <si>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</si>
  <si>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</si>
  <si>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</si>
  <si>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</si>
  <si>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</si>
  <si>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</si>
  <si>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</si>
  <si>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</si>
  <si>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</si>
  <si>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</si>
  <si>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</si>
  <si>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</si>
  <si>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</si>
  <si>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</si>
  <si>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</si>
  <si>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</si>
  <si>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</si>
  <si>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</si>
  <si>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</si>
  <si>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</si>
  <si>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</si>
  <si>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</si>
  <si>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</si>
  <si>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</si>
  <si>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</si>
  <si>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</si>
  <si>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</si>
  <si>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</si>
  <si>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</si>
  <si>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</si>
  <si>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</si>
  <si>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</si>
  <si>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</si>
  <si>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</si>
  <si>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</si>
  <si>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</si>
  <si>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</si>
  <si>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</si>
  <si>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</si>
  <si>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</si>
  <si>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</si>
  <si>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</si>
  <si>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</si>
  <si>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</si>
  <si>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</si>
  <si>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</si>
  <si>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</si>
  <si>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</si>
  <si>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</si>
  <si>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</si>
  <si>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</si>
  <si>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</si>
  <si>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</si>
  <si>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</si>
  <si>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</si>
  <si>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</si>
  <si>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</si>
  <si>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</si>
  <si>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</si>
  <si>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</si>
  <si>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</si>
  <si>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</si>
  <si>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</si>
  <si>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</si>
  <si>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</si>
  <si>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</si>
  <si>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</si>
  <si>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</si>
  <si>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</si>
  <si>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</si>
  <si>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</si>
  <si>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</si>
  <si>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</si>
  <si>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</si>
  <si>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</si>
  <si>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</si>
  <si>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</si>
  <si>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</si>
  <si>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</si>
  <si>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</si>
  <si>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</si>
  <si>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</si>
  <si>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</si>
  <si>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</si>
  <si>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</si>
  <si>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</si>
  <si>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</si>
  <si>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</si>
  <si>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</si>
  <si>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</si>
  <si>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</si>
  <si>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</si>
  <si>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</si>
  <si>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</si>
  <si>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</si>
  <si>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</si>
  <si>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</si>
  <si>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</si>
  <si>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</si>
  <si>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</si>
  <si>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</si>
  <si>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</si>
  <si>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</si>
  <si>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</si>
  <si>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</si>
  <si>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</si>
  <si>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</si>
  <si>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</si>
  <si>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</si>
  <si>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</si>
  <si>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</si>
  <si>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</si>
  <si>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</si>
  <si>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</si>
  <si>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</si>
  <si>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</si>
  <si>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</si>
  <si>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</si>
  <si>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</si>
  <si>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</si>
  <si>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</si>
  <si>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</si>
  <si>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</si>
  <si>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</si>
  <si>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</si>
  <si>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</si>
  <si>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</si>
  <si>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</si>
  <si>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</si>
  <si>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</si>
  <si>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</si>
  <si>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</si>
  <si>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</si>
  <si>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</si>
  <si>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</si>
  <si>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</si>
  <si>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</si>
  <si>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</si>
  <si>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</si>
  <si>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</si>
  <si>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</si>
  <si>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</si>
  <si>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</si>
  <si>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</si>
  <si>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</si>
  <si>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</si>
  <si>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</si>
  <si>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</si>
  <si>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</si>
  <si>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</si>
  <si>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</si>
  <si>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</si>
  <si>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</si>
  <si>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</si>
  <si>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</si>
  <si>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</si>
  <si>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</si>
  <si>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</si>
  <si>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</si>
  <si>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</si>
  <si>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</si>
  <si>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</si>
  <si>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</si>
  <si>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</si>
  <si>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</si>
  <si>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</si>
  <si>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</si>
  <si>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</si>
  <si>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</si>
  <si>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</si>
  <si>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</si>
  <si>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</si>
  <si>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</si>
  <si>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</si>
  <si>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</si>
  <si>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</si>
  <si>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</si>
  <si>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</si>
  <si>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</si>
  <si>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</si>
  <si>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</si>
  <si>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</si>
  <si>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</si>
  <si>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</si>
  <si>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</si>
  <si>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</si>
  <si>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</si>
  <si>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</si>
  <si>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</si>
  <si>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</si>
  <si>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</si>
  <si>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</si>
  <si>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</si>
  <si>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</si>
  <si>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</si>
  <si>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</si>
  <si>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</si>
  <si>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</si>
  <si>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</si>
  <si>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</si>
  <si>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</si>
  <si>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</si>
  <si>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</si>
  <si>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</si>
  <si>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</si>
  <si>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</si>
  <si>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</si>
  <si>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</si>
  <si>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</si>
  <si>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</si>
  <si>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</si>
  <si>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</si>
  <si>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</si>
  <si>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</si>
  <si>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</si>
  <si>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</si>
  <si>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</si>
  <si>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</si>
  <si>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</si>
  <si>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</si>
  <si>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</si>
  <si>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</si>
  <si>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</si>
  <si>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</si>
  <si>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</si>
  <si>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</si>
  <si>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</si>
  <si>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</si>
  <si>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</si>
  <si>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</si>
  <si>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</si>
  <si>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</si>
  <si>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</si>
  <si>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</si>
  <si>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</si>
  <si>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</si>
  <si>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</si>
  <si>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</si>
  <si>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</si>
  <si>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</si>
  <si>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</si>
  <si>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</si>
  <si>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</si>
  <si>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</si>
  <si>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</si>
  <si>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</si>
  <si>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</si>
  <si>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</si>
  <si>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</si>
  <si>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</si>
  <si>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</si>
  <si>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</si>
  <si>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</si>
  <si>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</si>
  <si>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</si>
  <si>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</si>
  <si>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</si>
  <si>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</si>
  <si>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</si>
  <si>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</si>
  <si>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</si>
  <si>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</si>
  <si>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</si>
  <si>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</si>
  <si>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</si>
  <si>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</si>
  <si>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</si>
  <si>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</si>
  <si>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</si>
  <si>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</si>
  <si>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</si>
  <si>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</si>
  <si>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</si>
  <si>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</si>
  <si>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</si>
  <si>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</si>
  <si>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</si>
  <si>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</si>
  <si>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</si>
  <si>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</si>
  <si>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</si>
  <si>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</si>
  <si>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</si>
  <si>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</si>
  <si>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</si>
  <si>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</si>
  <si>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</si>
  <si>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</si>
  <si>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</si>
  <si>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</si>
  <si>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</si>
  <si>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</si>
  <si>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</si>
  <si>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</si>
  <si>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</si>
  <si>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</si>
  <si>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</si>
  <si>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</si>
  <si>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</si>
  <si>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</si>
  <si>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</si>
  <si>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</si>
  <si>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</si>
  <si>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</si>
  <si>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</si>
  <si>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</si>
  <si>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</si>
  <si>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</si>
  <si>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</si>
  <si>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</si>
  <si>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</si>
  <si>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</si>
  <si>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</si>
  <si>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</si>
  <si>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</si>
  <si>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</si>
  <si>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</si>
  <si>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</si>
  <si>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</si>
  <si>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</si>
  <si>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</si>
  <si>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</si>
  <si>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</si>
  <si>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</si>
  <si>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</si>
  <si>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</si>
  <si>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</si>
  <si>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</si>
  <si>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</si>
  <si>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</si>
  <si>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</si>
  <si>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</si>
  <si>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</si>
  <si>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</si>
  <si>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</si>
  <si>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</si>
  <si>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</si>
  <si>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</si>
  <si>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</si>
  <si>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</si>
  <si>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</si>
  <si>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</si>
  <si>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</si>
  <si>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</si>
  <si>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</si>
  <si>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</si>
  <si>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</si>
  <si>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</si>
  <si>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</si>
  <si>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</si>
  <si>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</si>
  <si>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</si>
  <si>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</si>
  <si>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短期_決算精算表!G19</t>
  </si>
  <si>
    <t>積立金明細表 前期繰越額／欠損金補てん積立金</t>
  </si>
  <si>
    <t>短期_附属明細表!Q99</t>
  </si>
  <si>
    <t>積立金明細表 前期繰越額／短期積立金</t>
  </si>
  <si>
    <t>短期_附属明細表!Q100</t>
  </si>
  <si>
    <t>積立金明細表 前期繰越額／介護積立金</t>
  </si>
  <si>
    <t>短期_附属明細表!Q101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</si>
  <si>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</si>
  <si>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</si>
  <si>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</si>
  <si>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</si>
  <si>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</si>
  <si>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</si>
  <si>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</si>
  <si>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</si>
  <si>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</si>
  <si>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</si>
  <si>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</si>
  <si>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</si>
  <si>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</si>
  <si>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</si>
  <si>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</si>
  <si>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</si>
  <si>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</si>
  <si>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</si>
  <si>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</si>
  <si>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</si>
  <si>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</si>
  <si>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</si>
  <si>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</si>
  <si>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</si>
  <si>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</si>
  <si>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</si>
  <si>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</si>
  <si>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</si>
  <si>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</si>
  <si>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</si>
  <si>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</si>
  <si>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</si>
  <si>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</si>
  <si>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</si>
  <si>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</si>
  <si>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</si>
  <si>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</si>
  <si>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</si>
  <si>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</si>
  <si>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</si>
  <si>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</si>
  <si>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</si>
  <si>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</si>
  <si>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</si>
  <si>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</si>
  <si>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</si>
  <si>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</si>
  <si>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</si>
  <si>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</si>
  <si>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</si>
  <si>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</si>
  <si>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</si>
  <si>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</si>
  <si>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</si>
  <si>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</si>
  <si>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</si>
  <si>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</si>
  <si>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</si>
  <si>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</si>
  <si>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</si>
  <si>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</si>
  <si>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</si>
  <si>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</si>
  <si>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</si>
  <si>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</si>
  <si>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</si>
  <si>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</si>
  <si>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</si>
  <si>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</si>
  <si>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</si>
  <si>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</si>
  <si>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</si>
  <si>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</si>
  <si>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</si>
  <si>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</si>
  <si>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</si>
  <si>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</si>
  <si>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</si>
  <si>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</si>
  <si>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</si>
  <si>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</si>
  <si>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</si>
  <si>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</si>
  <si>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</si>
  <si>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</si>
  <si>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</si>
  <si>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</si>
  <si>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</si>
  <si>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</si>
  <si>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</si>
  <si>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</si>
  <si>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</si>
  <si>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</si>
  <si>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</si>
  <si>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</si>
  <si>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</si>
  <si>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</si>
  <si>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</si>
  <si>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</si>
  <si>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</si>
  <si>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</si>
  <si>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</si>
  <si>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</si>
  <si>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</si>
  <si>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</si>
  <si>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</si>
  <si>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</si>
  <si>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</si>
  <si>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</si>
  <si>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</si>
  <si>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</si>
  <si>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業務_附属明細表!Q91</t>
  </si>
  <si>
    <t>固定資産明細表 期首残高／器具及び備品（＝前年度の差引期末残高）</t>
  </si>
  <si>
    <t>業務_附属明細表!S76</t>
  </si>
  <si>
    <t>減価償却累計額明細表 前期繰越額</t>
  </si>
  <si>
    <t>業務_附属明細表!Q115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</si>
  <si>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</si>
  <si>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</si>
  <si>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</si>
  <si>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</si>
  <si>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</si>
  <si>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</si>
  <si>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</si>
  <si>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</si>
  <si>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</si>
  <si>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</si>
  <si>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</si>
  <si>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</si>
  <si>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</si>
  <si>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</si>
  <si>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</si>
  <si>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</si>
  <si>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</si>
  <si>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</si>
  <si>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</si>
  <si>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</si>
  <si>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</si>
  <si>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</si>
  <si>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</si>
  <si>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</si>
  <si>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</si>
  <si>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</si>
  <si>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</si>
  <si>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</si>
  <si>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</si>
  <si>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</si>
  <si>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</si>
  <si>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</si>
  <si>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</si>
  <si>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</si>
  <si>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</si>
  <si>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</si>
  <si>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</si>
  <si>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</si>
  <si>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</si>
  <si>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</si>
  <si>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</si>
  <si>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</si>
  <si>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</si>
  <si>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</si>
  <si>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</si>
  <si>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</si>
  <si>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</si>
  <si>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</si>
  <si>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</si>
  <si>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</si>
  <si>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</si>
  <si>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</si>
  <si>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</si>
  <si>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</si>
  <si>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</si>
  <si>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</si>
  <si>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</si>
  <si>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</si>
  <si>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</si>
  <si>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</si>
  <si>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</si>
  <si>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</si>
  <si>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</si>
  <si>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</si>
  <si>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</si>
  <si>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</si>
  <si>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</si>
  <si>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</si>
  <si>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</si>
  <si>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</si>
  <si>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</si>
  <si>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</si>
  <si>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</si>
  <si>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</si>
  <si>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</si>
  <si>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</si>
  <si>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</si>
  <si>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</si>
  <si>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</si>
  <si>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</si>
  <si>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</si>
  <si>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</si>
  <si>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</si>
  <si>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</si>
  <si>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</si>
  <si>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</si>
  <si>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</si>
  <si>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</si>
  <si>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</si>
  <si>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</si>
  <si>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</si>
  <si>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</si>
  <si>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</si>
  <si>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</si>
  <si>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</si>
  <si>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</si>
  <si>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</si>
  <si>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</si>
  <si>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</si>
  <si>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</si>
  <si>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</si>
  <si>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</si>
  <si>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</si>
  <si>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</si>
  <si>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</si>
  <si>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</si>
  <si>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</si>
  <si>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</si>
  <si>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</si>
  <si>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</si>
  <si>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</si>
  <si>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</si>
  <si>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</si>
  <si>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</si>
  <si>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</si>
  <si>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</si>
  <si>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</si>
  <si>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</si>
  <si>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</si>
  <si>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</si>
  <si>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</si>
  <si>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</si>
  <si>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貸付_附属明細表!R20</t>
  </si>
  <si>
    <t>器具及び備品 期首残高（＝前年度の差引期末残高）</t>
  </si>
  <si>
    <t>貸付_附属明細表!S76</t>
  </si>
  <si>
    <t>貸付_附属明細表!Q104</t>
  </si>
  <si>
    <t>貸付_附属明細表!Q90</t>
  </si>
  <si>
    <t>貸付_附属明細表!Q97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</si>
  <si>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</si>
  <si>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</si>
  <si>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</si>
  <si>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</si>
  <si>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</si>
  <si>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</si>
  <si>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</si>
  <si>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</si>
  <si>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</si>
  <si>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</si>
  <si>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</si>
  <si>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</si>
  <si>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</si>
  <si>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短期_財務諸表!D25</t>
  </si>
  <si>
    <t>短期_財務諸表!H25</t>
  </si>
  <si>
    <t>借方合計＝貸方合計</t>
  </si>
  <si>
    <t>短期_財務諸表!D66</t>
  </si>
  <si>
    <t>短期_財務諸表!H66</t>
  </si>
  <si>
    <t>差引残高：借方合計＝貸方合計</t>
  </si>
  <si>
    <t>短期_決算精算表!A64</t>
  </si>
  <si>
    <t>短期_決算精算表!G64</t>
  </si>
  <si>
    <t>３月分残高：借方合計＝貸方合計</t>
  </si>
  <si>
    <t>短期_決算精算表!C64</t>
  </si>
  <si>
    <t>短期_決算精算表!E64</t>
  </si>
  <si>
    <t>修正増減：借方合計＝貸方合計</t>
  </si>
  <si>
    <t>短期_決算精算表!B64</t>
  </si>
  <si>
    <t>短期_決算精算表!F64</t>
  </si>
  <si>
    <t>附属明細表と財務諸表</t>
  </si>
  <si>
    <t>普通預金：預金明細表＝貸借対照表</t>
  </si>
  <si>
    <t>短期_附属明細表!M9</t>
  </si>
  <si>
    <t>短期_財務諸表!C7</t>
  </si>
  <si>
    <t>定期預金：明細表＝貸借対照表</t>
  </si>
  <si>
    <t>短期_附属明細表!M16</t>
  </si>
  <si>
    <t>短期_財務諸表!C8</t>
  </si>
  <si>
    <t>金銭信託：明細表＝貸借対照表</t>
  </si>
  <si>
    <t>短期_附属明細表!M25</t>
  </si>
  <si>
    <t>短期_財務諸表!C9</t>
  </si>
  <si>
    <t>未収金：明細表＝貸借対照表</t>
  </si>
  <si>
    <t>短期_附属明細表!G49</t>
  </si>
  <si>
    <t>短期_財務諸表!C12</t>
  </si>
  <si>
    <t>支払基金委託金：明細表＝貸借対照表</t>
  </si>
  <si>
    <t>短期_附属明細表!G56</t>
  </si>
  <si>
    <t>短期_財務諸表!C13</t>
  </si>
  <si>
    <t>未払金：明細表＝貸借対照表</t>
  </si>
  <si>
    <t>短期_附属明細表!G75</t>
  </si>
  <si>
    <t>短期_財務諸表!G7</t>
  </si>
  <si>
    <t>預り金：明細表＝決算精算表の差引残高</t>
  </si>
  <si>
    <t>短期_附属明細表!G82</t>
  </si>
  <si>
    <t>短期_決算精算表!G17</t>
  </si>
  <si>
    <t>預り金：明細表＝貸借対照表</t>
  </si>
  <si>
    <t>短期_財務諸表!G8</t>
  </si>
  <si>
    <t>前受収益：明細表＝貸借対照表</t>
  </si>
  <si>
    <t>短期_附属明細表!R92</t>
  </si>
  <si>
    <t>短期_財務諸表!G9</t>
  </si>
  <si>
    <t>欠損金補てん積立金：積立金明細表＝貸借対照表</t>
  </si>
  <si>
    <t>短期_財務諸表!F19</t>
  </si>
  <si>
    <t>短期積立金：積立金明細表＝貸借対照表</t>
  </si>
  <si>
    <t>短期_財務諸表!F20</t>
  </si>
  <si>
    <t>介護積立金：積立金明細表＝貸借対照表</t>
  </si>
  <si>
    <t>短期_財務諸表!F21</t>
  </si>
  <si>
    <t>利益剰余金計算書：短期積立金の期末額＝積立金明細表</t>
  </si>
  <si>
    <t>短期_附属明細表!K118</t>
  </si>
  <si>
    <t>利益剰余金計算書：介護積立金の期末額＝積立金明細表</t>
  </si>
  <si>
    <t>短期_附属明細表!K119</t>
  </si>
  <si>
    <t>支払準備金：決算精算表＝貸借対照表</t>
  </si>
  <si>
    <t>短期_財務諸表!G13</t>
  </si>
  <si>
    <t>決算報告書と財務諸表</t>
  </si>
  <si>
    <t>収入合計＝経常収益＋前年度繰越支払準備金＋特別利益</t>
  </si>
  <si>
    <t>'報告_短期P7-10'!CB30</t>
  </si>
  <si>
    <t>短期_財務諸表!H37+短期_財務諸表!H56+短期_財務諸表!H58</t>
  </si>
  <si>
    <t>支出総計＝経常費用＋業務経理へ繰入＋次年度繰越支払準備金＋特別損失</t>
  </si>
  <si>
    <t>'報告_短期P7-10'!CB110</t>
  </si>
  <si>
    <t>短期_財務諸表!D37+短期_財務諸表!D56+短期_財務諸表!D58+短期_財務諸表!D60</t>
  </si>
  <si>
    <t>収支差＝当期利益金－当期損失金</t>
  </si>
  <si>
    <t>'報告_短期P7-10'!CB111</t>
  </si>
  <si>
    <t>短期_財務諸表!D62-短期_財務諸表!H60</t>
  </si>
  <si>
    <t>保健給付：決算報告書＝損益計算書</t>
  </si>
  <si>
    <t>'報告_短期P7-10'!CB66</t>
  </si>
  <si>
    <t>短期_財務諸表!B39</t>
  </si>
  <si>
    <t>休業給付：決算報告書＝損益計算書</t>
  </si>
  <si>
    <t>'報告_短期P7-10'!CB74</t>
  </si>
  <si>
    <t>短期_財務諸表!B40</t>
  </si>
  <si>
    <t>附加給付：決算報告書＝損益計算書</t>
  </si>
  <si>
    <t>'報告_短期P7-10'!CB89</t>
  </si>
  <si>
    <t>短期_財務諸表!B42</t>
  </si>
  <si>
    <t>前期高齢者納付金：決算報告書＝損益計算書</t>
  </si>
  <si>
    <t>'報告_短期P7-10'!CB90</t>
  </si>
  <si>
    <t>短期_財務諸表!B43</t>
  </si>
  <si>
    <t>後期高齢者支援金：決算報告書＝損益計算書</t>
  </si>
  <si>
    <t>'報告_短期P7-10'!CB91</t>
  </si>
  <si>
    <t>短期_財務諸表!B44</t>
  </si>
  <si>
    <t>介護納付金：決算報告書＝損益計算書</t>
  </si>
  <si>
    <t>'報告_短期P7-10'!CB95</t>
  </si>
  <si>
    <t>短期_財務諸表!B48</t>
  </si>
  <si>
    <t>連合会払込金：決算報告書＝損益計算書</t>
  </si>
  <si>
    <t>'報告_短期P7-10'!CB102</t>
  </si>
  <si>
    <t>短期_財務諸表!B53</t>
  </si>
  <si>
    <t>連合会拠出金：決算報告書＝損益計算書</t>
  </si>
  <si>
    <t>'報告_短期P7-10'!CB105</t>
  </si>
  <si>
    <t>短期_財務諸表!B54</t>
  </si>
  <si>
    <t>短期掛金：決算報告書＝損益計算書</t>
  </si>
  <si>
    <t>'報告_短期P7-10'!CB8</t>
  </si>
  <si>
    <t>短期_財務諸表!F41</t>
  </si>
  <si>
    <t>短期負担金＋公的負担金：決算報告書＝損益計算書</t>
  </si>
  <si>
    <t>'報告_短期P7-10'!CB5+'報告_短期P7-10'!CB6</t>
  </si>
  <si>
    <t>短期_財務諸表!F39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</si>
  <si>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</si>
  <si>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</si>
  <si>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</si>
  <si>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</si>
  <si>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</si>
  <si>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</si>
  <si>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</si>
  <si>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</si>
  <si>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短期_附属明細表!E99+短期_附属明細表!I99-短期_附属明細表!M99</t>
  </si>
  <si>
    <t>短期積立金：前期繰越＋当期増加－当期減少＝貸借対照表計上額</t>
  </si>
  <si>
    <t>短期_附属明細表!E100+短期_附属明細表!I100-短期_附属明細表!M100</t>
  </si>
  <si>
    <t>介護積立金：前期繰越＋当期増加－当期減少＝貸借対照表計上額</t>
  </si>
  <si>
    <t>短期_附属明細表!E101+短期_附属明細表!I101-短期_附属明細表!M101</t>
  </si>
  <si>
    <t>支払準備金：前年度繰越（精算表）＝損益計算書の前年度繰越支払準備金</t>
  </si>
  <si>
    <t>短期_決算精算表!B19</t>
  </si>
  <si>
    <t>短期_財務諸表!G57</t>
  </si>
  <si>
    <t>【厚生年金保険経理】</t>
  </si>
  <si>
    <t>厚生_貸借・損益!F12</t>
  </si>
  <si>
    <t>厚生_貸借・損益!M12</t>
  </si>
  <si>
    <t>厚生_貸借・損益!F26</t>
  </si>
  <si>
    <t>厚生_貸借・損益!M26</t>
  </si>
  <si>
    <t>厚生_決算精算表!A22</t>
  </si>
  <si>
    <t>厚生_決算精算表!G22</t>
  </si>
  <si>
    <t>厚生_決算精算表!C22</t>
  </si>
  <si>
    <t>厚生_決算精算表!E22</t>
  </si>
  <si>
    <t>修正：借方合計＝貸方合計</t>
  </si>
  <si>
    <t>厚生_決算精算表!B22</t>
  </si>
  <si>
    <t>厚生_決算精算表!F22</t>
  </si>
  <si>
    <t>厚生_預金・立替・未収!E11</t>
  </si>
  <si>
    <t>厚生_貸借・損益!E8</t>
  </si>
  <si>
    <t>厚生_預金・立替・未収!C19</t>
  </si>
  <si>
    <t>厚生_貸借・損益!E9</t>
  </si>
  <si>
    <t>厚生_預金・立替・未収!C30</t>
  </si>
  <si>
    <t>厚生_貸借・損益!L8</t>
  </si>
  <si>
    <t>厚生_預金・立替・未収!C38</t>
  </si>
  <si>
    <t>厚生_貸借・損益!L9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</si>
  <si>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</si>
  <si>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</si>
  <si>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</si>
  <si>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</si>
  <si>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</si>
  <si>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</si>
  <si>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厚生_貸借・損益!D23</t>
  </si>
  <si>
    <t>組合員保険料払込金：決算報告書＝損益計算書</t>
  </si>
  <si>
    <t>報告_厚生年金P14!W56</t>
  </si>
  <si>
    <t>厚生_貸借・損益!D24</t>
  </si>
  <si>
    <t>負担金の内訳（４区分）の合計＝負担金</t>
  </si>
  <si>
    <t>報告_厚生年金P14!W33+報告_厚生年金P14!W34+報告_厚生年金P14!W35+報告_厚生年金P14!W36</t>
  </si>
  <si>
    <t>厚生_貸借・損益!K23</t>
  </si>
  <si>
    <t>【退職等年金経理】</t>
  </si>
  <si>
    <t>退職等_貸借・損益!F12</t>
  </si>
  <si>
    <t>退職等_貸借・損益!M12</t>
  </si>
  <si>
    <t>退職等_貸借・損益!F26</t>
  </si>
  <si>
    <t>退職等_貸借・損益!M26</t>
  </si>
  <si>
    <t>退職等_決算精算表!A22</t>
  </si>
  <si>
    <t>退職等_決算精算表!G22</t>
  </si>
  <si>
    <t>退職等_決算精算表!C22</t>
  </si>
  <si>
    <t>退職等_決算精算表!E22</t>
  </si>
  <si>
    <t>退職等_決算精算表!B22</t>
  </si>
  <si>
    <t>退職等_決算精算表!F22</t>
  </si>
  <si>
    <t>退職等_預金・立替・未収!E8</t>
  </si>
  <si>
    <t>退職等_貸借・損益!E8</t>
  </si>
  <si>
    <t>退職等_預金・立替・未収!C16</t>
  </si>
  <si>
    <t>退職等_貸借・損益!E9</t>
  </si>
  <si>
    <t>退職等_預金・立替・未収!C26</t>
  </si>
  <si>
    <t>退職等_貸借・損益!L8</t>
  </si>
  <si>
    <t>預り金：明細表＝貸借対照表（過払金等返還金0円確認・数式連動済）</t>
  </si>
  <si>
    <t>退職等_預金・立替・未収!C34</t>
  </si>
  <si>
    <t>退職等_貸借・損益!L9</t>
  </si>
  <si>
    <t>報告_退職等年金P15!W26</t>
  </si>
  <si>
    <t>報告_退職等年金P15!W43</t>
  </si>
  <si>
    <t>報告_退職等年金P15!W40</t>
  </si>
  <si>
    <t>退職等_貸借・損益!D23</t>
  </si>
  <si>
    <t>掛金払込金：決算報告書＝損益計算書</t>
  </si>
  <si>
    <t>報告_退職等年金P15!W41</t>
  </si>
  <si>
    <t>退職等_貸借・損益!D24</t>
  </si>
  <si>
    <t>【経過的長期経理】</t>
  </si>
  <si>
    <t>経過的_貸借・損益!F12</t>
  </si>
  <si>
    <t>経過的_貸借・損益!M12</t>
  </si>
  <si>
    <t>経過的_貸借・損益!F25</t>
  </si>
  <si>
    <t>経過的_貸借・損益!M25</t>
  </si>
  <si>
    <t>経過的_決算精算表!A19</t>
  </si>
  <si>
    <t>経過的_決算精算表!G19</t>
  </si>
  <si>
    <t>経過的_決算精算表!C19</t>
  </si>
  <si>
    <t>経過的_決算精算表!E19</t>
  </si>
  <si>
    <t>経過的_決算精算表!B19</t>
  </si>
  <si>
    <t>経過的_決算精算表!F19</t>
  </si>
  <si>
    <t>経過的_預金・立替・未収!E8</t>
  </si>
  <si>
    <t>経過的_貸借・損益!E8</t>
  </si>
  <si>
    <t>経過的_預金・立替・未収!C16</t>
  </si>
  <si>
    <t>経過的_貸借・損益!E9</t>
  </si>
  <si>
    <t>経過的_預金・立替・未収!C23</t>
  </si>
  <si>
    <t>経過的_貸借・損益!L8</t>
  </si>
  <si>
    <t>報告_経過的長期P16!W31</t>
  </si>
  <si>
    <t>報告_経過的長期P16!W45</t>
  </si>
  <si>
    <t>【退職等年金預託金管理経理】</t>
  </si>
  <si>
    <t>預託金_貸借・損益!F15</t>
  </si>
  <si>
    <t>預託金_貸借・損益!M15</t>
  </si>
  <si>
    <t>預託金_貸借・損益!F30</t>
  </si>
  <si>
    <t>預託金_貸借・損益!M30</t>
  </si>
  <si>
    <t>預託金_決算精算表!A20</t>
  </si>
  <si>
    <t>預託金_決算精算表!G20</t>
  </si>
  <si>
    <t>預託金_決算精算表!C20</t>
  </si>
  <si>
    <t>預託金_決算精算表!E20</t>
  </si>
  <si>
    <t>預託金_決算精算表!B20</t>
  </si>
  <si>
    <t>預託金_決算精算表!F20</t>
  </si>
  <si>
    <t>預託金_預金・未収・貸付・預託金!F8</t>
  </si>
  <si>
    <t>預託金_貸借・損益!E8</t>
  </si>
  <si>
    <t>未収収益：明細表＝貸借対照表</t>
  </si>
  <si>
    <t>預託金_預金・未収・貸付・預託金!C15</t>
  </si>
  <si>
    <t>預託金_貸借・損益!E9</t>
  </si>
  <si>
    <t>長期貸付金：貸付金明細表＝貸借対照表</t>
  </si>
  <si>
    <t>預託金_預金・未収・貸付・預託金!M22</t>
  </si>
  <si>
    <t>預託金_貸借・損益!E13</t>
  </si>
  <si>
    <t>連合会預託金：明細表＝貸借対照表</t>
  </si>
  <si>
    <t>預託金_預金・未収・貸付・預託金!M29</t>
  </si>
  <si>
    <t>預託金_貸借・損益!L8</t>
  </si>
  <si>
    <t>報告_預託金P17!G10</t>
  </si>
  <si>
    <t>報告_預託金P17!G19</t>
  </si>
  <si>
    <t>資産の構成割合：決算額合計＝貸借対照表の資産合計</t>
  </si>
  <si>
    <t>報告_預託金のカメラ!F12</t>
  </si>
  <si>
    <t>貸付金：前期繰越＋増加－減少＝期末残高</t>
  </si>
  <si>
    <t>預託金_預金・未収・貸付・預託金!C21+預託金_預金・未収・貸付・預託金!F21-預託金_預金・未収・貸付・預託金!I21</t>
  </si>
  <si>
    <t>預託金_預金・未収・貸付・預託金!M21</t>
  </si>
  <si>
    <t>貸付金（期末）＝貸付経理の借入金（期末）</t>
  </si>
  <si>
    <t>連合会預託金：前期繰越＋増加－減少＝期末残高</t>
  </si>
  <si>
    <t>預託金_預金・未収・貸付・預託金!C28+預託金_預金・未収・貸付・預託金!F28-預託金_預金・未収・貸付・預託金!I28</t>
  </si>
  <si>
    <t>預託金_預金・未収・貸付・預託金!M28</t>
  </si>
  <si>
    <t>【業務経理】</t>
  </si>
  <si>
    <t>業務_財務諸表!D25</t>
  </si>
  <si>
    <t>業務_財務諸表!H25</t>
  </si>
  <si>
    <t>業務_財務諸表!D59</t>
  </si>
  <si>
    <t>業務_財務諸表!H59</t>
  </si>
  <si>
    <t>業務_決算精算表!A48</t>
  </si>
  <si>
    <t>業務_決算精算表!G48</t>
  </si>
  <si>
    <t>業務_決算精算表!C48</t>
  </si>
  <si>
    <t>業務_決算精算表!E48</t>
  </si>
  <si>
    <t>業務_決算精算表!B48</t>
  </si>
  <si>
    <t>業務_決算精算表!F48</t>
  </si>
  <si>
    <t>業務_附属明細表!M6</t>
  </si>
  <si>
    <t>業務_財務諸表!C7</t>
  </si>
  <si>
    <t>立替金：明細表＝貸借対照表</t>
  </si>
  <si>
    <t>業務_附属明細表!G14</t>
  </si>
  <si>
    <t>業務_財務諸表!C8</t>
  </si>
  <si>
    <t>業務_附属明細表!G32</t>
  </si>
  <si>
    <t>業務_財務諸表!C9</t>
  </si>
  <si>
    <t>業務_附属明細表!G46</t>
  </si>
  <si>
    <t>業務_財務諸表!G7</t>
  </si>
  <si>
    <t>未払費用：明細表＝貸借対照表</t>
  </si>
  <si>
    <t>業務_附属明細表!G54</t>
  </si>
  <si>
    <t>業務_財務諸表!G8</t>
  </si>
  <si>
    <t>業務_附属明細表!G62</t>
  </si>
  <si>
    <t>業務_財務諸表!G9</t>
  </si>
  <si>
    <t>受入保証金：明細表＝貸借対照表</t>
  </si>
  <si>
    <t>業務_附属明細表!G69</t>
  </si>
  <si>
    <t>業務_財務諸表!G10</t>
  </si>
  <si>
    <t>器具及び備品：固定資産明細表＝貸借対照表</t>
  </si>
  <si>
    <t>業務_附属明細表!S77</t>
  </si>
  <si>
    <t>業務_財務諸表!B14</t>
  </si>
  <si>
    <t>積立金：積立金明細表＝貸借対照表</t>
  </si>
  <si>
    <t>業務_附属明細表!Q92</t>
  </si>
  <si>
    <t>業務_財務諸表!F16</t>
  </si>
  <si>
    <t>減価償却累計額：累計額明細表＝減価償却費明細表の償却累計額</t>
  </si>
  <si>
    <t>業務_附属明細表!Q116</t>
  </si>
  <si>
    <t>業務_附属明細表!K85</t>
  </si>
  <si>
    <t>減価償却費：固定資産明細表＝損益計算書</t>
  </si>
  <si>
    <t>業務_附属明細表!P77</t>
  </si>
  <si>
    <t>業務_財務諸表!B52</t>
  </si>
  <si>
    <t>収入合計：決算報告書＝経常収益＋繰入金＋特別利益</t>
  </si>
  <si>
    <t>報告_業務P18!V32</t>
  </si>
  <si>
    <t>業務_財務諸表!H36+業務_財務諸表!H46+業務_財務諸表!H49</t>
  </si>
  <si>
    <t>支出合計：決算報告書＝経常費用＋特別損失</t>
  </si>
  <si>
    <t>報告_業務P19!V26</t>
  </si>
  <si>
    <t>業務_財務諸表!D36+業務_財務諸表!D53</t>
  </si>
  <si>
    <t>短期経理より繰入：業務経理の収益＝短期経理の費用</t>
  </si>
  <si>
    <t>業務_財務諸表!G47</t>
  </si>
  <si>
    <t>短期_財務諸表!C57</t>
  </si>
  <si>
    <t>積立金：前期繰越＋当期増加－当期減少＝貸借対照表計上額</t>
  </si>
  <si>
    <t>業務_附属明細表!E91+業務_附属明細表!I91-業務_附属明細表!M91</t>
  </si>
  <si>
    <t>器具及び備品：期首残高＋増加－減少＝取得原価－前期繰越減価償却累計額</t>
  </si>
  <si>
    <t>業務_附属明細表!M77</t>
  </si>
  <si>
    <t>業務_附属明細表!F85-業務_附属明細表!E115</t>
  </si>
  <si>
    <t>【保健経理】</t>
  </si>
  <si>
    <t>保健_財務諸表!D27</t>
  </si>
  <si>
    <t>保健_財務諸表!H27</t>
  </si>
  <si>
    <t>保健_財務諸表!D62</t>
  </si>
  <si>
    <t>保健_財務諸表!H62</t>
  </si>
  <si>
    <t>保健_決算精算表!A54</t>
  </si>
  <si>
    <t>保健_決算精算表!G54</t>
  </si>
  <si>
    <t>保健_決算精算表!C54</t>
  </si>
  <si>
    <t>保健_決算精算表!E54</t>
  </si>
  <si>
    <t>保健_決算精算表!B54</t>
  </si>
  <si>
    <t>保健_決算精算表!F54</t>
  </si>
  <si>
    <t>保健_附属明細表!M6</t>
  </si>
  <si>
    <t>保健_財務諸表!C7</t>
  </si>
  <si>
    <t>保健_附属明細表!M13</t>
  </si>
  <si>
    <t>保健_財務諸表!C8</t>
  </si>
  <si>
    <t>保健_附属明細表!M20</t>
  </si>
  <si>
    <t>保健_財務諸表!C9</t>
  </si>
  <si>
    <t>保健_附属明細表!G43</t>
  </si>
  <si>
    <t>保健_財務諸表!C12</t>
  </si>
  <si>
    <t>保健_附属明細表!G61</t>
  </si>
  <si>
    <t>保健_財務諸表!G7</t>
  </si>
  <si>
    <t>保健_附属明細表!G70</t>
  </si>
  <si>
    <t>保健_財務諸表!G8</t>
  </si>
  <si>
    <t>保健_附属明細表!G79</t>
  </si>
  <si>
    <t>保健_財務諸表!G9</t>
  </si>
  <si>
    <t>積立金等：積立金明細表の合計＝貸借対照表の剰余金</t>
  </si>
  <si>
    <t>保健_附属明細表!Q148</t>
  </si>
  <si>
    <t>保健_財務諸表!H14</t>
  </si>
  <si>
    <t>収入合計：決算報告書＝経常収益＋特別利益</t>
  </si>
  <si>
    <t>'報告_保健P20-22'!V33</t>
  </si>
  <si>
    <t>保健_財務諸表!H37+保健_財務諸表!H46</t>
  </si>
  <si>
    <t>'報告_保健P20-22'!V65</t>
  </si>
  <si>
    <t>保健_財務諸表!D37+保健_財務諸表!D55</t>
  </si>
  <si>
    <t>事業の概要：決算額の合計＝支出の決算額合計</t>
  </si>
  <si>
    <t>'報告_保健P20-22'!X98</t>
  </si>
  <si>
    <t>事業の概要：事業計画額の合計＝支出の事業計画額合計</t>
  </si>
  <si>
    <t>'報告_保健P20-22'!P98</t>
  </si>
  <si>
    <t>'報告_保健P20-22'!M65</t>
  </si>
  <si>
    <t>保健_附属明細表!E147+保健_附属明細表!I147-保健_附属明細表!M147</t>
  </si>
  <si>
    <t>減価償却費：減価償却費明細表の当期償却額＝損益計算書</t>
  </si>
  <si>
    <t>保健_附属明細表!I116</t>
  </si>
  <si>
    <t>N(保健_財務諸表!B54)</t>
  </si>
  <si>
    <t>有形固定資産：固定資産明細表の差引期末残高＝貸借対照表</t>
  </si>
  <si>
    <t>保健_附属明細表!S95</t>
  </si>
  <si>
    <t>保健_財務諸表!C15</t>
  </si>
  <si>
    <t>【貸付経理】</t>
  </si>
  <si>
    <t>貸付_財務諸表!D25</t>
  </si>
  <si>
    <t>貸付_財務諸表!H25</t>
  </si>
  <si>
    <t>貸付_財務諸表!D58</t>
  </si>
  <si>
    <t>貸付_財務諸表!H58</t>
  </si>
  <si>
    <t>差引残高：借方合計＝貸方合計（前受収益は精算表に行がないため貸方に加算）</t>
  </si>
  <si>
    <t>貸付_決算精算表!A39</t>
  </si>
  <si>
    <t>貸付_決算精算表!G39+貸付_附属明細表!G70</t>
  </si>
  <si>
    <t>貸付_決算精算表!C39</t>
  </si>
  <si>
    <t>貸付_決算精算表!E39</t>
  </si>
  <si>
    <t>修正増減：借方合計＝貸方合計（前受収益分を貸方に加算）</t>
  </si>
  <si>
    <t>貸付_決算精算表!B39</t>
  </si>
  <si>
    <t>貸付_決算精算表!F39+貸付_附属明細表!G70</t>
  </si>
  <si>
    <t>貸付_附属明細表!M6</t>
  </si>
  <si>
    <t>貸付_財務諸表!C7</t>
  </si>
  <si>
    <t>貸付_附属明細表!G29</t>
  </si>
  <si>
    <t>貸付_財務諸表!C8</t>
  </si>
  <si>
    <t>貸付_附属明細表!G37</t>
  </si>
  <si>
    <t>貸付_財務諸表!C9</t>
  </si>
  <si>
    <t>貸付_附属明細表!G47</t>
  </si>
  <si>
    <t>貸付_財務諸表!G7</t>
  </si>
  <si>
    <t>貸付_附属明細表!G55</t>
  </si>
  <si>
    <t>貸付_財務諸表!G8</t>
  </si>
  <si>
    <t>貸付_附属明細表!G62</t>
  </si>
  <si>
    <t>貸付_財務諸表!G9</t>
  </si>
  <si>
    <t>貸付_附属明細表!G70</t>
  </si>
  <si>
    <t>貸付_財務諸表!G10</t>
  </si>
  <si>
    <t>長期借入金：借入金明細表＝貸借対照表</t>
  </si>
  <si>
    <t>貸付_財務諸表!G13</t>
  </si>
  <si>
    <t>貸付_附属明細表!S77</t>
  </si>
  <si>
    <t>貸付_財務諸表!B14</t>
  </si>
  <si>
    <t>組合員貸付金：明細表の期末残高±未収・前受＝貸借対照表</t>
  </si>
  <si>
    <t>貸付_附属明細表!R13-貸付_附属明細表!G28-貸付_附属明細表!G35+貸付_附属明細表!G68</t>
  </si>
  <si>
    <t>貸付_財務諸表!B19</t>
  </si>
  <si>
    <t>利益剰余金：積立金明細表＝貸借対照表</t>
  </si>
  <si>
    <t>貸付_附属明細表!Q91</t>
  </si>
  <si>
    <t>貸付_財務諸表!H18</t>
  </si>
  <si>
    <t>欠損金補てん積立金：積立金明細表＝貸借対照表の表示額（数式連動済）</t>
  </si>
  <si>
    <t>貸付_財務諸表!F20</t>
  </si>
  <si>
    <t>収入合計：決算報告書＝経常収益</t>
  </si>
  <si>
    <t>'報告_貸付P23-25'!Y9</t>
  </si>
  <si>
    <t>貸付_財務諸表!H35</t>
  </si>
  <si>
    <t>'報告_貸付P23-25'!Y32</t>
  </si>
  <si>
    <t>貸付_財務諸表!D35+貸付_財務諸表!D49</t>
  </si>
  <si>
    <t>貸付金総額（本年度末）：決算報告書＝貸借対照表</t>
  </si>
  <si>
    <t>'報告_貸付P23-25'!AL40</t>
  </si>
  <si>
    <t>組合員貸付金の種類別内訳（本年度末）の合計＝貸付金明細表の期末残高</t>
  </si>
  <si>
    <t>'報告_貸付P23-25'!AG92</t>
  </si>
  <si>
    <t>貸付_附属明細表!R13</t>
  </si>
  <si>
    <t>組合員貸付金の種類別内訳（前年度末）の合計＝貸付金明細表の前期繰越高</t>
  </si>
  <si>
    <t>'報告_貸付P23-25'!Q92</t>
  </si>
  <si>
    <t>貸付_附属明細表!F13</t>
  </si>
  <si>
    <t>組合員貸付金：前期繰越＋当期増加－当期減少＝期末残高</t>
  </si>
  <si>
    <t>貸付_附属明細表!F13+貸付_附属明細表!J13-貸付_附属明細表!N13</t>
  </si>
  <si>
    <t>借入金：前期繰越＋当期増加－当期減少＝期末残高</t>
  </si>
  <si>
    <t>貸付_附属明細表!F20+貸付_附属明細表!J20-貸付_附属明細表!N20</t>
  </si>
  <si>
    <t>欠損金補てん積立金：前期繰越＋当期増加－当期減少＝計上額</t>
  </si>
  <si>
    <t>貸付_附属明細表!E91+貸付_附属明細表!I91-貸付_附属明細表!M91</t>
  </si>
  <si>
    <t>器具及び備品：期末残高（償却前）＝取得原価－前期繰越減価償却累計額</t>
  </si>
  <si>
    <t>貸付_附属明細表!M77</t>
  </si>
  <si>
    <t>貸付_附属明細表!F84-貸付_附属明細表!E105</t>
  </si>
  <si>
    <t>貸付_附属明細表!H84</t>
  </si>
  <si>
    <t>N(貸付_財務諸表!B47)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</si>
  <si>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</si>
  <si>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</si>
  <si>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</si>
  <si>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</si>
  <si>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</si>
  <si>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</si>
  <si>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</si>
  <si>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</si>
  <si>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</si>
  <si>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</si>
  <si>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</si>
  <si>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</si>
  <si>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</si>
  <si>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</si>
  <si>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</si>
  <si>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</si>
  <si>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業務_附属明細表!J126+O126</t>
  </si>
  <si>
    <t>業務_決算精算表!A21+A22+A24+A25</t>
  </si>
  <si>
    <t>支出実績表：支出済額＋支出未済額＝決算精算表（職員給与・旅費・事務費）</t>
  </si>
  <si>
    <t>保健_附属明細表!J139+O139</t>
  </si>
  <si>
    <t>保健_決算精算表!A27+旅費+A30</t>
  </si>
  <si>
    <t>貸付_附属明細表!J115+O115</t>
  </si>
  <si>
    <t>貸付_決算精算表!A21+A23+A24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</si>
  <si>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</si>
  <si>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</si>
  <si>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</si>
  <si>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</si>
  <si>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</si>
  <si>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</si>
  <si>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</si>
  <si>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</si>
  <si>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</si>
  <si>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</si>
  <si>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</si>
  <si>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</si>
  <si>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</si>
  <si>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</si>
  <si>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</si>
  <si>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</si>
  <si>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</si>
  <si>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</si>
  <si>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</si>
  <si>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</si>
  <si>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</si>
  <si>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</si>
  <si>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</si>
  <si>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</si>
  <si>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</si>
  <si>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</si>
  <si>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</si>
  <si>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</si>
  <si>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</si>
  <si>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</si>
  <si>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</si>
  <si>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</si>
  <si>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</si>
  <si>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</si>
  <si>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</si>
  <si>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</si>
  <si>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</si>
  <si>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</si>
  <si>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t>
  </si>
  <si>
    <t>A1:M26</t>
  </si>
  <si>
    <t>A1:I38</t>
  </si>
  <si>
    <t>A1:G26</t>
  </si>
  <si>
    <t>厚生_白紙</t>
  </si>
  <si>
    <t>A1:I34</t>
  </si>
  <si>
    <t>退職等_白紙</t>
  </si>
  <si>
    <t>経過的_貸借・損益</t>
  </si>
  <si>
    <t>A1:M25</t>
  </si>
  <si>
    <t>A1:I23</t>
  </si>
  <si>
    <t>A1:G23</t>
  </si>
  <si>
    <t>経過的_白紙</t>
  </si>
  <si>
    <t>預託金_貸借・損益</t>
  </si>
  <si>
    <t>A1:M30</t>
  </si>
  <si>
    <t>A1:O29</t>
  </si>
  <si>
    <t>A1:G24</t>
  </si>
  <si>
    <t>預託金_白紙</t>
  </si>
  <si>
    <t>業務_財務諸表</t>
  </si>
  <si>
    <t>A1:H59</t>
  </si>
  <si>
    <t>A1:Y150</t>
  </si>
  <si>
    <t>A1:G54</t>
  </si>
  <si>
    <t>業務_白紙</t>
  </si>
  <si>
    <t>保健_財務諸表</t>
  </si>
  <si>
    <t>A1:K62</t>
  </si>
  <si>
    <t>A1:AA167</t>
  </si>
  <si>
    <t>A1:G59</t>
  </si>
  <si>
    <t>A1:D86</t>
  </si>
  <si>
    <t>A1:H58</t>
  </si>
  <si>
    <t>貸付_附属明細表</t>
  </si>
  <si>
    <t>A1:V125</t>
  </si>
  <si>
    <t>A1:G45</t>
  </si>
  <si>
    <t>貸付_白紙</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</si>
  <si>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</si>
  <si>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</si>
  <si>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</si>
  <si>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</si>
  <si>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</si>
  <si>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</si>
  <si>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</si>
  <si>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</si>
  <si>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</si>
  <si>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</si>
  <si>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</si>
  <si>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貸借対照表表示：欠損金補てん積立金の額（明細表計上額から自動）</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</si>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</sst>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8">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
      <fill>
        <patternFill patternType="solid">
          <fgColor rgb="FFFFC000"/>
          <bgColor rgb="FFFFC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41"/>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20" customHeight="1">
      <c r="F10" s="1702" t="inlineStr">
        <is>
          <t>黄色＝手入力、橙色＝要確認（1＝表示、0＝非表示。印刷時は自動で0）</t>
        </is>
      </c>
      <c r="G10" s="3178">
        <v>1</v>
      </c>
    </row>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20" customHeight="1">
      <c r="F19" s="1702" t="inlineStr">
        <is>
          <t>Enterキーで次の手入力セルへ移動（1＝する、0＝しない）</t>
        </is>
      </c>
      <c r="G19" s="3178">
        <v>1</v>
      </c>
    </row>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HYPERLINK("#'短期_財務諸表'!A1","短期_財務諸表")</f>
        <v>短期_財務諸表</v>
      </c>
      <c r="C56" s="1781" t="s">
        <v>1395</v>
      </c>
      <c r="D56" s="1781"/>
      <c r="E56" s="1781"/>
      <c r="F56" s="1732" t="s">
        <v>1344</v>
      </c>
      <c r="G56" s="1788" t="s">
        <v>1396</v>
      </c>
      <c r="H56" s="1788"/>
    </row>
    <row r="57" spans="1:8" ht="19.95" customHeight="1">
      <c r="A57" s="1737" t="s">
        <v>1394</v>
      </c>
      <c r="B57" s="1730" t="str">
        <f>HYPERLINK("#'短期_附属明細表'!A1","短期_附属明細表")</f>
        <v>短期_附属明細表</v>
      </c>
      <c r="C57" s="1785" t="s">
        <v>1397</v>
      </c>
      <c r="D57" s="1785"/>
      <c r="E57" s="1785"/>
      <c r="F57" s="1732" t="s">
        <v>1344</v>
      </c>
      <c r="G57" s="1780" t="s">
        <v>1398</v>
      </c>
      <c r="H57" s="1780"/>
    </row>
    <row r="58" spans="1:8" ht="19.95" customHeight="1">
      <c r="A58" s="1737" t="s">
        <v>1394</v>
      </c>
      <c r="B58" s="1727" t="str">
        <f>HYPERLINK("#'短期_決算精算表'!A1","短期_決算精算表")</f>
        <v>短期_決算精算表</v>
      </c>
      <c r="C58" s="1781" t="s">
        <v>1399</v>
      </c>
      <c r="D58" s="1781"/>
      <c r="E58" s="1781"/>
      <c r="F58" s="1732" t="s">
        <v>1344</v>
      </c>
      <c r="G58" s="1788" t="s">
        <v>1400</v>
      </c>
      <c r="H58" s="1788"/>
    </row>
    <row r="59" spans="1:8" ht="19.95" customHeight="1">
      <c r="A59" s="1736" t="s">
        <v>1401</v>
      </c>
      <c r="B59" s="1730" t="str">
        <f>HYPERLINK("#'厚生_貸借・損益'!A1","厚生_貸借・損益")</f>
        <v>厚生_貸借・損益</v>
      </c>
      <c r="C59" s="1785" t="s">
        <v>1402</v>
      </c>
      <c r="D59" s="1785"/>
      <c r="E59" s="1785"/>
      <c r="F59" s="1732" t="s">
        <v>1344</v>
      </c>
      <c r="G59" s="1780" t="s">
        <v>1403</v>
      </c>
      <c r="H59" s="1780"/>
    </row>
    <row r="60" spans="1:8" ht="19.95" customHeight="1">
      <c r="A60" s="1736" t="s">
        <v>1401</v>
      </c>
      <c r="B60" s="1727" t="str">
        <f>HYPERLINK("#'厚生_預金・立替・未収'!A1","厚生_預金・立替・未収")</f>
        <v>厚生_預金・立替・未収</v>
      </c>
      <c r="C60" s="1781" t="s">
        <v>1404</v>
      </c>
      <c r="D60" s="1781"/>
      <c r="E60" s="1781"/>
      <c r="F60" s="1732" t="s">
        <v>1344</v>
      </c>
      <c r="G60" s="1788" t="s">
        <v>1405</v>
      </c>
      <c r="H60" s="1788"/>
    </row>
    <row r="61" spans="1:8" ht="19.95" customHeight="1">
      <c r="A61" s="1736" t="s">
        <v>1401</v>
      </c>
      <c r="B61" s="1730" t="str">
        <f>HYPERLINK("#'厚生_決算精算表'!A1","厚生_決算精算表")</f>
        <v>厚生_決算精算表</v>
      </c>
      <c r="C61" s="1785" t="s">
        <v>1406</v>
      </c>
      <c r="D61" s="1785"/>
      <c r="E61" s="1785"/>
      <c r="F61" s="1732" t="s">
        <v>1344</v>
      </c>
      <c r="G61" s="1780" t="s">
        <v>1407</v>
      </c>
      <c r="H61" s="1780"/>
    </row>
    <row r="62" spans="1:8" ht="19.95" customHeight="1">
      <c r="A62" s="1735" t="s">
        <v>1390</v>
      </c>
      <c r="B62" s="1727" t="str">
        <f>HYPERLINK("#'厚生_白紙'!A1","厚生_白紙")</f>
        <v>厚生_白紙</v>
      </c>
      <c r="C62" s="1781" t="s">
        <v>1408</v>
      </c>
      <c r="D62" s="1781"/>
      <c r="E62" s="1781"/>
      <c r="F62" s="1735" t="s">
        <v>1392</v>
      </c>
      <c r="G62" s="1788" t="s">
        <v>1393</v>
      </c>
      <c r="H62" s="1788"/>
    </row>
    <row r="63" spans="1:8" ht="19.95" customHeight="1">
      <c r="A63" s="1736" t="s">
        <v>1409</v>
      </c>
      <c r="B63" s="1730" t="str">
        <f>HYPERLINK("#'退職等_貸借・損益'!A1","退職等_貸借・損益")</f>
        <v>退職等_貸借・損益</v>
      </c>
      <c r="C63" s="1785" t="s">
        <v>1410</v>
      </c>
      <c r="D63" s="1785"/>
      <c r="E63" s="1785"/>
      <c r="F63" s="1732" t="s">
        <v>1344</v>
      </c>
      <c r="G63" s="1780" t="s">
        <v>1403</v>
      </c>
      <c r="H63" s="1780"/>
    </row>
    <row r="64" spans="1:8" ht="19.95" customHeight="1">
      <c r="A64" s="1736" t="s">
        <v>1409</v>
      </c>
      <c r="B64" s="1727" t="str">
        <f>HYPERLINK("#'退職等_預金・立替・未収'!A1","退職等_預金・立替・未収")</f>
        <v>退職等_預金・立替・未収</v>
      </c>
      <c r="C64" s="1781" t="s">
        <v>1411</v>
      </c>
      <c r="D64" s="1781"/>
      <c r="E64" s="1781"/>
      <c r="F64" s="1732" t="s">
        <v>1344</v>
      </c>
      <c r="G64" s="1788" t="s">
        <v>1412</v>
      </c>
      <c r="H64" s="1788"/>
    </row>
    <row r="65" spans="1:8" ht="19.95" customHeight="1">
      <c r="A65" s="1736" t="s">
        <v>1409</v>
      </c>
      <c r="B65" s="1730" t="str">
        <f>HYPERLINK("#'退職等_決算精算表'!A1","退職等_決算精算表")</f>
        <v>退職等_決算精算表</v>
      </c>
      <c r="C65" s="1785" t="s">
        <v>1413</v>
      </c>
      <c r="D65" s="1785"/>
      <c r="E65" s="1785"/>
      <c r="F65" s="1732" t="s">
        <v>1344</v>
      </c>
      <c r="G65" s="1780" t="s">
        <v>1407</v>
      </c>
      <c r="H65" s="1780"/>
    </row>
    <row r="66" spans="1:8" ht="19.95" customHeight="1">
      <c r="A66" s="1735" t="s">
        <v>1390</v>
      </c>
      <c r="B66" s="1727" t="str">
        <f>HYPERLINK("#'退職等_白紙'!A1","退職等_白紙")</f>
        <v>退職等_白紙</v>
      </c>
      <c r="C66" s="1781" t="s">
        <v>1414</v>
      </c>
      <c r="D66" s="1781"/>
      <c r="E66" s="1781"/>
      <c r="F66" s="1735" t="s">
        <v>1392</v>
      </c>
      <c r="G66" s="1788" t="s">
        <v>1393</v>
      </c>
      <c r="H66" s="1788"/>
    </row>
    <row r="67" spans="1:8" ht="19.95" customHeight="1">
      <c r="A67" s="1736" t="s">
        <v>1415</v>
      </c>
      <c r="B67" s="1730" t="str">
        <f>HYPERLINK("#'経過的_貸借・損益'!A1","経過的_貸借・損益")</f>
        <v>経過的_貸借・損益</v>
      </c>
      <c r="C67" s="1785" t="s">
        <v>1416</v>
      </c>
      <c r="D67" s="1785"/>
      <c r="E67" s="1785"/>
      <c r="F67" s="1732" t="s">
        <v>1344</v>
      </c>
      <c r="G67" s="1780" t="s">
        <v>1403</v>
      </c>
      <c r="H67" s="1780"/>
    </row>
    <row r="68" spans="1:8" ht="19.95" customHeight="1">
      <c r="A68" s="1736" t="s">
        <v>1415</v>
      </c>
      <c r="B68" s="1727" t="str">
        <f>HYPERLINK("#'経過的_預金・立替・未収'!A1","経過的_預金・立替・未収")</f>
        <v>経過的_預金・立替・未収</v>
      </c>
      <c r="C68" s="1781" t="s">
        <v>1417</v>
      </c>
      <c r="D68" s="1781"/>
      <c r="E68" s="1781"/>
      <c r="F68" s="1732" t="s">
        <v>1344</v>
      </c>
      <c r="G68" s="1788" t="s">
        <v>1412</v>
      </c>
      <c r="H68" s="1788"/>
    </row>
    <row r="69" spans="1:8" ht="19.95" customHeight="1">
      <c r="A69" s="1736" t="s">
        <v>1415</v>
      </c>
      <c r="B69" s="1730" t="str">
        <f>HYPERLINK("#'経過的_決算精算表'!A1","経過的_決算精算表")</f>
        <v>経過的_決算精算表</v>
      </c>
      <c r="C69" s="1785" t="s">
        <v>1418</v>
      </c>
      <c r="D69" s="1785"/>
      <c r="E69" s="1785"/>
      <c r="F69" s="1732" t="s">
        <v>1344</v>
      </c>
      <c r="G69" s="1780" t="s">
        <v>1419</v>
      </c>
      <c r="H69" s="1780"/>
    </row>
    <row r="70" spans="1:8" ht="19.95" customHeight="1">
      <c r="A70" s="1735" t="s">
        <v>1390</v>
      </c>
      <c r="B70" s="1727" t="str">
        <f>HYPERLINK("#'経過的_白紙'!A1","経過的_白紙")</f>
        <v>経過的_白紙</v>
      </c>
      <c r="C70" s="1781" t="s">
        <v>1420</v>
      </c>
      <c r="D70" s="1781"/>
      <c r="E70" s="1781"/>
      <c r="F70" s="1735" t="s">
        <v>1392</v>
      </c>
      <c r="G70" s="1788" t="s">
        <v>1393</v>
      </c>
      <c r="H70" s="1788"/>
    </row>
    <row r="71" spans="1:8" ht="19.95" customHeight="1">
      <c r="A71" s="1736" t="s">
        <v>1421</v>
      </c>
      <c r="B71" s="1730" t="str">
        <f>HYPERLINK("#'預託金_貸借・損益'!A1","預託金_貸借・損益")</f>
        <v>預託金_貸借・損益</v>
      </c>
      <c r="C71" s="1785" t="s">
        <v>1422</v>
      </c>
      <c r="D71" s="1785"/>
      <c r="E71" s="1785"/>
      <c r="F71" s="1732" t="s">
        <v>1344</v>
      </c>
      <c r="G71" s="1780" t="s">
        <v>1403</v>
      </c>
      <c r="H71" s="1780"/>
    </row>
    <row r="72" spans="1:8" ht="19.95" customHeight="1">
      <c r="A72" s="1736" t="s">
        <v>1421</v>
      </c>
      <c r="B72" s="1727" t="str">
        <f>HYPERLINK("#'預託金_預金・未収・貸付・預託金'!A1","預託金_預金・未収・貸付・預託金")</f>
        <v>預託金_預金・未収・貸付・預託金</v>
      </c>
      <c r="C72" s="1781" t="s">
        <v>1423</v>
      </c>
      <c r="D72" s="1781"/>
      <c r="E72" s="1781"/>
      <c r="F72" s="1732" t="s">
        <v>1344</v>
      </c>
      <c r="G72" s="1788" t="s">
        <v>1424</v>
      </c>
      <c r="H72" s="1788"/>
    </row>
    <row r="73" spans="1:8" ht="19.95" customHeight="1">
      <c r="A73" s="1736" t="s">
        <v>1421</v>
      </c>
      <c r="B73" s="1730" t="str">
        <f>HYPERLINK("#'預託金_決算精算表'!A1","預託金_決算精算表")</f>
        <v>預託金_決算精算表</v>
      </c>
      <c r="C73" s="1785" t="s">
        <v>1425</v>
      </c>
      <c r="D73" s="1785"/>
      <c r="E73" s="1785"/>
      <c r="F73" s="1732" t="s">
        <v>1344</v>
      </c>
      <c r="G73" s="1780" t="s">
        <v>1426</v>
      </c>
      <c r="H73" s="1780"/>
    </row>
    <row r="74" spans="1:8" ht="19.95" customHeight="1">
      <c r="A74" s="1735" t="s">
        <v>1390</v>
      </c>
      <c r="B74" s="1727" t="str">
        <f>HYPERLINK("#'預託金_白紙'!A1","預託金_白紙")</f>
        <v>預託金_白紙</v>
      </c>
      <c r="C74" s="1781" t="s">
        <v>1427</v>
      </c>
      <c r="D74" s="1781"/>
      <c r="E74" s="1781"/>
      <c r="F74" s="1735" t="s">
        <v>1392</v>
      </c>
      <c r="G74" s="1788" t="s">
        <v>1393</v>
      </c>
      <c r="H74" s="1788"/>
    </row>
    <row r="75" spans="1:8" ht="19.95" customHeight="1">
      <c r="A75" s="1732" t="s">
        <v>1428</v>
      </c>
      <c r="B75" s="1730" t="str">
        <f>HYPERLINK("#'業務_財務諸表'!A1","業務_財務諸表")</f>
        <v>業務_財務諸表</v>
      </c>
      <c r="C75" s="1785" t="s">
        <v>1429</v>
      </c>
      <c r="D75" s="1785"/>
      <c r="E75" s="1785"/>
      <c r="F75" s="1732" t="s">
        <v>1344</v>
      </c>
      <c r="G75" s="1780" t="s">
        <v>1403</v>
      </c>
      <c r="H75" s="1780"/>
    </row>
    <row r="76" spans="1:8" ht="19.95" customHeight="1">
      <c r="A76" s="1732" t="s">
        <v>1428</v>
      </c>
      <c r="B76" s="1727" t="str">
        <f>HYPERLINK("#'業務_附属明細表'!A1","業務_附属明細表")</f>
        <v>業務_附属明細表</v>
      </c>
      <c r="C76" s="1781" t="s">
        <v>1430</v>
      </c>
      <c r="D76" s="1781"/>
      <c r="E76" s="1781"/>
      <c r="F76" s="1732" t="s">
        <v>1344</v>
      </c>
      <c r="G76" s="1788" t="s">
        <v>1431</v>
      </c>
      <c r="H76" s="1788"/>
    </row>
    <row r="77" spans="1:8" ht="19.95" customHeight="1">
      <c r="A77" s="1732" t="s">
        <v>1428</v>
      </c>
      <c r="B77" s="1730" t="str">
        <f>HYPERLINK("#'業務_決算精算表'!A1","業務_決算精算表")</f>
        <v>業務_決算精算表</v>
      </c>
      <c r="C77" s="1785" t="s">
        <v>1432</v>
      </c>
      <c r="D77" s="1785"/>
      <c r="E77" s="1785"/>
      <c r="F77" s="1732" t="s">
        <v>1344</v>
      </c>
      <c r="G77" s="1780" t="s">
        <v>1433</v>
      </c>
      <c r="H77" s="1780"/>
    </row>
    <row r="78" spans="1:8" ht="19.95" customHeight="1">
      <c r="A78" s="1735" t="s">
        <v>1390</v>
      </c>
      <c r="B78" s="1727" t="str">
        <f>HYPERLINK("#'業務_白紙'!A1","業務_白紙")</f>
        <v>業務_白紙</v>
      </c>
      <c r="C78" s="1781" t="s">
        <v>1434</v>
      </c>
      <c r="D78" s="1781"/>
      <c r="E78" s="1781"/>
      <c r="F78" s="1735" t="s">
        <v>1392</v>
      </c>
      <c r="G78" s="1788" t="s">
        <v>1393</v>
      </c>
      <c r="H78" s="1788"/>
    </row>
    <row r="79" spans="1:8" ht="19.95" customHeight="1">
      <c r="A79" s="1732" t="s">
        <v>1435</v>
      </c>
      <c r="B79" s="1730" t="str">
        <f>HYPERLINK("#'保健_財務諸表'!A1","保健_財務諸表")</f>
        <v>保健_財務諸表</v>
      </c>
      <c r="C79" s="1785" t="s">
        <v>1436</v>
      </c>
      <c r="D79" s="1785"/>
      <c r="E79" s="1785"/>
      <c r="F79" s="1732" t="s">
        <v>1344</v>
      </c>
      <c r="G79" s="1780" t="s">
        <v>1403</v>
      </c>
      <c r="H79" s="1780"/>
    </row>
    <row r="80" spans="1:8" ht="19.95" customHeight="1">
      <c r="A80" s="1732" t="s">
        <v>1435</v>
      </c>
      <c r="B80" s="1727" t="str">
        <f>HYPERLINK("#'保健_附属明細表'!A1","保健_附属明細表")</f>
        <v>保健_附属明細表</v>
      </c>
      <c r="C80" s="1781" t="s">
        <v>1437</v>
      </c>
      <c r="D80" s="1781"/>
      <c r="E80" s="1781"/>
      <c r="F80" s="1732" t="s">
        <v>1344</v>
      </c>
      <c r="G80" s="1788" t="s">
        <v>1438</v>
      </c>
      <c r="H80" s="1788"/>
    </row>
    <row r="81" spans="1:8" ht="19.95" customHeight="1">
      <c r="A81" s="1732" t="s">
        <v>1435</v>
      </c>
      <c r="B81" s="1730" t="str">
        <f>HYPERLINK("#'保健_決算精算表'!A1","保健_決算精算表")</f>
        <v>保健_決算精算表</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HYPERLINK("#'貸付_財務諸表'!A1","貸付_財務諸表")</f>
        <v>貸付_財務諸表</v>
      </c>
      <c r="C83" s="1785" t="s">
        <v>1444</v>
      </c>
      <c r="D83" s="1785"/>
      <c r="E83" s="1785"/>
      <c r="F83" s="1732" t="s">
        <v>1344</v>
      </c>
      <c r="G83" s="1780" t="s">
        <v>1445</v>
      </c>
      <c r="H83" s="1780"/>
    </row>
    <row r="84" spans="1:8" ht="19.95" customHeight="1">
      <c r="A84" s="1738" t="s">
        <v>1443</v>
      </c>
      <c r="B84" s="1727" t="str">
        <f>HYPERLINK("#'貸付_附属明細表'!A1","貸付_附属明細表")</f>
        <v>貸付_附属明細表</v>
      </c>
      <c r="C84" s="1781" t="s">
        <v>1446</v>
      </c>
      <c r="D84" s="1781"/>
      <c r="E84" s="1781"/>
      <c r="F84" s="1732" t="s">
        <v>1344</v>
      </c>
      <c r="G84" s="1788" t="s">
        <v>1445</v>
      </c>
      <c r="H84" s="1788"/>
    </row>
    <row r="85" spans="1:8" ht="19.95" customHeight="1">
      <c r="A85" s="1738" t="s">
        <v>1443</v>
      </c>
      <c r="B85" s="1730" t="str">
        <f>HYPERLINK("#'貸付_決算精算表'!A1","貸付_決算精算表")</f>
        <v>貸付_決算精算表</v>
      </c>
      <c r="C85" s="1785" t="s">
        <v>1447</v>
      </c>
      <c r="D85" s="1785"/>
      <c r="E85" s="1785"/>
      <c r="F85" s="1732" t="s">
        <v>1344</v>
      </c>
      <c r="G85" s="1780" t="s">
        <v>1445</v>
      </c>
      <c r="H85" s="1780"/>
    </row>
    <row r="86" spans="1:8" ht="19.95" customHeight="1">
      <c r="A86" s="1735" t="s">
        <v>1390</v>
      </c>
      <c r="B86" s="1727" t="str">
        <f>HYPERLINK("#'貸付_白紙'!A1","貸付_白紙")</f>
        <v>貸付_白紙</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HYPERLINK("#'預託金_預金・未収・貸付・預託金'!C21","C21")</f>
        <v>C21</v>
      </c>
      <c r="D93" s="1791" t="s">
        <v>1463</v>
      </c>
      <c r="E93" s="1791"/>
      <c r="F93" s="1791"/>
      <c r="G93" s="1784" t="s">
        <v>1464</v>
      </c>
      <c r="H93" s="1784"/>
    </row>
    <row r="94" spans="1:8" ht="22.05" customHeight="1">
      <c r="A94" s="1742">
        <v>4</v>
      </c>
      <c r="B94" s="1743" t="s">
        <v>1462</v>
      </c>
      <c r="C94" s="1744" t="str">
        <f>HYPERLINK("#'預託金_預金・未収・貸付・預託金'!F21","F21")</f>
        <v>F21</v>
      </c>
      <c r="D94" s="1787" t="s">
        <v>1465</v>
      </c>
      <c r="E94" s="1787"/>
      <c r="F94" s="1787"/>
      <c r="G94" s="1792" t="s">
        <v>1464</v>
      </c>
      <c r="H94" s="1792"/>
    </row>
    <row r="95" spans="1:8" ht="22.05" customHeight="1">
      <c r="A95" s="1739">
        <v>5</v>
      </c>
      <c r="B95" s="1740" t="s">
        <v>1462</v>
      </c>
      <c r="C95" s="1741" t="str">
        <f>HYPERLINK("#'預託金_預金・未収・貸付・預託金'!I21","I21")</f>
        <v>I21</v>
      </c>
      <c r="D95" s="1791" t="s">
        <v>1466</v>
      </c>
      <c r="E95" s="1791"/>
      <c r="F95" s="1791"/>
      <c r="G95" s="1784" t="s">
        <v>1464</v>
      </c>
      <c r="H95" s="1784"/>
    </row>
    <row r="96" spans="1:8" ht="22.05" customHeight="1">
      <c r="A96" s="1742">
        <v>6</v>
      </c>
      <c r="B96" s="1743" t="s">
        <v>1467</v>
      </c>
      <c r="C96" s="1744" t="str">
        <f>HYPERLINK("#'業務_附属明細表'!G31","G31")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HYPERLINK("#'業務_附属明細表'!M91","M91")</f>
        <v>M91</v>
      </c>
      <c r="D99" s="1791" t="s">
        <v>1474</v>
      </c>
      <c r="E99" s="1791"/>
      <c r="F99" s="1791"/>
      <c r="G99" s="1784" t="s">
        <v>1473</v>
      </c>
      <c r="H99" s="1784"/>
    </row>
    <row r="100" spans="1:8" ht="22.05" customHeight="1">
      <c r="A100" s="1742">
        <v>10</v>
      </c>
      <c r="B100" s="1743" t="s">
        <v>1475</v>
      </c>
      <c r="C100" s="1744" t="str">
        <f>HYPERLINK("#'保健_附属明細表'!M147","M147")</f>
        <v>M147</v>
      </c>
      <c r="D100" s="1787" t="s">
        <v>1476</v>
      </c>
      <c r="E100" s="1787"/>
      <c r="F100" s="1787"/>
      <c r="G100" s="1792" t="s">
        <v>1473</v>
      </c>
      <c r="H100" s="1792"/>
    </row>
    <row r="101" spans="1:8" ht="22.05" customHeight="1">
      <c r="A101" s="1739">
        <v>11</v>
      </c>
      <c r="B101" s="1740" t="s">
        <v>1477</v>
      </c>
      <c r="C101" s="1741" t="str">
        <f>HYPERLINK("#'貸付_決算精算表'!D31","D31")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HYPERLINK("#'退職等_貸借・損益'!L9","L9")</f>
        <v>L9</v>
      </c>
      <c r="D106" s="1787" t="s">
        <v>1488</v>
      </c>
      <c r="E106" s="1787"/>
      <c r="F106" s="1787"/>
      <c r="G106" s="1789" t="s">
        <v>1489</v>
      </c>
      <c r="H106" s="1789"/>
    </row>
    <row r="107" spans="1:8" ht="28.05" customHeight="1">
      <c r="A107" s="1739">
        <v>2</v>
      </c>
      <c r="B107" s="1740" t="s">
        <v>1490</v>
      </c>
      <c r="C107" s="1741" t="str">
        <f>HYPERLINK("#'貸付_財務諸表'!F20","F20")</f>
        <v>F20</v>
      </c>
      <c r="D107" s="1791" t="s">
        <v>1491</v>
      </c>
      <c r="E107" s="1791"/>
      <c r="F107" s="1791"/>
      <c r="G107" s="1789" t="s">
        <v>1492</v>
      </c>
      <c r="H107" s="1789"/>
    </row>
    <row r="108" spans="1:8" ht="28.05" customHeight="1">
      <c r="A108" s="1742">
        <v>3</v>
      </c>
      <c r="B108" s="1743" t="s">
        <v>1475</v>
      </c>
      <c r="C108" s="1744" t="str">
        <f>HYPERLINK("#'保健_附属明細表'!J138","J138")</f>
        <v>J138</v>
      </c>
      <c r="D108" s="1787" t="s">
        <v>1493</v>
      </c>
      <c r="E108" s="1787"/>
      <c r="F108" s="1787"/>
      <c r="G108" s="1789" t="s">
        <v>1494</v>
      </c>
      <c r="H108" s="1789"/>
    </row>
    <row r="109" spans="1:8" ht="28.05" customHeight="1">
      <c r="A109" s="1739">
        <v>4</v>
      </c>
      <c r="B109" s="1740" t="s">
        <v>1495</v>
      </c>
      <c r="C109" s="1741" t="str">
        <f>HYPERLINK("#'短期_附属明細表'!E110","E110")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row r="128" spans="1:8" ht="25.05" customHeight="1">
      <c r="A128" s="1790" t="inlineStr">
        <is>
          <t>8. 元ファイルとの相違（要確認）</t>
        </is>
      </c>
      <c r="B128" s="1790"/>
      <c r="C128" s="1790"/>
      <c r="D128" s="1790"/>
      <c r="E128" s="1790"/>
      <c r="F128" s="1790"/>
      <c r="G128" s="1790"/>
      <c r="H128" s="1790"/>
    </row>
    <row r="129" spans="1:8" ht="42" customHeight="1">
      <c r="A129" s="1803" t="inlineStr">
        <is>
          <t>元の決算書（.xls 21本）と照合した結果、7,677セル中7,659セルが一致しました。下の箇所は元と異なるため、正しい額・表記かを確認してください。セル番地をクリックすると該当セルへ移動します。画面では該当セルが橙色で表示されます（印刷には出ません）。全件は「元ファイルとの照合結果.xlsx」にあります。</t>
        </is>
      </c>
      <c r="B129" s="1803"/>
      <c r="C129" s="1803"/>
      <c r="D129" s="1803"/>
      <c r="E129" s="1803"/>
      <c r="F129" s="1803"/>
      <c r="G129" s="1803"/>
      <c r="H129" s="1803"/>
    </row>
    <row r="130" spans="1:8" ht="22.05" customHeight="1">
      <c r="A130" s="1700" t="inlineStr">
        <is>
          <t>No</t>
        </is>
      </c>
      <c r="B130" s="1700" t="inlineStr">
        <is>
          <t>対象シート</t>
        </is>
      </c>
      <c r="C130" s="1700" t="inlineStr">
        <is>
          <t>セル番地</t>
        </is>
      </c>
      <c r="D130" s="1793" t="inlineStr">
        <is>
          <t>相違の内容（元ファイル → 統合ブック）</t>
        </is>
      </c>
      <c r="E130" s="1793"/>
      <c r="F130" s="1793"/>
      <c r="G130" s="1793" t="inlineStr">
        <is>
          <t>確認のしかた</t>
        </is>
      </c>
      <c r="H130" s="1793"/>
    </row>
    <row r="131" spans="1:8" ht="52" customHeight="1">
      <c r="A131" s="1739">
        <v>1</v>
      </c>
      <c r="B131" s="1740" t="inlineStr">
        <is>
          <t>退職等_預金・立替・未収</t>
        </is>
      </c>
      <c r="C131" s="1741" t="str">
        <f>HYPERLINK("#'退職等_預金・立替・未収'!C33","C33、C34")</f>
        <v>C33、C34</v>
      </c>
      <c r="D131" s="1791" t="inlineStr">
        <is>
          <t>預り金明細（過払金等返還金・組合員1名分）
元 4,050円 → 統合ブック 0円</t>
        </is>
      </c>
      <c r="E131" s="1791"/>
      <c r="F131" s="1791"/>
      <c r="G131" s="1784" t="inlineStr">
        <is>
          <t>預り金が実際に残っているか確認。残っていればC33に4,050を入力（C34と貸借対照表の預り金に連動）。</t>
        </is>
      </c>
      <c r="H131" s="1784"/>
    </row>
    <row r="132" spans="1:8" ht="52" customHeight="1">
      <c r="A132" s="1742">
        <v>2</v>
      </c>
      <c r="B132" s="1743" t="inlineStr">
        <is>
          <t>保健_附属明細表</t>
        </is>
      </c>
      <c r="C132" s="1744" t="str">
        <f>HYPERLINK("#'保健_附属明細表'!J138","J138、T138、J139、T139")</f>
        <v>J138、T138、J139、T139</v>
      </c>
      <c r="D132" s="1787" t="inlineStr">
        <is>
          <t>支出実績表 事務費
支出済額 元 543,780円 → 513,236円、不用額 元 125,676円 → 156,220円</t>
        </is>
      </c>
      <c r="E132" s="1787"/>
      <c r="F132" s="1787"/>
      <c r="G132" s="1792" t="inlineStr">
        <is>
          <t>未払金30,544円の二重控除を直した値。決算報告書P21の不用額（-156,220円）と一致。参照先（決算精算表C30）でよいか確認。</t>
        </is>
      </c>
      <c r="H132" s="1792"/>
    </row>
    <row r="133" spans="1:8" ht="52" customHeight="1">
      <c r="A133" s="1739">
        <v>3</v>
      </c>
      <c r="B133" s="1740" t="inlineStr">
        <is>
          <t>貸付_財務諸表</t>
        </is>
      </c>
      <c r="C133" s="1741" t="str">
        <f>HYPERLINK("#'貸付_財務諸表'!F20","F20、F22")</f>
        <v>F20、F22</v>
      </c>
      <c r="D133" s="1791" t="inlineStr">
        <is>
          <t>欠損金補てん積立金 元 1,966,406,293円 → 1,957,132,740円
下段の積立金 元 -9,273,553円 → 0円</t>
        </is>
      </c>
      <c r="E133" s="1791"/>
      <c r="F133" s="1791"/>
      <c r="G133" s="1784" t="inlineStr">
        <is>
          <t>2行の合計と純資産合計（1,957,132,740円）は同額。表示の区分けが元の様式どおりか確認。</t>
        </is>
      </c>
      <c r="H133" s="1784"/>
    </row>
    <row r="134" spans="1:8" ht="52" customHeight="1">
      <c r="A134" s="1742">
        <v>4</v>
      </c>
      <c r="B134" s="1743" t="inlineStr">
        <is>
          <t>報告_短期P11-13</t>
        </is>
      </c>
      <c r="C134" s="1744" t="str">
        <f>HYPERLINK("#'報告_短期P11-13'!AD18","AD18、AA49、AP49")</f>
        <v>AD18、AA49、AP49</v>
      </c>
      <c r="D134" s="1787" t="inlineStr">
        <is>
          <t>家族・移送費 前年度1件当たり金額 元 0円 → 70,824円
本人・訪問看護 前年度対比 元 0.00 → 件数100.00%、日数85.71%</t>
        </is>
      </c>
      <c r="E134" s="1787"/>
      <c r="F134" s="1787"/>
      <c r="G134" s="1792" t="inlineStr">
        <is>
          <t>元は0の固定値。同じ表の元データ（70,824円÷1件）から算出した値。前年度に実績があれば統合後が正しい。</t>
        </is>
      </c>
      <c r="H134" s="1792"/>
    </row>
    <row r="135" spans="1:8" ht="52" customHeight="1">
      <c r="A135" s="1739">
        <v>5</v>
      </c>
      <c r="B135" s="1740" t="inlineStr">
        <is>
          <t>報告_P8グラフデータ</t>
        </is>
      </c>
      <c r="C135" s="1741" t="str">
        <f>HYPERLINK("#'報告_P8グラフデータ'!B8","B8、B11")</f>
        <v>B8、B11</v>
      </c>
      <c r="D135" s="1791" t="inlineStr">
        <is>
          <t>交付金の1人当たり金額 元 36,502円 → 36,503円
収入の合計 元 674,925円 → 674,926円</t>
        </is>
      </c>
      <c r="E135" s="1791"/>
      <c r="F135" s="1791"/>
      <c r="G135" s="1784" t="inlineStr">
        <is>
          <t>G8=36,502.9の四捨五入。元のP8吹き出し図形も36,503円。P8の円グラフの数値と合っているか確認。</t>
        </is>
      </c>
      <c r="H135" s="1784"/>
    </row>
    <row r="136" spans="1:8" ht="52" customHeight="1">
      <c r="A136" s="1742">
        <v>6</v>
      </c>
      <c r="B136" s="1743" t="inlineStr">
        <is>
          <t>短期_附属明細表</t>
        </is>
      </c>
      <c r="C136" s="1744" t="str">
        <f>HYPERLINK("#'短期_附属明細表'!E110","E110")</f>
        <v>E110</v>
      </c>
      <c r="D136" s="1787" t="inlineStr">
        <is>
          <t>利益剰余金計算書の見出し
元「介護欠損金」 → 「介護積立金」</t>
        </is>
      </c>
      <c r="E136" s="1787"/>
      <c r="F136" s="1787"/>
      <c r="G136" s="1792" t="inlineStr">
        <is>
          <t>金額が+111,039,759円（プラス）のため自動で切替。見出しが正しいか確認。</t>
        </is>
      </c>
      <c r="H136" s="1792"/>
    </row>
    <row r="137" spans="1:8" ht="52" customHeight="1">
      <c r="A137" s="1739">
        <v>7</v>
      </c>
      <c r="B137" s="1740" t="inlineStr">
        <is>
          <t>短期_決算精算表</t>
        </is>
      </c>
      <c r="C137" s="1741" t="str">
        <f>HYPERLINK("#'短期_決算精算表'!I48","I48")</f>
        <v>I48</v>
      </c>
      <c r="D137" s="1791" t="inlineStr">
        <is>
          <t>「●6年度決算上の次年度繰越支払準備金」 → 「●7年度…」</t>
        </is>
      </c>
      <c r="E137" s="1791"/>
      <c r="F137" s="1791"/>
      <c r="G137" s="1784" t="inlineStr">
        <is>
          <t>入力ガイドの対象年度（C6）に連動。元の表記が前年度のままだった可能性。</t>
        </is>
      </c>
      <c r="H137" s="1784"/>
    </row>
    <row r="138" spans="1:8" ht="52" customHeight="1">
      <c r="A138" s="1742">
        <v>8</v>
      </c>
      <c r="B138" s="1743" t="inlineStr">
        <is>
          <t>厚生_決算精算表</t>
        </is>
      </c>
      <c r="C138" s="1744" t="str">
        <f>HYPERLINK("#'厚生_決算精算表'!A25","A25")</f>
        <v>A25</v>
      </c>
      <c r="D138" s="1787" t="inlineStr">
        <is>
          <t>作成日の数字の全角・半角のみ（令和 8年 → 令和 ８年）</t>
        </is>
      </c>
      <c r="E138" s="1787"/>
      <c r="F138" s="1787"/>
      <c r="G138" s="1792" t="inlineStr">
        <is>
          <t>数式で作成した日付。体裁のみの違い。</t>
        </is>
      </c>
      <c r="H138" s="1792"/>
    </row>
    <row r="140" spans="1:8" ht="25.05" customHeight="1">
      <c r="A140" s="1790" t="inlineStr">
        <is>
          <t>9. Enterキーで次の手入力セルへ移動</t>
        </is>
      </c>
      <c r="B140" s="1790"/>
      <c r="C140" s="1790"/>
      <c r="D140" s="1790"/>
      <c r="E140" s="1790"/>
      <c r="F140" s="1790"/>
      <c r="G140" s="1790"/>
      <c r="H140" s="1790"/>
    </row>
    <row r="141" spans="1:8" ht="70" customHeight="1">
      <c r="A141" s="1803" t="inlineStr">
        <is>
          <t>手入力セル（「入力セル一覧」に載っているセル）に入力して Enter を押すと、次の手入力セルへ移動します。順番は「入力セル一覧」の並びで、別のシートにあるときはそのシートへ移ります。Shift+Enter で前の手入力セルへ戻ります。手入力セル以外では、Enter は通常どおり動きます。Tab・矢印キーも通常どおりです。この動作は G19 が 1 のときだけ有効です。0 にすると通常の Enter に戻ります（マクロが無効のときは動きません）。</t>
        </is>
      </c>
      <c r="B141" s="1803"/>
      <c r="C141" s="1803"/>
      <c r="D141" s="1803"/>
      <c r="E141" s="1803"/>
      <c r="F141" s="1803"/>
      <c r="G141" s="1803"/>
      <c r="H141" s="1803"/>
    </row>
  </sheetData>
  <sheetProtection formatCells="0" formatColumns="0" formatRows="0" insertColumns="0" insertRows="0" insertHyperlinks="0" deleteColumns="0" deleteRows="0" selectLockedCells="1"/>
  <mergeCells count="228">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 ref="A128:H128"/>
    <mergeCell ref="A129:H129"/>
    <mergeCell ref="D130:F130"/>
    <mergeCell ref="G130:H130"/>
    <mergeCell ref="D131:F131"/>
    <mergeCell ref="G131:H131"/>
    <mergeCell ref="D132:F132"/>
    <mergeCell ref="G132:H132"/>
    <mergeCell ref="D133:F133"/>
    <mergeCell ref="G133:H133"/>
    <mergeCell ref="D134:F134"/>
    <mergeCell ref="G134:H134"/>
    <mergeCell ref="D135:F135"/>
    <mergeCell ref="G135:H135"/>
    <mergeCell ref="D136:F136"/>
    <mergeCell ref="G136:H136"/>
    <mergeCell ref="D137:F137"/>
    <mergeCell ref="G137:H137"/>
    <mergeCell ref="D138:F138"/>
    <mergeCell ref="G138:H138"/>
    <mergeCell ref="A140:H140"/>
    <mergeCell ref="A141:H141"/>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報告_短期P11-13、報告_P8グラフデータ、短期_財務諸表、短期_附属明細表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報告_短期P11-13、報告_P8グラフデータ、短期_財務諸表、短期_附属明細表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報告_短期P11-13、報告_P8グラフデータ、短期_財務諸表、短期_附属明細表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報告_短期P11-13、報告_P8グラフデータ、短期_財務諸表、短期_附属明細表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報告_短期P11-13、報告_P8グラフデータ、短期_財務諸表、短期_附属明細表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報告_短期P11-13、報告_P8グラフデータ、短期_財務諸表、短期_附属明細表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報告_短期P11-13、報告_P8グラフデータ、短期_財務諸表、短期_附属明細表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報告_短期P11-13、報告_P8グラフデータ、短期_財務諸表、短期_附属明細表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報告_短期P11-13、報告_P8グラフデータ、短期_財務諸表、短期_附属明細表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報告_短期P11-13、報告_P8グラフデータ、短期_財務諸表、短期_附属明細表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報告_短期P11-13、報告_P8グラフデータ、短期_財務諸表、短期_附属明細表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報告_短期P11-13、報告_P8グラフデータ、短期_財務諸表、短期_附属明細表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報告_短期P11-13、報告_P8グラフデータ、短期_財務諸表、短期_附属明細表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報告_短期P11-13、報告_P8グラフデータ、短期_財務諸表、短期_附属明細表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報告_短期P11-13、報告_P8グラフデータ、短期_財務諸表、短期_附属明細表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報告_短期P11-13、報告_P8グラフデータ、短期_財務諸表、短期_附属明細表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報告_短期P11-13、報告_P8グラフデータ、短期_財務諸表、短期_附属明細表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報告_短期P11-13、報告_P8グラフデータ、短期_財務諸表、短期_附属明細表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報告_短期P11-13、報告_P8グラフデータ、短期_財務諸表、短期_附属明細表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報告_短期P11-13、報告_P8グラフデータ、短期_財務諸表、短期_附属明細表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報告_短期P11-13、報告_P8グラフデータ、短期_財務諸表、短期_附属明細表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報告_短期P11-13、報告_P8グラフデータ、短期_財務諸表、短期_附属明細表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報告_短期P11-13、報告_P8グラフデータ、短期_財務諸表、短期_附属明細表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報告_短期P11-13、報告_P8グラフデータ、短期_財務諸表、短期_附属明細表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報告_短期P11-13、報告_P8グラフデータ、短期_財務諸表、短期_附属明細表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報告_短期P11-13、報告_P8グラフデータ、短期_財務諸表、短期_附属明細表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報告_短期P11-13、報告_P8グラフデータ、短期_財務諸表、短期_附属明細表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報告_短期P11-13、報告_P8グラフデータ、短期_財務諸表、短期_附属明細表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報告_短期P11-13、報告_P8グラフデータ、短期_財務諸表、短期_附属明細表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報告_短期P11-13、報告_P8グラフデータ、短期_財務諸表、短期_附属明細表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報告_短期P11-13、報告_P8グラフデータ、短期_財務諸表、短期_附属明細表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報告_短期P11-13、報告_P8グラフデータ、短期_財務諸表、短期_附属明細表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報告_短期P11-13、報告_P8グラフデータ、短期_財務諸表、短期_附属明細表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報告_短期P11-13、報告_P8グラフデータ、短期_財務諸表、短期_附属明細表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報告_短期P11-13、報告_P8グラフデータ、短期_財務諸表、短期_附属明細表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厚生_貸借・損益、厚生_決算精算表</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厚生_貸借・損益、厚生_決算精算表</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厚生_貸借・損益、厚生_決算精算表</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厚生_貸借・損益、厚生_決算精算表</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厚生_貸借・損益、厚生_決算精算表</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厚生_貸借・損益、厚生_決算精算表</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退職等_貸借・損益、退職等_決算精算表</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退職等_貸借・損益、退職等_決算精算表</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退職等_貸借・損益、退職等_決算精算表</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退職等_貸借・損益、退職等_決算精算表</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経過的_貸借・損益、経過的_決算精算表</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経過的_貸借・損益、経過的_決算精算表</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経過的_貸借・損益、経過的_決算精算表</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経過的_貸借・損益、経過的_決算精算表</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 E122</t>
        </is>
      </c>
      <c r="I356" s="1708" t="inlineStr">
        <is>
          <t>業務_附属明細表</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 E123</t>
        </is>
      </c>
      <c r="I357" s="1708" t="inlineStr">
        <is>
          <t>業務_附属明細表</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 E124</t>
        </is>
      </c>
      <c r="I359" s="1708" t="inlineStr">
        <is>
          <t>業務_附属明細表</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保健_財務諸表、保健_附属明細表、保健_決算精算表</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保健_財務諸表、保健_附属明細表、保健_決算精算表</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保健_財務諸表、保健_附属明細表、保健_決算精算表</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保健_財務諸表、保健_附属明細表、保健_決算精算表</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保健_財務諸表、保健_附属明細表、保健_決算精算表</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 E136</t>
        </is>
      </c>
      <c r="I405" s="1708" t="inlineStr">
        <is>
          <t>保健_附属明細表</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 E137</t>
        </is>
      </c>
      <c r="I408" s="1708" t="inlineStr">
        <is>
          <t>保健_附属明細表</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 E138</t>
        </is>
      </c>
      <c r="I410" s="1708" t="inlineStr">
        <is>
          <t>保健_附属明細表</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HYPERLINK("#'短期_財務諸表'!L41","L41")</f>
        <v>L41</v>
      </c>
      <c r="D555" s="1711" t="s">
        <v>1902</v>
      </c>
      <c r="E555" s="1757">
        <f>IF(短期_財務諸表!L41="","",短期_財務諸表!L41)</f>
        <v>0</v>
      </c>
      <c r="F555" s="1711" t="s">
        <v>1644</v>
      </c>
      <c r="G555" s="1709" t="str">
        <f t="shared" si="8"/>
        <v>0（確認）</v>
      </c>
      <c r="H555" s="1708" t="inlineStr">
        <is>
          <t>短期_財務諸表 L47</t>
        </is>
      </c>
      <c r="I555" s="1708" t="inlineStr">
        <is>
          <t>報告_短期P11-13、短期_附属明細表、短期_決算精算表</t>
        </is>
      </c>
    </row>
    <row r="556" spans="1:9" ht="19.95" customHeight="1">
      <c r="A556" s="1752" t="s">
        <v>7</v>
      </c>
      <c r="B556" s="1708" t="s">
        <v>1901</v>
      </c>
      <c r="C556" s="1753" t="str">
        <f>HYPERLINK("#'短期_財務諸表'!L65","L65")</f>
        <v>L65</v>
      </c>
      <c r="D556" s="1708" t="s">
        <v>1903</v>
      </c>
      <c r="E556" s="1754">
        <f>IF(短期_財務諸表!L65="","",短期_財務諸表!L65)</f>
        <v>0</v>
      </c>
      <c r="F556" s="1708" t="s">
        <v>1644</v>
      </c>
      <c r="G556" s="1709" t="str">
        <f t="shared" si="8"/>
        <v>0（確認）</v>
      </c>
      <c r="H556" s="1708" t="inlineStr">
        <is>
          <t>短期_財務諸表 L67</t>
        </is>
      </c>
      <c r="I556" s="1708" t="inlineStr">
        <is>
          <t>報告_短期P11-13、短期_附属明細表、短期_決算精算表</t>
        </is>
      </c>
    </row>
    <row r="557" spans="1:9" ht="19.95" customHeight="1">
      <c r="A557" s="1755" t="s">
        <v>7</v>
      </c>
      <c r="B557" s="1711" t="s">
        <v>1495</v>
      </c>
      <c r="C557" s="1756" t="str">
        <f>HYPERLINK("#'短期_附属明細表'!M5","M5")</f>
        <v>M5</v>
      </c>
      <c r="D557" s="1711" t="s">
        <v>1904</v>
      </c>
      <c r="E557" s="1757">
        <f>IF(短期_附属明細表!M5="","",短期_附属明細表!M5)</f>
        <v>3939589431</v>
      </c>
      <c r="F557" s="1711" t="s">
        <v>1905</v>
      </c>
      <c r="G557" s="1709" t="str">
        <f t="shared" si="8"/>
        <v>入力済</v>
      </c>
      <c r="H557" s="1708" t="inlineStr">
        <is>
          <t>短期_附属明細表 M6</t>
        </is>
      </c>
      <c r="I557" s="1708" t="inlineStr">
        <is>
          <t>短期_財務諸表、短期_決算精算表</t>
        </is>
      </c>
    </row>
    <row r="558" spans="1:9" ht="19.95" customHeight="1">
      <c r="A558" s="1752" t="s">
        <v>7</v>
      </c>
      <c r="B558" s="1708" t="s">
        <v>1495</v>
      </c>
      <c r="C558" s="1753" t="str">
        <f>HYPERLINK("#'短期_附属明細表'!M7","M7")</f>
        <v>M7</v>
      </c>
      <c r="D558" s="1708" t="s">
        <v>1906</v>
      </c>
      <c r="E558" s="1754">
        <f>IF(短期_附属明細表!M7="","",短期_附属明細表!M7)</f>
        <v>36919452</v>
      </c>
      <c r="F558" s="1708" t="s">
        <v>1905</v>
      </c>
      <c r="G558" s="1709" t="str">
        <f t="shared" si="8"/>
        <v>入力済</v>
      </c>
      <c r="H558" s="1708" t="inlineStr">
        <is>
          <t>短期_附属明細表 M8</t>
        </is>
      </c>
      <c r="I558" s="1708" t="inlineStr">
        <is>
          <t>短期_財務諸表、短期_決算精算表</t>
        </is>
      </c>
    </row>
    <row r="559" spans="1:9" ht="19.95" customHeight="1">
      <c r="A559" s="1755" t="s">
        <v>7</v>
      </c>
      <c r="B559" s="1711" t="s">
        <v>1495</v>
      </c>
      <c r="C559" s="1756" t="str">
        <f>HYPERLINK("#'短期_附属明細表'!M15","M15")</f>
        <v>M15</v>
      </c>
      <c r="D559" s="1711" t="s">
        <v>1907</v>
      </c>
      <c r="E559" s="1757">
        <f>IF(短期_附属明細表!M15="","",短期_附属明細表!M15)</f>
        <v>0</v>
      </c>
      <c r="F559" s="1711" t="s">
        <v>1905</v>
      </c>
      <c r="G559" s="1709" t="str">
        <f t="shared" si="8"/>
        <v>0（確認）</v>
      </c>
      <c r="H559" s="1708" t="inlineStr">
        <is>
          <t>短期_附属明細表 M16</t>
        </is>
      </c>
      <c r="I559" s="1708" t="inlineStr">
        <is>
          <t>短期_財務諸表</t>
        </is>
      </c>
    </row>
    <row r="560" spans="1:9" ht="19.95" customHeight="1">
      <c r="A560" s="1752" t="s">
        <v>7</v>
      </c>
      <c r="B560" s="1708" t="s">
        <v>1495</v>
      </c>
      <c r="C560" s="1753" t="str">
        <f>HYPERLINK("#'短期_附属明細表'!M22","M22")</f>
        <v>M22</v>
      </c>
      <c r="D560" s="1708" t="s">
        <v>1907</v>
      </c>
      <c r="E560" s="1754">
        <f>IF(短期_附属明細表!M22="","",短期_附属明細表!M22)</f>
        <v>0</v>
      </c>
      <c r="F560" s="1708" t="s">
        <v>1905</v>
      </c>
      <c r="G560" s="1709" t="str">
        <f t="shared" si="8"/>
        <v>0（確認）</v>
      </c>
      <c r="H560" s="1708" t="inlineStr">
        <is>
          <t>短期_附属明細表 M25</t>
        </is>
      </c>
      <c r="I560" s="1708" t="inlineStr">
        <is>
          <t>短期_財務諸表</t>
        </is>
      </c>
    </row>
    <row r="561" spans="1:9" ht="19.95" customHeight="1">
      <c r="A561" s="1755" t="s">
        <v>7</v>
      </c>
      <c r="B561" s="1711" t="s">
        <v>1495</v>
      </c>
      <c r="C561" s="1756" t="str">
        <f>HYPERLINK("#'短期_附属明細表'!M23","M23")</f>
        <v>M23</v>
      </c>
      <c r="D561" s="1711" t="s">
        <v>1907</v>
      </c>
      <c r="E561" s="1757">
        <f>IF(短期_附属明細表!M23="","",短期_附属明細表!M23)</f>
        <v>0</v>
      </c>
      <c r="F561" s="1711" t="s">
        <v>1905</v>
      </c>
      <c r="G561" s="1709" t="str">
        <f t="shared" si="8"/>
        <v>0（確認）</v>
      </c>
      <c r="H561" s="1708" t="inlineStr">
        <is>
          <t>短期_附属明細表 M25</t>
        </is>
      </c>
      <c r="I561" s="1708" t="inlineStr">
        <is>
          <t>短期_財務諸表</t>
        </is>
      </c>
    </row>
    <row r="562" spans="1:9" ht="19.95" customHeight="1">
      <c r="A562" s="1752" t="s">
        <v>7</v>
      </c>
      <c r="B562" s="1708" t="s">
        <v>1495</v>
      </c>
      <c r="C562" s="1753" t="str">
        <f>HYPERLINK("#'短期_附属明細表'!M24","M24")</f>
        <v>M24</v>
      </c>
      <c r="D562" s="1708" t="s">
        <v>1907</v>
      </c>
      <c r="E562" s="1754">
        <f>IF(短期_附属明細表!M24="","",短期_附属明細表!M24)</f>
        <v>0</v>
      </c>
      <c r="F562" s="1708" t="s">
        <v>1905</v>
      </c>
      <c r="G562" s="1709" t="str">
        <f t="shared" si="8"/>
        <v>0（確認）</v>
      </c>
      <c r="H562" s="1708" t="inlineStr">
        <is>
          <t>短期_附属明細表 M25</t>
        </is>
      </c>
      <c r="I562" s="1708" t="inlineStr">
        <is>
          <t>短期_財務諸表</t>
        </is>
      </c>
    </row>
    <row r="563" spans="1:9" ht="19.95" customHeight="1">
      <c r="A563" s="1755" t="s">
        <v>7</v>
      </c>
      <c r="B563" s="1711" t="s">
        <v>1495</v>
      </c>
      <c r="C563" s="1756" t="str">
        <f>HYPERLINK("#'短期_附属明細表'!G38","G38")</f>
        <v>G38</v>
      </c>
      <c r="D563" s="1711" t="s">
        <v>1908</v>
      </c>
      <c r="E563" s="1757">
        <f>IF(短期_附属明細表!G38="","",短期_附属明細表!G38)</f>
        <v>0</v>
      </c>
      <c r="F563" s="1711" t="s">
        <v>1905</v>
      </c>
      <c r="G563" s="1709" t="str">
        <f t="shared" si="8"/>
        <v>0（確認）</v>
      </c>
      <c r="H563" s="1708" t="inlineStr">
        <is>
          <t>短期_附属明細表 G42</t>
        </is>
      </c>
      <c r="I563" s="1708" t="inlineStr">
        <is>
          <t>短期_財務諸表</t>
        </is>
      </c>
    </row>
    <row r="564" spans="1:9" ht="19.95" customHeight="1">
      <c r="A564" s="1752" t="s">
        <v>7</v>
      </c>
      <c r="B564" s="1708" t="s">
        <v>1495</v>
      </c>
      <c r="C564" s="1753" t="str">
        <f>HYPERLINK("#'短期_附属明細表'!G39","G39")</f>
        <v>G39</v>
      </c>
      <c r="D564" s="1708" t="s">
        <v>1909</v>
      </c>
      <c r="E564" s="1754">
        <f>IF(短期_附属明細表!G39="","",短期_附属明細表!G39)</f>
        <v>0</v>
      </c>
      <c r="F564" s="1708" t="s">
        <v>1905</v>
      </c>
      <c r="G564" s="1709" t="str">
        <f t="shared" si="8"/>
        <v>0（確認）</v>
      </c>
      <c r="H564" s="1708" t="inlineStr">
        <is>
          <t>短期_附属明細表 G42</t>
        </is>
      </c>
      <c r="I564" s="1708" t="inlineStr">
        <is>
          <t>短期_財務諸表</t>
        </is>
      </c>
    </row>
    <row r="565" spans="1:9" ht="19.95" customHeight="1">
      <c r="A565" s="1755" t="s">
        <v>7</v>
      </c>
      <c r="B565" s="1711" t="s">
        <v>1495</v>
      </c>
      <c r="C565" s="1756" t="str">
        <f>HYPERLINK("#'短期_附属明細表'!G40","G40")</f>
        <v>G40</v>
      </c>
      <c r="D565" s="1711" t="s">
        <v>1910</v>
      </c>
      <c r="E565" s="1757">
        <f>IF(短期_附属明細表!G40="","",短期_附属明細表!G40)</f>
        <v>0</v>
      </c>
      <c r="F565" s="1711" t="s">
        <v>1905</v>
      </c>
      <c r="G565" s="1709" t="str">
        <f t="shared" si="8"/>
        <v>0（確認）</v>
      </c>
      <c r="H565" s="1708" t="inlineStr">
        <is>
          <t>短期_附属明細表 G42</t>
        </is>
      </c>
      <c r="I565" s="1708" t="inlineStr">
        <is>
          <t>短期_財務諸表</t>
        </is>
      </c>
    </row>
    <row r="566" spans="1:9" ht="19.95" customHeight="1">
      <c r="A566" s="1752" t="s">
        <v>7</v>
      </c>
      <c r="B566" s="1708" t="s">
        <v>1495</v>
      </c>
      <c r="C566" s="1753" t="str">
        <f>HYPERLINK("#'短期_附属明細表'!G41","G41")</f>
        <v>G41</v>
      </c>
      <c r="D566" s="1708" t="s">
        <v>1911</v>
      </c>
      <c r="E566" s="1754">
        <f>IF(短期_附属明細表!G41="","",短期_附属明細表!G41)</f>
        <v>0</v>
      </c>
      <c r="F566" s="1708" t="s">
        <v>1905</v>
      </c>
      <c r="G566" s="1709" t="str">
        <f t="shared" si="8"/>
        <v>0（確認）</v>
      </c>
      <c r="H566" s="1708" t="inlineStr">
        <is>
          <t>短期_附属明細表 G42</t>
        </is>
      </c>
      <c r="I566" s="1708" t="inlineStr">
        <is>
          <t>短期_財務諸表</t>
        </is>
      </c>
    </row>
    <row r="567" spans="1:9" ht="19.95" customHeight="1">
      <c r="A567" s="1755" t="s">
        <v>7</v>
      </c>
      <c r="B567" s="1711" t="s">
        <v>1495</v>
      </c>
      <c r="C567" s="1756" t="str">
        <f>HYPERLINK("#'短期_附属明細表'!G48","G48")</f>
        <v>G48</v>
      </c>
      <c r="D567" s="1711" t="s">
        <v>1912</v>
      </c>
      <c r="E567" s="1757">
        <f>IF(短期_附属明細表!G48="","",短期_附属明細表!G48)</f>
        <v>54568</v>
      </c>
      <c r="F567" s="1711" t="s">
        <v>1905</v>
      </c>
      <c r="G567" s="1709" t="str">
        <f t="shared" si="8"/>
        <v>入力済</v>
      </c>
      <c r="H567" s="1708" t="inlineStr">
        <is>
          <t>報告_短期P7-10 CB38、短期_附属明細表 G49、短期_決算精算表 F48</t>
        </is>
      </c>
      <c r="I567" s="1708" t="inlineStr">
        <is>
          <t>報告_短期P7-10、報告_短期P11-13、報告_P8グラフデータ、短期_財務諸表 ほか1シート</t>
        </is>
      </c>
    </row>
    <row r="568" spans="1:9" ht="19.95" customHeight="1">
      <c r="A568" s="1752" t="s">
        <v>7</v>
      </c>
      <c r="B568" s="1708" t="s">
        <v>1495</v>
      </c>
      <c r="C568" s="1753" t="str">
        <f>HYPERLINK("#'短期_附属明細表'!G55","G55")</f>
        <v>G55</v>
      </c>
      <c r="D568" s="1708" t="s">
        <v>1913</v>
      </c>
      <c r="E568" s="1754">
        <f>IF(短期_附属明細表!G55="","",短期_附属明細表!G55)</f>
        <v>59427000</v>
      </c>
      <c r="F568" s="1708" t="s">
        <v>1905</v>
      </c>
      <c r="G568" s="1709" t="str">
        <f t="shared" si="8"/>
        <v>入力済</v>
      </c>
      <c r="H568" s="1708" t="inlineStr">
        <is>
          <t>短期_附属明細表 G56</t>
        </is>
      </c>
      <c r="I568" s="1708" t="inlineStr">
        <is>
          <t>短期_財務諸表、短期_決算精算表</t>
        </is>
      </c>
    </row>
    <row r="569" spans="1:9" ht="19.95" customHeight="1">
      <c r="A569" s="1755" t="s">
        <v>7</v>
      </c>
      <c r="B569" s="1711" t="s">
        <v>1495</v>
      </c>
      <c r="C569" s="1756" t="str">
        <f>HYPERLINK("#'短期_附属明細表'!G61","G61")</f>
        <v>G61</v>
      </c>
      <c r="D569" s="1711" t="s">
        <v>1914</v>
      </c>
      <c r="E569" s="1757">
        <f>IF(短期_附属明細表!G61="","",短期_附属明細表!G61)</f>
        <v>0</v>
      </c>
      <c r="F569" s="1711" t="s">
        <v>1905</v>
      </c>
      <c r="G569" s="1709" t="str">
        <f t="shared" si="8"/>
        <v>0（確認）</v>
      </c>
      <c r="H569" s="1708" t="inlineStr">
        <is>
          <t>短期_附属明細表 G63</t>
        </is>
      </c>
      <c r="I569" s="1708" t="inlineStr">
        <is>
          <t>同じシート内のみ</t>
        </is>
      </c>
    </row>
    <row r="570" spans="1:9" ht="19.95" customHeight="1">
      <c r="A570" s="1752" t="s">
        <v>7</v>
      </c>
      <c r="B570" s="1708" t="s">
        <v>1495</v>
      </c>
      <c r="C570" s="1753" t="str">
        <f>HYPERLINK("#'短期_附属明細表'!G62","G62")</f>
        <v>G62</v>
      </c>
      <c r="D570" s="1708" t="s">
        <v>1915</v>
      </c>
      <c r="E570" s="1754">
        <f>IF(短期_附属明細表!G62="","",短期_附属明細表!G62)</f>
        <v>0</v>
      </c>
      <c r="F570" s="1708" t="s">
        <v>1905</v>
      </c>
      <c r="G570" s="1709" t="str">
        <f t="shared" si="8"/>
        <v>0（確認）</v>
      </c>
      <c r="H570" s="1708" t="inlineStr">
        <is>
          <t>短期_附属明細表 G63</t>
        </is>
      </c>
      <c r="I570" s="1708" t="inlineStr">
        <is>
          <t>同じシート内のみ</t>
        </is>
      </c>
    </row>
    <row r="571" spans="1:9" ht="19.95" customHeight="1">
      <c r="A571" s="1755" t="s">
        <v>7</v>
      </c>
      <c r="B571" s="1711" t="s">
        <v>1495</v>
      </c>
      <c r="C571" s="1756" t="str">
        <f>HYPERLINK("#'短期_附属明細表'!G69","G69")</f>
        <v>G69</v>
      </c>
      <c r="D571" s="1711" t="s">
        <v>1916</v>
      </c>
      <c r="E571" s="1757">
        <f>IF(短期_附属明細表!G69="","",短期_附属明細表!G69)</f>
        <v>12773988</v>
      </c>
      <c r="F571" s="1711" t="s">
        <v>1905</v>
      </c>
      <c r="G571" s="1709" t="str">
        <f t="shared" si="8"/>
        <v>入力済</v>
      </c>
      <c r="H571" s="1708" t="inlineStr">
        <is>
          <t>短期_附属明細表 G75、短期_決算精算表 B23</t>
        </is>
      </c>
      <c r="I571" s="1708" t="inlineStr">
        <is>
          <t>報告_短期P11-13、短期_財務諸表、短期_決算精算表</t>
        </is>
      </c>
    </row>
    <row r="572" spans="1:9" ht="19.95" customHeight="1">
      <c r="A572" s="1752" t="s">
        <v>7</v>
      </c>
      <c r="B572" s="1708" t="s">
        <v>1495</v>
      </c>
      <c r="C572" s="1753" t="str">
        <f>HYPERLINK("#'短期_附属明細表'!G70","G70")</f>
        <v>G70</v>
      </c>
      <c r="D572" s="1708" t="s">
        <v>1917</v>
      </c>
      <c r="E572" s="1754">
        <f>IF(短期_附属明細表!G70="","",短期_附属明細表!G70)</f>
        <v>3156259</v>
      </c>
      <c r="F572" s="1708" t="s">
        <v>1905</v>
      </c>
      <c r="G572" s="1709" t="str">
        <f t="shared" si="8"/>
        <v>入力済</v>
      </c>
      <c r="H572" s="1708" t="inlineStr">
        <is>
          <t>短期_附属明細表 G75、短期_決算精算表 B24</t>
        </is>
      </c>
      <c r="I572" s="1708" t="inlineStr">
        <is>
          <t>報告_短期P11-13、短期_財務諸表、短期_決算精算表</t>
        </is>
      </c>
    </row>
    <row r="573" spans="1:9" ht="19.95" customHeight="1">
      <c r="A573" s="1755" t="s">
        <v>7</v>
      </c>
      <c r="B573" s="1711" t="s">
        <v>1495</v>
      </c>
      <c r="C573" s="1756" t="str">
        <f>HYPERLINK("#'短期_附属明細表'!G71","G71")</f>
        <v>G71</v>
      </c>
      <c r="D573" s="1711" t="s">
        <v>1918</v>
      </c>
      <c r="E573" s="1757">
        <f>IF(短期_附属明細表!G71="","",短期_附属明細表!G71)</f>
        <v>2861495</v>
      </c>
      <c r="F573" s="1711" t="s">
        <v>1905</v>
      </c>
      <c r="G573" s="1709" t="str">
        <f t="shared" si="8"/>
        <v>入力済</v>
      </c>
      <c r="H573" s="1708" t="inlineStr">
        <is>
          <t>短期_附属明細表 G75、短期_決算精算表 B26</t>
        </is>
      </c>
      <c r="I573" s="1708" t="inlineStr">
        <is>
          <t>報告_短期P11-13、短期_財務諸表、短期_決算精算表</t>
        </is>
      </c>
    </row>
    <row r="574" spans="1:9" ht="19.95" customHeight="1">
      <c r="A574" s="1752" t="s">
        <v>7</v>
      </c>
      <c r="B574" s="1708" t="s">
        <v>1495</v>
      </c>
      <c r="C574" s="1753" t="str">
        <f>HYPERLINK("#'短期_附属明細表'!G72","G72")</f>
        <v>G72</v>
      </c>
      <c r="D574" s="1708" t="s">
        <v>1919</v>
      </c>
      <c r="E574" s="1754">
        <f>IF(短期_附属明細表!G72="","",短期_附属明細表!G72)</f>
        <v>6392500</v>
      </c>
      <c r="F574" s="1708" t="s">
        <v>1905</v>
      </c>
      <c r="G574" s="1709" t="str">
        <f t="shared" si="8"/>
        <v>入力済</v>
      </c>
      <c r="H574" s="1708" t="inlineStr">
        <is>
          <t>短期_附属明細表 G75、短期_決算精算表 B34</t>
        </is>
      </c>
      <c r="I574" s="1708" t="inlineStr">
        <is>
          <t>報告_短期P7-10、報告_短期P11-13、報告_P8グラフデータ、短期_財務諸表 ほか1シート</t>
        </is>
      </c>
    </row>
    <row r="575" spans="1:9" ht="19.95" customHeight="1">
      <c r="A575" s="1755" t="s">
        <v>7</v>
      </c>
      <c r="B575" s="1711" t="s">
        <v>1495</v>
      </c>
      <c r="C575" s="1756" t="str">
        <f>HYPERLINK("#'短期_附属明細表'!G73","G73")</f>
        <v>G73</v>
      </c>
      <c r="D575" s="1711" t="s">
        <v>1920</v>
      </c>
      <c r="E575" s="1757">
        <f>IF(短期_附属明細表!G73="","",短期_附属明細表!G73)</f>
        <v>4622428</v>
      </c>
      <c r="F575" s="1711" t="s">
        <v>1905</v>
      </c>
      <c r="G575" s="1709" t="str">
        <f t="shared" si="8"/>
        <v>入力済</v>
      </c>
      <c r="H575" s="1708" t="inlineStr">
        <is>
          <t>短期_附属明細表 G75、短期_決算精算表 B37</t>
        </is>
      </c>
      <c r="I575" s="1708" t="inlineStr">
        <is>
          <t>報告_短期P11-13、短期_財務諸表、短期_決算精算表</t>
        </is>
      </c>
    </row>
    <row r="576" spans="1:9" ht="19.95" customHeight="1">
      <c r="A576" s="1752" t="s">
        <v>7</v>
      </c>
      <c r="B576" s="1708" t="s">
        <v>1495</v>
      </c>
      <c r="C576" s="1753" t="str">
        <f>HYPERLINK("#'短期_附属明細表'!G74","G74")</f>
        <v>G74</v>
      </c>
      <c r="D576" s="1708" t="s">
        <v>1921</v>
      </c>
      <c r="E576" s="1754">
        <f>IF(短期_附属明細表!G74="","",短期_附属明細表!G74)</f>
        <v>11834281</v>
      </c>
      <c r="F576" s="1708" t="s">
        <v>1905</v>
      </c>
      <c r="G576" s="1709" t="str">
        <f t="shared" si="8"/>
        <v>入力済</v>
      </c>
      <c r="H576" s="1708" t="inlineStr">
        <is>
          <t>短期_附属明細表 G75、短期_決算精算表 B39、業務_附属明細表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HYPERLINK("#'短期_附属明細表'!G81","G81")</f>
        <v>G81</v>
      </c>
      <c r="D577" s="1711" t="s">
        <v>1922</v>
      </c>
      <c r="E577" s="1757">
        <f>IF(短期_附属明細表!G81="","",短期_附属明細表!G81)</f>
        <v>6050</v>
      </c>
      <c r="F577" s="1711" t="s">
        <v>1905</v>
      </c>
      <c r="G577" s="1709" t="str">
        <f t="shared" si="8"/>
        <v>入力済</v>
      </c>
      <c r="H577" s="1708" t="inlineStr">
        <is>
          <t>短期_財務諸表 G8、短期_附属明細表 G82</t>
        </is>
      </c>
      <c r="I577" s="1708" t="inlineStr">
        <is>
          <t>短期_財務諸表</t>
        </is>
      </c>
    </row>
    <row r="578" spans="1:9" ht="19.95" customHeight="1">
      <c r="A578" s="1752" t="s">
        <v>7</v>
      </c>
      <c r="B578" s="1708" t="s">
        <v>1495</v>
      </c>
      <c r="C578" s="1753" t="str">
        <f>HYPERLINK("#'短期_附属明細表'!O89","O89")</f>
        <v>O89</v>
      </c>
      <c r="D578" s="1708" t="s">
        <v>1923</v>
      </c>
      <c r="E578" s="1754">
        <f>IF(短期_附属明細表!O89="","",短期_附属明細表!O89)</f>
        <v>34502619</v>
      </c>
      <c r="F578" s="1708" t="s">
        <v>1905</v>
      </c>
      <c r="G578" s="1709" t="str">
        <f t="shared" si="8"/>
        <v>入力済</v>
      </c>
      <c r="H578" s="1708" t="inlineStr">
        <is>
          <t>短期_附属明細表 O92,R89</t>
        </is>
      </c>
      <c r="I578" s="1708" t="inlineStr">
        <is>
          <t>短期_財務諸表、短期_決算精算表</t>
        </is>
      </c>
    </row>
    <row r="579" spans="1:9" ht="19.95" customHeight="1">
      <c r="A579" s="1755" t="s">
        <v>7</v>
      </c>
      <c r="B579" s="1711" t="s">
        <v>1495</v>
      </c>
      <c r="C579" s="1756" t="str">
        <f>HYPERLINK("#'短期_附属明細表'!O90","O90")</f>
        <v>O90</v>
      </c>
      <c r="D579" s="1711" t="s">
        <v>1924</v>
      </c>
      <c r="E579" s="1757">
        <f>IF(短期_附属明細表!O90="","",短期_附属明細表!O90)</f>
        <v>1200582</v>
      </c>
      <c r="F579" s="1711" t="s">
        <v>1905</v>
      </c>
      <c r="G579" s="1709" t="str">
        <f t="shared" si="8"/>
        <v>入力済</v>
      </c>
      <c r="H579" s="1708" t="inlineStr">
        <is>
          <t>短期_附属明細表 O92,R90</t>
        </is>
      </c>
      <c r="I579" s="1708" t="inlineStr">
        <is>
          <t>短期_財務諸表、短期_決算精算表</t>
        </is>
      </c>
    </row>
    <row r="580" spans="1:9" ht="19.95" customHeight="1">
      <c r="A580" s="1752" t="s">
        <v>7</v>
      </c>
      <c r="B580" s="1708" t="s">
        <v>1495</v>
      </c>
      <c r="C580" s="1753" t="str">
        <f>HYPERLINK("#'短期_附属明細表'!O91","O91")</f>
        <v>O91</v>
      </c>
      <c r="D580" s="1708" t="s">
        <v>1925</v>
      </c>
      <c r="E580" s="1754">
        <f>IF(短期_附属明細表!O91="","",短期_附属明細表!O91)</f>
        <v>765054</v>
      </c>
      <c r="F580" s="1708" t="s">
        <v>1905</v>
      </c>
      <c r="G580" s="1709" t="str">
        <f t="shared" si="8"/>
        <v>入力済</v>
      </c>
      <c r="H580" s="1708" t="inlineStr">
        <is>
          <t>短期_附属明細表 O92,R91</t>
        </is>
      </c>
      <c r="I580" s="1708" t="inlineStr">
        <is>
          <t>短期_財務諸表、短期_決算精算表</t>
        </is>
      </c>
    </row>
    <row r="581" spans="1:9" ht="19.95" customHeight="1">
      <c r="A581" s="1755" t="s">
        <v>7</v>
      </c>
      <c r="B581" s="1711" t="s">
        <v>1495</v>
      </c>
      <c r="C581" s="1756" t="str">
        <f>HYPERLINK("#'短期_附属明細表'!I99","I99")</f>
        <v>I99</v>
      </c>
      <c r="D581" s="1711" t="s">
        <v>1926</v>
      </c>
      <c r="E581" s="1757">
        <f>IF(短期_附属明細表!I99="","",短期_附属明細表!I99)</f>
        <v>53296628</v>
      </c>
      <c r="F581" s="1711" t="s">
        <v>1905</v>
      </c>
      <c r="G581" s="1709" t="str">
        <f t="shared" si="8"/>
        <v>入力済</v>
      </c>
      <c r="H581" s="1708" t="inlineStr">
        <is>
          <t>報告_短期P11-13 C108、短期_附属明細表 I100,I102,K115…</t>
        </is>
      </c>
      <c r="I581" s="1708" t="inlineStr">
        <is>
          <t>報告_短期P11-13、短期_財務諸表</t>
        </is>
      </c>
    </row>
    <row r="582" spans="1:9" ht="19.95" customHeight="1">
      <c r="A582" s="1752" t="s">
        <v>7</v>
      </c>
      <c r="B582" s="1708" t="s">
        <v>1927</v>
      </c>
      <c r="C582" s="1753" t="str">
        <f>HYPERLINK("#'短期_決算精算表'!E17","E17")</f>
        <v>E17</v>
      </c>
      <c r="D582" s="1708" t="s">
        <v>1928</v>
      </c>
      <c r="E582" s="1754">
        <f>IF(短期_決算精算表!E17="","",短期_決算精算表!E17)</f>
        <v>33450</v>
      </c>
      <c r="F582" s="1708" t="s">
        <v>1929</v>
      </c>
      <c r="G582" s="1709" t="str">
        <f t="shared" ref="G582:G645" si="9">IF(E582="","未入力（空欄）",IF(E582=0,"0（確認）","入力済"))</f>
        <v>入力済</v>
      </c>
      <c r="H582" s="1708" t="inlineStr">
        <is>
          <t>短期_決算精算表 E22,G17</t>
        </is>
      </c>
      <c r="I582" s="1708" t="inlineStr">
        <is>
          <t>同じシート内のみ</t>
        </is>
      </c>
    </row>
    <row r="583" spans="1:9" ht="19.95" customHeight="1">
      <c r="A583" s="1755" t="s">
        <v>7</v>
      </c>
      <c r="B583" s="1711" t="s">
        <v>1927</v>
      </c>
      <c r="C583" s="1756" t="str">
        <f>HYPERLINK("#'短期_決算精算表'!F24","F24")</f>
        <v>F24</v>
      </c>
      <c r="D583" s="1711" t="s">
        <v>1930</v>
      </c>
      <c r="E583" s="1757">
        <f>IF(短期_決算精算表!F24="","",短期_決算精算表!F24)</f>
        <v>20000</v>
      </c>
      <c r="F583" s="1711" t="s">
        <v>1929</v>
      </c>
      <c r="G583" s="1709" t="str">
        <f t="shared" si="9"/>
        <v>入力済</v>
      </c>
      <c r="H583" s="1708" t="inlineStr">
        <is>
          <t>短期_決算精算表 A24,B54,C24…</t>
        </is>
      </c>
      <c r="I583" s="1708" t="inlineStr">
        <is>
          <t>報告_短期P7-10、報告_短期P11-13、報告_P8グラフデータ、短期_財務諸表 ほか1シート</t>
        </is>
      </c>
    </row>
    <row r="584" spans="1:9" ht="19.95" customHeight="1">
      <c r="A584" s="1752" t="s">
        <v>7</v>
      </c>
      <c r="B584" s="1708" t="s">
        <v>1927</v>
      </c>
      <c r="C584" s="1753" t="str">
        <f>HYPERLINK("#'短期_決算精算表'!C27","C27")</f>
        <v>C27</v>
      </c>
      <c r="D584" s="1708" t="s">
        <v>1931</v>
      </c>
      <c r="E584" s="1754">
        <f>IF(短期_決算精算表!C27="","",短期_決算精算表!C27)</f>
        <v>2096611727</v>
      </c>
      <c r="F584" s="1708" t="s">
        <v>1929</v>
      </c>
      <c r="G584" s="1709" t="str">
        <f t="shared" si="9"/>
        <v>入力済</v>
      </c>
      <c r="H584" s="1708" t="inlineStr">
        <is>
          <t>短期_決算精算表 A27,C63</t>
        </is>
      </c>
      <c r="I584" s="1708" t="inlineStr">
        <is>
          <t>報告_短期P7-10、報告_短期P11-13、報告_P8グラフデータ、短期_財務諸表 ほか1シート</t>
        </is>
      </c>
    </row>
    <row r="585" spans="1:9" ht="19.95" customHeight="1">
      <c r="A585" s="1755" t="s">
        <v>7</v>
      </c>
      <c r="B585" s="1711" t="s">
        <v>1927</v>
      </c>
      <c r="C585" s="1756" t="str">
        <f>HYPERLINK("#'短期_決算精算表'!C28","C28")</f>
        <v>C28</v>
      </c>
      <c r="D585" s="1711" t="s">
        <v>1932</v>
      </c>
      <c r="E585" s="1757">
        <f>IF(短期_決算精算表!C28="","",短期_決算精算表!C28)</f>
        <v>2306088269</v>
      </c>
      <c r="F585" s="1711" t="s">
        <v>1929</v>
      </c>
      <c r="G585" s="1709" t="str">
        <f t="shared" si="9"/>
        <v>入力済</v>
      </c>
      <c r="H585" s="1708" t="inlineStr">
        <is>
          <t>短期_決算精算表 A28,C63</t>
        </is>
      </c>
      <c r="I585" s="1708" t="inlineStr">
        <is>
          <t>報告_短期P7-10、報告_短期P11-13、報告_P8グラフデータ、短期_財務諸表 ほか1シート</t>
        </is>
      </c>
    </row>
    <row r="586" spans="1:9" ht="19.95" customHeight="1">
      <c r="A586" s="1752" t="s">
        <v>7</v>
      </c>
      <c r="B586" s="1708" t="s">
        <v>1927</v>
      </c>
      <c r="C586" s="1753" t="str">
        <f>HYPERLINK("#'短期_決算精算表'!C30","C30")</f>
        <v>C30</v>
      </c>
      <c r="D586" s="1708" t="s">
        <v>1933</v>
      </c>
      <c r="E586" s="1754">
        <f>IF(短期_決算精算表!C30="","",短期_決算精算表!C30)</f>
        <v>871</v>
      </c>
      <c r="F586" s="1708" t="s">
        <v>1929</v>
      </c>
      <c r="G586" s="1709" t="str">
        <f t="shared" si="9"/>
        <v>入力済</v>
      </c>
      <c r="H586" s="1708" t="inlineStr">
        <is>
          <t>短期_決算精算表 A30,C63</t>
        </is>
      </c>
      <c r="I586" s="1708" t="inlineStr">
        <is>
          <t>報告_短期P7-10、報告_短期P11-13、報告_P8グラフデータ、短期_財務諸表 ほか1シート</t>
        </is>
      </c>
    </row>
    <row r="587" spans="1:9" ht="19.95" customHeight="1">
      <c r="A587" s="1755" t="s">
        <v>7</v>
      </c>
      <c r="B587" s="1711" t="s">
        <v>1927</v>
      </c>
      <c r="C587" s="1756" t="str">
        <f>HYPERLINK("#'短期_決算精算表'!C32","C32")</f>
        <v>C32</v>
      </c>
      <c r="D587" s="1711" t="s">
        <v>1934</v>
      </c>
      <c r="E587" s="1757">
        <f>IF(短期_決算精算表!C32="","",短期_決算精算表!C32)</f>
        <v>949753680</v>
      </c>
      <c r="F587" s="1711" t="s">
        <v>1929</v>
      </c>
      <c r="G587" s="1709" t="str">
        <f t="shared" si="9"/>
        <v>入力済</v>
      </c>
      <c r="H587" s="1708" t="inlineStr">
        <is>
          <t>短期_決算精算表 A32,C63</t>
        </is>
      </c>
      <c r="I587" s="1708" t="inlineStr">
        <is>
          <t>報告_短期P7-10、報告_短期P11-13、短期_財務諸表、短期_附属明細表</t>
        </is>
      </c>
    </row>
    <row r="588" spans="1:9" ht="19.95" customHeight="1">
      <c r="A588" s="1752" t="s">
        <v>7</v>
      </c>
      <c r="B588" s="1708" t="s">
        <v>1927</v>
      </c>
      <c r="C588" s="1753" t="str">
        <f>HYPERLINK("#'短期_決算精算表'!C34","C34")</f>
        <v>C34</v>
      </c>
      <c r="D588" s="1708" t="s">
        <v>1935</v>
      </c>
      <c r="E588" s="1754">
        <f>IF(短期_決算精算表!C34="","",短期_決算精算表!C34)</f>
        <v>76714603</v>
      </c>
      <c r="F588" s="1708" t="s">
        <v>1929</v>
      </c>
      <c r="G588" s="1709" t="str">
        <f t="shared" si="9"/>
        <v>入力済</v>
      </c>
      <c r="H588" s="1708" t="inlineStr">
        <is>
          <t>短期_決算精算表 A34,C63</t>
        </is>
      </c>
      <c r="I588" s="1708" t="inlineStr">
        <is>
          <t>報告_短期P7-10、報告_短期P11-13、報告_P8グラフデータ、短期_財務諸表 ほか1シート</t>
        </is>
      </c>
    </row>
    <row r="589" spans="1:9" ht="19.95" customHeight="1">
      <c r="A589" s="1755" t="s">
        <v>7</v>
      </c>
      <c r="B589" s="1711" t="s">
        <v>1927</v>
      </c>
      <c r="C589" s="1756" t="str">
        <f>HYPERLINK("#'短期_決算精算表'!F34","F34")</f>
        <v>F34</v>
      </c>
      <c r="D589" s="1711" t="s">
        <v>1936</v>
      </c>
      <c r="E589" s="1757">
        <f>IF(短期_決算精算表!F34="","",短期_決算精算表!F34)</f>
        <v>27400</v>
      </c>
      <c r="F589" s="1711" t="s">
        <v>1929</v>
      </c>
      <c r="G589" s="1709" t="str">
        <f t="shared" si="9"/>
        <v>入力済</v>
      </c>
      <c r="H589" s="1708" t="inlineStr">
        <is>
          <t>短期_決算精算表 A34,B17,F63</t>
        </is>
      </c>
      <c r="I589" s="1708" t="inlineStr">
        <is>
          <t>報告_短期P7-10、報告_短期P11-13、報告_P8グラフデータ、短期_財務諸表 ほか1シート</t>
        </is>
      </c>
    </row>
    <row r="590" spans="1:9" ht="19.95" customHeight="1">
      <c r="A590" s="1752" t="s">
        <v>7</v>
      </c>
      <c r="B590" s="1708" t="s">
        <v>1927</v>
      </c>
      <c r="C590" s="1753" t="str">
        <f>HYPERLINK("#'短期_決算精算表'!E44","E44")</f>
        <v>E44</v>
      </c>
      <c r="D590" s="1708" t="s">
        <v>1937</v>
      </c>
      <c r="E590" s="1754">
        <f>IF(短期_決算精算表!E44="","",短期_決算精算表!E44)</f>
        <v>5622054228</v>
      </c>
      <c r="F590" s="1708" t="s">
        <v>1929</v>
      </c>
      <c r="G590" s="1709" t="str">
        <f t="shared" si="9"/>
        <v>入力済</v>
      </c>
      <c r="H590" s="1708" t="inlineStr">
        <is>
          <t>短期_決算精算表 E63,G44</t>
        </is>
      </c>
      <c r="I590" s="1708" t="inlineStr">
        <is>
          <t>報告_短期P7-10、報告_短期P11-13、報告_P8グラフデータ、短期_財務諸表 ほか1シート</t>
        </is>
      </c>
    </row>
    <row r="591" spans="1:9" ht="19.95" customHeight="1">
      <c r="A591" s="1755" t="s">
        <v>7</v>
      </c>
      <c r="B591" s="1711" t="s">
        <v>1927</v>
      </c>
      <c r="C591" s="1756" t="str">
        <f>HYPERLINK("#'短期_決算精算表'!E45","E45")</f>
        <v>E45</v>
      </c>
      <c r="D591" s="1711" t="s">
        <v>1938</v>
      </c>
      <c r="E591" s="1757">
        <f>IF(短期_決算精算表!E45="","",短期_決算精算表!E45)</f>
        <v>496114904</v>
      </c>
      <c r="F591" s="1711" t="s">
        <v>1929</v>
      </c>
      <c r="G591" s="1709" t="str">
        <f t="shared" si="9"/>
        <v>入力済</v>
      </c>
      <c r="H591" s="1708" t="inlineStr">
        <is>
          <t>短期_決算精算表 E63,G45</t>
        </is>
      </c>
      <c r="I591" s="1708" t="inlineStr">
        <is>
          <t>報告_短期P7-10、報告_短期P11-13、短期_財務諸表、短期_附属明細表</t>
        </is>
      </c>
    </row>
    <row r="592" spans="1:9" ht="19.95" customHeight="1">
      <c r="A592" s="1752" t="s">
        <v>7</v>
      </c>
      <c r="B592" s="1708" t="s">
        <v>1927</v>
      </c>
      <c r="C592" s="1753" t="str">
        <f>HYPERLINK("#'短期_決算精算表'!E46","E46")</f>
        <v>E46</v>
      </c>
      <c r="D592" s="1708" t="s">
        <v>1939</v>
      </c>
      <c r="E592" s="1754">
        <f>IF(短期_決算精算表!E46="","",短期_決算精算表!E46)</f>
        <v>5551497726</v>
      </c>
      <c r="F592" s="1708" t="s">
        <v>1929</v>
      </c>
      <c r="G592" s="1709" t="str">
        <f t="shared" si="9"/>
        <v>入力済</v>
      </c>
      <c r="H592" s="1708" t="inlineStr">
        <is>
          <t>短期_決算精算表 E63,G46</t>
        </is>
      </c>
      <c r="I592" s="1708" t="inlineStr">
        <is>
          <t>報告_短期P7-10、報告_短期P11-13、報告_P8グラフデータ、短期_財務諸表 ほか1シート</t>
        </is>
      </c>
    </row>
    <row r="593" spans="1:9" ht="19.95" customHeight="1">
      <c r="A593" s="1755" t="s">
        <v>7</v>
      </c>
      <c r="B593" s="1711" t="s">
        <v>1927</v>
      </c>
      <c r="C593" s="1756" t="str">
        <f>HYPERLINK("#'短期_決算精算表'!E47","E47")</f>
        <v>E47</v>
      </c>
      <c r="D593" s="1711" t="s">
        <v>1940</v>
      </c>
      <c r="E593" s="1757">
        <f>IF(短期_決算精算表!E47="","",短期_決算精算表!E47)</f>
        <v>496288832</v>
      </c>
      <c r="F593" s="1711" t="s">
        <v>1929</v>
      </c>
      <c r="G593" s="1709" t="str">
        <f t="shared" si="9"/>
        <v>入力済</v>
      </c>
      <c r="H593" s="1708" t="inlineStr">
        <is>
          <t>短期_決算精算表 E63,G47</t>
        </is>
      </c>
      <c r="I593" s="1708" t="inlineStr">
        <is>
          <t>報告_短期P7-10、報告_短期P11-13、短期_財務諸表、短期_附属明細表</t>
        </is>
      </c>
    </row>
    <row r="594" spans="1:9" ht="19.95" customHeight="1">
      <c r="A594" s="1752" t="s">
        <v>7</v>
      </c>
      <c r="B594" s="1708" t="s">
        <v>1927</v>
      </c>
      <c r="C594" s="1753" t="str">
        <f>HYPERLINK("#'短期_決算精算表'!E48","E48")</f>
        <v>E48</v>
      </c>
      <c r="D594" s="1708" t="s">
        <v>1941</v>
      </c>
      <c r="E594" s="1754">
        <f>IF(短期_決算精算表!E48="","",短期_決算精算表!E48)</f>
        <v>96007968</v>
      </c>
      <c r="F594" s="1708" t="s">
        <v>1929</v>
      </c>
      <c r="G594" s="1709" t="str">
        <f t="shared" si="9"/>
        <v>入力済</v>
      </c>
      <c r="H594" s="1708" t="inlineStr">
        <is>
          <t>短期_決算精算表 E63,G48</t>
        </is>
      </c>
      <c r="I594" s="1708" t="inlineStr">
        <is>
          <t>報告_短期P7-10、報告_短期P11-13、報告_P8グラフデータ、短期_財務諸表 ほか1シート</t>
        </is>
      </c>
    </row>
    <row r="595" spans="1:9" ht="19.95" customHeight="1">
      <c r="A595" s="1755" t="s">
        <v>7</v>
      </c>
      <c r="B595" s="1711" t="s">
        <v>1927</v>
      </c>
      <c r="C595" s="1756" t="str">
        <f>HYPERLINK("#'短期_決算精算表'!E49","E49")</f>
        <v>E49</v>
      </c>
      <c r="D595" s="1711" t="s">
        <v>1942</v>
      </c>
      <c r="E595" s="1757">
        <f>IF(短期_決算精算表!E49="","",短期_決算精算表!E49)</f>
        <v>4793716</v>
      </c>
      <c r="F595" s="1711" t="s">
        <v>1929</v>
      </c>
      <c r="G595" s="1709" t="str">
        <f t="shared" si="9"/>
        <v>入力済</v>
      </c>
      <c r="H595" s="1708" t="inlineStr">
        <is>
          <t>短期_決算精算表 E63,G49</t>
        </is>
      </c>
      <c r="I595" s="1708" t="inlineStr">
        <is>
          <t>報告_短期P7-10、報告_短期P11-13、短期_財務諸表、短期_附属明細表</t>
        </is>
      </c>
    </row>
    <row r="596" spans="1:9" ht="19.95" customHeight="1">
      <c r="A596" s="1752" t="s">
        <v>7</v>
      </c>
      <c r="B596" s="1708" t="s">
        <v>1927</v>
      </c>
      <c r="C596" s="1753" t="str">
        <f>HYPERLINK("#'短期_決算精算表'!I49","I49")</f>
        <v>I49</v>
      </c>
      <c r="D596" s="1708" t="s">
        <v>1943</v>
      </c>
      <c r="E596" s="1754">
        <f>IF(短期_決算精算表!I49="","",短期_決算精算表!I49)</f>
        <v>907739421</v>
      </c>
      <c r="F596" s="1708" t="s">
        <v>1929</v>
      </c>
      <c r="G596" s="1709" t="str">
        <f t="shared" si="9"/>
        <v>入力済</v>
      </c>
      <c r="H596" s="1708" t="inlineStr">
        <is>
          <t>短期_財務諸表 G13、短期_決算精算表 B40,F19</t>
        </is>
      </c>
      <c r="I596" s="1708" t="inlineStr">
        <is>
          <t>報告_短期P7-10、報告_短期P11-13、報告_P8グラフデータ、短期_財務諸表 ほか1シート</t>
        </is>
      </c>
    </row>
    <row r="597" spans="1:9" ht="19.95" customHeight="1">
      <c r="A597" s="1755" t="s">
        <v>7</v>
      </c>
      <c r="B597" s="1711" t="s">
        <v>1927</v>
      </c>
      <c r="C597" s="1756" t="str">
        <f>HYPERLINK("#'短期_決算精算表'!E50","E50")</f>
        <v>E50</v>
      </c>
      <c r="D597" s="1711" t="s">
        <v>1944</v>
      </c>
      <c r="E597" s="1757">
        <f>IF(短期_決算精算表!E50="","",短期_決算精算表!E50)</f>
        <v>7419879</v>
      </c>
      <c r="F597" s="1711" t="s">
        <v>1929</v>
      </c>
      <c r="G597" s="1709" t="str">
        <f t="shared" si="9"/>
        <v>入力済</v>
      </c>
      <c r="H597" s="1708" t="inlineStr">
        <is>
          <t>短期_決算精算表 E63,G50</t>
        </is>
      </c>
      <c r="I597" s="1708" t="inlineStr">
        <is>
          <t>報告_短期P7-10、報告_短期P11-13、短期_財務諸表、短期_附属明細表</t>
        </is>
      </c>
    </row>
    <row r="598" spans="1:9" ht="19.95" customHeight="1">
      <c r="A598" s="1752" t="s">
        <v>7</v>
      </c>
      <c r="B598" s="1708" t="s">
        <v>1927</v>
      </c>
      <c r="C598" s="1753" t="str">
        <f>HYPERLINK("#'短期_決算精算表'!E51","E51")</f>
        <v>E51</v>
      </c>
      <c r="D598" s="1708" t="s">
        <v>1945</v>
      </c>
      <c r="E598" s="1754">
        <f>IF(短期_決算精算表!E51="","",短期_決算精算表!E51)</f>
        <v>13759</v>
      </c>
      <c r="F598" s="1708" t="s">
        <v>1929</v>
      </c>
      <c r="G598" s="1709" t="str">
        <f t="shared" si="9"/>
        <v>入力済</v>
      </c>
      <c r="H598" s="1708" t="inlineStr">
        <is>
          <t>短期_決算精算表 E63,G51</t>
        </is>
      </c>
      <c r="I598" s="1708" t="inlineStr">
        <is>
          <t>報告_短期P7-10、報告_短期P11-13、報告_P8グラフデータ、短期_財務諸表 ほか1シート</t>
        </is>
      </c>
    </row>
    <row r="599" spans="1:9" ht="19.95" customHeight="1">
      <c r="A599" s="1755" t="s">
        <v>7</v>
      </c>
      <c r="B599" s="1711" t="s">
        <v>1927</v>
      </c>
      <c r="C599" s="1756" t="str">
        <f>HYPERLINK("#'短期_決算精算表'!E52","E52")</f>
        <v>E52</v>
      </c>
      <c r="D599" s="1711" t="s">
        <v>1946</v>
      </c>
      <c r="E599" s="1757">
        <f>IF(短期_決算精算表!E52="","",短期_決算精算表!E52)</f>
        <v>71223000</v>
      </c>
      <c r="F599" s="1711" t="s">
        <v>1929</v>
      </c>
      <c r="G599" s="1709" t="str">
        <f t="shared" si="9"/>
        <v>入力済</v>
      </c>
      <c r="H599" s="1708" t="inlineStr">
        <is>
          <t>短期_決算精算表 E63,G52</t>
        </is>
      </c>
      <c r="I599" s="1708" t="inlineStr">
        <is>
          <t>報告_短期P7-10、報告_短期P11-13、報告_P8グラフデータ、短期_財務諸表 ほか1シート</t>
        </is>
      </c>
    </row>
    <row r="600" spans="1:9" ht="19.95" customHeight="1">
      <c r="A600" s="1752" t="s">
        <v>7</v>
      </c>
      <c r="B600" s="1708" t="s">
        <v>1927</v>
      </c>
      <c r="C600" s="1753" t="str">
        <f>HYPERLINK("#'短期_決算精算表'!E54","E54")</f>
        <v>E54</v>
      </c>
      <c r="D600" s="1708" t="s">
        <v>1947</v>
      </c>
      <c r="E600" s="1754">
        <f>IF(短期_決算精算表!E54="","",短期_決算精算表!E54)</f>
        <v>587346584</v>
      </c>
      <c r="F600" s="1708" t="s">
        <v>1929</v>
      </c>
      <c r="G600" s="1709" t="str">
        <f t="shared" si="9"/>
        <v>入力済</v>
      </c>
      <c r="H600" s="1708" t="inlineStr">
        <is>
          <t>短期_決算精算表 E63,G54</t>
        </is>
      </c>
      <c r="I600" s="1708" t="inlineStr">
        <is>
          <t>報告_短期P7-10、報告_短期P11-13、報告_P8グラフデータ、短期_財務諸表 ほか1シート</t>
        </is>
      </c>
    </row>
    <row r="601" spans="1:9" ht="19.95" customHeight="1">
      <c r="A601" s="1755" t="s">
        <v>7</v>
      </c>
      <c r="B601" s="1711" t="s">
        <v>1927</v>
      </c>
      <c r="C601" s="1756" t="str">
        <f>HYPERLINK("#'短期_決算精算表'!E55","E55")</f>
        <v>E55</v>
      </c>
      <c r="D601" s="1711" t="s">
        <v>1948</v>
      </c>
      <c r="E601" s="1757">
        <f>IF(短期_決算精算表!E55="","",短期_決算精算表!E55)</f>
        <v>10496090</v>
      </c>
      <c r="F601" s="1711" t="s">
        <v>1929</v>
      </c>
      <c r="G601" s="1709" t="str">
        <f t="shared" si="9"/>
        <v>入力済</v>
      </c>
      <c r="H601" s="1708" t="inlineStr">
        <is>
          <t>短期_決算精算表 E63,G55</t>
        </is>
      </c>
      <c r="I601" s="1708" t="inlineStr">
        <is>
          <t>報告_短期P7-10、報告_短期P11-13、報告_P8グラフデータ、短期_財務諸表 ほか1シート</t>
        </is>
      </c>
    </row>
    <row r="602" spans="1:9" ht="19.95" customHeight="1">
      <c r="A602" s="1752" t="s">
        <v>7</v>
      </c>
      <c r="B602" s="1708" t="s">
        <v>1927</v>
      </c>
      <c r="C602" s="1753" t="str">
        <f>HYPERLINK("#'短期_決算精算表'!E56","E56")</f>
        <v>E56</v>
      </c>
      <c r="D602" s="1708" t="s">
        <v>1949</v>
      </c>
      <c r="E602" s="1754">
        <f>IF(短期_決算精算表!E56="","",短期_決算精算表!E56)</f>
        <v>37196000</v>
      </c>
      <c r="F602" s="1708" t="s">
        <v>1929</v>
      </c>
      <c r="G602" s="1709" t="str">
        <f t="shared" si="9"/>
        <v>入力済</v>
      </c>
      <c r="H602" s="1708" t="inlineStr">
        <is>
          <t>短期_決算精算表 E63,G56</t>
        </is>
      </c>
      <c r="I602" s="1708" t="inlineStr">
        <is>
          <t>報告_短期P7-10、報告_短期P11-13、報告_P8グラフデータ、短期_財務諸表 ほか1シート</t>
        </is>
      </c>
    </row>
    <row r="603" spans="1:9" ht="19.95" customHeight="1">
      <c r="A603" s="1755" t="s">
        <v>7</v>
      </c>
      <c r="B603" s="1711" t="s">
        <v>1927</v>
      </c>
      <c r="C603" s="1756" t="str">
        <f>HYPERLINK("#'短期_決算精算表'!E58","E58")</f>
        <v>E58</v>
      </c>
      <c r="D603" s="1711" t="s">
        <v>1950</v>
      </c>
      <c r="E603" s="1757">
        <f>IF(短期_決算精算表!E58="","",短期_決算精算表!E58)</f>
        <v>1422838</v>
      </c>
      <c r="F603" s="1711" t="s">
        <v>1929</v>
      </c>
      <c r="G603" s="1709" t="str">
        <f t="shared" si="9"/>
        <v>入力済</v>
      </c>
      <c r="H603" s="1708" t="inlineStr">
        <is>
          <t>短期_決算精算表 E63,G58</t>
        </is>
      </c>
      <c r="I603" s="1708" t="inlineStr">
        <is>
          <t>報告_短期P7-10、報告_短期P11-13、報告_P8グラフデータ、短期_財務諸表 ほか1シート</t>
        </is>
      </c>
    </row>
    <row r="604" spans="1:9" ht="19.95" customHeight="1">
      <c r="A604" s="1752" t="s">
        <v>7</v>
      </c>
      <c r="B604" s="1708" t="s">
        <v>1927</v>
      </c>
      <c r="C604" s="1753" t="str">
        <f>HYPERLINK("#'短期_決算精算表'!E60","E60")</f>
        <v>E60</v>
      </c>
      <c r="D604" s="1708" t="s">
        <v>1951</v>
      </c>
      <c r="E604" s="1754">
        <f>IF(短期_決算精算表!E60="","",短期_決算精算表!E60)</f>
        <v>10567708</v>
      </c>
      <c r="F604" s="1708" t="s">
        <v>1929</v>
      </c>
      <c r="G604" s="1709" t="str">
        <f t="shared" si="9"/>
        <v>入力済</v>
      </c>
      <c r="H604" s="1708" t="inlineStr">
        <is>
          <t>短期_決算精算表 E63,G60</t>
        </is>
      </c>
      <c r="I604" s="1708" t="inlineStr">
        <is>
          <t>報告_短期P7-10、報告_短期P11-13、報告_P8グラフデータ、短期_財務諸表 ほか1シート</t>
        </is>
      </c>
    </row>
    <row r="605" spans="1:9" ht="19.95" customHeight="1">
      <c r="A605" s="1755" t="s">
        <v>8</v>
      </c>
      <c r="B605" s="1711" t="s">
        <v>1952</v>
      </c>
      <c r="C605" s="1756" t="str">
        <f>HYPERLINK("#'厚生_預金・立替・未収'!E7","E7")</f>
        <v>E7</v>
      </c>
      <c r="D605" s="1711" t="s">
        <v>1904</v>
      </c>
      <c r="E605" s="1757">
        <f>IF(厚生_預金・立替・未収!E7="","",厚生_預金・立替・未収!E7)</f>
        <v>1679528183</v>
      </c>
      <c r="F605" s="1711" t="s">
        <v>1905</v>
      </c>
      <c r="G605" s="1709" t="str">
        <f t="shared" si="9"/>
        <v>入力済</v>
      </c>
      <c r="H605" s="1708" t="inlineStr">
        <is>
          <t>厚生_預金・立替・未収 E8</t>
        </is>
      </c>
      <c r="I605" s="1708" t="inlineStr">
        <is>
          <t>厚生_貸借・損益、厚生_決算精算表</t>
        </is>
      </c>
    </row>
    <row r="606" spans="1:9" ht="19.95" customHeight="1">
      <c r="A606" s="1752" t="s">
        <v>8</v>
      </c>
      <c r="B606" s="1708" t="s">
        <v>1952</v>
      </c>
      <c r="C606" s="1753" t="str">
        <f>HYPERLINK("#'厚生_預金・立替・未収'!E9","E9")</f>
        <v>E9</v>
      </c>
      <c r="D606" s="1708" t="s">
        <v>1906</v>
      </c>
      <c r="E606" s="1754">
        <f>IF(厚生_預金・立替・未収!E9="","",厚生_預金・立替・未収!E9)</f>
        <v>90000</v>
      </c>
      <c r="F606" s="1708" t="s">
        <v>1905</v>
      </c>
      <c r="G606" s="1709" t="str">
        <f t="shared" si="9"/>
        <v>入力済</v>
      </c>
      <c r="H606" s="1708" t="inlineStr">
        <is>
          <t>厚生_預金・立替・未収 E10</t>
        </is>
      </c>
      <c r="I606" s="1708" t="inlineStr">
        <is>
          <t>厚生_貸借・損益、厚生_決算精算表</t>
        </is>
      </c>
    </row>
    <row r="607" spans="1:9" ht="19.95" customHeight="1">
      <c r="A607" s="1755" t="s">
        <v>8</v>
      </c>
      <c r="B607" s="1711" t="s">
        <v>1952</v>
      </c>
      <c r="C607" s="1756" t="str">
        <f>HYPERLINK("#'厚生_預金・立替・未収'!C18","C18")</f>
        <v>C18</v>
      </c>
      <c r="D607" s="1711" t="s">
        <v>1953</v>
      </c>
      <c r="E607" s="1757">
        <f>IF(厚生_預金・立替・未収!C18="","",厚生_預金・立替・未収!C18)</f>
        <v>0</v>
      </c>
      <c r="F607" s="1711" t="s">
        <v>1905</v>
      </c>
      <c r="G607" s="1709" t="str">
        <f t="shared" si="9"/>
        <v>0（確認）</v>
      </c>
      <c r="H607" s="1708" t="inlineStr">
        <is>
          <t>厚生_預金・立替・未収 C19</t>
        </is>
      </c>
      <c r="I607" s="1708" t="inlineStr">
        <is>
          <t>厚生_貸借・損益</t>
        </is>
      </c>
    </row>
    <row r="608" spans="1:9" ht="19.95" customHeight="1">
      <c r="A608" s="1752" t="s">
        <v>8</v>
      </c>
      <c r="B608" s="1708" t="s">
        <v>1952</v>
      </c>
      <c r="C608" s="1753" t="str">
        <f>HYPERLINK("#'厚生_預金・立替・未収'!C25","C25")</f>
        <v>C25</v>
      </c>
      <c r="D608" s="1708" t="s">
        <v>1954</v>
      </c>
      <c r="E608" s="1754">
        <f>IF(厚生_預金・立替・未収!C25="","",厚生_預金・立替・未収!C25)</f>
        <v>680106267</v>
      </c>
      <c r="F608" s="1708" t="s">
        <v>1905</v>
      </c>
      <c r="G608" s="1709" t="str">
        <f t="shared" si="9"/>
        <v>入力済</v>
      </c>
      <c r="H608" s="1708" t="inlineStr">
        <is>
          <t>厚生_預金・立替・未収 C30、厚生_決算精算表 B17</t>
        </is>
      </c>
      <c r="I608" s="1708" t="inlineStr">
        <is>
          <t>厚生_貸借・損益、厚生_決算精算表</t>
        </is>
      </c>
    </row>
    <row r="609" spans="1:9" ht="19.95" customHeight="1">
      <c r="A609" s="1755" t="s">
        <v>8</v>
      </c>
      <c r="B609" s="1711" t="s">
        <v>1952</v>
      </c>
      <c r="C609" s="1756" t="str">
        <f>HYPERLINK("#'厚生_預金・立替・未収'!C26","C26")</f>
        <v>C26</v>
      </c>
      <c r="D609" s="1711" t="s">
        <v>1955</v>
      </c>
      <c r="E609" s="1757">
        <f>IF(厚生_預金・立替・未収!C26="","",厚生_預金・立替・未収!C26)</f>
        <v>74756</v>
      </c>
      <c r="F609" s="1711" t="s">
        <v>1905</v>
      </c>
      <c r="G609" s="1709" t="str">
        <f t="shared" si="9"/>
        <v>入力済</v>
      </c>
      <c r="H609" s="1708" t="inlineStr">
        <is>
          <t>厚生_預金・立替・未収 C30、厚生_決算精算表 B17</t>
        </is>
      </c>
      <c r="I609" s="1708" t="inlineStr">
        <is>
          <t>厚生_貸借・損益、厚生_決算精算表</t>
        </is>
      </c>
    </row>
    <row r="610" spans="1:9" ht="19.95" customHeight="1">
      <c r="A610" s="1752" t="s">
        <v>8</v>
      </c>
      <c r="B610" s="1708" t="s">
        <v>1952</v>
      </c>
      <c r="C610" s="1753" t="str">
        <f>HYPERLINK("#'厚生_預金・立替・未収'!C27","C27")</f>
        <v>C27</v>
      </c>
      <c r="D610" s="1708" t="s">
        <v>1956</v>
      </c>
      <c r="E610" s="1754">
        <f>IF(厚生_預金・立替・未収!C27="","",厚生_預金・立替・未収!C27)</f>
        <v>319390391</v>
      </c>
      <c r="F610" s="1708" t="s">
        <v>1905</v>
      </c>
      <c r="G610" s="1709" t="str">
        <f t="shared" si="9"/>
        <v>入力済</v>
      </c>
      <c r="H610" s="1708" t="inlineStr">
        <is>
          <t>厚生_預金・立替・未収 C30、厚生_決算精算表 B17</t>
        </is>
      </c>
      <c r="I610" s="1708" t="inlineStr">
        <is>
          <t>厚生_貸借・損益、厚生_決算精算表</t>
        </is>
      </c>
    </row>
    <row r="611" spans="1:9" ht="19.95" customHeight="1">
      <c r="A611" s="1755" t="s">
        <v>8</v>
      </c>
      <c r="B611" s="1711" t="s">
        <v>1952</v>
      </c>
      <c r="C611" s="1756" t="str">
        <f>HYPERLINK("#'厚生_預金・立替・未収'!C28","C28")</f>
        <v>C28</v>
      </c>
      <c r="D611" s="1711" t="s">
        <v>1957</v>
      </c>
      <c r="E611" s="1757">
        <f>IF(厚生_預金・立替・未収!C28="","",厚生_預金・立替・未収!C28)</f>
        <v>489892831</v>
      </c>
      <c r="F611" s="1711" t="s">
        <v>1905</v>
      </c>
      <c r="G611" s="1709" t="str">
        <f t="shared" si="9"/>
        <v>入力済</v>
      </c>
      <c r="H611" s="1708" t="inlineStr">
        <is>
          <t>厚生_預金・立替・未収 C30、厚生_決算精算表 B18</t>
        </is>
      </c>
      <c r="I611" s="1708" t="inlineStr">
        <is>
          <t>厚生_貸借・損益、厚生_決算精算表</t>
        </is>
      </c>
    </row>
    <row r="612" spans="1:9" ht="19.95" customHeight="1">
      <c r="A612" s="1752" t="s">
        <v>8</v>
      </c>
      <c r="B612" s="1708" t="s">
        <v>1952</v>
      </c>
      <c r="C612" s="1753" t="str">
        <f>HYPERLINK("#'厚生_預金・立替・未収'!C29","C29")</f>
        <v>C29</v>
      </c>
      <c r="D612" s="1708" t="s">
        <v>1958</v>
      </c>
      <c r="E612" s="1754">
        <f>IF(厚生_預金・立替・未収!C29="","",厚生_預金・立替・未収!C29)</f>
        <v>190063938</v>
      </c>
      <c r="F612" s="1708" t="s">
        <v>1905</v>
      </c>
      <c r="G612" s="1709" t="str">
        <f t="shared" si="9"/>
        <v>入力済</v>
      </c>
      <c r="H612" s="1708" t="inlineStr">
        <is>
          <t>厚生_預金・立替・未収 C30、厚生_決算精算表 B18</t>
        </is>
      </c>
      <c r="I612" s="1708" t="inlineStr">
        <is>
          <t>厚生_貸借・損益、厚生_決算精算表</t>
        </is>
      </c>
    </row>
    <row r="613" spans="1:9" ht="19.95" customHeight="1">
      <c r="A613" s="1755" t="s">
        <v>8</v>
      </c>
      <c r="B613" s="1711" t="s">
        <v>1952</v>
      </c>
      <c r="C613" s="1756" t="str">
        <f>HYPERLINK("#'厚生_預金・立替・未収'!C37","C37")</f>
        <v>C37</v>
      </c>
      <c r="D613" s="1711" t="s">
        <v>1959</v>
      </c>
      <c r="E613" s="1757">
        <f>IF(厚生_預金・立替・未収!C37="","",厚生_預金・立替・未収!C37)</f>
        <v>90000</v>
      </c>
      <c r="F613" s="1711" t="s">
        <v>1905</v>
      </c>
      <c r="G613" s="1709" t="str">
        <f t="shared" si="9"/>
        <v>入力済</v>
      </c>
      <c r="H613" s="1708" t="inlineStr">
        <is>
          <t>厚生_預金・立替・未収 C38</t>
        </is>
      </c>
      <c r="I613" s="1708" t="inlineStr">
        <is>
          <t>厚生_貸借・損益、厚生_決算精算表</t>
        </is>
      </c>
    </row>
    <row r="614" spans="1:9" ht="19.95" customHeight="1">
      <c r="A614" s="1752" t="s">
        <v>8</v>
      </c>
      <c r="B614" s="1708" t="s">
        <v>1960</v>
      </c>
      <c r="C614" s="1753" t="str">
        <f>HYPERLINK("#'厚生_決算精算表'!C17","C17")</f>
        <v>C17</v>
      </c>
      <c r="D614" s="1708" t="s">
        <v>1961</v>
      </c>
      <c r="E614" s="1754">
        <f>IF(厚生_決算精算表!C17="","",厚生_決算精算表!C17)</f>
        <v>10996023469</v>
      </c>
      <c r="F614" s="1708" t="s">
        <v>1929</v>
      </c>
      <c r="G614" s="1709" t="str">
        <f t="shared" si="9"/>
        <v>入力済</v>
      </c>
      <c r="H614" s="1708" t="inlineStr">
        <is>
          <t>厚生_決算精算表 A17,C21</t>
        </is>
      </c>
      <c r="I614" s="1708" t="inlineStr">
        <is>
          <t>厚生_貸借・損益</t>
        </is>
      </c>
    </row>
    <row r="615" spans="1:9" ht="19.95" customHeight="1">
      <c r="A615" s="1755" t="s">
        <v>8</v>
      </c>
      <c r="B615" s="1711" t="s">
        <v>1960</v>
      </c>
      <c r="C615" s="1756" t="str">
        <f>HYPERLINK("#'厚生_決算精算表'!C18","C18")</f>
        <v>C18</v>
      </c>
      <c r="D615" s="1711" t="s">
        <v>1962</v>
      </c>
      <c r="E615" s="1757">
        <f>IF(厚生_決算精算表!C18="","",厚生_決算精算表!C18)</f>
        <v>7055858144</v>
      </c>
      <c r="F615" s="1711" t="s">
        <v>1929</v>
      </c>
      <c r="G615" s="1709" t="str">
        <f t="shared" si="9"/>
        <v>入力済</v>
      </c>
      <c r="H615" s="1708" t="inlineStr">
        <is>
          <t>厚生_決算精算表 A18,C21</t>
        </is>
      </c>
      <c r="I615" s="1708" t="inlineStr">
        <is>
          <t>厚生_貸借・損益</t>
        </is>
      </c>
    </row>
    <row r="616" spans="1:9" ht="19.95" customHeight="1">
      <c r="A616" s="1752" t="s">
        <v>9</v>
      </c>
      <c r="B616" s="1708" t="s">
        <v>1963</v>
      </c>
      <c r="C616" s="1753" t="str">
        <f>HYPERLINK("#'退職等_預金・立替・未収'!E7","E7")</f>
        <v>E7</v>
      </c>
      <c r="D616" s="1708" t="s">
        <v>1904</v>
      </c>
      <c r="E616" s="1754">
        <f>IF(退職等_預金・立替・未収!E7="","",退職等_預金・立替・未収!E7)</f>
        <v>111499006</v>
      </c>
      <c r="F616" s="1708" t="s">
        <v>1905</v>
      </c>
      <c r="G616" s="1709" t="str">
        <f t="shared" si="9"/>
        <v>入力済</v>
      </c>
      <c r="H616" s="1708" t="inlineStr">
        <is>
          <t>退職等_預金・立替・未収 E8</t>
        </is>
      </c>
      <c r="I616" s="1708" t="inlineStr">
        <is>
          <t>退職等_貸借・損益、退職等_決算精算表</t>
        </is>
      </c>
    </row>
    <row r="617" spans="1:9" ht="19.95" customHeight="1">
      <c r="A617" s="1755" t="s">
        <v>9</v>
      </c>
      <c r="B617" s="1711" t="s">
        <v>1963</v>
      </c>
      <c r="C617" s="1756" t="str">
        <f>HYPERLINK("#'退職等_預金・立替・未収'!C22","C22")</f>
        <v>C22</v>
      </c>
      <c r="D617" s="1711" t="s">
        <v>1954</v>
      </c>
      <c r="E617" s="1757">
        <f>IF(退職等_預金・立替・未収!C22="","",退職等_預金・立替・未収!C22)</f>
        <v>55743611</v>
      </c>
      <c r="F617" s="1711" t="s">
        <v>1905</v>
      </c>
      <c r="G617" s="1709" t="str">
        <f t="shared" si="9"/>
        <v>入力済</v>
      </c>
      <c r="H617" s="1708" t="inlineStr">
        <is>
          <t>退職等_預金・立替・未収 C26、退職等_決算精算表 B17</t>
        </is>
      </c>
      <c r="I617" s="1708" t="inlineStr">
        <is>
          <t>退職等_貸借・損益、退職等_決算精算表</t>
        </is>
      </c>
    </row>
    <row r="618" spans="1:9" ht="19.95" customHeight="1">
      <c r="A618" s="1752" t="s">
        <v>9</v>
      </c>
      <c r="B618" s="1708" t="s">
        <v>1963</v>
      </c>
      <c r="C618" s="1753" t="str">
        <f>HYPERLINK("#'退職等_預金・立替・未収'!C23","C23")</f>
        <v>C23</v>
      </c>
      <c r="D618" s="1708" t="s">
        <v>1955</v>
      </c>
      <c r="E618" s="1754">
        <f>IF(退職等_預金・立替・未収!C23="","",退職等_預金・立替・未収!C23)</f>
        <v>6127</v>
      </c>
      <c r="F618" s="1708" t="s">
        <v>1905</v>
      </c>
      <c r="G618" s="1709" t="str">
        <f t="shared" si="9"/>
        <v>入力済</v>
      </c>
      <c r="H618" s="1708" t="inlineStr">
        <is>
          <t>退職等_預金・立替・未収 C26、退職等_決算精算表 B17</t>
        </is>
      </c>
      <c r="I618" s="1708" t="inlineStr">
        <is>
          <t>退職等_貸借・損益、退職等_決算精算表</t>
        </is>
      </c>
    </row>
    <row r="619" spans="1:9" ht="19.95" customHeight="1">
      <c r="A619" s="1755" t="s">
        <v>9</v>
      </c>
      <c r="B619" s="1711" t="s">
        <v>1963</v>
      </c>
      <c r="C619" s="1756" t="str">
        <f>HYPERLINK("#'退職等_預金・立替・未収'!C24","C24")</f>
        <v>C24</v>
      </c>
      <c r="D619" s="1711" t="s">
        <v>1964</v>
      </c>
      <c r="E619" s="1757">
        <f>IF(退職等_預金・立替・未収!C24="","",退職等_預金・立替・未収!C24)</f>
        <v>40167526</v>
      </c>
      <c r="F619" s="1711" t="s">
        <v>1905</v>
      </c>
      <c r="G619" s="1709" t="str">
        <f t="shared" si="9"/>
        <v>入力済</v>
      </c>
      <c r="H619" s="1708" t="inlineStr">
        <is>
          <t>退職等_預金・立替・未収 C26、退職等_決算精算表 B18</t>
        </is>
      </c>
      <c r="I619" s="1708" t="inlineStr">
        <is>
          <t>退職等_貸借・損益、退職等_決算精算表</t>
        </is>
      </c>
    </row>
    <row r="620" spans="1:9" ht="19.95" customHeight="1">
      <c r="A620" s="1752" t="s">
        <v>9</v>
      </c>
      <c r="B620" s="1708" t="s">
        <v>1963</v>
      </c>
      <c r="C620" s="1753" t="str">
        <f>HYPERLINK("#'退職等_預金・立替・未収'!C25","C25")</f>
        <v>C25</v>
      </c>
      <c r="D620" s="1708" t="s">
        <v>1965</v>
      </c>
      <c r="E620" s="1754">
        <f>IF(退職等_預金・立替・未収!C25="","",退職等_預金・立替・未収!C25)</f>
        <v>15581742</v>
      </c>
      <c r="F620" s="1708" t="s">
        <v>1905</v>
      </c>
      <c r="G620" s="1709" t="str">
        <f t="shared" si="9"/>
        <v>入力済</v>
      </c>
      <c r="H620" s="1708" t="inlineStr">
        <is>
          <t>退職等_預金・立替・未収 C26、退職等_決算精算表 B18</t>
        </is>
      </c>
      <c r="I620" s="1708" t="inlineStr">
        <is>
          <t>退職等_貸借・損益、退職等_決算精算表</t>
        </is>
      </c>
    </row>
    <row r="621" spans="1:9" ht="19.95" customHeight="1">
      <c r="A621" s="1755" t="s">
        <v>9</v>
      </c>
      <c r="B621" s="1711" t="s">
        <v>1963</v>
      </c>
      <c r="C621" s="1756" t="str">
        <f>HYPERLINK("#'退職等_預金・立替・未収'!C33","C33")</f>
        <v>C33</v>
      </c>
      <c r="D621" s="1711" t="s">
        <v>1959</v>
      </c>
      <c r="E621" s="1757">
        <f>IF(退職等_預金・立替・未収!C33="","",退職等_預金・立替・未収!C33)</f>
        <v>0</v>
      </c>
      <c r="F621" s="1711" t="s">
        <v>1905</v>
      </c>
      <c r="G621" s="1709" t="str">
        <f t="shared" si="9"/>
        <v>0（確認）</v>
      </c>
      <c r="H621" s="1708" t="inlineStr">
        <is>
          <t>退職等_預金・立替・未収 C34</t>
        </is>
      </c>
      <c r="I621" s="1708" t="inlineStr">
        <is>
          <t>退職等_貸借・損益、退職等_決算精算表</t>
        </is>
      </c>
    </row>
    <row r="622" spans="1:9" ht="19.95" customHeight="1">
      <c r="A622" s="1752" t="s">
        <v>9</v>
      </c>
      <c r="B622" s="1708" t="s">
        <v>1966</v>
      </c>
      <c r="C622" s="1753" t="str">
        <f>HYPERLINK("#'退職等_決算精算表'!C13","C13")</f>
        <v>C13</v>
      </c>
      <c r="D622" s="1708" t="s">
        <v>1967</v>
      </c>
      <c r="E622" s="1754">
        <f>IF(退職等_決算精算表!C13="","",退職等_決算精算表!C13)</f>
        <v>0</v>
      </c>
      <c r="F622" s="1708" t="s">
        <v>1929</v>
      </c>
      <c r="G622" s="1709" t="str">
        <f t="shared" si="9"/>
        <v>0（確認）</v>
      </c>
      <c r="H622" s="1708" t="inlineStr">
        <is>
          <t>退職等_決算精算表 A13,C16</t>
        </is>
      </c>
      <c r="I622" s="1708" t="inlineStr">
        <is>
          <t>同じシート内のみ</t>
        </is>
      </c>
    </row>
    <row r="623" spans="1:9" ht="19.95" customHeight="1">
      <c r="A623" s="1755" t="s">
        <v>9</v>
      </c>
      <c r="B623" s="1711" t="s">
        <v>1966</v>
      </c>
      <c r="C623" s="1756" t="str">
        <f>HYPERLINK("#'退職等_決算精算表'!C17","C17")</f>
        <v>C17</v>
      </c>
      <c r="D623" s="1711" t="s">
        <v>1961</v>
      </c>
      <c r="E623" s="1757">
        <f>IF(退職等_決算精算表!C17="","",退職等_決算精算表!C17)</f>
        <v>578409717</v>
      </c>
      <c r="F623" s="1711" t="s">
        <v>1929</v>
      </c>
      <c r="G623" s="1709" t="str">
        <f t="shared" si="9"/>
        <v>入力済</v>
      </c>
      <c r="H623" s="1708" t="inlineStr">
        <is>
          <t>退職等_決算精算表 A17,C21</t>
        </is>
      </c>
      <c r="I623" s="1708" t="inlineStr">
        <is>
          <t>退職等_貸借・損益</t>
        </is>
      </c>
    </row>
    <row r="624" spans="1:9" ht="19.95" customHeight="1">
      <c r="A624" s="1752" t="s">
        <v>9</v>
      </c>
      <c r="B624" s="1708" t="s">
        <v>1966</v>
      </c>
      <c r="C624" s="1753" t="str">
        <f>HYPERLINK("#'退職等_決算精算表'!C18","C18")</f>
        <v>C18</v>
      </c>
      <c r="D624" s="1708" t="s">
        <v>1968</v>
      </c>
      <c r="E624" s="1754">
        <f>IF(退職等_決算精算表!C18="","",退職等_決算精算表!C18)</f>
        <v>578456627</v>
      </c>
      <c r="F624" s="1708" t="s">
        <v>1929</v>
      </c>
      <c r="G624" s="1709" t="str">
        <f t="shared" si="9"/>
        <v>入力済</v>
      </c>
      <c r="H624" s="1708" t="inlineStr">
        <is>
          <t>退職等_決算精算表 A18,C21</t>
        </is>
      </c>
      <c r="I624" s="1708" t="inlineStr">
        <is>
          <t>退職等_貸借・損益</t>
        </is>
      </c>
    </row>
    <row r="625" spans="1:9" ht="19.95" customHeight="1">
      <c r="A625" s="1755" t="s">
        <v>10</v>
      </c>
      <c r="B625" s="1711" t="s">
        <v>1969</v>
      </c>
      <c r="C625" s="1756" t="str">
        <f>HYPERLINK("#'経過的_預金・立替・未収'!E7","E7")</f>
        <v>E7</v>
      </c>
      <c r="D625" s="1711" t="s">
        <v>1904</v>
      </c>
      <c r="E625" s="1757">
        <f>IF(経過的_預金・立替・未収!E7="","",経過的_預金・立替・未収!E7)</f>
        <v>722478</v>
      </c>
      <c r="F625" s="1711" t="s">
        <v>1905</v>
      </c>
      <c r="G625" s="1709" t="str">
        <f t="shared" si="9"/>
        <v>入力済</v>
      </c>
      <c r="H625" s="1708" t="inlineStr">
        <is>
          <t>経過的_預金・立替・未収 E8</t>
        </is>
      </c>
      <c r="I625" s="1708" t="inlineStr">
        <is>
          <t>経過的_貸借・損益、経過的_決算精算表</t>
        </is>
      </c>
    </row>
    <row r="626" spans="1:9" ht="19.95" customHeight="1">
      <c r="A626" s="1752" t="s">
        <v>10</v>
      </c>
      <c r="B626" s="1708" t="s">
        <v>1969</v>
      </c>
      <c r="C626" s="1753" t="str">
        <f>HYPERLINK("#'経過的_預金・立替・未収'!C15","C15")</f>
        <v>C15</v>
      </c>
      <c r="D626" s="1708" t="s">
        <v>1953</v>
      </c>
      <c r="E626" s="1754">
        <f>IF(経過的_預金・立替・未収!C15="","",経過的_預金・立替・未収!C15)</f>
        <v>0</v>
      </c>
      <c r="F626" s="1708" t="s">
        <v>1905</v>
      </c>
      <c r="G626" s="1709" t="str">
        <f t="shared" si="9"/>
        <v>0（確認）</v>
      </c>
      <c r="H626" s="1708" t="inlineStr">
        <is>
          <t>経過的_預金・立替・未収 C16</t>
        </is>
      </c>
      <c r="I626" s="1708" t="inlineStr">
        <is>
          <t>経過的_貸借・損益</t>
        </is>
      </c>
    </row>
    <row r="627" spans="1:9" ht="19.95" customHeight="1">
      <c r="A627" s="1755" t="s">
        <v>10</v>
      </c>
      <c r="B627" s="1711" t="s">
        <v>1969</v>
      </c>
      <c r="C627" s="1756" t="str">
        <f>HYPERLINK("#'経過的_預金・立替・未収'!C22","C22")</f>
        <v>C22</v>
      </c>
      <c r="D627" s="1711" t="s">
        <v>1954</v>
      </c>
      <c r="E627" s="1757">
        <f>IF(経過的_預金・立替・未収!C22="","",経過的_預金・立替・未収!C22)</f>
        <v>722478</v>
      </c>
      <c r="F627" s="1711" t="s">
        <v>1905</v>
      </c>
      <c r="G627" s="1709" t="str">
        <f t="shared" si="9"/>
        <v>入力済</v>
      </c>
      <c r="H627" s="1708" t="inlineStr">
        <is>
          <t>経過的_預金・立替・未収 C23、経過的_決算精算表 B16</t>
        </is>
      </c>
      <c r="I627" s="1708" t="inlineStr">
        <is>
          <t>経過的_貸借・損益、経過的_決算精算表</t>
        </is>
      </c>
    </row>
    <row r="628" spans="1:9" ht="19.95" customHeight="1">
      <c r="A628" s="1752" t="s">
        <v>10</v>
      </c>
      <c r="B628" s="1708" t="s">
        <v>1970</v>
      </c>
      <c r="C628" s="1753" t="str">
        <f>HYPERLINK("#'経過的_決算精算表'!C16","C16")</f>
        <v>C16</v>
      </c>
      <c r="D628" s="1708" t="s">
        <v>1961</v>
      </c>
      <c r="E628" s="1754">
        <f>IF(経過的_決算精算表!C16="","",経過的_決算精算表!C16)</f>
        <v>84897738</v>
      </c>
      <c r="F628" s="1708" t="s">
        <v>1929</v>
      </c>
      <c r="G628" s="1709" t="str">
        <f t="shared" si="9"/>
        <v>入力済</v>
      </c>
      <c r="H628" s="1708" t="inlineStr">
        <is>
          <t>経過的_決算精算表 A16,C18</t>
        </is>
      </c>
      <c r="I628" s="1708" t="inlineStr">
        <is>
          <t>経過的_貸借・損益</t>
        </is>
      </c>
    </row>
    <row r="629" spans="1:9" ht="19.95" customHeight="1">
      <c r="A629" s="1755" t="s">
        <v>11</v>
      </c>
      <c r="B629" s="1711" t="s">
        <v>1462</v>
      </c>
      <c r="C629" s="1756" t="str">
        <f>HYPERLINK("#'預託金_預金・未収・貸付・預託金'!F7","F7")</f>
        <v>F7</v>
      </c>
      <c r="D629" s="1711" t="s">
        <v>1904</v>
      </c>
      <c r="E629" s="1757">
        <f>IF(預託金_預金・未収・貸付・預託金!F7="","",預託金_預金・未収・貸付・預託金!F7)</f>
        <v>0</v>
      </c>
      <c r="F629" s="1711" t="s">
        <v>1905</v>
      </c>
      <c r="G629" s="1709" t="str">
        <f t="shared" si="9"/>
        <v>0（確認）</v>
      </c>
      <c r="H629" s="1708" t="inlineStr">
        <is>
          <t>預託金_預金・未収・貸付・預託金 F8</t>
        </is>
      </c>
      <c r="I629" s="1708" t="inlineStr">
        <is>
          <t>報告_預託金のカメラ、預託金_貸借・損益</t>
        </is>
      </c>
    </row>
    <row r="630" spans="1:9" ht="19.95" customHeight="1">
      <c r="A630" s="1752" t="s">
        <v>11</v>
      </c>
      <c r="B630" s="1708" t="s">
        <v>1462</v>
      </c>
      <c r="C630" s="1753" t="str">
        <f>HYPERLINK("#'預託金_預金・未収・貸付・預託金'!C14","C14")</f>
        <v>C14</v>
      </c>
      <c r="D630" s="1708" t="s">
        <v>1971</v>
      </c>
      <c r="E630" s="1754">
        <f>IF(預託金_預金・未収・貸付・預託金!C14="","",預託金_預金・未収・貸付・預託金!C14)</f>
        <v>0</v>
      </c>
      <c r="F630" s="1708" t="s">
        <v>1905</v>
      </c>
      <c r="G630" s="1709" t="str">
        <f t="shared" si="9"/>
        <v>0（確認）</v>
      </c>
      <c r="H630" s="1708" t="inlineStr">
        <is>
          <t>預託金_預金・未収・貸付・預託金 C15</t>
        </is>
      </c>
      <c r="I630" s="1708" t="inlineStr">
        <is>
          <t>報告_預託金のカメラ、預託金_貸借・損益</t>
        </is>
      </c>
    </row>
    <row r="631" spans="1:9" ht="19.95" customHeight="1">
      <c r="A631" s="1755" t="s">
        <v>11</v>
      </c>
      <c r="B631" s="1711" t="s">
        <v>1462</v>
      </c>
      <c r="C631" s="1756" t="str">
        <f>HYPERLINK("#'預託金_預金・未収・貸付・預託金'!I28","I28")</f>
        <v>I28</v>
      </c>
      <c r="D631" s="1711" t="s">
        <v>1972</v>
      </c>
      <c r="E631" s="1757">
        <f>IF(預託金_預金・未収・貸付・預託金!I28="","",預託金_預金・未収・貸付・預託金!I28)</f>
        <v>126203387</v>
      </c>
      <c r="F631" s="1711" t="s">
        <v>1905</v>
      </c>
      <c r="G631" s="1709" t="str">
        <f t="shared" si="9"/>
        <v>入力済</v>
      </c>
      <c r="H631" s="1708" t="inlineStr">
        <is>
          <t>預託金_預金・未収・貸付・預託金 I29,M28</t>
        </is>
      </c>
      <c r="I631" s="1708" t="inlineStr">
        <is>
          <t>預託金_貸借・損益</t>
        </is>
      </c>
    </row>
    <row r="632" spans="1:9" ht="19.95" customHeight="1">
      <c r="A632" s="1752" t="s">
        <v>11</v>
      </c>
      <c r="B632" s="1708" t="s">
        <v>1973</v>
      </c>
      <c r="C632" s="1753" t="str">
        <f>HYPERLINK("#'預託金_決算精算表'!C15","C15")</f>
        <v>C15</v>
      </c>
      <c r="D632" s="1708" t="s">
        <v>1974</v>
      </c>
      <c r="E632" s="1754">
        <f>IF(預託金_決算精算表!C15="","",預託金_決算精算表!C15)</f>
        <v>3</v>
      </c>
      <c r="F632" s="1708" t="s">
        <v>1929</v>
      </c>
      <c r="G632" s="1709" t="str">
        <f t="shared" si="9"/>
        <v>入力済</v>
      </c>
      <c r="H632" s="1708" t="inlineStr">
        <is>
          <t>預託金_決算精算表 A15,C16,G15</t>
        </is>
      </c>
      <c r="I632" s="1708" t="inlineStr">
        <is>
          <t>同じシート内のみ</t>
        </is>
      </c>
    </row>
    <row r="633" spans="1:9" ht="19.95" customHeight="1">
      <c r="A633" s="1755" t="s">
        <v>11</v>
      </c>
      <c r="B633" s="1711" t="s">
        <v>1973</v>
      </c>
      <c r="C633" s="1756" t="str">
        <f>HYPERLINK("#'預託金_決算精算表'!F15","F15")</f>
        <v>F15</v>
      </c>
      <c r="D633" s="1711" t="s">
        <v>1975</v>
      </c>
      <c r="E633" s="1757">
        <f>IF(預託金_決算精算表!F15="","",預託金_決算精算表!F15)</f>
        <v>3</v>
      </c>
      <c r="F633" s="1711" t="s">
        <v>1929</v>
      </c>
      <c r="G633" s="1709" t="str">
        <f t="shared" si="9"/>
        <v>入力済</v>
      </c>
      <c r="H633" s="1708" t="inlineStr">
        <is>
          <t>預託金_決算精算表 A15,F16,G15</t>
        </is>
      </c>
      <c r="I633" s="1708" t="inlineStr">
        <is>
          <t>同じシート内のみ</t>
        </is>
      </c>
    </row>
    <row r="634" spans="1:9" ht="19.95" customHeight="1">
      <c r="A634" s="1752" t="s">
        <v>11</v>
      </c>
      <c r="B634" s="1708" t="s">
        <v>1973</v>
      </c>
      <c r="C634" s="1753" t="str">
        <f>HYPERLINK("#'預託金_決算精算表'!B17","B17")</f>
        <v>B17</v>
      </c>
      <c r="D634" s="1708" t="s">
        <v>1976</v>
      </c>
      <c r="E634" s="1754">
        <f>IF(預託金_決算精算表!B17="","",預託金_決算精算表!B17)</f>
        <v>3</v>
      </c>
      <c r="F634" s="1708" t="s">
        <v>1929</v>
      </c>
      <c r="G634" s="1709" t="str">
        <f t="shared" si="9"/>
        <v>入力済</v>
      </c>
      <c r="H634" s="1708" t="inlineStr">
        <is>
          <t>預託金_決算精算表 A17,B19</t>
        </is>
      </c>
      <c r="I634" s="1708" t="inlineStr">
        <is>
          <t>報告_預託金P17、預託金_貸借・損益、預託金_預金・未収・貸付・預託金</t>
        </is>
      </c>
    </row>
    <row r="635" spans="1:9" ht="19.95" customHeight="1">
      <c r="A635" s="1755" t="s">
        <v>11</v>
      </c>
      <c r="B635" s="1711" t="s">
        <v>1973</v>
      </c>
      <c r="C635" s="1756" t="str">
        <f>HYPERLINK("#'預託金_決算精算表'!C17","C17")</f>
        <v>C17</v>
      </c>
      <c r="D635" s="1711" t="s">
        <v>1977</v>
      </c>
      <c r="E635" s="1757">
        <f>IF(預託金_決算精算表!C17="","",預託金_決算精算表!C17)</f>
        <v>136056</v>
      </c>
      <c r="F635" s="1711" t="s">
        <v>1929</v>
      </c>
      <c r="G635" s="1709" t="str">
        <f t="shared" si="9"/>
        <v>入力済</v>
      </c>
      <c r="H635" s="1708" t="inlineStr">
        <is>
          <t>預託金_決算精算表 A17,C19</t>
        </is>
      </c>
      <c r="I635" s="1708" t="inlineStr">
        <is>
          <t>報告_預託金P17、預託金_貸借・損益、預託金_預金・未収・貸付・預託金</t>
        </is>
      </c>
    </row>
    <row r="636" spans="1:9" ht="19.95" customHeight="1">
      <c r="A636" s="1752" t="s">
        <v>12</v>
      </c>
      <c r="B636" s="1708" t="s">
        <v>1467</v>
      </c>
      <c r="C636" s="1753" t="str">
        <f>HYPERLINK("#'業務_附属明細表'!M5","M5")</f>
        <v>M5</v>
      </c>
      <c r="D636" s="1708" t="s">
        <v>1904</v>
      </c>
      <c r="E636" s="1754">
        <f>IF(業務_附属明細表!M5="","",業務_附属明細表!M5)</f>
        <v>72939159</v>
      </c>
      <c r="F636" s="1708" t="s">
        <v>1905</v>
      </c>
      <c r="G636" s="1709" t="str">
        <f t="shared" si="9"/>
        <v>入力済</v>
      </c>
      <c r="H636" s="1708" t="inlineStr">
        <is>
          <t>業務_附属明細表 M6、業務_決算精算表 C9</t>
        </is>
      </c>
      <c r="I636" s="1708" t="inlineStr">
        <is>
          <t>業務_財務諸表、業務_決算精算表</t>
        </is>
      </c>
    </row>
    <row r="637" spans="1:9" ht="19.95" customHeight="1">
      <c r="A637" s="1755" t="s">
        <v>12</v>
      </c>
      <c r="B637" s="1711" t="s">
        <v>1467</v>
      </c>
      <c r="C637" s="1756" t="str">
        <f>HYPERLINK("#'業務_附属明細表'!G12","G12")</f>
        <v>G12</v>
      </c>
      <c r="D637" s="1711" t="s">
        <v>1978</v>
      </c>
      <c r="E637" s="1757">
        <f>IF(業務_附属明細表!G12="","",業務_附属明細表!G12)</f>
        <v>194420</v>
      </c>
      <c r="F637" s="1711" t="s">
        <v>1905</v>
      </c>
      <c r="G637" s="1709" t="str">
        <f t="shared" si="9"/>
        <v>入力済</v>
      </c>
      <c r="H637" s="1708" t="inlineStr">
        <is>
          <t>業務_附属明細表 G14</t>
        </is>
      </c>
      <c r="I637" s="1708" t="inlineStr">
        <is>
          <t>同じシート内のみ</t>
        </is>
      </c>
    </row>
    <row r="638" spans="1:9" ht="19.95" customHeight="1">
      <c r="A638" s="1752" t="s">
        <v>12</v>
      </c>
      <c r="B638" s="1708" t="s">
        <v>1467</v>
      </c>
      <c r="C638" s="1753" t="str">
        <f>HYPERLINK("#'業務_附属明細表'!G38","G38")</f>
        <v>G38</v>
      </c>
      <c r="D638" s="1708" t="s">
        <v>1978</v>
      </c>
      <c r="E638" s="1754">
        <f>IF(業務_附属明細表!G38="","",業務_附属明細表!G38)</f>
        <v>2356</v>
      </c>
      <c r="F638" s="1708" t="s">
        <v>1905</v>
      </c>
      <c r="G638" s="1709" t="str">
        <f t="shared" si="9"/>
        <v>入力済</v>
      </c>
      <c r="H638" s="1708" t="inlineStr">
        <is>
          <t>業務_附属明細表 G46、業務_決算精算表 B10</t>
        </is>
      </c>
      <c r="I638" s="1708" t="inlineStr">
        <is>
          <t>業務_財務諸表、業務_決算精算表</t>
        </is>
      </c>
    </row>
    <row r="639" spans="1:9" ht="19.95" customHeight="1">
      <c r="A639" s="1755" t="s">
        <v>12</v>
      </c>
      <c r="B639" s="1711" t="s">
        <v>1467</v>
      </c>
      <c r="C639" s="1756" t="str">
        <f>HYPERLINK("#'業務_附属明細表'!G39","G39")</f>
        <v>G39</v>
      </c>
      <c r="D639" s="1711" t="s">
        <v>1979</v>
      </c>
      <c r="E639" s="1757">
        <f>IF(業務_附属明細表!G39="","",業務_附属明細表!G39)</f>
        <v>846685</v>
      </c>
      <c r="F639" s="1711" t="s">
        <v>1905</v>
      </c>
      <c r="G639" s="1709" t="str">
        <f t="shared" si="9"/>
        <v>入力済</v>
      </c>
      <c r="H639" s="1708" t="inlineStr">
        <is>
          <t>業務_附属明細表 G46、業務_決算精算表 B25</t>
        </is>
      </c>
      <c r="I639" s="1708" t="inlineStr">
        <is>
          <t>報告_業務P19、業務_財務諸表、業務_決算精算表</t>
        </is>
      </c>
    </row>
    <row r="640" spans="1:9" ht="19.95" customHeight="1">
      <c r="A640" s="1752" t="s">
        <v>12</v>
      </c>
      <c r="B640" s="1708" t="s">
        <v>1467</v>
      </c>
      <c r="C640" s="1753" t="str">
        <f>HYPERLINK("#'業務_附属明細表'!G40","G40")</f>
        <v>G40</v>
      </c>
      <c r="D640" s="1708" t="s">
        <v>1980</v>
      </c>
      <c r="E640" s="1754">
        <f>IF(業務_附属明細表!G40="","",業務_附属明細表!G40)</f>
        <v>1576505</v>
      </c>
      <c r="F640" s="1708" t="s">
        <v>1905</v>
      </c>
      <c r="G640" s="1709" t="str">
        <f t="shared" si="9"/>
        <v>入力済</v>
      </c>
      <c r="H640" s="1708" t="inlineStr">
        <is>
          <t>業務_附属明細表 G46、業務_決算精算表 B27</t>
        </is>
      </c>
      <c r="I640" s="1708" t="inlineStr">
        <is>
          <t>報告_業務P19、業務_財務諸表、業務_決算精算表</t>
        </is>
      </c>
    </row>
    <row r="641" spans="1:9" ht="19.95" customHeight="1">
      <c r="A641" s="1755" t="s">
        <v>12</v>
      </c>
      <c r="B641" s="1711" t="s">
        <v>1467</v>
      </c>
      <c r="C641" s="1756" t="str">
        <f>HYPERLINK("#'業務_附属明細表'!G41","G41")</f>
        <v>G41</v>
      </c>
      <c r="D641" s="1711" t="s">
        <v>1981</v>
      </c>
      <c r="E641" s="1757">
        <f>IF(業務_附属明細表!G41="","",業務_附属明細表!G41)</f>
        <v>46537</v>
      </c>
      <c r="F641" s="1711" t="s">
        <v>1905</v>
      </c>
      <c r="G641" s="1709" t="str">
        <f t="shared" si="9"/>
        <v>入力済</v>
      </c>
      <c r="H641" s="1708" t="inlineStr">
        <is>
          <t>業務_附属明細表 G46、業務_決算精算表 B28</t>
        </is>
      </c>
      <c r="I641" s="1708" t="inlineStr">
        <is>
          <t>報告_業務P19、業務_財務諸表、業務_決算精算表</t>
        </is>
      </c>
    </row>
    <row r="642" spans="1:9" ht="19.95" customHeight="1">
      <c r="A642" s="1752" t="s">
        <v>12</v>
      </c>
      <c r="B642" s="1708" t="s">
        <v>1467</v>
      </c>
      <c r="C642" s="1753" t="str">
        <f>HYPERLINK("#'業務_附属明細表'!G42","G42")</f>
        <v>G42</v>
      </c>
      <c r="D642" s="1708" t="s">
        <v>1982</v>
      </c>
      <c r="E642" s="1754">
        <f>IF(業務_附属明細表!G42="","",業務_附属明細表!G42)</f>
        <v>1020091</v>
      </c>
      <c r="F642" s="1708" t="s">
        <v>1905</v>
      </c>
      <c r="G642" s="1709" t="str">
        <f t="shared" si="9"/>
        <v>入力済</v>
      </c>
      <c r="H642" s="1708" t="inlineStr">
        <is>
          <t>業務_附属明細表 G46、業務_決算精算表 B30</t>
        </is>
      </c>
      <c r="I642" s="1708" t="inlineStr">
        <is>
          <t>報告_業務P19、業務_財務諸表、業務_決算精算表</t>
        </is>
      </c>
    </row>
    <row r="643" spans="1:9" ht="19.95" customHeight="1">
      <c r="A643" s="1755" t="s">
        <v>12</v>
      </c>
      <c r="B643" s="1711" t="s">
        <v>1467</v>
      </c>
      <c r="C643" s="1756" t="str">
        <f>HYPERLINK("#'業務_附属明細表'!G43","G43")</f>
        <v>G43</v>
      </c>
      <c r="D643" s="1711" t="s">
        <v>1983</v>
      </c>
      <c r="E643" s="1757">
        <f>IF(業務_附属明細表!G43="","",業務_附属明細表!G43)</f>
        <v>689790</v>
      </c>
      <c r="F643" s="1711" t="s">
        <v>1905</v>
      </c>
      <c r="G643" s="1709" t="str">
        <f t="shared" si="9"/>
        <v>入力済</v>
      </c>
      <c r="H643" s="1708" t="inlineStr">
        <is>
          <t>業務_附属明細表 G46、業務_決算精算表 B31</t>
        </is>
      </c>
      <c r="I643" s="1708" t="inlineStr">
        <is>
          <t>報告_業務P19、業務_財務諸表、業務_決算精算表</t>
        </is>
      </c>
    </row>
    <row r="644" spans="1:9" ht="19.95" customHeight="1">
      <c r="A644" s="1752" t="s">
        <v>12</v>
      </c>
      <c r="B644" s="1708" t="s">
        <v>1467</v>
      </c>
      <c r="C644" s="1753" t="str">
        <f>HYPERLINK("#'業務_附属明細表'!G44","G44")</f>
        <v>G44</v>
      </c>
      <c r="D644" s="1708" t="s">
        <v>1984</v>
      </c>
      <c r="E644" s="1754">
        <f>IF(業務_附属明細表!G44="","",業務_附属明細表!G44)</f>
        <v>103564</v>
      </c>
      <c r="F644" s="1708" t="s">
        <v>1905</v>
      </c>
      <c r="G644" s="1709" t="str">
        <f t="shared" si="9"/>
        <v>入力済</v>
      </c>
      <c r="H644" s="1708" t="inlineStr">
        <is>
          <t>業務_附属明細表 G46、業務_決算精算表 B32</t>
        </is>
      </c>
      <c r="I644" s="1708" t="inlineStr">
        <is>
          <t>報告_業務P19、業務_財務諸表、業務_決算精算表</t>
        </is>
      </c>
    </row>
    <row r="645" spans="1:9" ht="19.95" customHeight="1">
      <c r="A645" s="1755" t="s">
        <v>12</v>
      </c>
      <c r="B645" s="1711" t="s">
        <v>1467</v>
      </c>
      <c r="C645" s="1756" t="str">
        <f>HYPERLINK("#'業務_附属明細表'!G45","G45")</f>
        <v>G45</v>
      </c>
      <c r="D645" s="1711" t="s">
        <v>1984</v>
      </c>
      <c r="E645" s="1757">
        <f>IF(業務_附属明細表!G45="","",業務_附属明細表!G45)</f>
        <v>5312157</v>
      </c>
      <c r="F645" s="1711" t="s">
        <v>1905</v>
      </c>
      <c r="G645" s="1709" t="str">
        <f t="shared" si="9"/>
        <v>入力済</v>
      </c>
      <c r="H645" s="1708" t="inlineStr">
        <is>
          <t>業務_附属明細表 G46、業務_決算精算表 B39</t>
        </is>
      </c>
      <c r="I645" s="1708" t="inlineStr">
        <is>
          <t>報告_業務P18、報告_業務P19、業務_財務諸表、業務_決算精算表</t>
        </is>
      </c>
    </row>
    <row r="646" spans="1:9" ht="19.95" customHeight="1">
      <c r="A646" s="1752" t="s">
        <v>12</v>
      </c>
      <c r="B646" s="1708" t="s">
        <v>1467</v>
      </c>
      <c r="C646" s="1753" t="str">
        <f>HYPERLINK("#'業務_附属明細表'!G52","G52")</f>
        <v>G52</v>
      </c>
      <c r="D646" s="1708" t="s">
        <v>1985</v>
      </c>
      <c r="E646" s="1754">
        <f>IF(業務_附属明細表!G52="","",業務_附属明細表!G52)</f>
        <v>59015</v>
      </c>
      <c r="F646" s="1708" t="s">
        <v>1905</v>
      </c>
      <c r="G646" s="1709" t="str">
        <f t="shared" ref="G646:G709" si="10">IF(E646="","未入力（空欄）",IF(E646=0,"0（確認）","入力済"))</f>
        <v>入力済</v>
      </c>
      <c r="H646" s="1708" t="inlineStr">
        <is>
          <t>業務_附属明細表 G54、業務_決算精算表 B22</t>
        </is>
      </c>
      <c r="I646" s="1708" t="inlineStr">
        <is>
          <t>報告_業務P19、業務_財務諸表、業務_決算精算表</t>
        </is>
      </c>
    </row>
    <row r="647" spans="1:9" ht="19.95" customHeight="1">
      <c r="A647" s="1755" t="s">
        <v>12</v>
      </c>
      <c r="B647" s="1711" t="s">
        <v>1467</v>
      </c>
      <c r="C647" s="1756" t="str">
        <f>HYPERLINK("#'業務_附属明細表'!G53","G53")</f>
        <v>G53</v>
      </c>
      <c r="D647" s="1711" t="s">
        <v>1986</v>
      </c>
      <c r="E647" s="1757">
        <f>IF(業務_附属明細表!G53="","",業務_附属明細表!G53)</f>
        <v>376346</v>
      </c>
      <c r="F647" s="1711" t="s">
        <v>1905</v>
      </c>
      <c r="G647" s="1709" t="str">
        <f t="shared" si="10"/>
        <v>入力済</v>
      </c>
      <c r="H647" s="1708" t="inlineStr">
        <is>
          <t>業務_附属明細表 G54、業務_決算精算表 B26</t>
        </is>
      </c>
      <c r="I647" s="1708" t="inlineStr">
        <is>
          <t>報告_業務P19、業務_財務諸表、業務_決算精算表</t>
        </is>
      </c>
    </row>
    <row r="648" spans="1:9" ht="19.95" customHeight="1">
      <c r="A648" s="1752" t="s">
        <v>12</v>
      </c>
      <c r="B648" s="1708" t="s">
        <v>1467</v>
      </c>
      <c r="C648" s="1753" t="str">
        <f>HYPERLINK("#'業務_附属明細表'!G60","G60")</f>
        <v>G60</v>
      </c>
      <c r="D648" s="1708" t="s">
        <v>1987</v>
      </c>
      <c r="E648" s="1754">
        <f>IF(業務_附属明細表!G60="","",業務_附属明細表!G60)</f>
        <v>203327</v>
      </c>
      <c r="F648" s="1708" t="s">
        <v>1905</v>
      </c>
      <c r="G648" s="1709" t="str">
        <f t="shared" si="10"/>
        <v>入力済</v>
      </c>
      <c r="H648" s="1708" t="inlineStr">
        <is>
          <t>業務_附属明細表 G62</t>
        </is>
      </c>
      <c r="I648" s="1708" t="inlineStr">
        <is>
          <t>業務_財務諸表、業務_決算精算表</t>
        </is>
      </c>
    </row>
    <row r="649" spans="1:9" ht="19.95" customHeight="1">
      <c r="A649" s="1755" t="s">
        <v>12</v>
      </c>
      <c r="B649" s="1711" t="s">
        <v>1467</v>
      </c>
      <c r="C649" s="1756" t="str">
        <f>HYPERLINK("#'業務_附属明細表'!G61","G61")</f>
        <v>G61</v>
      </c>
      <c r="D649" s="1711" t="s">
        <v>1988</v>
      </c>
      <c r="E649" s="1757">
        <f>IF(業務_附属明細表!G61="","",業務_附属明細表!G61)</f>
        <v>24613</v>
      </c>
      <c r="F649" s="1711" t="s">
        <v>1905</v>
      </c>
      <c r="G649" s="1709" t="str">
        <f t="shared" si="10"/>
        <v>入力済</v>
      </c>
      <c r="H649" s="1708" t="inlineStr">
        <is>
          <t>業務_附属明細表 G62</t>
        </is>
      </c>
      <c r="I649" s="1708" t="inlineStr">
        <is>
          <t>業務_財務諸表、業務_決算精算表</t>
        </is>
      </c>
    </row>
    <row r="650" spans="1:9" ht="19.95" customHeight="1">
      <c r="A650" s="1752" t="s">
        <v>12</v>
      </c>
      <c r="B650" s="1708" t="s">
        <v>1467</v>
      </c>
      <c r="C650" s="1753" t="str">
        <f>HYPERLINK("#'業務_附属明細表'!G68","G68")</f>
        <v>G68</v>
      </c>
      <c r="D650" s="1708" t="s">
        <v>1989</v>
      </c>
      <c r="E650" s="1754">
        <f>IF(業務_附属明細表!G68="","",業務_附属明細表!G68)</f>
        <v>216843</v>
      </c>
      <c r="F650" s="1708" t="s">
        <v>1905</v>
      </c>
      <c r="G650" s="1709" t="str">
        <f t="shared" si="10"/>
        <v>入力済</v>
      </c>
      <c r="H650" s="1708" t="inlineStr">
        <is>
          <t>業務_附属明細表 G69、業務_決算精算表 E17</t>
        </is>
      </c>
      <c r="I650" s="1708" t="inlineStr">
        <is>
          <t>業務_財務諸表、業務_決算精算表</t>
        </is>
      </c>
    </row>
    <row r="651" spans="1:9" ht="19.95" customHeight="1">
      <c r="A651" s="1755" t="s">
        <v>12</v>
      </c>
      <c r="B651" s="1711" t="s">
        <v>1467</v>
      </c>
      <c r="C651" s="1756" t="str">
        <f>HYPERLINK("#'業務_附属明細表'!G76","G76")</f>
        <v>G76</v>
      </c>
      <c r="D651" s="1711" t="s">
        <v>1990</v>
      </c>
      <c r="E651" s="1757">
        <f>IF(業務_附属明細表!G76="","",業務_附属明細表!G76)</f>
        <v>0</v>
      </c>
      <c r="F651" s="1711" t="s">
        <v>1905</v>
      </c>
      <c r="G651" s="1709" t="str">
        <f t="shared" si="10"/>
        <v>0（確認）</v>
      </c>
      <c r="H651" s="1708" t="inlineStr">
        <is>
          <t>業務_附属明細表 G77,M76</t>
        </is>
      </c>
      <c r="I651" s="1708" t="inlineStr">
        <is>
          <t>業務_財務諸表、業務_決算精算表</t>
        </is>
      </c>
    </row>
    <row r="652" spans="1:9" ht="19.95" customHeight="1">
      <c r="A652" s="1752" t="s">
        <v>12</v>
      </c>
      <c r="B652" s="1708" t="s">
        <v>1467</v>
      </c>
      <c r="C652" s="1753" t="str">
        <f>HYPERLINK("#'業務_附属明細表'!J76","J76")</f>
        <v>J76</v>
      </c>
      <c r="D652" s="1708" t="s">
        <v>1991</v>
      </c>
      <c r="E652" s="1754">
        <f>IF(業務_附属明細表!J76="","",業務_附属明細表!J76)</f>
        <v>0</v>
      </c>
      <c r="F652" s="1708" t="s">
        <v>1905</v>
      </c>
      <c r="G652" s="1709" t="str">
        <f t="shared" si="10"/>
        <v>0（確認）</v>
      </c>
      <c r="H652" s="1708" t="inlineStr">
        <is>
          <t>業務_附属明細表 J77,M76</t>
        </is>
      </c>
      <c r="I652" s="1708" t="inlineStr">
        <is>
          <t>業務_財務諸表、業務_決算精算表</t>
        </is>
      </c>
    </row>
    <row r="653" spans="1:9" ht="19.95" customHeight="1">
      <c r="A653" s="1755" t="s">
        <v>12</v>
      </c>
      <c r="B653" s="1711" t="s">
        <v>1467</v>
      </c>
      <c r="C653" s="1756" t="str">
        <f>HYPERLINK("#'業務_附属明細表'!F83","F83")</f>
        <v>F83</v>
      </c>
      <c r="D653" s="1711" t="s">
        <v>1992</v>
      </c>
      <c r="E653" s="1757">
        <f>IF(業務_附属明細表!F83="","",業務_附属明細表!F83)</f>
        <v>723140</v>
      </c>
      <c r="F653" s="1711" t="s">
        <v>1905</v>
      </c>
      <c r="G653" s="1709" t="str">
        <f t="shared" si="10"/>
        <v>入力済</v>
      </c>
      <c r="H653" s="1708" t="inlineStr">
        <is>
          <t>業務_附属明細表 F85,N83,Q83</t>
        </is>
      </c>
      <c r="I653" s="1708" t="inlineStr">
        <is>
          <t>同じシート内のみ</t>
        </is>
      </c>
    </row>
    <row r="654" spans="1:9" ht="19.95" customHeight="1">
      <c r="A654" s="1752" t="s">
        <v>12</v>
      </c>
      <c r="B654" s="1708" t="s">
        <v>1467</v>
      </c>
      <c r="C654" s="1753" t="str">
        <f>HYPERLINK("#'業務_附属明細表'!H83","H83")</f>
        <v>H83</v>
      </c>
      <c r="D654" s="1708" t="s">
        <v>1993</v>
      </c>
      <c r="E654" s="1754">
        <f>IF(業務_附属明細表!H83="","",業務_附属明細表!H83)</f>
        <v>144628</v>
      </c>
      <c r="F654" s="1708" t="s">
        <v>1905</v>
      </c>
      <c r="G654" s="1709" t="str">
        <f t="shared" si="10"/>
        <v>入力済</v>
      </c>
      <c r="H654" s="1708" t="inlineStr">
        <is>
          <t>業務_附属明細表 H85</t>
        </is>
      </c>
      <c r="I654" s="1708" t="inlineStr">
        <is>
          <t>報告_業務P19、業務_財務諸表、業務_決算精算表</t>
        </is>
      </c>
    </row>
    <row r="655" spans="1:9" ht="19.95" customHeight="1">
      <c r="A655" s="1755" t="s">
        <v>12</v>
      </c>
      <c r="B655" s="1711" t="s">
        <v>1467</v>
      </c>
      <c r="C655" s="1756" t="str">
        <f>HYPERLINK("#'業務_附属明細表'!K83","K83")</f>
        <v>K83</v>
      </c>
      <c r="D655" s="1711" t="s">
        <v>1994</v>
      </c>
      <c r="E655" s="1757">
        <f>IF(業務_附属明細表!K83="","",業務_附属明細表!K83)</f>
        <v>542355</v>
      </c>
      <c r="F655" s="1711" t="s">
        <v>1905</v>
      </c>
      <c r="G655" s="1709" t="str">
        <f t="shared" si="10"/>
        <v>入力済</v>
      </c>
      <c r="H655" s="1708" t="inlineStr">
        <is>
          <t>業務_附属明細表 K85,N83,Q83</t>
        </is>
      </c>
      <c r="I655" s="1708" t="inlineStr">
        <is>
          <t>同じシート内のみ</t>
        </is>
      </c>
    </row>
    <row r="656" spans="1:9" ht="19.95" customHeight="1">
      <c r="A656" s="1752" t="s">
        <v>12</v>
      </c>
      <c r="B656" s="1708" t="s">
        <v>1467</v>
      </c>
      <c r="C656" s="1753" t="str">
        <f>HYPERLINK("#'業務_附属明細表'!F84","F84")</f>
        <v>F84</v>
      </c>
      <c r="D656" s="1708" t="s">
        <v>1995</v>
      </c>
      <c r="E656" s="1754">
        <f>IF(業務_附属明細表!F84="","",業務_附属明細表!F84)</f>
        <v>127710</v>
      </c>
      <c r="F656" s="1708" t="s">
        <v>1905</v>
      </c>
      <c r="G656" s="1709" t="str">
        <f t="shared" si="10"/>
        <v>入力済</v>
      </c>
      <c r="H656" s="1708" t="inlineStr">
        <is>
          <t>業務_附属明細表 F85,N84,Q84</t>
        </is>
      </c>
      <c r="I656" s="1708" t="inlineStr">
        <is>
          <t>同じシート内のみ</t>
        </is>
      </c>
    </row>
    <row r="657" spans="1:9" ht="19.95" customHeight="1">
      <c r="A657" s="1755" t="s">
        <v>12</v>
      </c>
      <c r="B657" s="1711" t="s">
        <v>1467</v>
      </c>
      <c r="C657" s="1756" t="str">
        <f>HYPERLINK("#'業務_附属明細表'!H84","H84")</f>
        <v>H84</v>
      </c>
      <c r="D657" s="1711" t="s">
        <v>1996</v>
      </c>
      <c r="E657" s="1757">
        <f>IF(業務_附属明細表!H84="","",業務_附属明細表!H84)</f>
        <v>31928</v>
      </c>
      <c r="F657" s="1711" t="s">
        <v>1905</v>
      </c>
      <c r="G657" s="1709" t="str">
        <f t="shared" si="10"/>
        <v>入力済</v>
      </c>
      <c r="H657" s="1708" t="inlineStr">
        <is>
          <t>業務_附属明細表 H85</t>
        </is>
      </c>
      <c r="I657" s="1708" t="inlineStr">
        <is>
          <t>報告_業務P19、業務_財務諸表、業務_決算精算表</t>
        </is>
      </c>
    </row>
    <row r="658" spans="1:9" ht="19.95" customHeight="1">
      <c r="A658" s="1752" t="s">
        <v>12</v>
      </c>
      <c r="B658" s="1708" t="s">
        <v>1467</v>
      </c>
      <c r="C658" s="1753" t="str">
        <f>HYPERLINK("#'業務_附属明細表'!K84","K84")</f>
        <v>K84</v>
      </c>
      <c r="D658" s="1708" t="s">
        <v>1997</v>
      </c>
      <c r="E658" s="1754">
        <f>IF(業務_附属明細表!K84="","",業務_附属明細表!K84)</f>
        <v>101105</v>
      </c>
      <c r="F658" s="1708" t="s">
        <v>1905</v>
      </c>
      <c r="G658" s="1709" t="str">
        <f t="shared" si="10"/>
        <v>入力済</v>
      </c>
      <c r="H658" s="1708" t="inlineStr">
        <is>
          <t>業務_附属明細表 K85,N84,Q84</t>
        </is>
      </c>
      <c r="I658" s="1708" t="inlineStr">
        <is>
          <t>同じシート内のみ</t>
        </is>
      </c>
    </row>
    <row r="659" spans="1:9" ht="19.95" customHeight="1">
      <c r="A659" s="1755" t="s">
        <v>12</v>
      </c>
      <c r="B659" s="1711" t="s">
        <v>1467</v>
      </c>
      <c r="C659" s="1756" t="str">
        <f>HYPERLINK("#'業務_附属明細表'!F98","F98")</f>
        <v>F98</v>
      </c>
      <c r="D659" s="1711" t="s">
        <v>1998</v>
      </c>
      <c r="E659" s="1757">
        <f>IF(業務_附属明細表!F98="","",業務_附属明細表!F98)</f>
        <v>169470</v>
      </c>
      <c r="F659" s="1711" t="s">
        <v>1905</v>
      </c>
      <c r="G659" s="1709" t="str">
        <f t="shared" si="10"/>
        <v>入力済</v>
      </c>
      <c r="H659" s="1708" t="inlineStr">
        <is>
          <t>業務_附属明細表 F100,N98</t>
        </is>
      </c>
      <c r="I659" s="1708" t="inlineStr">
        <is>
          <t>同じシート内のみ</t>
        </is>
      </c>
    </row>
    <row r="660" spans="1:9" ht="19.95" customHeight="1">
      <c r="A660" s="1752" t="s">
        <v>12</v>
      </c>
      <c r="B660" s="1708" t="s">
        <v>1467</v>
      </c>
      <c r="C660" s="1753" t="str">
        <f>HYPERLINK("#'業務_附属明細表'!H98","H98")</f>
        <v>H98</v>
      </c>
      <c r="D660" s="1708" t="s">
        <v>1999</v>
      </c>
      <c r="E660" s="1754">
        <f>IF(業務_附属明細表!H98="","",業務_附属明細表!H98)</f>
        <v>0</v>
      </c>
      <c r="F660" s="1708" t="s">
        <v>1905</v>
      </c>
      <c r="G660" s="1709" t="str">
        <f t="shared" si="10"/>
        <v>0（確認）</v>
      </c>
      <c r="H660" s="1708" t="inlineStr">
        <is>
          <t>業務_附属明細表 H100</t>
        </is>
      </c>
      <c r="I660" s="1708" t="inlineStr">
        <is>
          <t>同じシート内のみ</t>
        </is>
      </c>
    </row>
    <row r="661" spans="1:9" ht="19.95" customHeight="1">
      <c r="A661" s="1755" t="s">
        <v>12</v>
      </c>
      <c r="B661" s="1711" t="s">
        <v>1467</v>
      </c>
      <c r="C661" s="1756" t="str">
        <f>HYPERLINK("#'業務_附属明細表'!L98","L98")</f>
        <v>L98</v>
      </c>
      <c r="D661" s="1711" t="s">
        <v>2000</v>
      </c>
      <c r="E661" s="1757">
        <f>IF(業務_附属明細表!L98="","",業務_附属明細表!L98)</f>
        <v>16950</v>
      </c>
      <c r="F661" s="1711" t="s">
        <v>1905</v>
      </c>
      <c r="G661" s="1709" t="str">
        <f t="shared" si="10"/>
        <v>入力済</v>
      </c>
      <c r="H661" s="1708" t="inlineStr">
        <is>
          <t>業務_附属明細表 L100</t>
        </is>
      </c>
      <c r="I661" s="1708" t="inlineStr">
        <is>
          <t>同じシート内のみ</t>
        </is>
      </c>
    </row>
    <row r="662" spans="1:9" ht="19.95" customHeight="1">
      <c r="A662" s="1752" t="s">
        <v>12</v>
      </c>
      <c r="B662" s="1708" t="s">
        <v>1467</v>
      </c>
      <c r="C662" s="1753" t="str">
        <f>HYPERLINK("#'業務_附属明細表'!D99","D99")</f>
        <v>D99</v>
      </c>
      <c r="D662" s="1708" t="s">
        <v>2001</v>
      </c>
      <c r="E662" s="1754">
        <f>IF(業務_附属明細表!D99="","",業務_附属明細表!D99)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HYPERLINK("#'業務_附属明細表'!F99","F99")</f>
        <v>F99</v>
      </c>
      <c r="D663" s="1711" t="s">
        <v>2002</v>
      </c>
      <c r="E663" s="1757">
        <f>IF(業務_附属明細表!F99="","",業務_附属明細表!F99)</f>
        <v>90825</v>
      </c>
      <c r="F663" s="1711" t="s">
        <v>1905</v>
      </c>
      <c r="G663" s="1709" t="str">
        <f t="shared" si="10"/>
        <v>入力済</v>
      </c>
      <c r="H663" s="1708" t="inlineStr">
        <is>
          <t>業務_附属明細表 F100</t>
        </is>
      </c>
      <c r="I663" s="1708" t="inlineStr">
        <is>
          <t>同じシート内のみ</t>
        </is>
      </c>
    </row>
    <row r="664" spans="1:9" ht="19.95" customHeight="1">
      <c r="A664" s="1752" t="s">
        <v>12</v>
      </c>
      <c r="B664" s="1708" t="s">
        <v>1467</v>
      </c>
      <c r="C664" s="1753" t="str">
        <f>HYPERLINK("#'業務_附属明細表'!H99","H99")</f>
        <v>H99</v>
      </c>
      <c r="D664" s="1708" t="s">
        <v>2003</v>
      </c>
      <c r="E664" s="1754">
        <f>IF(業務_附属明細表!H99="","",業務_附属明細表!H99)</f>
        <v>9082</v>
      </c>
      <c r="F664" s="1708" t="s">
        <v>1905</v>
      </c>
      <c r="G664" s="1709" t="str">
        <f t="shared" si="10"/>
        <v>入力済</v>
      </c>
      <c r="H664" s="1708" t="inlineStr">
        <is>
          <t>業務_附属明細表 H100</t>
        </is>
      </c>
      <c r="I664" s="1708" t="inlineStr">
        <is>
          <t>同じシート内のみ</t>
        </is>
      </c>
    </row>
    <row r="665" spans="1:9" ht="19.95" customHeight="1">
      <c r="A665" s="1755" t="s">
        <v>12</v>
      </c>
      <c r="B665" s="1711" t="s">
        <v>1467</v>
      </c>
      <c r="C665" s="1756" t="str">
        <f>HYPERLINK("#'業務_附属明細表'!L99","L99")</f>
        <v>L99</v>
      </c>
      <c r="D665" s="1711" t="s">
        <v>2004</v>
      </c>
      <c r="E665" s="1757">
        <f>IF(業務_附属明細表!L99="","",業務_附属明細表!L99)</f>
        <v>18926</v>
      </c>
      <c r="F665" s="1711" t="s">
        <v>1905</v>
      </c>
      <c r="G665" s="1709" t="str">
        <f t="shared" si="10"/>
        <v>入力済</v>
      </c>
      <c r="H665" s="1708" t="inlineStr">
        <is>
          <t>業務_附属明細表 L100</t>
        </is>
      </c>
      <c r="I665" s="1708" t="inlineStr">
        <is>
          <t>同じシート内のみ</t>
        </is>
      </c>
    </row>
    <row r="666" spans="1:9" ht="19.95" customHeight="1">
      <c r="A666" s="1752" t="s">
        <v>12</v>
      </c>
      <c r="B666" s="1708" t="s">
        <v>1467</v>
      </c>
      <c r="C666" s="1753" t="str">
        <f>HYPERLINK("#'業務_附属明細表'!E106","E106")</f>
        <v>E106</v>
      </c>
      <c r="D666" s="1708" t="s">
        <v>2005</v>
      </c>
      <c r="E666" s="1754">
        <f>IF(業務_附属明細表!E106="","",業務_附属明細表!E106)</f>
        <v>152520</v>
      </c>
      <c r="F666" s="1708" t="s">
        <v>1905</v>
      </c>
      <c r="G666" s="1709" t="str">
        <f t="shared" si="10"/>
        <v>入力済</v>
      </c>
      <c r="H666" s="1708" t="inlineStr">
        <is>
          <t>業務_附属明細表 E107,Q106</t>
        </is>
      </c>
      <c r="I666" s="1708" t="inlineStr">
        <is>
          <t>同じシート内のみ</t>
        </is>
      </c>
    </row>
    <row r="667" spans="1:9" ht="19.95" customHeight="1">
      <c r="A667" s="1755" t="s">
        <v>12</v>
      </c>
      <c r="B667" s="1711" t="s">
        <v>1467</v>
      </c>
      <c r="C667" s="1756" t="str">
        <f>HYPERLINK("#'業務_附属明細表'!I106","I106")</f>
        <v>I106</v>
      </c>
      <c r="D667" s="1711" t="s">
        <v>2006</v>
      </c>
      <c r="E667" s="1757">
        <f>IF(業務_附属明細表!I106="","",業務_附属明細表!I106)</f>
        <v>0</v>
      </c>
      <c r="F667" s="1711" t="s">
        <v>1905</v>
      </c>
      <c r="G667" s="1709" t="str">
        <f t="shared" si="10"/>
        <v>0（確認）</v>
      </c>
      <c r="H667" s="1708" t="inlineStr">
        <is>
          <t>業務_附属明細表 I107,Q106</t>
        </is>
      </c>
      <c r="I667" s="1708" t="inlineStr">
        <is>
          <t>同じシート内のみ</t>
        </is>
      </c>
    </row>
    <row r="668" spans="1:9" ht="19.95" customHeight="1">
      <c r="A668" s="1752" t="s">
        <v>12</v>
      </c>
      <c r="B668" s="1708" t="s">
        <v>1467</v>
      </c>
      <c r="C668" s="1753" t="str">
        <f>HYPERLINK("#'業務_附属明細表'!M106","M106")</f>
        <v>M106</v>
      </c>
      <c r="D668" s="1708" t="s">
        <v>2007</v>
      </c>
      <c r="E668" s="1754">
        <f>IF(業務_附属明細表!M106="","",業務_附属明細表!M106)</f>
        <v>0</v>
      </c>
      <c r="F668" s="1708" t="s">
        <v>1905</v>
      </c>
      <c r="G668" s="1709" t="str">
        <f t="shared" si="10"/>
        <v>0（確認）</v>
      </c>
      <c r="H668" s="1708" t="inlineStr">
        <is>
          <t>業務_附属明細表 M107,Q106</t>
        </is>
      </c>
      <c r="I668" s="1708" t="inlineStr">
        <is>
          <t>同じシート内のみ</t>
        </is>
      </c>
    </row>
    <row r="669" spans="1:9" ht="19.95" customHeight="1">
      <c r="A669" s="1755" t="s">
        <v>12</v>
      </c>
      <c r="B669" s="1711" t="s">
        <v>1467</v>
      </c>
      <c r="C669" s="1756" t="str">
        <f>HYPERLINK("#'業務_附属明細表'!E125","E125")</f>
        <v>E125</v>
      </c>
      <c r="D669" s="1711" t="s">
        <v>2008</v>
      </c>
      <c r="E669" s="1757">
        <f>IF(業務_附属明細表!E125="","",業務_附属明細表!E125)</f>
        <v>17238000</v>
      </c>
      <c r="F669" s="1711" t="s">
        <v>1905</v>
      </c>
      <c r="G669" s="1709" t="str">
        <f t="shared" si="10"/>
        <v>入力済</v>
      </c>
      <c r="H669" s="1708" t="inlineStr">
        <is>
          <t>業務_附属明細表 E126,Q145,T125</t>
        </is>
      </c>
      <c r="I669" s="1708" t="inlineStr">
        <is>
          <t>同じシート内のみ</t>
        </is>
      </c>
    </row>
    <row r="670" spans="1:9" ht="19.95" customHeight="1">
      <c r="A670" s="1752" t="s">
        <v>12</v>
      </c>
      <c r="B670" s="1708" t="s">
        <v>1467</v>
      </c>
      <c r="C670" s="1753" t="str">
        <f>HYPERLINK("#'業務_附属明細表'!K136","K136")</f>
        <v>K136</v>
      </c>
      <c r="D670" s="1708" t="s">
        <v>2009</v>
      </c>
      <c r="E670" s="1754">
        <f>IF(業務_附属明細表!K136="","",業務_附属明細表!K136)</f>
        <v>0</v>
      </c>
      <c r="F670" s="1708" t="s">
        <v>1905</v>
      </c>
      <c r="G670" s="1709" t="str">
        <f t="shared" si="10"/>
        <v>0（確認）</v>
      </c>
      <c r="H670" s="1708" t="inlineStr">
        <is>
          <t>業務_附属明細表 P135</t>
        </is>
      </c>
      <c r="I670" s="1708" t="inlineStr">
        <is>
          <t>同じシート内のみ</t>
        </is>
      </c>
    </row>
    <row r="671" spans="1:9" ht="19.95" customHeight="1">
      <c r="A671" s="1755" t="s">
        <v>12</v>
      </c>
      <c r="B671" s="1711" t="s">
        <v>1467</v>
      </c>
      <c r="C671" s="1756" t="str">
        <f>HYPERLINK("#'業務_附属明細表'!K137","K137")</f>
        <v>K137</v>
      </c>
      <c r="D671" s="1711" t="s">
        <v>2010</v>
      </c>
      <c r="E671" s="1757">
        <f>IF(業務_附属明細表!K137="","",業務_附属明細表!K137)</f>
        <v>0</v>
      </c>
      <c r="F671" s="1711" t="s">
        <v>1905</v>
      </c>
      <c r="G671" s="1709" t="str">
        <f t="shared" si="10"/>
        <v>0（確認）</v>
      </c>
      <c r="H671" s="1708" t="inlineStr">
        <is>
          <t>業務_附属明細表 P135</t>
        </is>
      </c>
      <c r="I671" s="1708" t="inlineStr">
        <is>
          <t>同じシート内のみ</t>
        </is>
      </c>
    </row>
    <row r="672" spans="1:9" ht="19.95" customHeight="1">
      <c r="A672" s="1752" t="s">
        <v>12</v>
      </c>
      <c r="B672" s="1708" t="s">
        <v>2011</v>
      </c>
      <c r="C672" s="1753" t="str">
        <f>HYPERLINK("#'業務_決算精算表'!C10","C10")</f>
        <v>C10</v>
      </c>
      <c r="D672" s="1708" t="s">
        <v>2012</v>
      </c>
      <c r="E672" s="1754">
        <f>IF(業務_決算精算表!C10="","",業務_決算精算表!C10)</f>
        <v>192064</v>
      </c>
      <c r="F672" s="1708" t="s">
        <v>1929</v>
      </c>
      <c r="G672" s="1709" t="str">
        <f t="shared" si="10"/>
        <v>入力済</v>
      </c>
      <c r="H672" s="1708" t="inlineStr">
        <is>
          <t>業務_決算精算表 A10,C20</t>
        </is>
      </c>
      <c r="I672" s="1708" t="inlineStr">
        <is>
          <t>業務_財務諸表</t>
        </is>
      </c>
    </row>
    <row r="673" spans="1:9" ht="19.95" customHeight="1">
      <c r="A673" s="1755" t="s">
        <v>12</v>
      </c>
      <c r="B673" s="1711" t="s">
        <v>2011</v>
      </c>
      <c r="C673" s="1756" t="str">
        <f>HYPERLINK("#'業務_決算精算表'!C21","C21")</f>
        <v>C21</v>
      </c>
      <c r="D673" s="1711" t="s">
        <v>2013</v>
      </c>
      <c r="E673" s="1757">
        <f>IF(業務_決算精算表!C21="","",業務_決算精算表!C21)</f>
        <v>33000</v>
      </c>
      <c r="F673" s="1711" t="s">
        <v>1929</v>
      </c>
      <c r="G673" s="1709" t="str">
        <f t="shared" si="10"/>
        <v>入力済</v>
      </c>
      <c r="H673" s="1708" t="inlineStr">
        <is>
          <t>業務_附属明細表 J122、業務_決算精算表 A21,C47</t>
        </is>
      </c>
      <c r="I673" s="1708" t="inlineStr">
        <is>
          <t>報告_業務P19、業務_財務諸表、業務_附属明細表</t>
        </is>
      </c>
    </row>
    <row r="674" spans="1:9" ht="19.95" customHeight="1">
      <c r="A674" s="1752" t="s">
        <v>12</v>
      </c>
      <c r="B674" s="1708" t="s">
        <v>2011</v>
      </c>
      <c r="C674" s="1753" t="str">
        <f>HYPERLINK("#'業務_決算精算表'!C22","C22")</f>
        <v>C22</v>
      </c>
      <c r="D674" s="1708" t="s">
        <v>2014</v>
      </c>
      <c r="E674" s="1754">
        <f>IF(業務_決算精算表!C22="","",業務_決算精算表!C22)</f>
        <v>10082322</v>
      </c>
      <c r="F674" s="1708" t="s">
        <v>1929</v>
      </c>
      <c r="G674" s="1709" t="str">
        <f t="shared" si="10"/>
        <v>入力済</v>
      </c>
      <c r="H674" s="1708" t="inlineStr">
        <is>
          <t>業務_附属明細表 J123、業務_決算精算表 A22,C47</t>
        </is>
      </c>
      <c r="I674" s="1708" t="inlineStr">
        <is>
          <t>報告_業務P19、業務_財務諸表、業務_附属明細表</t>
        </is>
      </c>
    </row>
    <row r="675" spans="1:9" ht="19.95" customHeight="1">
      <c r="A675" s="1755" t="s">
        <v>12</v>
      </c>
      <c r="B675" s="1711" t="s">
        <v>2011</v>
      </c>
      <c r="C675" s="1756" t="str">
        <f>HYPERLINK("#'業務_決算精算表'!C23","C23")</f>
        <v>C23</v>
      </c>
      <c r="D675" s="1711" t="s">
        <v>2015</v>
      </c>
      <c r="E675" s="1757">
        <f>IF(業務_決算精算表!C23="","",業務_決算精算表!C23)</f>
        <v>9702</v>
      </c>
      <c r="F675" s="1711" t="s">
        <v>1929</v>
      </c>
      <c r="G675" s="1709" t="str">
        <f t="shared" si="10"/>
        <v>入力済</v>
      </c>
      <c r="H675" s="1708" t="inlineStr">
        <is>
          <t>業務_決算精算表 A23,C47</t>
        </is>
      </c>
      <c r="I675" s="1708" t="inlineStr">
        <is>
          <t>報告_業務P19、業務_財務諸表、業務_附属明細表</t>
        </is>
      </c>
    </row>
    <row r="676" spans="1:9" ht="19.95" customHeight="1">
      <c r="A676" s="1752" t="s">
        <v>12</v>
      </c>
      <c r="B676" s="1708" t="s">
        <v>2011</v>
      </c>
      <c r="C676" s="1753" t="str">
        <f>HYPERLINK("#'業務_決算精算表'!C24","C24")</f>
        <v>C24</v>
      </c>
      <c r="D676" s="1708" t="s">
        <v>2016</v>
      </c>
      <c r="E676" s="1754">
        <f>IF(業務_決算精算表!C24="","",業務_決算精算表!C24)</f>
        <v>343112</v>
      </c>
      <c r="F676" s="1708" t="s">
        <v>1929</v>
      </c>
      <c r="G676" s="1709" t="str">
        <f t="shared" si="10"/>
        <v>入力済</v>
      </c>
      <c r="H676" s="1708" t="inlineStr">
        <is>
          <t>業務_附属明細表 J124、業務_決算精算表 A24,C47</t>
        </is>
      </c>
      <c r="I676" s="1708" t="inlineStr">
        <is>
          <t>報告_業務P19、業務_財務諸表、業務_附属明細表</t>
        </is>
      </c>
    </row>
    <row r="677" spans="1:9" ht="19.95" customHeight="1">
      <c r="A677" s="1755" t="s">
        <v>12</v>
      </c>
      <c r="B677" s="1711" t="s">
        <v>2011</v>
      </c>
      <c r="C677" s="1756" t="str">
        <f>HYPERLINK("#'業務_決算精算表'!C25","C25")</f>
        <v>C25</v>
      </c>
      <c r="D677" s="1711" t="s">
        <v>2017</v>
      </c>
      <c r="E677" s="1757">
        <f>IF(業務_決算精算表!C25="","",業務_決算精算表!C25)</f>
        <v>13146428</v>
      </c>
      <c r="F677" s="1711" t="s">
        <v>1929</v>
      </c>
      <c r="G677" s="1709" t="str">
        <f t="shared" si="10"/>
        <v>入力済</v>
      </c>
      <c r="H677" s="1708" t="inlineStr">
        <is>
          <t>業務_附属明細表 J125、業務_決算精算表 A25,C47</t>
        </is>
      </c>
      <c r="I677" s="1708" t="inlineStr">
        <is>
          <t>報告_業務P19、業務_財務諸表、業務_附属明細表</t>
        </is>
      </c>
    </row>
    <row r="678" spans="1:9" ht="19.95" customHeight="1">
      <c r="A678" s="1752" t="s">
        <v>12</v>
      </c>
      <c r="B678" s="1708" t="s">
        <v>2011</v>
      </c>
      <c r="C678" s="1753" t="str">
        <f>HYPERLINK("#'業務_決算精算表'!C26","C26")</f>
        <v>C26</v>
      </c>
      <c r="D678" s="1708" t="s">
        <v>2018</v>
      </c>
      <c r="E678" s="1754">
        <f>IF(業務_決算精算表!C26="","",業務_決算精算表!C26)</f>
        <v>4221720</v>
      </c>
      <c r="F678" s="1708" t="s">
        <v>1929</v>
      </c>
      <c r="G678" s="1709" t="str">
        <f t="shared" si="10"/>
        <v>入力済</v>
      </c>
      <c r="H678" s="1708" t="inlineStr">
        <is>
          <t>業務_決算精算表 A26,C47</t>
        </is>
      </c>
      <c r="I678" s="1708" t="inlineStr">
        <is>
          <t>報告_業務P19、業務_財務諸表、業務_附属明細表</t>
        </is>
      </c>
    </row>
    <row r="679" spans="1:9" ht="19.95" customHeight="1">
      <c r="A679" s="1755" t="s">
        <v>12</v>
      </c>
      <c r="B679" s="1711" t="s">
        <v>2011</v>
      </c>
      <c r="C679" s="1756" t="str">
        <f>HYPERLINK("#'業務_決算精算表'!C27","C27")</f>
        <v>C27</v>
      </c>
      <c r="D679" s="1711" t="s">
        <v>2019</v>
      </c>
      <c r="E679" s="1757">
        <f>IF(業務_決算精算表!C27="","",業務_決算精算表!C27)</f>
        <v>8507933</v>
      </c>
      <c r="F679" s="1711" t="s">
        <v>1929</v>
      </c>
      <c r="G679" s="1709" t="str">
        <f t="shared" si="10"/>
        <v>入力済</v>
      </c>
      <c r="H679" s="1708" t="inlineStr">
        <is>
          <t>業務_決算精算表 A27,C47</t>
        </is>
      </c>
      <c r="I679" s="1708" t="inlineStr">
        <is>
          <t>報告_業務P19、業務_財務諸表、業務_附属明細表</t>
        </is>
      </c>
    </row>
    <row r="680" spans="1:9" ht="19.95" customHeight="1">
      <c r="A680" s="1752" t="s">
        <v>12</v>
      </c>
      <c r="B680" s="1708" t="s">
        <v>2011</v>
      </c>
      <c r="C680" s="1753" t="str">
        <f>HYPERLINK("#'業務_決算精算表'!C28","C28")</f>
        <v>C28</v>
      </c>
      <c r="D680" s="1708" t="s">
        <v>2020</v>
      </c>
      <c r="E680" s="1754">
        <f>IF(業務_決算精算表!C28="","",業務_決算精算表!C28)</f>
        <v>57384</v>
      </c>
      <c r="F680" s="1708" t="s">
        <v>1929</v>
      </c>
      <c r="G680" s="1709" t="str">
        <f t="shared" si="10"/>
        <v>入力済</v>
      </c>
      <c r="H680" s="1708" t="inlineStr">
        <is>
          <t>業務_決算精算表 A28,C47</t>
        </is>
      </c>
      <c r="I680" s="1708" t="inlineStr">
        <is>
          <t>報告_業務P19、業務_財務諸表、業務_附属明細表</t>
        </is>
      </c>
    </row>
    <row r="681" spans="1:9" ht="19.95" customHeight="1">
      <c r="A681" s="1755" t="s">
        <v>12</v>
      </c>
      <c r="B681" s="1711" t="s">
        <v>2011</v>
      </c>
      <c r="C681" s="1756" t="str">
        <f>HYPERLINK("#'業務_決算精算表'!C29","C29")</f>
        <v>C29</v>
      </c>
      <c r="D681" s="1711" t="s">
        <v>2021</v>
      </c>
      <c r="E681" s="1757">
        <f>IF(業務_決算精算表!C29="","",業務_決算精算表!C29)</f>
        <v>0</v>
      </c>
      <c r="F681" s="1711" t="s">
        <v>1929</v>
      </c>
      <c r="G681" s="1709" t="str">
        <f t="shared" si="10"/>
        <v>0（確認）</v>
      </c>
      <c r="H681" s="1708" t="inlineStr">
        <is>
          <t>業務_決算精算表 A29,C47</t>
        </is>
      </c>
      <c r="I681" s="1708" t="inlineStr">
        <is>
          <t>報告_業務P19、業務_財務諸表、業務_附属明細表</t>
        </is>
      </c>
    </row>
    <row r="682" spans="1:9" ht="19.95" customHeight="1">
      <c r="A682" s="1752" t="s">
        <v>12</v>
      </c>
      <c r="B682" s="1708" t="s">
        <v>2011</v>
      </c>
      <c r="C682" s="1753" t="str">
        <f>HYPERLINK("#'業務_決算精算表'!C30","C30")</f>
        <v>C30</v>
      </c>
      <c r="D682" s="1708" t="s">
        <v>2022</v>
      </c>
      <c r="E682" s="1754">
        <f>IF(業務_決算精算表!C30="","",業務_決算精算表!C30)</f>
        <v>8410677</v>
      </c>
      <c r="F682" s="1708" t="s">
        <v>1929</v>
      </c>
      <c r="G682" s="1709" t="str">
        <f t="shared" si="10"/>
        <v>入力済</v>
      </c>
      <c r="H682" s="1708" t="inlineStr">
        <is>
          <t>業務_決算精算表 A30,C47</t>
        </is>
      </c>
      <c r="I682" s="1708" t="inlineStr">
        <is>
          <t>報告_業務P19、業務_財務諸表、業務_附属明細表</t>
        </is>
      </c>
    </row>
    <row r="683" spans="1:9" ht="19.95" customHeight="1">
      <c r="A683" s="1755" t="s">
        <v>12</v>
      </c>
      <c r="B683" s="1711" t="s">
        <v>2011</v>
      </c>
      <c r="C683" s="1756" t="str">
        <f>HYPERLINK("#'業務_決算精算表'!C31","C31")</f>
        <v>C31</v>
      </c>
      <c r="D683" s="1711" t="s">
        <v>2023</v>
      </c>
      <c r="E683" s="1757">
        <f>IF(業務_決算精算表!C31="","",業務_決算精算表!C31)</f>
        <v>1194924</v>
      </c>
      <c r="F683" s="1711" t="s">
        <v>1929</v>
      </c>
      <c r="G683" s="1709" t="str">
        <f t="shared" si="10"/>
        <v>入力済</v>
      </c>
      <c r="H683" s="1708" t="inlineStr">
        <is>
          <t>業務_決算精算表 A31,C47</t>
        </is>
      </c>
      <c r="I683" s="1708" t="inlineStr">
        <is>
          <t>報告_業務P19、業務_財務諸表、業務_附属明細表</t>
        </is>
      </c>
    </row>
    <row r="684" spans="1:9" ht="19.95" customHeight="1">
      <c r="A684" s="1752" t="s">
        <v>12</v>
      </c>
      <c r="B684" s="1708" t="s">
        <v>2011</v>
      </c>
      <c r="C684" s="1753" t="str">
        <f>HYPERLINK("#'業務_決算精算表'!C32","C32")</f>
        <v>C32</v>
      </c>
      <c r="D684" s="1708" t="s">
        <v>2024</v>
      </c>
      <c r="E684" s="1754">
        <f>IF(業務_決算精算表!C32="","",業務_決算精算表!C32)</f>
        <v>2350316</v>
      </c>
      <c r="F684" s="1708" t="s">
        <v>1929</v>
      </c>
      <c r="G684" s="1709" t="str">
        <f t="shared" si="10"/>
        <v>入力済</v>
      </c>
      <c r="H684" s="1708" t="inlineStr">
        <is>
          <t>業務_決算精算表 A32,C47</t>
        </is>
      </c>
      <c r="I684" s="1708" t="inlineStr">
        <is>
          <t>報告_業務P19、業務_財務諸表、業務_附属明細表</t>
        </is>
      </c>
    </row>
    <row r="685" spans="1:9" ht="19.95" customHeight="1">
      <c r="A685" s="1755" t="s">
        <v>12</v>
      </c>
      <c r="B685" s="1711" t="s">
        <v>2011</v>
      </c>
      <c r="C685" s="1756" t="str">
        <f>HYPERLINK("#'業務_決算精算表'!C33","C33")</f>
        <v>C33</v>
      </c>
      <c r="D685" s="1711" t="s">
        <v>2025</v>
      </c>
      <c r="E685" s="1757">
        <f>IF(業務_決算精算表!C33="","",業務_決算精算表!C33)</f>
        <v>13718352</v>
      </c>
      <c r="F685" s="1711" t="s">
        <v>1929</v>
      </c>
      <c r="G685" s="1709" t="str">
        <f t="shared" si="10"/>
        <v>入力済</v>
      </c>
      <c r="H685" s="1708" t="inlineStr">
        <is>
          <t>業務_決算精算表 A33,C47</t>
        </is>
      </c>
      <c r="I685" s="1708" t="inlineStr">
        <is>
          <t>報告_業務P19、業務_財務諸表、業務_附属明細表</t>
        </is>
      </c>
    </row>
    <row r="686" spans="1:9" ht="19.95" customHeight="1">
      <c r="A686" s="1752" t="s">
        <v>12</v>
      </c>
      <c r="B686" s="1708" t="s">
        <v>2011</v>
      </c>
      <c r="C686" s="1753" t="str">
        <f>HYPERLINK("#'業務_決算精算表'!C34","C34")</f>
        <v>C34</v>
      </c>
      <c r="D686" s="1708" t="s">
        <v>2026</v>
      </c>
      <c r="E686" s="1754">
        <f>IF(業務_決算精算表!C34="","",業務_決算精算表!C34)</f>
        <v>54153000</v>
      </c>
      <c r="F686" s="1708" t="s">
        <v>1929</v>
      </c>
      <c r="G686" s="1709" t="str">
        <f t="shared" si="10"/>
        <v>入力済</v>
      </c>
      <c r="H686" s="1708" t="inlineStr">
        <is>
          <t>業務_決算精算表 A34,C47</t>
        </is>
      </c>
      <c r="I686" s="1708" t="inlineStr">
        <is>
          <t>報告_業務P19、業務_財務諸表、業務_附属明細表</t>
        </is>
      </c>
    </row>
    <row r="687" spans="1:9" ht="19.95" customHeight="1">
      <c r="A687" s="1755" t="s">
        <v>12</v>
      </c>
      <c r="B687" s="1711" t="s">
        <v>2011</v>
      </c>
      <c r="C687" s="1756" t="str">
        <f>HYPERLINK("#'業務_決算精算表'!B37","B37")</f>
        <v>B37</v>
      </c>
      <c r="D687" s="1711" t="s">
        <v>2027</v>
      </c>
      <c r="E687" s="1757">
        <f>IF(業務_決算精算表!B37="","",業務_決算精算表!B37)</f>
        <v>0</v>
      </c>
      <c r="F687" s="1711" t="s">
        <v>1929</v>
      </c>
      <c r="G687" s="1709" t="str">
        <f t="shared" si="10"/>
        <v>0（確認）</v>
      </c>
      <c r="H687" s="1708" t="inlineStr">
        <is>
          <t>業務_決算精算表 A37,B47</t>
        </is>
      </c>
      <c r="I687" s="1708" t="inlineStr">
        <is>
          <t>報告_業務P19、業務_財務諸表、業務_附属明細表</t>
        </is>
      </c>
    </row>
    <row r="688" spans="1:9" ht="19.95" customHeight="1">
      <c r="A688" s="1752" t="s">
        <v>12</v>
      </c>
      <c r="B688" s="1708" t="s">
        <v>2011</v>
      </c>
      <c r="C688" s="1753" t="str">
        <f>HYPERLINK("#'業務_決算精算表'!E39","E39")</f>
        <v>E39</v>
      </c>
      <c r="D688" s="1708" t="s">
        <v>2028</v>
      </c>
      <c r="E688" s="1754">
        <f>IF(業務_決算精算表!E39="","",業務_決算精算表!E39)</f>
        <v>94968000</v>
      </c>
      <c r="F688" s="1708" t="s">
        <v>1929</v>
      </c>
      <c r="G688" s="1709" t="str">
        <f t="shared" si="10"/>
        <v>入力済</v>
      </c>
      <c r="H688" s="1708" t="inlineStr">
        <is>
          <t>業務_決算精算表 E47,G39</t>
        </is>
      </c>
      <c r="I688" s="1708" t="inlineStr">
        <is>
          <t>報告_業務P18、報告_業務P19、業務_財務諸表、業務_附属明細表</t>
        </is>
      </c>
    </row>
    <row r="689" spans="1:9" ht="19.95" customHeight="1">
      <c r="A689" s="1755" t="s">
        <v>12</v>
      </c>
      <c r="B689" s="1711" t="s">
        <v>2011</v>
      </c>
      <c r="C689" s="1756" t="str">
        <f>HYPERLINK("#'業務_決算精算表'!E40","E40")</f>
        <v>E40</v>
      </c>
      <c r="D689" s="1711" t="s">
        <v>1945</v>
      </c>
      <c r="E689" s="1757">
        <f>IF(業務_決算精算表!E40="","",業務_決算精算表!E40)</f>
        <v>77607</v>
      </c>
      <c r="F689" s="1711" t="s">
        <v>1929</v>
      </c>
      <c r="G689" s="1709" t="str">
        <f t="shared" si="10"/>
        <v>入力済</v>
      </c>
      <c r="H689" s="1708" t="inlineStr">
        <is>
          <t>業務_決算精算表 E47,G40</t>
        </is>
      </c>
      <c r="I689" s="1708" t="inlineStr">
        <is>
          <t>報告_業務P18、報告_業務P19、業務_財務諸表、業務_附属明細表</t>
        </is>
      </c>
    </row>
    <row r="690" spans="1:9" ht="19.95" customHeight="1">
      <c r="A690" s="1752" t="s">
        <v>12</v>
      </c>
      <c r="B690" s="1708" t="s">
        <v>2011</v>
      </c>
      <c r="C690" s="1753" t="str">
        <f>HYPERLINK("#'業務_決算精算表'!E42","E42")</f>
        <v>E42</v>
      </c>
      <c r="D690" s="1708" t="s">
        <v>2029</v>
      </c>
      <c r="E690" s="1754">
        <f>IF(業務_決算精算表!E42="","",業務_決算精算表!E42)</f>
        <v>23159738</v>
      </c>
      <c r="F690" s="1708" t="s">
        <v>1929</v>
      </c>
      <c r="G690" s="1709" t="str">
        <f t="shared" si="10"/>
        <v>入力済</v>
      </c>
      <c r="H690" s="1708" t="inlineStr">
        <is>
          <t>業務_財務諸表 F42、業務_決算精算表 E47,G42</t>
        </is>
      </c>
      <c r="I690" s="1708" t="inlineStr">
        <is>
          <t>報告_業務P18、報告_業務P19、業務_財務諸表、業務_附属明細表</t>
        </is>
      </c>
    </row>
    <row r="691" spans="1:9" ht="19.95" customHeight="1">
      <c r="A691" s="1755" t="s">
        <v>13</v>
      </c>
      <c r="B691" s="1711" t="s">
        <v>1475</v>
      </c>
      <c r="C691" s="1756" t="str">
        <f>HYPERLINK("#'保健_附属明細表'!M5","M5")</f>
        <v>M5</v>
      </c>
      <c r="D691" s="1711" t="s">
        <v>1904</v>
      </c>
      <c r="E691" s="1757">
        <f>IF(保健_附属明細表!M5="","",保健_附属明細表!M5)</f>
        <v>332277800</v>
      </c>
      <c r="F691" s="1711" t="s">
        <v>1905</v>
      </c>
      <c r="G691" s="1709" t="str">
        <f t="shared" si="10"/>
        <v>入力済</v>
      </c>
      <c r="H691" s="1708" t="inlineStr">
        <is>
          <t>保健_附属明細表 M6</t>
        </is>
      </c>
      <c r="I691" s="1708" t="inlineStr">
        <is>
          <t>保健_財務諸表、保健_決算精算表</t>
        </is>
      </c>
    </row>
    <row r="692" spans="1:9" ht="19.95" customHeight="1">
      <c r="A692" s="1752" t="s">
        <v>13</v>
      </c>
      <c r="B692" s="1708" t="s">
        <v>1475</v>
      </c>
      <c r="C692" s="1753" t="str">
        <f>HYPERLINK("#'保健_附属明細表'!M12","M12")</f>
        <v>M12</v>
      </c>
      <c r="D692" s="1708" t="s">
        <v>2030</v>
      </c>
      <c r="E692" s="1754">
        <f>IF(保健_附属明細表!M12="","",保健_附属明細表!M12)</f>
        <v>0</v>
      </c>
      <c r="F692" s="1708" t="s">
        <v>1905</v>
      </c>
      <c r="G692" s="1709" t="str">
        <f t="shared" si="10"/>
        <v>0（確認）</v>
      </c>
      <c r="H692" s="1708" t="inlineStr">
        <is>
          <t>保健_財務諸表 C8、保健_附属明細表 M13</t>
        </is>
      </c>
      <c r="I692" s="1708" t="inlineStr">
        <is>
          <t>保健_財務諸表</t>
        </is>
      </c>
    </row>
    <row r="693" spans="1:9" ht="19.95" customHeight="1">
      <c r="A693" s="1755" t="s">
        <v>13</v>
      </c>
      <c r="B693" s="1711" t="s">
        <v>1475</v>
      </c>
      <c r="C693" s="1756" t="str">
        <f>HYPERLINK("#'保健_附属明細表'!M19","M19")</f>
        <v>M19</v>
      </c>
      <c r="D693" s="1711" t="s">
        <v>2031</v>
      </c>
      <c r="E693" s="1757">
        <f>IF(保健_附属明細表!M19="","",保健_附属明細表!M19)</f>
        <v>0</v>
      </c>
      <c r="F693" s="1711" t="s">
        <v>1905</v>
      </c>
      <c r="G693" s="1709" t="str">
        <f t="shared" si="10"/>
        <v>0（確認）</v>
      </c>
      <c r="H693" s="1708" t="inlineStr">
        <is>
          <t>保健_附属明細表 M20</t>
        </is>
      </c>
      <c r="I693" s="1708" t="inlineStr">
        <is>
          <t>保健_財務諸表</t>
        </is>
      </c>
    </row>
    <row r="694" spans="1:9" ht="19.95" customHeight="1">
      <c r="A694" s="1752" t="s">
        <v>13</v>
      </c>
      <c r="B694" s="1708" t="s">
        <v>1475</v>
      </c>
      <c r="C694" s="1753" t="str">
        <f>HYPERLINK("#'保健_附属明細表'!G33","G33")</f>
        <v>G33</v>
      </c>
      <c r="D694" s="1708" t="s">
        <v>2032</v>
      </c>
      <c r="E694" s="1754">
        <f>IF(保健_附属明細表!G33="","",保健_附属明細表!G33)</f>
        <v>0</v>
      </c>
      <c r="F694" s="1708" t="s">
        <v>1905</v>
      </c>
      <c r="G694" s="1709" t="str">
        <f t="shared" si="10"/>
        <v>0（確認）</v>
      </c>
      <c r="H694" s="1708" t="inlineStr">
        <is>
          <t>保健_附属明細表 G35</t>
        </is>
      </c>
      <c r="I694" s="1708" t="inlineStr">
        <is>
          <t>保健_財務諸表</t>
        </is>
      </c>
    </row>
    <row r="695" spans="1:9" ht="19.95" customHeight="1">
      <c r="A695" s="1755" t="s">
        <v>13</v>
      </c>
      <c r="B695" s="1711" t="s">
        <v>1475</v>
      </c>
      <c r="C695" s="1756" t="str">
        <f>HYPERLINK("#'保健_附属明細表'!G34","G34")</f>
        <v>G34</v>
      </c>
      <c r="D695" s="1711" t="s">
        <v>2033</v>
      </c>
      <c r="E695" s="1757">
        <f>IF(保健_附属明細表!G34="","",保健_附属明細表!G34)</f>
        <v>0</v>
      </c>
      <c r="F695" s="1711" t="s">
        <v>1905</v>
      </c>
      <c r="G695" s="1709" t="str">
        <f t="shared" si="10"/>
        <v>0（確認）</v>
      </c>
      <c r="H695" s="1708" t="inlineStr">
        <is>
          <t>保健_附属明細表 G35</t>
        </is>
      </c>
      <c r="I695" s="1708" t="inlineStr">
        <is>
          <t>保健_財務諸表</t>
        </is>
      </c>
    </row>
    <row r="696" spans="1:9" ht="19.95" customHeight="1">
      <c r="A696" s="1752" t="s">
        <v>13</v>
      </c>
      <c r="B696" s="1708" t="s">
        <v>1475</v>
      </c>
      <c r="C696" s="1753" t="str">
        <f>HYPERLINK("#'保健_附属明細表'!G41","G41")</f>
        <v>G41</v>
      </c>
      <c r="D696" s="1708" t="s">
        <v>1984</v>
      </c>
      <c r="E696" s="1754">
        <f>IF(保健_附属明細表!G41="","",保健_附属明細表!G41)</f>
        <v>129211081</v>
      </c>
      <c r="F696" s="1708" t="s">
        <v>1905</v>
      </c>
      <c r="G696" s="1709" t="str">
        <f t="shared" si="10"/>
        <v>入力済</v>
      </c>
      <c r="H696" s="1708" t="inlineStr">
        <is>
          <t>保健_附属明細表 G43、保健_決算精算表 F46</t>
        </is>
      </c>
      <c r="I696" s="1708" t="inlineStr">
        <is>
          <t>報告_保健P20-22、保健_財務諸表、保健_決算精算表</t>
        </is>
      </c>
    </row>
    <row r="697" spans="1:9" ht="19.95" customHeight="1">
      <c r="A697" s="1755" t="s">
        <v>13</v>
      </c>
      <c r="B697" s="1711" t="s">
        <v>1475</v>
      </c>
      <c r="C697" s="1756" t="str">
        <f>HYPERLINK("#'保健_附属明細表'!G50","G50")</f>
        <v>G50</v>
      </c>
      <c r="D697" s="1711" t="s">
        <v>2034</v>
      </c>
      <c r="E697" s="1757">
        <f>IF(保健_附属明細表!G50="","",保健_附属明細表!G50)</f>
        <v>170769925</v>
      </c>
      <c r="F697" s="1711" t="s">
        <v>1905</v>
      </c>
      <c r="G697" s="1709" t="str">
        <f t="shared" si="10"/>
        <v>入力済</v>
      </c>
      <c r="H697" s="1708" t="inlineStr">
        <is>
          <t>保健_附属明細表 G61、保健_決算精算表 B28</t>
        </is>
      </c>
      <c r="I697" s="1708" t="inlineStr">
        <is>
          <t>報告_保健P20-22、保健_財務諸表、保健_決算精算表</t>
        </is>
      </c>
    </row>
    <row r="698" spans="1:9" ht="19.95" customHeight="1">
      <c r="A698" s="1752" t="s">
        <v>13</v>
      </c>
      <c r="B698" s="1708" t="s">
        <v>1475</v>
      </c>
      <c r="C698" s="1753" t="str">
        <f>HYPERLINK("#'保健_附属明細表'!G51","G51")</f>
        <v>G51</v>
      </c>
      <c r="D698" s="1708" t="s">
        <v>2035</v>
      </c>
      <c r="E698" s="1754">
        <f>IF(保健_附属明細表!G51="","",保健_附属明細表!G51)</f>
        <v>3896573</v>
      </c>
      <c r="F698" s="1708" t="s">
        <v>1905</v>
      </c>
      <c r="G698" s="1709" t="str">
        <f t="shared" si="10"/>
        <v>入力済</v>
      </c>
      <c r="H698" s="1708" t="inlineStr">
        <is>
          <t>保健_附属明細表 G61、保健_決算精算表 B29</t>
        </is>
      </c>
      <c r="I698" s="1708" t="inlineStr">
        <is>
          <t>報告_保健P20-22、保健_財務諸表、保健_決算精算表</t>
        </is>
      </c>
    </row>
    <row r="699" spans="1:9" ht="19.95" customHeight="1">
      <c r="A699" s="1755" t="s">
        <v>13</v>
      </c>
      <c r="B699" s="1711" t="s">
        <v>1475</v>
      </c>
      <c r="C699" s="1756" t="str">
        <f>HYPERLINK("#'保健_附属明細表'!G52","G52")</f>
        <v>G52</v>
      </c>
      <c r="D699" s="1711" t="s">
        <v>1979</v>
      </c>
      <c r="E699" s="1757">
        <f>IF(保健_附属明細表!G52="","",保健_附属明細表!G52)</f>
        <v>30544</v>
      </c>
      <c r="F699" s="1711" t="s">
        <v>1905</v>
      </c>
      <c r="G699" s="1709" t="str">
        <f t="shared" si="10"/>
        <v>入力済</v>
      </c>
      <c r="H699" s="1708" t="inlineStr">
        <is>
          <t>保健_附属明細表 G61,O138、保健_決算精算表 B30</t>
        </is>
      </c>
      <c r="I699" s="1708" t="inlineStr">
        <is>
          <t>報告_保健P20-22、保健_財務諸表、保健_決算精算表</t>
        </is>
      </c>
    </row>
    <row r="700" spans="1:9" ht="19.95" customHeight="1">
      <c r="A700" s="1752" t="s">
        <v>13</v>
      </c>
      <c r="B700" s="1708" t="s">
        <v>1475</v>
      </c>
      <c r="C700" s="1753" t="str">
        <f>HYPERLINK("#'保健_附属明細表'!G53","G53")</f>
        <v>G53</v>
      </c>
      <c r="D700" s="1708" t="s">
        <v>2036</v>
      </c>
      <c r="E700" s="1754">
        <f>IF(保健_附属明細表!G53="","",保健_附属明細表!G53)</f>
        <v>0</v>
      </c>
      <c r="F700" s="1708" t="s">
        <v>1905</v>
      </c>
      <c r="G700" s="1709" t="str">
        <f t="shared" si="10"/>
        <v>0（確認）</v>
      </c>
      <c r="H700" s="1708" t="inlineStr">
        <is>
          <t>保健_附属明細表 G61</t>
        </is>
      </c>
      <c r="I700" s="1708" t="inlineStr">
        <is>
          <t>保健_財務諸表、保健_決算精算表</t>
        </is>
      </c>
    </row>
    <row r="701" spans="1:9" ht="19.95" customHeight="1">
      <c r="A701" s="1755" t="s">
        <v>13</v>
      </c>
      <c r="B701" s="1711" t="s">
        <v>1475</v>
      </c>
      <c r="C701" s="1756" t="str">
        <f>HYPERLINK("#'保健_附属明細表'!G54","G54")</f>
        <v>G54</v>
      </c>
      <c r="D701" s="1711" t="s">
        <v>1980</v>
      </c>
      <c r="E701" s="1757">
        <f>IF(保健_附属明細表!G54="","",保健_附属明細表!G54)</f>
        <v>252450</v>
      </c>
      <c r="F701" s="1711" t="s">
        <v>1905</v>
      </c>
      <c r="G701" s="1709" t="str">
        <f t="shared" si="10"/>
        <v>入力済</v>
      </c>
      <c r="H701" s="1708" t="inlineStr">
        <is>
          <t>保健_附属明細表 G61、保健_決算精算表 B33</t>
        </is>
      </c>
      <c r="I701" s="1708" t="inlineStr">
        <is>
          <t>報告_保健P20-22、保健_財務諸表、保健_決算精算表</t>
        </is>
      </c>
    </row>
    <row r="702" spans="1:9" ht="19.95" customHeight="1">
      <c r="A702" s="1752" t="s">
        <v>13</v>
      </c>
      <c r="B702" s="1708" t="s">
        <v>1475</v>
      </c>
      <c r="C702" s="1753" t="str">
        <f>HYPERLINK("#'保健_附属明細表'!G56","G56")</f>
        <v>G56</v>
      </c>
      <c r="D702" s="1708" t="s">
        <v>2037</v>
      </c>
      <c r="E702" s="1754">
        <f>IF(保健_附属明細表!G56="","",保健_附属明細表!G56)</f>
        <v>5274</v>
      </c>
      <c r="F702" s="1708" t="s">
        <v>1905</v>
      </c>
      <c r="G702" s="1709" t="str">
        <f t="shared" si="10"/>
        <v>入力済</v>
      </c>
      <c r="H702" s="1708" t="inlineStr">
        <is>
          <t>保健_附属明細表 G61、保健_決算精算表 B36</t>
        </is>
      </c>
      <c r="I702" s="1708" t="inlineStr">
        <is>
          <t>報告_保健P20-22、保健_財務諸表、保健_決算精算表</t>
        </is>
      </c>
    </row>
    <row r="703" spans="1:9" ht="19.95" customHeight="1">
      <c r="A703" s="1755" t="s">
        <v>13</v>
      </c>
      <c r="B703" s="1711" t="s">
        <v>1475</v>
      </c>
      <c r="C703" s="1756" t="str">
        <f>HYPERLINK("#'保健_附属明細表'!G57","G57")</f>
        <v>G57</v>
      </c>
      <c r="D703" s="1711" t="s">
        <v>1982</v>
      </c>
      <c r="E703" s="1757">
        <f>IF(保健_附属明細表!G57="","",保健_附属明細表!G57)</f>
        <v>286501</v>
      </c>
      <c r="F703" s="1711" t="s">
        <v>1905</v>
      </c>
      <c r="G703" s="1709" t="str">
        <f t="shared" si="10"/>
        <v>入力済</v>
      </c>
      <c r="H703" s="1708" t="inlineStr">
        <is>
          <t>保健_附属明細表 G61、保健_決算精算表 B37</t>
        </is>
      </c>
      <c r="I703" s="1708" t="inlineStr">
        <is>
          <t>報告_保健P20-22、保健_財務諸表、保健_決算精算表</t>
        </is>
      </c>
    </row>
    <row r="704" spans="1:9" ht="19.95" customHeight="1">
      <c r="A704" s="1752" t="s">
        <v>13</v>
      </c>
      <c r="B704" s="1708" t="s">
        <v>1475</v>
      </c>
      <c r="C704" s="1753" t="str">
        <f>HYPERLINK("#'保健_附属明細表'!G58","G58")</f>
        <v>G58</v>
      </c>
      <c r="D704" s="1708" t="s">
        <v>1984</v>
      </c>
      <c r="E704" s="1754">
        <f>IF(保健_附属明細表!G58="","",保健_附属明細表!G58)</f>
        <v>19020</v>
      </c>
      <c r="F704" s="1708" t="s">
        <v>1905</v>
      </c>
      <c r="G704" s="1709" t="str">
        <f t="shared" si="10"/>
        <v>入力済</v>
      </c>
      <c r="H704" s="1708" t="inlineStr">
        <is>
          <t>保健_附属明細表 G61、保健_決算精算表 B40</t>
        </is>
      </c>
      <c r="I704" s="1708" t="inlineStr">
        <is>
          <t>報告_保健P20-22、保健_財務諸表、保健_決算精算表</t>
        </is>
      </c>
    </row>
    <row r="705" spans="1:9" ht="19.95" customHeight="1">
      <c r="A705" s="1755" t="s">
        <v>13</v>
      </c>
      <c r="B705" s="1711" t="s">
        <v>1475</v>
      </c>
      <c r="C705" s="1756" t="str">
        <f>HYPERLINK("#'保健_附属明細表'!G59","G59")</f>
        <v>G59</v>
      </c>
      <c r="D705" s="1711" t="s">
        <v>1984</v>
      </c>
      <c r="E705" s="1757">
        <f>IF(保健_附属明細表!G59="","",保健_附属明細表!G59)</f>
        <v>0</v>
      </c>
      <c r="F705" s="1711" t="s">
        <v>1905</v>
      </c>
      <c r="G705" s="1709" t="str">
        <f t="shared" si="10"/>
        <v>0（確認）</v>
      </c>
      <c r="H705" s="1708" t="inlineStr">
        <is>
          <t>保健_附属明細表 G61、保健_決算精算表 B46</t>
        </is>
      </c>
      <c r="I705" s="1708" t="inlineStr">
        <is>
          <t>報告_保健P20-22、保健_財務諸表、保健_決算精算表</t>
        </is>
      </c>
    </row>
    <row r="706" spans="1:9" ht="19.95" customHeight="1">
      <c r="A706" s="1752" t="s">
        <v>13</v>
      </c>
      <c r="B706" s="1708" t="s">
        <v>1475</v>
      </c>
      <c r="C706" s="1753" t="str">
        <f>HYPERLINK("#'保健_附属明細表'!G60","G60")</f>
        <v>G60</v>
      </c>
      <c r="D706" s="1708" t="s">
        <v>1983</v>
      </c>
      <c r="E706" s="1754">
        <f>IF(保健_附属明細表!G60="","",保健_附属明細表!G60)</f>
        <v>0</v>
      </c>
      <c r="F706" s="1708" t="s">
        <v>1905</v>
      </c>
      <c r="G706" s="1709" t="str">
        <f t="shared" si="10"/>
        <v>0（確認）</v>
      </c>
      <c r="H706" s="1708" t="inlineStr">
        <is>
          <t>保健_附属明細表 G61、保健_決算精算表 B39</t>
        </is>
      </c>
      <c r="I706" s="1708" t="inlineStr">
        <is>
          <t>報告_保健P20-22、保健_財務諸表、保健_決算精算表</t>
        </is>
      </c>
    </row>
    <row r="707" spans="1:9" ht="19.95" customHeight="1">
      <c r="A707" s="1755" t="s">
        <v>13</v>
      </c>
      <c r="B707" s="1711" t="s">
        <v>1475</v>
      </c>
      <c r="C707" s="1756" t="str">
        <f>HYPERLINK("#'保健_附属明細表'!G67","G67")</f>
        <v>G67</v>
      </c>
      <c r="D707" s="1711" t="s">
        <v>1982</v>
      </c>
      <c r="E707" s="1757">
        <f>IF(保健_附属明細表!G67="","",保健_附属明細表!G67)</f>
        <v>0</v>
      </c>
      <c r="F707" s="1711" t="s">
        <v>1905</v>
      </c>
      <c r="G707" s="1709" t="str">
        <f t="shared" si="10"/>
        <v>0（確認）</v>
      </c>
      <c r="H707" s="1708" t="inlineStr">
        <is>
          <t>保健_附属明細表 G70、保健_決算精算表 B37</t>
        </is>
      </c>
      <c r="I707" s="1708" t="inlineStr">
        <is>
          <t>報告_保健P20-22、保健_財務諸表、保健_決算精算表</t>
        </is>
      </c>
    </row>
    <row r="708" spans="1:9" ht="19.95" customHeight="1">
      <c r="A708" s="1752" t="s">
        <v>13</v>
      </c>
      <c r="B708" s="1708" t="s">
        <v>1475</v>
      </c>
      <c r="C708" s="1753" t="str">
        <f>HYPERLINK("#'保健_附属明細表'!G76","G76")</f>
        <v>G76</v>
      </c>
      <c r="D708" s="1708" t="s">
        <v>1989</v>
      </c>
      <c r="E708" s="1754">
        <f>IF(保健_附属明細表!G76="","",保健_附属明細表!G76)</f>
        <v>418825</v>
      </c>
      <c r="F708" s="1708" t="s">
        <v>1905</v>
      </c>
      <c r="G708" s="1709" t="str">
        <f t="shared" si="10"/>
        <v>入力済</v>
      </c>
      <c r="H708" s="1708" t="inlineStr">
        <is>
          <t>保健_附属明細表 G79</t>
        </is>
      </c>
      <c r="I708" s="1708" t="inlineStr">
        <is>
          <t>保健_財務諸表、保健_決算精算表</t>
        </is>
      </c>
    </row>
    <row r="709" spans="1:9" ht="19.95" customHeight="1">
      <c r="A709" s="1755" t="s">
        <v>13</v>
      </c>
      <c r="B709" s="1711" t="s">
        <v>1475</v>
      </c>
      <c r="C709" s="1756" t="str">
        <f>HYPERLINK("#'保健_附属明細表'!G77","G77")</f>
        <v>G77</v>
      </c>
      <c r="D709" s="1711" t="s">
        <v>1989</v>
      </c>
      <c r="E709" s="1757">
        <f>IF(保健_附属明細表!G77="","",保健_附属明細表!G77)</f>
        <v>597025</v>
      </c>
      <c r="F709" s="1711" t="s">
        <v>1905</v>
      </c>
      <c r="G709" s="1709" t="str">
        <f t="shared" si="10"/>
        <v>入力済</v>
      </c>
      <c r="H709" s="1708" t="inlineStr">
        <is>
          <t>保健_附属明細表 G79</t>
        </is>
      </c>
      <c r="I709" s="1708" t="inlineStr">
        <is>
          <t>保健_財務諸表、保健_決算精算表</t>
        </is>
      </c>
    </row>
    <row r="710" spans="1:9" ht="19.95" customHeight="1">
      <c r="A710" s="1752" t="s">
        <v>13</v>
      </c>
      <c r="B710" s="1708" t="s">
        <v>1475</v>
      </c>
      <c r="C710" s="1753" t="str">
        <f>HYPERLINK("#'保健_附属明細表'!D92","D92")</f>
        <v>D92</v>
      </c>
      <c r="D710" s="1708" t="s">
        <v>2038</v>
      </c>
      <c r="E710" s="1754">
        <f>IF(保健_附属明細表!D92="","",保健_附属明細表!D92)</f>
        <v>0</v>
      </c>
      <c r="F710" s="1708" t="s">
        <v>1905</v>
      </c>
      <c r="G710" s="1709" t="str">
        <f t="shared" ref="G710:G773" si="11">IF(E710="","未入力（空欄）",IF(E710=0,"0（確認）","入力済"))</f>
        <v>0（確認）</v>
      </c>
      <c r="H710" s="1708" t="inlineStr">
        <is>
          <t>保健_附属明細表 D95,M92</t>
        </is>
      </c>
      <c r="I710" s="1708" t="inlineStr">
        <is>
          <t>保健_決算精算表</t>
        </is>
      </c>
    </row>
    <row r="711" spans="1:9" ht="19.95" customHeight="1">
      <c r="A711" s="1755" t="s">
        <v>13</v>
      </c>
      <c r="B711" s="1711" t="s">
        <v>1475</v>
      </c>
      <c r="C711" s="1756" t="str">
        <f>HYPERLINK("#'保健_附属明細表'!G92","G92")</f>
        <v>G92</v>
      </c>
      <c r="D711" s="1711" t="s">
        <v>2039</v>
      </c>
      <c r="E711" s="1757">
        <f>IF(保健_附属明細表!G92="","",保健_附属明細表!G92)</f>
        <v>0</v>
      </c>
      <c r="F711" s="1711" t="s">
        <v>1905</v>
      </c>
      <c r="G711" s="1709" t="str">
        <f t="shared" si="11"/>
        <v>0（確認）</v>
      </c>
      <c r="H711" s="1708" t="inlineStr">
        <is>
          <t>保健_附属明細表 G95,M92</t>
        </is>
      </c>
      <c r="I711" s="1708" t="inlineStr">
        <is>
          <t>保健_決算精算表</t>
        </is>
      </c>
    </row>
    <row r="712" spans="1:9" ht="19.95" customHeight="1">
      <c r="A712" s="1752" t="s">
        <v>13</v>
      </c>
      <c r="B712" s="1708" t="s">
        <v>1475</v>
      </c>
      <c r="C712" s="1753" t="str">
        <f>HYPERLINK("#'保健_附属明細表'!J92","J92")</f>
        <v>J92</v>
      </c>
      <c r="D712" s="1708" t="s">
        <v>2040</v>
      </c>
      <c r="E712" s="1754">
        <f>IF(保健_附属明細表!J92="","",保健_附属明細表!J92)</f>
        <v>0</v>
      </c>
      <c r="F712" s="1708" t="s">
        <v>1905</v>
      </c>
      <c r="G712" s="1709" t="str">
        <f t="shared" si="11"/>
        <v>0（確認）</v>
      </c>
      <c r="H712" s="1708" t="inlineStr">
        <is>
          <t>保健_附属明細表 J95,M92</t>
        </is>
      </c>
      <c r="I712" s="1708" t="inlineStr">
        <is>
          <t>保健_決算精算表</t>
        </is>
      </c>
    </row>
    <row r="713" spans="1:9" ht="19.95" customHeight="1">
      <c r="A713" s="1755" t="s">
        <v>13</v>
      </c>
      <c r="B713" s="1711" t="s">
        <v>1475</v>
      </c>
      <c r="C713" s="1756" t="str">
        <f>HYPERLINK("#'保健_附属明細表'!D93","D93")</f>
        <v>D93</v>
      </c>
      <c r="D713" s="1711" t="s">
        <v>2041</v>
      </c>
      <c r="E713" s="1757">
        <f>IF(保健_附属明細表!D93="","",保健_附属明細表!D93)</f>
        <v>0</v>
      </c>
      <c r="F713" s="1711" t="s">
        <v>1905</v>
      </c>
      <c r="G713" s="1709" t="str">
        <f t="shared" si="11"/>
        <v>0（確認）</v>
      </c>
      <c r="H713" s="1708" t="inlineStr">
        <is>
          <t>保健_附属明細表 D95,M93</t>
        </is>
      </c>
      <c r="I713" s="1708" t="inlineStr">
        <is>
          <t>保健_決算精算表</t>
        </is>
      </c>
    </row>
    <row r="714" spans="1:9" ht="19.95" customHeight="1">
      <c r="A714" s="1752" t="s">
        <v>13</v>
      </c>
      <c r="B714" s="1708" t="s">
        <v>1475</v>
      </c>
      <c r="C714" s="1753" t="str">
        <f>HYPERLINK("#'保健_附属明細表'!G93","G93")</f>
        <v>G93</v>
      </c>
      <c r="D714" s="1708" t="s">
        <v>2042</v>
      </c>
      <c r="E714" s="1754">
        <f>IF(保健_附属明細表!G93="","",保健_附属明細表!G93)</f>
        <v>0</v>
      </c>
      <c r="F714" s="1708" t="s">
        <v>1905</v>
      </c>
      <c r="G714" s="1709" t="str">
        <f t="shared" si="11"/>
        <v>0（確認）</v>
      </c>
      <c r="H714" s="1708" t="inlineStr">
        <is>
          <t>保健_附属明細表 G95,M93</t>
        </is>
      </c>
      <c r="I714" s="1708" t="inlineStr">
        <is>
          <t>保健_決算精算表</t>
        </is>
      </c>
    </row>
    <row r="715" spans="1:9" ht="19.95" customHeight="1">
      <c r="A715" s="1755" t="s">
        <v>13</v>
      </c>
      <c r="B715" s="1711" t="s">
        <v>1475</v>
      </c>
      <c r="C715" s="1756" t="str">
        <f>HYPERLINK("#'保健_附属明細表'!J93","J93")</f>
        <v>J93</v>
      </c>
      <c r="D715" s="1711" t="s">
        <v>2043</v>
      </c>
      <c r="E715" s="1757">
        <f>IF(保健_附属明細表!J93="","",保健_附属明細表!J93)</f>
        <v>0</v>
      </c>
      <c r="F715" s="1711" t="s">
        <v>1905</v>
      </c>
      <c r="G715" s="1709" t="str">
        <f t="shared" si="11"/>
        <v>0（確認）</v>
      </c>
      <c r="H715" s="1708" t="inlineStr">
        <is>
          <t>保健_附属明細表 J95,M93</t>
        </is>
      </c>
      <c r="I715" s="1708" t="inlineStr">
        <is>
          <t>保健_決算精算表</t>
        </is>
      </c>
    </row>
    <row r="716" spans="1:9" ht="19.95" customHeight="1">
      <c r="A716" s="1752" t="s">
        <v>13</v>
      </c>
      <c r="B716" s="1708" t="s">
        <v>1475</v>
      </c>
      <c r="C716" s="1753" t="str">
        <f>HYPERLINK("#'保健_附属明細表'!D94","D94")</f>
        <v>D94</v>
      </c>
      <c r="D716" s="1708" t="s">
        <v>2044</v>
      </c>
      <c r="E716" s="1754">
        <f>IF(保健_附属明細表!D94="","",保健_附属明細表!D94)</f>
        <v>0</v>
      </c>
      <c r="F716" s="1708" t="s">
        <v>1905</v>
      </c>
      <c r="G716" s="1709" t="str">
        <f t="shared" si="11"/>
        <v>0（確認）</v>
      </c>
      <c r="H716" s="1708" t="inlineStr">
        <is>
          <t>保健_附属明細表 D95,M94</t>
        </is>
      </c>
      <c r="I716" s="1708" t="inlineStr">
        <is>
          <t>保健_決算精算表</t>
        </is>
      </c>
    </row>
    <row r="717" spans="1:9" ht="19.95" customHeight="1">
      <c r="A717" s="1755" t="s">
        <v>13</v>
      </c>
      <c r="B717" s="1711" t="s">
        <v>1475</v>
      </c>
      <c r="C717" s="1756" t="str">
        <f>HYPERLINK("#'保健_附属明細表'!G94","G94")</f>
        <v>G94</v>
      </c>
      <c r="D717" s="1711" t="s">
        <v>1990</v>
      </c>
      <c r="E717" s="1757">
        <f>IF(保健_附属明細表!G94="","",保健_附属明細表!G94)</f>
        <v>0</v>
      </c>
      <c r="F717" s="1711" t="s">
        <v>1905</v>
      </c>
      <c r="G717" s="1709" t="str">
        <f t="shared" si="11"/>
        <v>0（確認）</v>
      </c>
      <c r="H717" s="1708" t="inlineStr">
        <is>
          <t>保健_附属明細表 G95,M94</t>
        </is>
      </c>
      <c r="I717" s="1708" t="inlineStr">
        <is>
          <t>保健_決算精算表</t>
        </is>
      </c>
    </row>
    <row r="718" spans="1:9" ht="19.95" customHeight="1">
      <c r="A718" s="1752" t="s">
        <v>13</v>
      </c>
      <c r="B718" s="1708" t="s">
        <v>1475</v>
      </c>
      <c r="C718" s="1753" t="str">
        <f>HYPERLINK("#'保健_附属明細表'!J94","J94")</f>
        <v>J94</v>
      </c>
      <c r="D718" s="1708" t="s">
        <v>1991</v>
      </c>
      <c r="E718" s="1754">
        <f>IF(保健_附属明細表!J94="","",保健_附属明細表!J94)</f>
        <v>0</v>
      </c>
      <c r="F718" s="1708" t="s">
        <v>1905</v>
      </c>
      <c r="G718" s="1709" t="str">
        <f t="shared" si="11"/>
        <v>0（確認）</v>
      </c>
      <c r="H718" s="1708" t="inlineStr">
        <is>
          <t>保健_附属明細表 J95,M94</t>
        </is>
      </c>
      <c r="I718" s="1708" t="inlineStr">
        <is>
          <t>保健_決算精算表</t>
        </is>
      </c>
    </row>
    <row r="719" spans="1:9" ht="19.95" customHeight="1">
      <c r="A719" s="1755" t="s">
        <v>13</v>
      </c>
      <c r="B719" s="1711" t="s">
        <v>1475</v>
      </c>
      <c r="C719" s="1756" t="str">
        <f>HYPERLINK("#'保健_附属明細表'!F101","F101")</f>
        <v>F101</v>
      </c>
      <c r="D719" s="1711" t="s">
        <v>2045</v>
      </c>
      <c r="E719" s="1757">
        <f>IF(保健_附属明細表!F101="","",保健_附属明細表!F101)</f>
        <v>13600000</v>
      </c>
      <c r="F719" s="1711" t="s">
        <v>1905</v>
      </c>
      <c r="G719" s="1709" t="str">
        <f t="shared" si="11"/>
        <v>入力済</v>
      </c>
      <c r="H719" s="1708" t="inlineStr">
        <is>
          <t>保健_附属明細表 F104,R101</t>
        </is>
      </c>
      <c r="I719" s="1708" t="inlineStr">
        <is>
          <t>同じシート内のみ</t>
        </is>
      </c>
    </row>
    <row r="720" spans="1:9" ht="19.95" customHeight="1">
      <c r="A720" s="1752" t="s">
        <v>13</v>
      </c>
      <c r="B720" s="1708" t="s">
        <v>1475</v>
      </c>
      <c r="C720" s="1753" t="str">
        <f>HYPERLINK("#'保健_附属明細表'!I101","I101")</f>
        <v>I101</v>
      </c>
      <c r="D720" s="1708" t="s">
        <v>2046</v>
      </c>
      <c r="E720" s="1754">
        <f>IF(保健_附属明細表!I101="","",保健_附属明細表!I101)</f>
        <v>0</v>
      </c>
      <c r="F720" s="1708" t="s">
        <v>1905</v>
      </c>
      <c r="G720" s="1709" t="str">
        <f t="shared" si="11"/>
        <v>0（確認）</v>
      </c>
      <c r="H720" s="1708" t="inlineStr">
        <is>
          <t>保健_附属明細表 I104</t>
        </is>
      </c>
      <c r="I720" s="1708" t="inlineStr">
        <is>
          <t>報告_保健P20-22、保健_財務諸表、保健_決算精算表</t>
        </is>
      </c>
    </row>
    <row r="721" spans="1:9" ht="19.95" customHeight="1">
      <c r="A721" s="1755" t="s">
        <v>13</v>
      </c>
      <c r="B721" s="1711" t="s">
        <v>1475</v>
      </c>
      <c r="C721" s="1756" t="str">
        <f>HYPERLINK("#'保健_附属明細表'!L101","L101")</f>
        <v>L101</v>
      </c>
      <c r="D721" s="1711" t="s">
        <v>2047</v>
      </c>
      <c r="E721" s="1757">
        <f>IF(保健_附属明細表!L101="","",保健_附属明細表!L101)</f>
        <v>13599999</v>
      </c>
      <c r="F721" s="1711" t="s">
        <v>1905</v>
      </c>
      <c r="G721" s="1709" t="str">
        <f t="shared" si="11"/>
        <v>入力済</v>
      </c>
      <c r="H721" s="1708" t="inlineStr">
        <is>
          <t>保健_附属明細表 L104,R101</t>
        </is>
      </c>
      <c r="I721" s="1708" t="inlineStr">
        <is>
          <t>同じシート内のみ</t>
        </is>
      </c>
    </row>
    <row r="722" spans="1:9" ht="19.95" customHeight="1">
      <c r="A722" s="1752" t="s">
        <v>13</v>
      </c>
      <c r="B722" s="1708" t="s">
        <v>1475</v>
      </c>
      <c r="C722" s="1753" t="str">
        <f>HYPERLINK("#'保健_附属明細表'!O101","O101")</f>
        <v>O101</v>
      </c>
      <c r="D722" s="1708" t="s">
        <v>2048</v>
      </c>
      <c r="E722" s="1754">
        <f>IF(保健_附属明細表!O101="","",保健_附属明細表!O101)</f>
        <v>0</v>
      </c>
      <c r="F722" s="1708" t="s">
        <v>1905</v>
      </c>
      <c r="G722" s="1709" t="str">
        <f t="shared" si="11"/>
        <v>0（確認）</v>
      </c>
      <c r="H722" s="1708" t="inlineStr">
        <is>
          <t>保健_附属明細表 O104</t>
        </is>
      </c>
      <c r="I722" s="1708" t="inlineStr">
        <is>
          <t>保健_財務諸表</t>
        </is>
      </c>
    </row>
    <row r="723" spans="1:9" ht="19.95" customHeight="1">
      <c r="A723" s="1755" t="s">
        <v>13</v>
      </c>
      <c r="B723" s="1711" t="s">
        <v>1475</v>
      </c>
      <c r="C723" s="1756" t="str">
        <f>HYPERLINK("#'保健_附属明細表'!F102","F102")</f>
        <v>F102</v>
      </c>
      <c r="D723" s="1711" t="s">
        <v>2049</v>
      </c>
      <c r="E723" s="1757">
        <f>IF(保健_附属明細表!F102="","",保健_附属明細表!F102)</f>
        <v>6570000</v>
      </c>
      <c r="F723" s="1711" t="s">
        <v>1905</v>
      </c>
      <c r="G723" s="1709" t="str">
        <f t="shared" si="11"/>
        <v>入力済</v>
      </c>
      <c r="H723" s="1708" t="inlineStr">
        <is>
          <t>保健_附属明細表 F104,R102</t>
        </is>
      </c>
      <c r="I723" s="1708" t="inlineStr">
        <is>
          <t>同じシート内のみ</t>
        </is>
      </c>
    </row>
    <row r="724" spans="1:9" ht="19.95" customHeight="1">
      <c r="A724" s="1752" t="s">
        <v>13</v>
      </c>
      <c r="B724" s="1708" t="s">
        <v>1475</v>
      </c>
      <c r="C724" s="1753" t="str">
        <f>HYPERLINK("#'保健_附属明細表'!I102","I102")</f>
        <v>I102</v>
      </c>
      <c r="D724" s="1708" t="s">
        <v>2050</v>
      </c>
      <c r="E724" s="1754">
        <f>IF(保健_附属明細表!I102="","",保健_附属明細表!I102)</f>
        <v>0</v>
      </c>
      <c r="F724" s="1708" t="s">
        <v>1905</v>
      </c>
      <c r="G724" s="1709" t="str">
        <f t="shared" si="11"/>
        <v>0（確認）</v>
      </c>
      <c r="H724" s="1708" t="inlineStr">
        <is>
          <t>保健_附属明細表 I104</t>
        </is>
      </c>
      <c r="I724" s="1708" t="inlineStr">
        <is>
          <t>報告_保健P20-22、保健_財務諸表、保健_決算精算表</t>
        </is>
      </c>
    </row>
    <row r="725" spans="1:9" ht="19.95" customHeight="1">
      <c r="A725" s="1755" t="s">
        <v>13</v>
      </c>
      <c r="B725" s="1711" t="s">
        <v>1475</v>
      </c>
      <c r="C725" s="1756" t="str">
        <f>HYPERLINK("#'保健_附属明細表'!L102","L102")</f>
        <v>L102</v>
      </c>
      <c r="D725" s="1711" t="s">
        <v>2051</v>
      </c>
      <c r="E725" s="1757">
        <f>IF(保健_附属明細表!L102="","",保健_附属明細表!L102)</f>
        <v>6569999</v>
      </c>
      <c r="F725" s="1711" t="s">
        <v>1905</v>
      </c>
      <c r="G725" s="1709" t="str">
        <f t="shared" si="11"/>
        <v>入力済</v>
      </c>
      <c r="H725" s="1708" t="inlineStr">
        <is>
          <t>保健_附属明細表 L104,R102</t>
        </is>
      </c>
      <c r="I725" s="1708" t="inlineStr">
        <is>
          <t>同じシート内のみ</t>
        </is>
      </c>
    </row>
    <row r="726" spans="1:9" ht="19.95" customHeight="1">
      <c r="A726" s="1752" t="s">
        <v>13</v>
      </c>
      <c r="B726" s="1708" t="s">
        <v>1475</v>
      </c>
      <c r="C726" s="1753" t="str">
        <f>HYPERLINK("#'保健_附属明細表'!O102","O102")</f>
        <v>O102</v>
      </c>
      <c r="D726" s="1708" t="s">
        <v>2052</v>
      </c>
      <c r="E726" s="1754">
        <f>IF(保健_附属明細表!O102="","",保健_附属明細表!O102)</f>
        <v>0</v>
      </c>
      <c r="F726" s="1708" t="s">
        <v>1905</v>
      </c>
      <c r="G726" s="1709" t="str">
        <f t="shared" si="11"/>
        <v>0（確認）</v>
      </c>
      <c r="H726" s="1708" t="inlineStr">
        <is>
          <t>保健_附属明細表 O104</t>
        </is>
      </c>
      <c r="I726" s="1708" t="inlineStr">
        <is>
          <t>保健_財務諸表</t>
        </is>
      </c>
    </row>
    <row r="727" spans="1:9" ht="19.95" customHeight="1">
      <c r="A727" s="1755" t="s">
        <v>13</v>
      </c>
      <c r="B727" s="1711" t="s">
        <v>1475</v>
      </c>
      <c r="C727" s="1756" t="str">
        <f>HYPERLINK("#'保健_附属明細表'!F103","F103")</f>
        <v>F103</v>
      </c>
      <c r="D727" s="1711" t="s">
        <v>2053</v>
      </c>
      <c r="E727" s="1757">
        <f>IF(保健_附属明細表!F103="","",保健_附属明細表!F103)</f>
        <v>1810000</v>
      </c>
      <c r="F727" s="1711" t="s">
        <v>1905</v>
      </c>
      <c r="G727" s="1709" t="str">
        <f t="shared" si="11"/>
        <v>入力済</v>
      </c>
      <c r="H727" s="1708" t="inlineStr">
        <is>
          <t>保健_附属明細表 F104,R103</t>
        </is>
      </c>
      <c r="I727" s="1708" t="inlineStr">
        <is>
          <t>同じシート内のみ</t>
        </is>
      </c>
    </row>
    <row r="728" spans="1:9" ht="19.95" customHeight="1">
      <c r="A728" s="1752" t="s">
        <v>13</v>
      </c>
      <c r="B728" s="1708" t="s">
        <v>1475</v>
      </c>
      <c r="C728" s="1753" t="str">
        <f>HYPERLINK("#'保健_附属明細表'!I103","I103")</f>
        <v>I103</v>
      </c>
      <c r="D728" s="1708" t="s">
        <v>2054</v>
      </c>
      <c r="E728" s="1754">
        <f>IF(保健_附属明細表!I103="","",保健_附属明細表!I103)</f>
        <v>0</v>
      </c>
      <c r="F728" s="1708" t="s">
        <v>1905</v>
      </c>
      <c r="G728" s="1709" t="str">
        <f t="shared" si="11"/>
        <v>0（確認）</v>
      </c>
      <c r="H728" s="1708" t="inlineStr">
        <is>
          <t>保健_附属明細表 I104</t>
        </is>
      </c>
      <c r="I728" s="1708" t="inlineStr">
        <is>
          <t>報告_保健P20-22、保健_財務諸表、保健_決算精算表</t>
        </is>
      </c>
    </row>
    <row r="729" spans="1:9" ht="19.95" customHeight="1">
      <c r="A729" s="1755" t="s">
        <v>13</v>
      </c>
      <c r="B729" s="1711" t="s">
        <v>1475</v>
      </c>
      <c r="C729" s="1756" t="str">
        <f>HYPERLINK("#'保健_附属明細表'!L103","L103")</f>
        <v>L103</v>
      </c>
      <c r="D729" s="1711" t="s">
        <v>2055</v>
      </c>
      <c r="E729" s="1757">
        <f>IF(保健_附属明細表!L103="","",保健_附属明細表!L103)</f>
        <v>1809999</v>
      </c>
      <c r="F729" s="1711" t="s">
        <v>1905</v>
      </c>
      <c r="G729" s="1709" t="str">
        <f t="shared" si="11"/>
        <v>入力済</v>
      </c>
      <c r="H729" s="1708" t="inlineStr">
        <is>
          <t>保健_附属明細表 L104,R103</t>
        </is>
      </c>
      <c r="I729" s="1708" t="inlineStr">
        <is>
          <t>同じシート内のみ</t>
        </is>
      </c>
    </row>
    <row r="730" spans="1:9" ht="19.95" customHeight="1">
      <c r="A730" s="1752" t="s">
        <v>13</v>
      </c>
      <c r="B730" s="1708" t="s">
        <v>1475</v>
      </c>
      <c r="C730" s="1753" t="str">
        <f>HYPERLINK("#'保健_附属明細表'!O103","O103")</f>
        <v>O103</v>
      </c>
      <c r="D730" s="1708" t="s">
        <v>2056</v>
      </c>
      <c r="E730" s="1754">
        <f>IF(保健_附属明細表!O103="","",保健_附属明細表!O103)</f>
        <v>0</v>
      </c>
      <c r="F730" s="1708" t="s">
        <v>1905</v>
      </c>
      <c r="G730" s="1709" t="str">
        <f t="shared" si="11"/>
        <v>0（確認）</v>
      </c>
      <c r="H730" s="1708" t="inlineStr">
        <is>
          <t>保健_附属明細表 O104</t>
        </is>
      </c>
      <c r="I730" s="1708" t="inlineStr">
        <is>
          <t>保健_財務諸表</t>
        </is>
      </c>
    </row>
    <row r="731" spans="1:9" ht="19.95" customHeight="1">
      <c r="A731" s="1755" t="s">
        <v>13</v>
      </c>
      <c r="B731" s="1711" t="s">
        <v>1475</v>
      </c>
      <c r="C731" s="1756" t="str">
        <f>HYPERLINK("#'保健_附属明細表'!D105","D105")</f>
        <v>D105</v>
      </c>
      <c r="D731" s="1711" t="s">
        <v>2057</v>
      </c>
      <c r="E731" s="1757">
        <f>IF(保健_附属明細表!D105="","",保健_附属明細表!D105)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HYPERLINK("#'保健_附属明細表'!F105","F105")</f>
        <v>F105</v>
      </c>
      <c r="D732" s="1708" t="s">
        <v>2058</v>
      </c>
      <c r="E732" s="1754">
        <f>IF(保健_附属明細表!F105="","",保健_附属明細表!F105)</f>
        <v>3129000</v>
      </c>
      <c r="F732" s="1708" t="s">
        <v>1905</v>
      </c>
      <c r="G732" s="1709" t="str">
        <f t="shared" si="11"/>
        <v>入力済</v>
      </c>
      <c r="H732" s="1708" t="inlineStr">
        <is>
          <t>保健_附属明細表 F106,R105</t>
        </is>
      </c>
      <c r="I732" s="1708" t="inlineStr">
        <is>
          <t>同じシート内のみ</t>
        </is>
      </c>
    </row>
    <row r="733" spans="1:9" ht="19.95" customHeight="1">
      <c r="A733" s="1755" t="s">
        <v>13</v>
      </c>
      <c r="B733" s="1711" t="s">
        <v>1475</v>
      </c>
      <c r="C733" s="1756" t="str">
        <f>HYPERLINK("#'保健_附属明細表'!I105","I105")</f>
        <v>I105</v>
      </c>
      <c r="D733" s="1711" t="s">
        <v>2059</v>
      </c>
      <c r="E733" s="1757">
        <f>IF(保健_附属明細表!I105="","",保健_附属明細表!I105)</f>
        <v>0</v>
      </c>
      <c r="F733" s="1711" t="s">
        <v>1905</v>
      </c>
      <c r="G733" s="1709" t="str">
        <f t="shared" si="11"/>
        <v>0（確認）</v>
      </c>
      <c r="H733" s="1708" t="inlineStr">
        <is>
          <t>保健_附属明細表 I106</t>
        </is>
      </c>
      <c r="I733" s="1708" t="inlineStr">
        <is>
          <t>報告_保健P20-22、保健_財務諸表、保健_決算精算表</t>
        </is>
      </c>
    </row>
    <row r="734" spans="1:9" ht="19.95" customHeight="1">
      <c r="A734" s="1752" t="s">
        <v>13</v>
      </c>
      <c r="B734" s="1708" t="s">
        <v>1475</v>
      </c>
      <c r="C734" s="1753" t="str">
        <f>HYPERLINK("#'保健_附属明細表'!L105","L105")</f>
        <v>L105</v>
      </c>
      <c r="D734" s="1708" t="s">
        <v>2060</v>
      </c>
      <c r="E734" s="1754">
        <f>IF(保健_附属明細表!L105="","",保健_附属明細表!L105)</f>
        <v>2590116</v>
      </c>
      <c r="F734" s="1708" t="s">
        <v>1905</v>
      </c>
      <c r="G734" s="1709" t="str">
        <f t="shared" si="11"/>
        <v>入力済</v>
      </c>
      <c r="H734" s="1708" t="inlineStr">
        <is>
          <t>保健_附属明細表 L106,R105</t>
        </is>
      </c>
      <c r="I734" s="1708" t="inlineStr">
        <is>
          <t>同じシート内のみ</t>
        </is>
      </c>
    </row>
    <row r="735" spans="1:9" ht="19.95" customHeight="1">
      <c r="A735" s="1755" t="s">
        <v>13</v>
      </c>
      <c r="B735" s="1711" t="s">
        <v>1475</v>
      </c>
      <c r="C735" s="1756" t="str">
        <f>HYPERLINK("#'保健_附属明細表'!O105","O105")</f>
        <v>O105</v>
      </c>
      <c r="D735" s="1711" t="s">
        <v>2061</v>
      </c>
      <c r="E735" s="1757">
        <f>IF(保健_附属明細表!O105="","",保健_附属明細表!O105)</f>
        <v>0</v>
      </c>
      <c r="F735" s="1711" t="s">
        <v>1905</v>
      </c>
      <c r="G735" s="1709" t="str">
        <f t="shared" si="11"/>
        <v>0（確認）</v>
      </c>
      <c r="H735" s="1708" t="inlineStr">
        <is>
          <t>保健_附属明細表 O106</t>
        </is>
      </c>
      <c r="I735" s="1708" t="inlineStr">
        <is>
          <t>保健_財務諸表</t>
        </is>
      </c>
    </row>
    <row r="736" spans="1:9" ht="19.95" customHeight="1">
      <c r="A736" s="1752" t="s">
        <v>13</v>
      </c>
      <c r="B736" s="1708" t="s">
        <v>1475</v>
      </c>
      <c r="C736" s="1753" t="str">
        <f>HYPERLINK("#'保健_附属明細表'!D107","D107")</f>
        <v>D107</v>
      </c>
      <c r="D736" s="1708" t="s">
        <v>2062</v>
      </c>
      <c r="E736" s="1754">
        <f>IF(保健_附属明細表!D107="","",保健_附属明細表!D107)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HYPERLINK("#'保健_附属明細表'!F107","F107")</f>
        <v>F107</v>
      </c>
      <c r="D737" s="1711" t="s">
        <v>2063</v>
      </c>
      <c r="E737" s="1757">
        <f>IF(保健_附属明細表!F107="","",保健_附属明細表!F107)</f>
        <v>119685</v>
      </c>
      <c r="F737" s="1711" t="s">
        <v>1905</v>
      </c>
      <c r="G737" s="1709" t="str">
        <f t="shared" si="11"/>
        <v>入力済</v>
      </c>
      <c r="H737" s="1708" t="inlineStr">
        <is>
          <t>保健_附属明細表 F115,R107</t>
        </is>
      </c>
      <c r="I737" s="1708" t="inlineStr">
        <is>
          <t>同じシート内のみ</t>
        </is>
      </c>
    </row>
    <row r="738" spans="1:9" ht="19.95" customHeight="1">
      <c r="A738" s="1752" t="s">
        <v>13</v>
      </c>
      <c r="B738" s="1708" t="s">
        <v>1475</v>
      </c>
      <c r="C738" s="1753" t="str">
        <f>HYPERLINK("#'保健_附属明細表'!I107","I107")</f>
        <v>I107</v>
      </c>
      <c r="D738" s="1708" t="s">
        <v>2064</v>
      </c>
      <c r="E738" s="1754">
        <f>IF(保健_附属明細表!I107="","",保健_附属明細表!I107)</f>
        <v>0</v>
      </c>
      <c r="F738" s="1708" t="s">
        <v>1905</v>
      </c>
      <c r="G738" s="1709" t="str">
        <f t="shared" si="11"/>
        <v>0（確認）</v>
      </c>
      <c r="H738" s="1708" t="inlineStr">
        <is>
          <t>保健_附属明細表 I115</t>
        </is>
      </c>
      <c r="I738" s="1708" t="inlineStr">
        <is>
          <t>報告_保健P20-22、保健_財務諸表、保健_決算精算表</t>
        </is>
      </c>
    </row>
    <row r="739" spans="1:9" ht="19.95" customHeight="1">
      <c r="A739" s="1755" t="s">
        <v>13</v>
      </c>
      <c r="B739" s="1711" t="s">
        <v>1475</v>
      </c>
      <c r="C739" s="1756" t="str">
        <f>HYPERLINK("#'保健_附属明細表'!L107","L107")</f>
        <v>L107</v>
      </c>
      <c r="D739" s="1711" t="s">
        <v>2065</v>
      </c>
      <c r="E739" s="1757">
        <f>IF(保健_附属明細表!L107="","",保健_附属明細表!L107)</f>
        <v>119684</v>
      </c>
      <c r="F739" s="1711" t="s">
        <v>1905</v>
      </c>
      <c r="G739" s="1709" t="str">
        <f t="shared" si="11"/>
        <v>入力済</v>
      </c>
      <c r="H739" s="1708" t="inlineStr">
        <is>
          <t>保健_附属明細表 L115,R107</t>
        </is>
      </c>
      <c r="I739" s="1708" t="inlineStr">
        <is>
          <t>同じシート内のみ</t>
        </is>
      </c>
    </row>
    <row r="740" spans="1:9" ht="19.95" customHeight="1">
      <c r="A740" s="1752" t="s">
        <v>13</v>
      </c>
      <c r="B740" s="1708" t="s">
        <v>1475</v>
      </c>
      <c r="C740" s="1753" t="str">
        <f>HYPERLINK("#'保健_附属明細表'!O107","O107")</f>
        <v>O107</v>
      </c>
      <c r="D740" s="1708" t="s">
        <v>2066</v>
      </c>
      <c r="E740" s="1754">
        <f>IF(保健_附属明細表!O107="","",保健_附属明細表!O107)</f>
        <v>0</v>
      </c>
      <c r="F740" s="1708" t="s">
        <v>1905</v>
      </c>
      <c r="G740" s="1709" t="str">
        <f t="shared" si="11"/>
        <v>0（確認）</v>
      </c>
      <c r="H740" s="1708" t="inlineStr">
        <is>
          <t>保健_附属明細表 O115</t>
        </is>
      </c>
      <c r="I740" s="1708" t="inlineStr">
        <is>
          <t>保健_財務諸表</t>
        </is>
      </c>
    </row>
    <row r="741" spans="1:9" ht="19.95" customHeight="1">
      <c r="A741" s="1755" t="s">
        <v>13</v>
      </c>
      <c r="B741" s="1711" t="s">
        <v>1475</v>
      </c>
      <c r="C741" s="1756" t="str">
        <f>HYPERLINK("#'保健_附属明細表'!D108","D108")</f>
        <v>D108</v>
      </c>
      <c r="D741" s="1711" t="s">
        <v>2067</v>
      </c>
      <c r="E741" s="1757">
        <f>IF(保健_附属明細表!D108="","",保健_附属明細表!D108)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HYPERLINK("#'保健_附属明細表'!F108","F108")</f>
        <v>F108</v>
      </c>
      <c r="D742" s="1708" t="s">
        <v>2068</v>
      </c>
      <c r="E742" s="1754">
        <f>IF(保健_附属明細表!F108="","",保健_附属明細表!F108)</f>
        <v>6715</v>
      </c>
      <c r="F742" s="1708" t="s">
        <v>1905</v>
      </c>
      <c r="G742" s="1709" t="str">
        <f t="shared" si="11"/>
        <v>入力済</v>
      </c>
      <c r="H742" s="1708" t="inlineStr">
        <is>
          <t>保健_附属明細表 F115,R108</t>
        </is>
      </c>
      <c r="I742" s="1708" t="inlineStr">
        <is>
          <t>同じシート内のみ</t>
        </is>
      </c>
    </row>
    <row r="743" spans="1:9" ht="19.95" customHeight="1">
      <c r="A743" s="1755" t="s">
        <v>13</v>
      </c>
      <c r="B743" s="1711" t="s">
        <v>1475</v>
      </c>
      <c r="C743" s="1756" t="str">
        <f>HYPERLINK("#'保健_附属明細表'!I108","I108")</f>
        <v>I108</v>
      </c>
      <c r="D743" s="1711" t="s">
        <v>2069</v>
      </c>
      <c r="E743" s="1757">
        <f>IF(保健_附属明細表!I108="","",保健_附属明細表!I108)</f>
        <v>0</v>
      </c>
      <c r="F743" s="1711" t="s">
        <v>1905</v>
      </c>
      <c r="G743" s="1709" t="str">
        <f t="shared" si="11"/>
        <v>0（確認）</v>
      </c>
      <c r="H743" s="1708" t="inlineStr">
        <is>
          <t>保健_附属明細表 I115</t>
        </is>
      </c>
      <c r="I743" s="1708" t="inlineStr">
        <is>
          <t>報告_保健P20-22、保健_財務諸表、保健_決算精算表</t>
        </is>
      </c>
    </row>
    <row r="744" spans="1:9" ht="19.95" customHeight="1">
      <c r="A744" s="1752" t="s">
        <v>13</v>
      </c>
      <c r="B744" s="1708" t="s">
        <v>1475</v>
      </c>
      <c r="C744" s="1753" t="str">
        <f>HYPERLINK("#'保健_附属明細表'!L108","L108")</f>
        <v>L108</v>
      </c>
      <c r="D744" s="1708" t="s">
        <v>2070</v>
      </c>
      <c r="E744" s="1754">
        <f>IF(保健_附属明細表!L108="","",保健_附属明細表!L108)</f>
        <v>6714</v>
      </c>
      <c r="F744" s="1708" t="s">
        <v>1905</v>
      </c>
      <c r="G744" s="1709" t="str">
        <f t="shared" si="11"/>
        <v>入力済</v>
      </c>
      <c r="H744" s="1708" t="inlineStr">
        <is>
          <t>保健_附属明細表 L115,R108</t>
        </is>
      </c>
      <c r="I744" s="1708" t="inlineStr">
        <is>
          <t>同じシート内のみ</t>
        </is>
      </c>
    </row>
    <row r="745" spans="1:9" ht="19.95" customHeight="1">
      <c r="A745" s="1755" t="s">
        <v>13</v>
      </c>
      <c r="B745" s="1711" t="s">
        <v>1475</v>
      </c>
      <c r="C745" s="1756" t="str">
        <f>HYPERLINK("#'保健_附属明細表'!O108","O108")</f>
        <v>O108</v>
      </c>
      <c r="D745" s="1711" t="s">
        <v>2071</v>
      </c>
      <c r="E745" s="1757">
        <f>IF(保健_附属明細表!O108="","",保健_附属明細表!O108)</f>
        <v>0</v>
      </c>
      <c r="F745" s="1711" t="s">
        <v>1905</v>
      </c>
      <c r="G745" s="1709" t="str">
        <f t="shared" si="11"/>
        <v>0（確認）</v>
      </c>
      <c r="H745" s="1708" t="inlineStr">
        <is>
          <t>保健_附属明細表 O115</t>
        </is>
      </c>
      <c r="I745" s="1708" t="inlineStr">
        <is>
          <t>保健_財務諸表</t>
        </is>
      </c>
    </row>
    <row r="746" spans="1:9" ht="19.95" customHeight="1">
      <c r="A746" s="1752" t="s">
        <v>13</v>
      </c>
      <c r="B746" s="1708" t="s">
        <v>1475</v>
      </c>
      <c r="C746" s="1753" t="str">
        <f>HYPERLINK("#'保健_附属明細表'!D109","D109")</f>
        <v>D109</v>
      </c>
      <c r="D746" s="1708" t="s">
        <v>2072</v>
      </c>
      <c r="E746" s="1754">
        <f>IF(保健_附属明細表!D109="","",保健_附属明細表!D109)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HYPERLINK("#'保健_附属明細表'!F109","F109")</f>
        <v>F109</v>
      </c>
      <c r="D747" s="1711" t="s">
        <v>2073</v>
      </c>
      <c r="E747" s="1757">
        <f>IF(保健_附属明細表!F109="","",保健_附属明細表!F109)</f>
        <v>19707</v>
      </c>
      <c r="F747" s="1711" t="s">
        <v>1905</v>
      </c>
      <c r="G747" s="1709" t="str">
        <f t="shared" si="11"/>
        <v>入力済</v>
      </c>
      <c r="H747" s="1708" t="inlineStr">
        <is>
          <t>保健_附属明細表 F115,R109</t>
        </is>
      </c>
      <c r="I747" s="1708" t="inlineStr">
        <is>
          <t>同じシート内のみ</t>
        </is>
      </c>
    </row>
    <row r="748" spans="1:9" ht="19.95" customHeight="1">
      <c r="A748" s="1752" t="s">
        <v>13</v>
      </c>
      <c r="B748" s="1708" t="s">
        <v>1475</v>
      </c>
      <c r="C748" s="1753" t="str">
        <f>HYPERLINK("#'保健_附属明細表'!I109","I109")</f>
        <v>I109</v>
      </c>
      <c r="D748" s="1708" t="s">
        <v>2074</v>
      </c>
      <c r="E748" s="1754">
        <f>IF(保健_附属明細表!I109="","",保健_附属明細表!I109)</f>
        <v>0</v>
      </c>
      <c r="F748" s="1708" t="s">
        <v>1905</v>
      </c>
      <c r="G748" s="1709" t="str">
        <f t="shared" si="11"/>
        <v>0（確認）</v>
      </c>
      <c r="H748" s="1708" t="inlineStr">
        <is>
          <t>保健_附属明細表 I115</t>
        </is>
      </c>
      <c r="I748" s="1708" t="inlineStr">
        <is>
          <t>報告_保健P20-22、保健_財務諸表、保健_決算精算表</t>
        </is>
      </c>
    </row>
    <row r="749" spans="1:9" ht="19.95" customHeight="1">
      <c r="A749" s="1755" t="s">
        <v>13</v>
      </c>
      <c r="B749" s="1711" t="s">
        <v>1475</v>
      </c>
      <c r="C749" s="1756" t="str">
        <f>HYPERLINK("#'保健_附属明細表'!L109","L109")</f>
        <v>L109</v>
      </c>
      <c r="D749" s="1711" t="s">
        <v>2075</v>
      </c>
      <c r="E749" s="1757">
        <f>IF(保健_附属明細表!L109="","",保健_附属明細表!L109)</f>
        <v>19706</v>
      </c>
      <c r="F749" s="1711" t="s">
        <v>1905</v>
      </c>
      <c r="G749" s="1709" t="str">
        <f t="shared" si="11"/>
        <v>入力済</v>
      </c>
      <c r="H749" s="1708" t="inlineStr">
        <is>
          <t>保健_附属明細表 L115,R109</t>
        </is>
      </c>
      <c r="I749" s="1708" t="inlineStr">
        <is>
          <t>同じシート内のみ</t>
        </is>
      </c>
    </row>
    <row r="750" spans="1:9" ht="19.95" customHeight="1">
      <c r="A750" s="1752" t="s">
        <v>13</v>
      </c>
      <c r="B750" s="1708" t="s">
        <v>1475</v>
      </c>
      <c r="C750" s="1753" t="str">
        <f>HYPERLINK("#'保健_附属明細表'!O109","O109")</f>
        <v>O109</v>
      </c>
      <c r="D750" s="1708" t="s">
        <v>2076</v>
      </c>
      <c r="E750" s="1754">
        <f>IF(保健_附属明細表!O109="","",保健_附属明細表!O109)</f>
        <v>0</v>
      </c>
      <c r="F750" s="1708" t="s">
        <v>1905</v>
      </c>
      <c r="G750" s="1709" t="str">
        <f t="shared" si="11"/>
        <v>0（確認）</v>
      </c>
      <c r="H750" s="1708" t="inlineStr">
        <is>
          <t>保健_附属明細表 O115</t>
        </is>
      </c>
      <c r="I750" s="1708" t="inlineStr">
        <is>
          <t>保健_財務諸表</t>
        </is>
      </c>
    </row>
    <row r="751" spans="1:9" ht="19.95" customHeight="1">
      <c r="A751" s="1755" t="s">
        <v>13</v>
      </c>
      <c r="B751" s="1711" t="s">
        <v>1475</v>
      </c>
      <c r="C751" s="1756" t="str">
        <f>HYPERLINK("#'保健_附属明細表'!D110","D110")</f>
        <v>D110</v>
      </c>
      <c r="D751" s="1711" t="s">
        <v>2077</v>
      </c>
      <c r="E751" s="1757">
        <f>IF(保健_附属明細表!D110="","",保健_附属明細表!D110)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HYPERLINK("#'保健_附属明細表'!F110","F110")</f>
        <v>F110</v>
      </c>
      <c r="D752" s="1708" t="s">
        <v>2078</v>
      </c>
      <c r="E752" s="1754">
        <f>IF(保健_附属明細表!F110="","",保健_附属明細表!F110)</f>
        <v>31827</v>
      </c>
      <c r="F752" s="1708" t="s">
        <v>1905</v>
      </c>
      <c r="G752" s="1709" t="str">
        <f t="shared" si="11"/>
        <v>入力済</v>
      </c>
      <c r="H752" s="1708" t="inlineStr">
        <is>
          <t>保健_附属明細表 F115,R110</t>
        </is>
      </c>
      <c r="I752" s="1708" t="inlineStr">
        <is>
          <t>同じシート内のみ</t>
        </is>
      </c>
    </row>
    <row r="753" spans="1:9" ht="19.95" customHeight="1">
      <c r="A753" s="1755" t="s">
        <v>13</v>
      </c>
      <c r="B753" s="1711" t="s">
        <v>1475</v>
      </c>
      <c r="C753" s="1756" t="str">
        <f>HYPERLINK("#'保健_附属明細表'!I110","I110")</f>
        <v>I110</v>
      </c>
      <c r="D753" s="1711" t="s">
        <v>2079</v>
      </c>
      <c r="E753" s="1757">
        <f>IF(保健_附属明細表!I110="","",保健_附属明細表!I110)</f>
        <v>0</v>
      </c>
      <c r="F753" s="1711" t="s">
        <v>1905</v>
      </c>
      <c r="G753" s="1709" t="str">
        <f t="shared" si="11"/>
        <v>0（確認）</v>
      </c>
      <c r="H753" s="1708" t="inlineStr">
        <is>
          <t>保健_附属明細表 I115</t>
        </is>
      </c>
      <c r="I753" s="1708" t="inlineStr">
        <is>
          <t>報告_保健P20-22、保健_財務諸表、保健_決算精算表</t>
        </is>
      </c>
    </row>
    <row r="754" spans="1:9" ht="19.95" customHeight="1">
      <c r="A754" s="1752" t="s">
        <v>13</v>
      </c>
      <c r="B754" s="1708" t="s">
        <v>1475</v>
      </c>
      <c r="C754" s="1753" t="str">
        <f>HYPERLINK("#'保健_附属明細表'!L110","L110")</f>
        <v>L110</v>
      </c>
      <c r="D754" s="1708" t="s">
        <v>2080</v>
      </c>
      <c r="E754" s="1754">
        <f>IF(保健_附属明細表!L110="","",保健_附属明細表!L110)</f>
        <v>31826</v>
      </c>
      <c r="F754" s="1708" t="s">
        <v>1905</v>
      </c>
      <c r="G754" s="1709" t="str">
        <f t="shared" si="11"/>
        <v>入力済</v>
      </c>
      <c r="H754" s="1708" t="inlineStr">
        <is>
          <t>保健_附属明細表 L115,R110</t>
        </is>
      </c>
      <c r="I754" s="1708" t="inlineStr">
        <is>
          <t>同じシート内のみ</t>
        </is>
      </c>
    </row>
    <row r="755" spans="1:9" ht="19.95" customHeight="1">
      <c r="A755" s="1755" t="s">
        <v>13</v>
      </c>
      <c r="B755" s="1711" t="s">
        <v>1475</v>
      </c>
      <c r="C755" s="1756" t="str">
        <f>HYPERLINK("#'保健_附属明細表'!O110","O110")</f>
        <v>O110</v>
      </c>
      <c r="D755" s="1711" t="s">
        <v>2081</v>
      </c>
      <c r="E755" s="1757">
        <f>IF(保健_附属明細表!O110="","",保健_附属明細表!O110)</f>
        <v>0</v>
      </c>
      <c r="F755" s="1711" t="s">
        <v>1905</v>
      </c>
      <c r="G755" s="1709" t="str">
        <f t="shared" si="11"/>
        <v>0（確認）</v>
      </c>
      <c r="H755" s="1708" t="inlineStr">
        <is>
          <t>保健_附属明細表 O115</t>
        </is>
      </c>
      <c r="I755" s="1708" t="inlineStr">
        <is>
          <t>保健_財務諸表</t>
        </is>
      </c>
    </row>
    <row r="756" spans="1:9" ht="19.95" customHeight="1">
      <c r="A756" s="1752" t="s">
        <v>13</v>
      </c>
      <c r="B756" s="1708" t="s">
        <v>1475</v>
      </c>
      <c r="C756" s="1753" t="str">
        <f>HYPERLINK("#'保健_附属明細表'!D111","D111")</f>
        <v>D111</v>
      </c>
      <c r="D756" s="1708" t="s">
        <v>2082</v>
      </c>
      <c r="E756" s="1754">
        <f>IF(保健_附属明細表!D111="","",保健_附属明細表!D111)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HYPERLINK("#'保健_附属明細表'!F111","F111")</f>
        <v>F111</v>
      </c>
      <c r="D757" s="1711" t="s">
        <v>2083</v>
      </c>
      <c r="E757" s="1757">
        <f>IF(保健_附属明細表!F111="","",保健_附属明細表!F111)</f>
        <v>161298</v>
      </c>
      <c r="F757" s="1711" t="s">
        <v>1905</v>
      </c>
      <c r="G757" s="1709" t="str">
        <f t="shared" si="11"/>
        <v>入力済</v>
      </c>
      <c r="H757" s="1708" t="inlineStr">
        <is>
          <t>保健_附属明細表 F115,R111</t>
        </is>
      </c>
      <c r="I757" s="1708" t="inlineStr">
        <is>
          <t>同じシート内のみ</t>
        </is>
      </c>
    </row>
    <row r="758" spans="1:9" ht="19.95" customHeight="1">
      <c r="A758" s="1752" t="s">
        <v>13</v>
      </c>
      <c r="B758" s="1708" t="s">
        <v>1475</v>
      </c>
      <c r="C758" s="1753" t="str">
        <f>HYPERLINK("#'保健_附属明細表'!I111","I111")</f>
        <v>I111</v>
      </c>
      <c r="D758" s="1708" t="s">
        <v>2084</v>
      </c>
      <c r="E758" s="1754">
        <f>IF(保健_附属明細表!I111="","",保健_附属明細表!I111)</f>
        <v>0</v>
      </c>
      <c r="F758" s="1708" t="s">
        <v>1905</v>
      </c>
      <c r="G758" s="1709" t="str">
        <f t="shared" si="11"/>
        <v>0（確認）</v>
      </c>
      <c r="H758" s="1708" t="inlineStr">
        <is>
          <t>保健_附属明細表 I115</t>
        </is>
      </c>
      <c r="I758" s="1708" t="inlineStr">
        <is>
          <t>報告_保健P20-22、保健_財務諸表、保健_決算精算表</t>
        </is>
      </c>
    </row>
    <row r="759" spans="1:9" ht="19.95" customHeight="1">
      <c r="A759" s="1755" t="s">
        <v>13</v>
      </c>
      <c r="B759" s="1711" t="s">
        <v>1475</v>
      </c>
      <c r="C759" s="1756" t="str">
        <f>HYPERLINK("#'保健_附属明細表'!L111","L111")</f>
        <v>L111</v>
      </c>
      <c r="D759" s="1711" t="s">
        <v>2085</v>
      </c>
      <c r="E759" s="1757">
        <f>IF(保健_附属明細表!L111="","",保健_附属明細表!L111)</f>
        <v>161297</v>
      </c>
      <c r="F759" s="1711" t="s">
        <v>1905</v>
      </c>
      <c r="G759" s="1709" t="str">
        <f t="shared" si="11"/>
        <v>入力済</v>
      </c>
      <c r="H759" s="1708" t="inlineStr">
        <is>
          <t>保健_附属明細表 L115,R111</t>
        </is>
      </c>
      <c r="I759" s="1708" t="inlineStr">
        <is>
          <t>同じシート内のみ</t>
        </is>
      </c>
    </row>
    <row r="760" spans="1:9" ht="19.95" customHeight="1">
      <c r="A760" s="1752" t="s">
        <v>13</v>
      </c>
      <c r="B760" s="1708" t="s">
        <v>1475</v>
      </c>
      <c r="C760" s="1753" t="str">
        <f>HYPERLINK("#'保健_附属明細表'!O111","O111")</f>
        <v>O111</v>
      </c>
      <c r="D760" s="1708" t="s">
        <v>2086</v>
      </c>
      <c r="E760" s="1754">
        <f>IF(保健_附属明細表!O111="","",保健_附属明細表!O111)</f>
        <v>0</v>
      </c>
      <c r="F760" s="1708" t="s">
        <v>1905</v>
      </c>
      <c r="G760" s="1709" t="str">
        <f t="shared" si="11"/>
        <v>0（確認）</v>
      </c>
      <c r="H760" s="1708" t="inlineStr">
        <is>
          <t>保健_附属明細表 O115</t>
        </is>
      </c>
      <c r="I760" s="1708" t="inlineStr">
        <is>
          <t>保健_財務諸表</t>
        </is>
      </c>
    </row>
    <row r="761" spans="1:9" ht="19.95" customHeight="1">
      <c r="A761" s="1755" t="s">
        <v>13</v>
      </c>
      <c r="B761" s="1711" t="s">
        <v>1475</v>
      </c>
      <c r="C761" s="1756" t="str">
        <f>HYPERLINK("#'保健_附属明細表'!D112","D112")</f>
        <v>D112</v>
      </c>
      <c r="D761" s="1711" t="s">
        <v>2087</v>
      </c>
      <c r="E761" s="1757">
        <f>IF(保健_附属明細表!D112="","",保健_附属明細表!D112)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HYPERLINK("#'保健_附属明細表'!F112","F112")</f>
        <v>F112</v>
      </c>
      <c r="D762" s="1708" t="s">
        <v>2088</v>
      </c>
      <c r="E762" s="1754">
        <f>IF(保健_附属明細表!F112="","",保健_附属明細表!F112)</f>
        <v>115500</v>
      </c>
      <c r="F762" s="1708" t="s">
        <v>1905</v>
      </c>
      <c r="G762" s="1709" t="str">
        <f t="shared" si="11"/>
        <v>入力済</v>
      </c>
      <c r="H762" s="1708" t="inlineStr">
        <is>
          <t>保健_附属明細表 F115,R112</t>
        </is>
      </c>
      <c r="I762" s="1708" t="inlineStr">
        <is>
          <t>同じシート内のみ</t>
        </is>
      </c>
    </row>
    <row r="763" spans="1:9" ht="19.95" customHeight="1">
      <c r="A763" s="1755" t="s">
        <v>13</v>
      </c>
      <c r="B763" s="1711" t="s">
        <v>1475</v>
      </c>
      <c r="C763" s="1756" t="str">
        <f>HYPERLINK("#'保健_附属明細表'!I112","I112")</f>
        <v>I112</v>
      </c>
      <c r="D763" s="1711" t="s">
        <v>2089</v>
      </c>
      <c r="E763" s="1757">
        <f>IF(保健_附属明細表!I112="","",保健_附属明細表!I112)</f>
        <v>0</v>
      </c>
      <c r="F763" s="1711" t="s">
        <v>1905</v>
      </c>
      <c r="G763" s="1709" t="str">
        <f t="shared" si="11"/>
        <v>0（確認）</v>
      </c>
      <c r="H763" s="1708" t="inlineStr">
        <is>
          <t>保健_附属明細表 I115</t>
        </is>
      </c>
      <c r="I763" s="1708" t="inlineStr">
        <is>
          <t>報告_保健P20-22、保健_財務諸表、保健_決算精算表</t>
        </is>
      </c>
    </row>
    <row r="764" spans="1:9" ht="19.95" customHeight="1">
      <c r="A764" s="1752" t="s">
        <v>13</v>
      </c>
      <c r="B764" s="1708" t="s">
        <v>1475</v>
      </c>
      <c r="C764" s="1753" t="str">
        <f>HYPERLINK("#'保健_附属明細表'!L112","L112")</f>
        <v>L112</v>
      </c>
      <c r="D764" s="1708" t="s">
        <v>2090</v>
      </c>
      <c r="E764" s="1754">
        <f>IF(保健_附属明細表!L112="","",保健_附属明細表!L112)</f>
        <v>115499</v>
      </c>
      <c r="F764" s="1708" t="s">
        <v>1905</v>
      </c>
      <c r="G764" s="1709" t="str">
        <f t="shared" si="11"/>
        <v>入力済</v>
      </c>
      <c r="H764" s="1708" t="inlineStr">
        <is>
          <t>保健_附属明細表 L115,R112</t>
        </is>
      </c>
      <c r="I764" s="1708" t="inlineStr">
        <is>
          <t>同じシート内のみ</t>
        </is>
      </c>
    </row>
    <row r="765" spans="1:9" ht="19.95" customHeight="1">
      <c r="A765" s="1755" t="s">
        <v>13</v>
      </c>
      <c r="B765" s="1711" t="s">
        <v>1475</v>
      </c>
      <c r="C765" s="1756" t="str">
        <f>HYPERLINK("#'保健_附属明細表'!O112","O112")</f>
        <v>O112</v>
      </c>
      <c r="D765" s="1711" t="s">
        <v>2091</v>
      </c>
      <c r="E765" s="1757">
        <f>IF(保健_附属明細表!O112="","",保健_附属明細表!O112)</f>
        <v>0</v>
      </c>
      <c r="F765" s="1711" t="s">
        <v>1905</v>
      </c>
      <c r="G765" s="1709" t="str">
        <f t="shared" si="11"/>
        <v>0（確認）</v>
      </c>
      <c r="H765" s="1708" t="inlineStr">
        <is>
          <t>保健_附属明細表 O115</t>
        </is>
      </c>
      <c r="I765" s="1708" t="inlineStr">
        <is>
          <t>保健_財務諸表</t>
        </is>
      </c>
    </row>
    <row r="766" spans="1:9" ht="19.95" customHeight="1">
      <c r="A766" s="1752" t="s">
        <v>13</v>
      </c>
      <c r="B766" s="1708" t="s">
        <v>1475</v>
      </c>
      <c r="C766" s="1753" t="str">
        <f>HYPERLINK("#'保健_附属明細表'!D113","D113")</f>
        <v>D113</v>
      </c>
      <c r="D766" s="1708" t="s">
        <v>2092</v>
      </c>
      <c r="E766" s="1754">
        <f>IF(保健_附属明細表!D113="","",保健_附属明細表!D113)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HYPERLINK("#'保健_附属明細表'!F113","F113")</f>
        <v>F113</v>
      </c>
      <c r="D767" s="1711" t="s">
        <v>2093</v>
      </c>
      <c r="E767" s="1757">
        <f>IF(保健_附属明細表!F113="","",保健_附属明細表!F113)</f>
        <v>112350</v>
      </c>
      <c r="F767" s="1711" t="s">
        <v>1905</v>
      </c>
      <c r="G767" s="1709" t="str">
        <f t="shared" si="11"/>
        <v>入力済</v>
      </c>
      <c r="H767" s="1708" t="inlineStr">
        <is>
          <t>保健_附属明細表 F115,R113</t>
        </is>
      </c>
      <c r="I767" s="1708" t="inlineStr">
        <is>
          <t>同じシート内のみ</t>
        </is>
      </c>
    </row>
    <row r="768" spans="1:9" ht="19.95" customHeight="1">
      <c r="A768" s="1752" t="s">
        <v>13</v>
      </c>
      <c r="B768" s="1708" t="s">
        <v>1475</v>
      </c>
      <c r="C768" s="1753" t="str">
        <f>HYPERLINK("#'保健_附属明細表'!I113","I113")</f>
        <v>I113</v>
      </c>
      <c r="D768" s="1708" t="s">
        <v>2094</v>
      </c>
      <c r="E768" s="1754">
        <f>IF(保健_附属明細表!I113="","",保健_附属明細表!I113)</f>
        <v>0</v>
      </c>
      <c r="F768" s="1708" t="s">
        <v>1905</v>
      </c>
      <c r="G768" s="1709" t="str">
        <f t="shared" si="11"/>
        <v>0（確認）</v>
      </c>
      <c r="H768" s="1708" t="inlineStr">
        <is>
          <t>保健_附属明細表 I115</t>
        </is>
      </c>
      <c r="I768" s="1708" t="inlineStr">
        <is>
          <t>報告_保健P20-22、保健_財務諸表、保健_決算精算表</t>
        </is>
      </c>
    </row>
    <row r="769" spans="1:9" ht="19.95" customHeight="1">
      <c r="A769" s="1755" t="s">
        <v>13</v>
      </c>
      <c r="B769" s="1711" t="s">
        <v>1475</v>
      </c>
      <c r="C769" s="1756" t="str">
        <f>HYPERLINK("#'保健_附属明細表'!L113","L113")</f>
        <v>L113</v>
      </c>
      <c r="D769" s="1711" t="s">
        <v>2095</v>
      </c>
      <c r="E769" s="1757">
        <f>IF(保健_附属明細表!L113="","",保健_附属明細表!L113)</f>
        <v>112349</v>
      </c>
      <c r="F769" s="1711" t="s">
        <v>1905</v>
      </c>
      <c r="G769" s="1709" t="str">
        <f t="shared" si="11"/>
        <v>入力済</v>
      </c>
      <c r="H769" s="1708" t="inlineStr">
        <is>
          <t>保健_附属明細表 L115,R113</t>
        </is>
      </c>
      <c r="I769" s="1708" t="inlineStr">
        <is>
          <t>同じシート内のみ</t>
        </is>
      </c>
    </row>
    <row r="770" spans="1:9" ht="19.95" customHeight="1">
      <c r="A770" s="1752" t="s">
        <v>13</v>
      </c>
      <c r="B770" s="1708" t="s">
        <v>1475</v>
      </c>
      <c r="C770" s="1753" t="str">
        <f>HYPERLINK("#'保健_附属明細表'!O113","O113")</f>
        <v>O113</v>
      </c>
      <c r="D770" s="1708" t="s">
        <v>2096</v>
      </c>
      <c r="E770" s="1754">
        <f>IF(保健_附属明細表!O113="","",保健_附属明細表!O113)</f>
        <v>0</v>
      </c>
      <c r="F770" s="1708" t="s">
        <v>1905</v>
      </c>
      <c r="G770" s="1709" t="str">
        <f t="shared" si="11"/>
        <v>0（確認）</v>
      </c>
      <c r="H770" s="1708" t="inlineStr">
        <is>
          <t>保健_附属明細表 O115</t>
        </is>
      </c>
      <c r="I770" s="1708" t="inlineStr">
        <is>
          <t>保健_財務諸表</t>
        </is>
      </c>
    </row>
    <row r="771" spans="1:9" ht="19.95" customHeight="1">
      <c r="A771" s="1755" t="s">
        <v>13</v>
      </c>
      <c r="B771" s="1711" t="s">
        <v>1475</v>
      </c>
      <c r="C771" s="1756" t="str">
        <f>HYPERLINK("#'保健_附属明細表'!D114","D114")</f>
        <v>D114</v>
      </c>
      <c r="D771" s="1711" t="s">
        <v>2097</v>
      </c>
      <c r="E771" s="1757">
        <f>IF(保健_附属明細表!D114="","",保健_附属明細表!D114)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HYPERLINK("#'保健_附属明細表'!F114","F114")</f>
        <v>F114</v>
      </c>
      <c r="D772" s="1708" t="s">
        <v>2098</v>
      </c>
      <c r="E772" s="1754">
        <f>IF(保健_附属明細表!F114="","",保健_附属明細表!F114)</f>
        <v>110250</v>
      </c>
      <c r="F772" s="1708" t="s">
        <v>1905</v>
      </c>
      <c r="G772" s="1709" t="str">
        <f t="shared" si="11"/>
        <v>入力済</v>
      </c>
      <c r="H772" s="1708" t="inlineStr">
        <is>
          <t>保健_附属明細表 F115,R114</t>
        </is>
      </c>
      <c r="I772" s="1708" t="inlineStr">
        <is>
          <t>同じシート内のみ</t>
        </is>
      </c>
    </row>
    <row r="773" spans="1:9" ht="19.95" customHeight="1">
      <c r="A773" s="1755" t="s">
        <v>13</v>
      </c>
      <c r="B773" s="1711" t="s">
        <v>1475</v>
      </c>
      <c r="C773" s="1756" t="str">
        <f>HYPERLINK("#'保健_附属明細表'!I114","I114")</f>
        <v>I114</v>
      </c>
      <c r="D773" s="1711" t="s">
        <v>2099</v>
      </c>
      <c r="E773" s="1757">
        <f>IF(保健_附属明細表!I114="","",保健_附属明細表!I114)</f>
        <v>0</v>
      </c>
      <c r="F773" s="1711" t="s">
        <v>1905</v>
      </c>
      <c r="G773" s="1709" t="str">
        <f t="shared" si="11"/>
        <v>0（確認）</v>
      </c>
      <c r="H773" s="1708" t="inlineStr">
        <is>
          <t>保健_附属明細表 I115</t>
        </is>
      </c>
      <c r="I773" s="1708" t="inlineStr">
        <is>
          <t>報告_保健P20-22、保健_財務諸表、保健_決算精算表</t>
        </is>
      </c>
    </row>
    <row r="774" spans="1:9" ht="19.95" customHeight="1">
      <c r="A774" s="1752" t="s">
        <v>13</v>
      </c>
      <c r="B774" s="1708" t="s">
        <v>1475</v>
      </c>
      <c r="C774" s="1753" t="str">
        <f>HYPERLINK("#'保健_附属明細表'!L114","L114")</f>
        <v>L114</v>
      </c>
      <c r="D774" s="1708" t="s">
        <v>2100</v>
      </c>
      <c r="E774" s="1754">
        <f>IF(保健_附属明細表!L114="","",保健_附属明細表!L114)</f>
        <v>110249</v>
      </c>
      <c r="F774" s="1708" t="s">
        <v>1905</v>
      </c>
      <c r="G774" s="1709" t="str">
        <f t="shared" ref="G774:G842" si="12">IF(E774="","未入力（空欄）",IF(E774=0,"0（確認）","入力済"))</f>
        <v>入力済</v>
      </c>
      <c r="H774" s="1708" t="inlineStr">
        <is>
          <t>保健_附属明細表 L115,R114</t>
        </is>
      </c>
      <c r="I774" s="1708" t="inlineStr">
        <is>
          <t>同じシート内のみ</t>
        </is>
      </c>
    </row>
    <row r="775" spans="1:9" ht="19.95" customHeight="1">
      <c r="A775" s="1755" t="s">
        <v>13</v>
      </c>
      <c r="B775" s="1711" t="s">
        <v>1475</v>
      </c>
      <c r="C775" s="1756" t="str">
        <f>HYPERLINK("#'保健_附属明細表'!O114","O114")</f>
        <v>O114</v>
      </c>
      <c r="D775" s="1711" t="s">
        <v>2101</v>
      </c>
      <c r="E775" s="1757">
        <f>IF(保健_附属明細表!O114="","",保健_附属明細表!O114)</f>
        <v>0</v>
      </c>
      <c r="F775" s="1711" t="s">
        <v>1905</v>
      </c>
      <c r="G775" s="1709" t="str">
        <f t="shared" si="12"/>
        <v>0（確認）</v>
      </c>
      <c r="H775" s="1708" t="inlineStr">
        <is>
          <t>保健_附属明細表 O115</t>
        </is>
      </c>
      <c r="I775" s="1708" t="inlineStr">
        <is>
          <t>保健_財務諸表</t>
        </is>
      </c>
    </row>
    <row r="776" spans="1:9" ht="19.95" customHeight="1">
      <c r="A776" s="1752" t="s">
        <v>13</v>
      </c>
      <c r="B776" s="1708" t="s">
        <v>1475</v>
      </c>
      <c r="C776" s="1753" t="str">
        <f>HYPERLINK("#'保健_附属明細表'!E122","E122")</f>
        <v>E122</v>
      </c>
      <c r="D776" s="1708" t="s">
        <v>2102</v>
      </c>
      <c r="E776" s="1754">
        <f>IF(保健_附属明細表!E122="","",保健_附属明細表!E122)</f>
        <v>0</v>
      </c>
      <c r="F776" s="1708" t="s">
        <v>1905</v>
      </c>
      <c r="G776" s="1709" t="str">
        <f t="shared" si="12"/>
        <v>0（確認）</v>
      </c>
      <c r="H776" s="1708" t="inlineStr">
        <is>
          <t>保健_附属明細表 E123,Q122</t>
        </is>
      </c>
      <c r="I776" s="1708" t="inlineStr">
        <is>
          <t>保健_財務諸表</t>
        </is>
      </c>
    </row>
    <row r="777" spans="1:9" ht="19.95" customHeight="1">
      <c r="A777" s="1755" t="s">
        <v>13</v>
      </c>
      <c r="B777" s="1711" t="s">
        <v>1475</v>
      </c>
      <c r="C777" s="1756" t="str">
        <f>HYPERLINK("#'保健_附属明細表'!I122","I122")</f>
        <v>I122</v>
      </c>
      <c r="D777" s="1711" t="s">
        <v>2103</v>
      </c>
      <c r="E777" s="1757">
        <f>IF(保健_附属明細表!I122="","",保健_附属明細表!I122)</f>
        <v>0</v>
      </c>
      <c r="F777" s="1711" t="s">
        <v>1905</v>
      </c>
      <c r="G777" s="1709" t="str">
        <f t="shared" si="12"/>
        <v>0（確認）</v>
      </c>
      <c r="H777" s="1708" t="inlineStr">
        <is>
          <t>保健_附属明細表 I123,Q122</t>
        </is>
      </c>
      <c r="I777" s="1708" t="inlineStr">
        <is>
          <t>保健_財務諸表</t>
        </is>
      </c>
    </row>
    <row r="778" spans="1:9" ht="19.95" customHeight="1">
      <c r="A778" s="1752" t="s">
        <v>13</v>
      </c>
      <c r="B778" s="1708" t="s">
        <v>1475</v>
      </c>
      <c r="C778" s="1753" t="str">
        <f>HYPERLINK("#'保健_附属明細表'!M122","M122")</f>
        <v>M122</v>
      </c>
      <c r="D778" s="1708" t="s">
        <v>2104</v>
      </c>
      <c r="E778" s="1754">
        <f>IF(保健_附属明細表!M122="","",保健_附属明細表!M122)</f>
        <v>0</v>
      </c>
      <c r="F778" s="1708" t="s">
        <v>1905</v>
      </c>
      <c r="G778" s="1709" t="str">
        <f t="shared" si="12"/>
        <v>0（確認）</v>
      </c>
      <c r="H778" s="1708" t="inlineStr">
        <is>
          <t>保健_附属明細表 M123,Q122</t>
        </is>
      </c>
      <c r="I778" s="1708" t="inlineStr">
        <is>
          <t>保健_財務諸表</t>
        </is>
      </c>
    </row>
    <row r="779" spans="1:9" ht="19.95" customHeight="1">
      <c r="A779" s="1755" t="s">
        <v>13</v>
      </c>
      <c r="B779" s="1711" t="s">
        <v>1475</v>
      </c>
      <c r="C779" s="1756" t="str">
        <f>HYPERLINK("#'保健_附属明細表'!J137","J137")</f>
        <v>J137</v>
      </c>
      <c r="D779" s="1711" t="s">
        <v>2105</v>
      </c>
      <c r="E779" s="1757">
        <f>IF(保健_附属明細表!J137="","",保健_附属明細表!J137)</f>
        <v>0</v>
      </c>
      <c r="F779" s="1711" t="s">
        <v>1905</v>
      </c>
      <c r="G779" s="1709" t="str">
        <f t="shared" si="12"/>
        <v>0（確認）</v>
      </c>
      <c r="H779" s="1708" t="inlineStr">
        <is>
          <t>保健_附属明細表 J139,T137</t>
        </is>
      </c>
      <c r="I779" s="1708" t="inlineStr">
        <is>
          <t>同じシート内のみ</t>
        </is>
      </c>
    </row>
    <row r="780" spans="1:9" ht="19.95" customHeight="1">
      <c r="A780" s="1752" t="s">
        <v>13</v>
      </c>
      <c r="B780" s="1708" t="s">
        <v>1475</v>
      </c>
      <c r="C780" s="1753" t="str">
        <f>HYPERLINK("#'保健_附属明細表'!O137","O137")</f>
        <v>O137</v>
      </c>
      <c r="D780" s="1708" t="s">
        <v>2106</v>
      </c>
      <c r="E780" s="1754">
        <f>IF(保健_附属明細表!O137="","",保健_附属明細表!O137)</f>
        <v>0</v>
      </c>
      <c r="F780" s="1708" t="s">
        <v>1905</v>
      </c>
      <c r="G780" s="1709" t="str">
        <f t="shared" si="12"/>
        <v>0（確認）</v>
      </c>
      <c r="H780" s="1708" t="inlineStr">
        <is>
          <t>保健_附属明細表 O139,T137</t>
        </is>
      </c>
      <c r="I780" s="1708" t="inlineStr">
        <is>
          <t>同じシート内のみ</t>
        </is>
      </c>
    </row>
    <row r="781" spans="1:9" ht="19.95" customHeight="1">
      <c r="A781" s="1755" t="s">
        <v>13</v>
      </c>
      <c r="B781" s="1711" t="s">
        <v>1475</v>
      </c>
      <c r="C781" s="1756" t="str">
        <f>HYPERLINK("#'保健_附属明細表'!I145","I145")</f>
        <v>I145</v>
      </c>
      <c r="D781" s="1711" t="s">
        <v>2107</v>
      </c>
      <c r="E781" s="1757">
        <f>IF(保健_附属明細表!I145="","",保健_附属明細表!I145)</f>
        <v>0</v>
      </c>
      <c r="F781" s="1711" t="s">
        <v>1905</v>
      </c>
      <c r="G781" s="1709" t="str">
        <f t="shared" si="12"/>
        <v>0（確認）</v>
      </c>
      <c r="H781" s="1708" t="inlineStr">
        <is>
          <t>保健_附属明細表 I148,Q145</t>
        </is>
      </c>
      <c r="I781" s="1708" t="inlineStr">
        <is>
          <t>保健_財務諸表、保健_決算精算表</t>
        </is>
      </c>
    </row>
    <row r="782" spans="1:9" ht="19.95" customHeight="1">
      <c r="A782" s="1752" t="s">
        <v>13</v>
      </c>
      <c r="B782" s="1708" t="s">
        <v>1475</v>
      </c>
      <c r="C782" s="1753" t="str">
        <f>HYPERLINK("#'保健_附属明細表'!I146","I146")</f>
        <v>I146</v>
      </c>
      <c r="D782" s="1708" t="s">
        <v>1926</v>
      </c>
      <c r="E782" s="1754">
        <f>IF(保健_附属明細表!I146="","",保健_附属明細表!I146)</f>
        <v>0</v>
      </c>
      <c r="F782" s="1708" t="s">
        <v>1905</v>
      </c>
      <c r="G782" s="1709" t="str">
        <f t="shared" si="12"/>
        <v>0（確認）</v>
      </c>
      <c r="H782" s="1708" t="inlineStr">
        <is>
          <t>保健_附属明細表 I148,Q146</t>
        </is>
      </c>
      <c r="I782" s="1708" t="inlineStr">
        <is>
          <t>保健_財務諸表、保健_決算精算表</t>
        </is>
      </c>
    </row>
    <row r="783" spans="1:9" ht="19.95" customHeight="1">
      <c r="A783" s="1755" t="s">
        <v>13</v>
      </c>
      <c r="B783" s="1711" t="s">
        <v>1475</v>
      </c>
      <c r="C783" s="1756" t="str">
        <f>HYPERLINK("#'保健_附属明細表'!E155","E155")</f>
        <v>E155</v>
      </c>
      <c r="D783" s="1711" t="s">
        <v>2108</v>
      </c>
      <c r="E783" s="1757">
        <f>IF(保健_附属明細表!E155="","",保健_附属明細表!E155)</f>
        <v>0</v>
      </c>
      <c r="F783" s="1711" t="s">
        <v>1905</v>
      </c>
      <c r="G783" s="1709" t="str">
        <f t="shared" si="12"/>
        <v>0（確認）</v>
      </c>
      <c r="H783" s="1708" t="inlineStr">
        <is>
          <t>保健_附属明細表 E156,Q155</t>
        </is>
      </c>
      <c r="I783" s="1708" t="inlineStr">
        <is>
          <t>同じシート内のみ</t>
        </is>
      </c>
    </row>
    <row r="784" spans="1:9" ht="19.95" customHeight="1">
      <c r="A784" s="1752" t="s">
        <v>13</v>
      </c>
      <c r="B784" s="1708" t="s">
        <v>1475</v>
      </c>
      <c r="C784" s="1753" t="str">
        <f>HYPERLINK("#'保健_附属明細表'!I155","I155")</f>
        <v>I155</v>
      </c>
      <c r="D784" s="1708" t="s">
        <v>2109</v>
      </c>
      <c r="E784" s="1754">
        <f>IF(保健_附属明細表!I155="","",保健_附属明細表!I155)</f>
        <v>0</v>
      </c>
      <c r="F784" s="1708" t="s">
        <v>1905</v>
      </c>
      <c r="G784" s="1709" t="str">
        <f t="shared" si="12"/>
        <v>0（確認）</v>
      </c>
      <c r="H784" s="1708" t="inlineStr">
        <is>
          <t>保健_附属明細表 I156,Q155</t>
        </is>
      </c>
      <c r="I784" s="1708" t="inlineStr">
        <is>
          <t>同じシート内のみ</t>
        </is>
      </c>
    </row>
    <row r="785" spans="1:9" ht="19.95" customHeight="1">
      <c r="A785" s="1755" t="s">
        <v>13</v>
      </c>
      <c r="B785" s="1711" t="s">
        <v>1475</v>
      </c>
      <c r="C785" s="1756" t="str">
        <f>HYPERLINK("#'保健_附属明細表'!M155","M155")</f>
        <v>M155</v>
      </c>
      <c r="D785" s="1711" t="s">
        <v>2110</v>
      </c>
      <c r="E785" s="1757">
        <f>IF(保健_附属明細表!M155="","",保健_附属明細表!M155)</f>
        <v>0</v>
      </c>
      <c r="F785" s="1711" t="s">
        <v>1905</v>
      </c>
      <c r="G785" s="1709" t="str">
        <f t="shared" si="12"/>
        <v>0（確認）</v>
      </c>
      <c r="H785" s="1708" t="inlineStr">
        <is>
          <t>保健_附属明細表 M156,Q155</t>
        </is>
      </c>
      <c r="I785" s="1708" t="inlineStr">
        <is>
          <t>同じシート内のみ</t>
        </is>
      </c>
    </row>
    <row r="786" spans="1:9" ht="19.95" customHeight="1">
      <c r="A786" s="1752" t="s">
        <v>13</v>
      </c>
      <c r="B786" s="1708" t="s">
        <v>1475</v>
      </c>
      <c r="C786" s="1753" t="str">
        <f>HYPERLINK("#'保健_附属明細表'!P164","P164")</f>
        <v>P164</v>
      </c>
      <c r="D786" s="1708" t="s">
        <v>2111</v>
      </c>
      <c r="E786" s="1754">
        <f>IF(保健_附属明細表!P164="","",保健_附属明細表!P164)</f>
        <v>0</v>
      </c>
      <c r="F786" s="1708" t="s">
        <v>1905</v>
      </c>
      <c r="G786" s="1709" t="str">
        <f t="shared" si="12"/>
        <v>0（確認）</v>
      </c>
      <c r="H786" s="1708" t="inlineStr">
        <is>
          <t>保健_附属明細表 Q167</t>
        </is>
      </c>
      <c r="I786" s="1708" t="inlineStr">
        <is>
          <t>同じシート内のみ</t>
        </is>
      </c>
    </row>
    <row r="787" spans="1:9" ht="19.95" customHeight="1">
      <c r="A787" s="1755" t="s">
        <v>13</v>
      </c>
      <c r="B787" s="1711" t="s">
        <v>1475</v>
      </c>
      <c r="C787" s="1756" t="str">
        <f>HYPERLINK("#'保健_附属明細表'!R165","R165")</f>
        <v>R165</v>
      </c>
      <c r="D787" s="1711" t="s">
        <v>2112</v>
      </c>
      <c r="E787" s="1757">
        <f>IF(保健_附属明細表!R165="","",保健_附属明細表!R165)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HYPERLINK("#'保健_附属明細表'!R166","R166")</f>
        <v>R166</v>
      </c>
      <c r="D788" s="1708" t="s">
        <v>2113</v>
      </c>
      <c r="E788" s="1754">
        <f>IF(保健_附属明細表!R166="","",保健_附属明細表!R166)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HYPERLINK("#'保健_決算精算表'!C27","C27")</f>
        <v>C27</v>
      </c>
      <c r="D789" s="1711" t="s">
        <v>2014</v>
      </c>
      <c r="E789" s="1757">
        <f>IF(保健_決算精算表!C27="","",保健_決算精算表!C27)</f>
        <v>6510030</v>
      </c>
      <c r="F789" s="1711" t="s">
        <v>1929</v>
      </c>
      <c r="G789" s="1709" t="str">
        <f t="shared" si="12"/>
        <v>入力済</v>
      </c>
      <c r="H789" s="1708" t="inlineStr">
        <is>
          <t>保健_附属明細表 J136、保健_決算精算表 A27,C53</t>
        </is>
      </c>
      <c r="I789" s="1708" t="inlineStr">
        <is>
          <t>報告_保健P20-22、保健_財務諸表、保健_附属明細表</t>
        </is>
      </c>
    </row>
    <row r="790" spans="1:9" ht="19.95" customHeight="1">
      <c r="A790" s="1752" t="s">
        <v>13</v>
      </c>
      <c r="B790" s="1708" t="s">
        <v>2114</v>
      </c>
      <c r="C790" s="1753" t="str">
        <f>HYPERLINK("#'保健_決算精算表'!C28","C28")</f>
        <v>C28</v>
      </c>
      <c r="D790" s="1708" t="s">
        <v>2015</v>
      </c>
      <c r="E790" s="1754">
        <f>IF(保健_決算精算表!C28="","",保健_決算精算表!C28)</f>
        <v>403592377</v>
      </c>
      <c r="F790" s="1708" t="s">
        <v>1929</v>
      </c>
      <c r="G790" s="1709" t="str">
        <f t="shared" si="12"/>
        <v>入力済</v>
      </c>
      <c r="H790" s="1708" t="inlineStr">
        <is>
          <t>保健_決算精算表 A28,C53</t>
        </is>
      </c>
      <c r="I790" s="1708" t="inlineStr">
        <is>
          <t>報告_保健P20-22、保健_財務諸表、保健_附属明細表</t>
        </is>
      </c>
    </row>
    <row r="791" spans="1:9" ht="19.95" customHeight="1">
      <c r="A791" s="1755" t="s">
        <v>13</v>
      </c>
      <c r="B791" s="1711" t="s">
        <v>2114</v>
      </c>
      <c r="C791" s="1756" t="str">
        <f>HYPERLINK("#'保健_決算精算表'!C29","C29")</f>
        <v>C29</v>
      </c>
      <c r="D791" s="1711" t="s">
        <v>2115</v>
      </c>
      <c r="E791" s="1757">
        <f>IF(保健_決算精算表!C29="","",保健_決算精算表!C29)</f>
        <v>16458962</v>
      </c>
      <c r="F791" s="1711" t="s">
        <v>1929</v>
      </c>
      <c r="G791" s="1709" t="str">
        <f t="shared" si="12"/>
        <v>入力済</v>
      </c>
      <c r="H791" s="1708" t="inlineStr">
        <is>
          <t>保健_決算精算表 A29,C53</t>
        </is>
      </c>
      <c r="I791" s="1708" t="inlineStr">
        <is>
          <t>報告_保健P20-22、保健_財務諸表、保健_附属明細表</t>
        </is>
      </c>
    </row>
    <row r="792" spans="1:9" ht="19.95" customHeight="1">
      <c r="A792" s="1752" t="s">
        <v>13</v>
      </c>
      <c r="B792" s="1708" t="s">
        <v>2114</v>
      </c>
      <c r="C792" s="1753" t="str">
        <f>HYPERLINK("#'保健_決算精算表'!C30","C30")</f>
        <v>C30</v>
      </c>
      <c r="D792" s="1708" t="s">
        <v>2017</v>
      </c>
      <c r="E792" s="1754">
        <f>IF(保健_決算精算表!C30="","",保健_決算精算表!C30)</f>
        <v>513236</v>
      </c>
      <c r="F792" s="1708" t="s">
        <v>1929</v>
      </c>
      <c r="G792" s="1709" t="str">
        <f t="shared" si="12"/>
        <v>入力済</v>
      </c>
      <c r="H792" s="1708" t="inlineStr">
        <is>
          <t>保健_附属明細表 J138、保健_決算精算表 A30,C53</t>
        </is>
      </c>
      <c r="I792" s="1708" t="inlineStr">
        <is>
          <t>報告_保健P20-22、保健_財務諸表、保健_附属明細表</t>
        </is>
      </c>
    </row>
    <row r="793" spans="1:9" ht="19.95" customHeight="1">
      <c r="A793" s="1755" t="s">
        <v>13</v>
      </c>
      <c r="B793" s="1711" t="s">
        <v>2114</v>
      </c>
      <c r="C793" s="1756" t="str">
        <f>HYPERLINK("#'保健_決算精算表'!C31","C31")</f>
        <v>C31</v>
      </c>
      <c r="D793" s="1711" t="s">
        <v>2116</v>
      </c>
      <c r="E793" s="1757">
        <f>IF(保健_決算精算表!C31="","",保健_決算精算表!C31)</f>
        <v>170673</v>
      </c>
      <c r="F793" s="1711" t="s">
        <v>1929</v>
      </c>
      <c r="G793" s="1709" t="str">
        <f t="shared" si="12"/>
        <v>入力済</v>
      </c>
      <c r="H793" s="1708" t="inlineStr">
        <is>
          <t>保健_決算精算表 A31,C53</t>
        </is>
      </c>
      <c r="I793" s="1708" t="inlineStr">
        <is>
          <t>報告_保健P20-22、保健_財務諸表、保健_附属明細表</t>
        </is>
      </c>
    </row>
    <row r="794" spans="1:9" ht="19.95" customHeight="1">
      <c r="A794" s="1752" t="s">
        <v>13</v>
      </c>
      <c r="B794" s="1708" t="s">
        <v>2114</v>
      </c>
      <c r="C794" s="1753" t="str">
        <f>HYPERLINK("#'保健_決算精算表'!C33","C33")</f>
        <v>C33</v>
      </c>
      <c r="D794" s="1708" t="s">
        <v>2019</v>
      </c>
      <c r="E794" s="1754">
        <f>IF(保健_決算精算表!C33="","",保健_決算精算表!C33)</f>
        <v>4282616</v>
      </c>
      <c r="F794" s="1708" t="s">
        <v>1929</v>
      </c>
      <c r="G794" s="1709" t="str">
        <f t="shared" si="12"/>
        <v>入力済</v>
      </c>
      <c r="H794" s="1708" t="inlineStr">
        <is>
          <t>保健_決算精算表 A33,C53</t>
        </is>
      </c>
      <c r="I794" s="1708" t="inlineStr">
        <is>
          <t>報告_保健P20-22、保健_財務諸表、保健_附属明細表</t>
        </is>
      </c>
    </row>
    <row r="795" spans="1:9" ht="19.95" customHeight="1">
      <c r="A795" s="1755" t="s">
        <v>13</v>
      </c>
      <c r="B795" s="1711" t="s">
        <v>2114</v>
      </c>
      <c r="C795" s="1756" t="str">
        <f>HYPERLINK("#'保健_決算精算表'!C36","C36")</f>
        <v>C36</v>
      </c>
      <c r="D795" s="1711" t="s">
        <v>2117</v>
      </c>
      <c r="E795" s="1757">
        <f>IF(保健_決算精算表!C36="","",保健_決算精算表!C36)</f>
        <v>22753</v>
      </c>
      <c r="F795" s="1711" t="s">
        <v>1929</v>
      </c>
      <c r="G795" s="1709" t="str">
        <f t="shared" si="12"/>
        <v>入力済</v>
      </c>
      <c r="H795" s="1708" t="inlineStr">
        <is>
          <t>保健_決算精算表 A36,C53</t>
        </is>
      </c>
      <c r="I795" s="1708" t="inlineStr">
        <is>
          <t>報告_保健P20-22、保健_財務諸表、保健_附属明細表</t>
        </is>
      </c>
    </row>
    <row r="796" spans="1:9" ht="19.95" customHeight="1">
      <c r="A796" s="1752" t="s">
        <v>13</v>
      </c>
      <c r="B796" s="1708" t="s">
        <v>2114</v>
      </c>
      <c r="C796" s="1753" t="str">
        <f>HYPERLINK("#'保健_決算精算表'!C37","C37")</f>
        <v>C37</v>
      </c>
      <c r="D796" s="1708" t="s">
        <v>2022</v>
      </c>
      <c r="E796" s="1754">
        <f>IF(保健_決算精算表!C37="","",保健_決算精算表!C37)</f>
        <v>3167439</v>
      </c>
      <c r="F796" s="1708" t="s">
        <v>1929</v>
      </c>
      <c r="G796" s="1709" t="str">
        <f t="shared" si="12"/>
        <v>入力済</v>
      </c>
      <c r="H796" s="1708" t="inlineStr">
        <is>
          <t>保健_決算精算表 A37,C53</t>
        </is>
      </c>
      <c r="I796" s="1708" t="inlineStr">
        <is>
          <t>報告_保健P20-22、保健_財務諸表、保健_附属明細表</t>
        </is>
      </c>
    </row>
    <row r="797" spans="1:9" ht="19.95" customHeight="1">
      <c r="A797" s="1755" t="s">
        <v>13</v>
      </c>
      <c r="B797" s="1711" t="s">
        <v>2114</v>
      </c>
      <c r="C797" s="1756" t="str">
        <f>HYPERLINK("#'保健_決算精算表'!C39","C39")</f>
        <v>C39</v>
      </c>
      <c r="D797" s="1711" t="s">
        <v>2023</v>
      </c>
      <c r="E797" s="1757">
        <f>IF(保健_決算精算表!C39="","",保健_決算精算表!C39)</f>
        <v>1768131</v>
      </c>
      <c r="F797" s="1711" t="s">
        <v>1929</v>
      </c>
      <c r="G797" s="1709" t="str">
        <f t="shared" si="12"/>
        <v>入力済</v>
      </c>
      <c r="H797" s="1708" t="inlineStr">
        <is>
          <t>保健_決算精算表 A39,C53</t>
        </is>
      </c>
      <c r="I797" s="1708" t="inlineStr">
        <is>
          <t>報告_保健P20-22、保健_財務諸表、保健_附属明細表</t>
        </is>
      </c>
    </row>
    <row r="798" spans="1:9" ht="19.95" customHeight="1">
      <c r="A798" s="1752" t="s">
        <v>13</v>
      </c>
      <c r="B798" s="1708" t="s">
        <v>2114</v>
      </c>
      <c r="C798" s="1753" t="str">
        <f>HYPERLINK("#'保健_決算精算表'!C40","C40")</f>
        <v>C40</v>
      </c>
      <c r="D798" s="1708" t="s">
        <v>2024</v>
      </c>
      <c r="E798" s="1754">
        <f>IF(保健_決算精算表!C40="","",保健_決算精算表!C40)</f>
        <v>546852</v>
      </c>
      <c r="F798" s="1708" t="s">
        <v>1929</v>
      </c>
      <c r="G798" s="1709" t="str">
        <f t="shared" si="12"/>
        <v>入力済</v>
      </c>
      <c r="H798" s="1708" t="inlineStr">
        <is>
          <t>保健_決算精算表 A40,C53</t>
        </is>
      </c>
      <c r="I798" s="1708" t="inlineStr">
        <is>
          <t>報告_保健P20-22、保健_財務諸表、保健_附属明細表</t>
        </is>
      </c>
    </row>
    <row r="799" spans="1:9" ht="19.95" customHeight="1">
      <c r="A799" s="1755" t="s">
        <v>13</v>
      </c>
      <c r="B799" s="1711" t="s">
        <v>2114</v>
      </c>
      <c r="C799" s="1756" t="str">
        <f>HYPERLINK("#'保健_決算精算表'!C41","C41")</f>
        <v>C41</v>
      </c>
      <c r="D799" s="1711" t="s">
        <v>2025</v>
      </c>
      <c r="E799" s="1757">
        <f>IF(保健_決算精算表!C41="","",保健_決算精算表!C41)</f>
        <v>2868615</v>
      </c>
      <c r="F799" s="1711" t="s">
        <v>1929</v>
      </c>
      <c r="G799" s="1709" t="str">
        <f t="shared" si="12"/>
        <v>入力済</v>
      </c>
      <c r="H799" s="1708" t="inlineStr">
        <is>
          <t>保健_決算精算表 A41,C53</t>
        </is>
      </c>
      <c r="I799" s="1708" t="inlineStr">
        <is>
          <t>報告_保健P20-22、保健_財務諸表、保健_附属明細表</t>
        </is>
      </c>
    </row>
    <row r="800" spans="1:9" ht="19.95" customHeight="1">
      <c r="A800" s="1752" t="s">
        <v>13</v>
      </c>
      <c r="B800" s="1708" t="s">
        <v>2114</v>
      </c>
      <c r="C800" s="1753" t="str">
        <f>HYPERLINK("#'保健_決算精算表'!E51","E51")</f>
        <v>E51</v>
      </c>
      <c r="D800" s="1708" t="s">
        <v>1951</v>
      </c>
      <c r="E800" s="1754">
        <f>IF(保健_決算精算表!E51="","",保健_決算精算表!E51)</f>
        <v>104640</v>
      </c>
      <c r="F800" s="1708" t="s">
        <v>1929</v>
      </c>
      <c r="G800" s="1709" t="str">
        <f t="shared" si="12"/>
        <v>入力済</v>
      </c>
      <c r="H800" s="1708" t="inlineStr">
        <is>
          <t>保健_決算精算表 E53,G51</t>
        </is>
      </c>
      <c r="I800" s="1708" t="inlineStr">
        <is>
          <t>報告_保健P20-22、保健_財務諸表、保健_附属明細表</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 M5</t>
        </is>
      </c>
      <c r="I801" s="1708" t="inlineStr">
        <is>
          <t>貸付_財務諸表、貸付_附属明細表、貸付_決算精算表</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 J12</t>
        </is>
      </c>
      <c r="I802" s="1708" t="inlineStr">
        <is>
          <t>報告_貸付P23-25、貸付_財務諸表、貸付_附属明細表、貸付_決算精算表</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 N12</t>
        </is>
      </c>
      <c r="I803" s="1708" t="inlineStr">
        <is>
          <t>報告_貸付P23-25、貸付_財務諸表、貸付_附属明細表、貸付_決算精算表</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 F21、貸付_附属明細表 J19</t>
        </is>
      </c>
      <c r="I804" s="1708" t="inlineStr">
        <is>
          <t>報告_預託金P17、報告_預託金のカメラ、報告_貸付P23-25、預託金_貸借・損益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 I21、貸付_附属明細表 N19</t>
        </is>
      </c>
      <c r="I805" s="1708" t="inlineStr">
        <is>
          <t>報告_預託金P17、報告_預託金のカメラ、報告_貸付P23-25、預託金_貸借・損益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 G27</t>
        </is>
      </c>
      <c r="I806" s="1708" t="inlineStr">
        <is>
          <t>報告_貸付P23-25、貸付_財務諸表、貸付_附属明細表、貸付_決算精算表</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 G28</t>
        </is>
      </c>
      <c r="I807" s="1708" t="inlineStr">
        <is>
          <t>報告_貸付P23-25、貸付_財務諸表、貸付_附属明細表、貸付_決算精算表</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 G35</t>
        </is>
      </c>
      <c r="I808" s="1708" t="inlineStr">
        <is>
          <t>報告_貸付P23-25、貸付_財務諸表、貸付_附属明細表、貸付_決算精算表</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 G36</t>
        </is>
      </c>
      <c r="I809" s="1708" t="inlineStr">
        <is>
          <t>報告_貸付P23-25、貸付_財務諸表、貸付_附属明細表、貸付_決算精算表</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 G43</t>
        </is>
      </c>
      <c r="I810" s="1708" t="inlineStr">
        <is>
          <t>報告_貸付P23-25、貸付_財務諸表、貸付_附属明細表、貸付_決算精算表</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 G44</t>
        </is>
      </c>
      <c r="I811" s="1708" t="inlineStr">
        <is>
          <t>報告_貸付P23-25、貸付_財務諸表、貸付_附属明細表、貸付_決算精算表</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 G45</t>
        </is>
      </c>
      <c r="I812" s="1708" t="inlineStr">
        <is>
          <t>報告_貸付P23-25、貸付_財務諸表、貸付_附属明細表、貸付_決算精算表</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 G46</t>
        </is>
      </c>
      <c r="I813" s="1708" t="inlineStr">
        <is>
          <t>報告_貸付P23-25、貸付_財務諸表、貸付_附属明細表、貸付_決算精算表</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 G53</t>
        </is>
      </c>
      <c r="I814" s="1708" t="inlineStr">
        <is>
          <t>報告_貸付P23-25、貸付_財務諸表、貸付_附属明細表、貸付_決算精算表</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 G54</t>
        </is>
      </c>
      <c r="I815" s="1708" t="inlineStr">
        <is>
          <t>報告_貸付P23-25、貸付_財務諸表、貸付_附属明細表、貸付_決算精算表</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 G61</t>
        </is>
      </c>
      <c r="I816" s="1708" t="inlineStr">
        <is>
          <t>貸付_財務諸表、貸付_附属明細表、貸付_決算精算表</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 G68</t>
        </is>
      </c>
      <c r="I817" s="1708" t="inlineStr">
        <is>
          <t>報告_貸付P23-25、貸付_財務諸表、貸付_附属明細表、貸付_決算精算表</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 G69</t>
        </is>
      </c>
      <c r="I818" s="1708" t="inlineStr">
        <is>
          <t>報告_貸付P23-25、貸付_財務諸表、貸付_附属明細表、貸付_決算精算表</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 G76</t>
        </is>
      </c>
      <c r="I819" s="1708" t="inlineStr">
        <is>
          <t>貸付_財務諸表、貸付_附属明細表、貸付_決算精算表</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 J76</t>
        </is>
      </c>
      <c r="I820" s="1708" t="inlineStr">
        <is>
          <t>貸付_財務諸表、貸付_附属明細表、貸付_決算精算表</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 H83</t>
        </is>
      </c>
      <c r="I821" s="1708" t="inlineStr">
        <is>
          <t>報告_貸付P23-25、貸付_財務諸表、貸付_附属明細表、貸付_決算精算表</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 F83</t>
        </is>
      </c>
      <c r="I822" s="1708" t="inlineStr">
        <is>
          <t>貸付_附属明細表</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 M104</t>
        </is>
      </c>
      <c r="I823" s="1708" t="inlineStr">
        <is>
          <t>貸付_財務諸表、貸付_附属明細表</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 I97</t>
        </is>
      </c>
      <c r="I824" s="1708" t="inlineStr">
        <is>
          <t>貸付_附属明細表</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 M97</t>
        </is>
      </c>
      <c r="I825" s="1708" t="inlineStr">
        <is>
          <t>貸付_附属明細表</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 C21</t>
        </is>
      </c>
      <c r="I829" s="1708" t="inlineStr">
        <is>
          <t>報告_貸付P23-25、貸付_財務諸表、貸付_附属明細表、貸付_決算精算表</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 C22</t>
        </is>
      </c>
      <c r="I830" s="1708" t="inlineStr">
        <is>
          <t>報告_貸付P23-25、貸付_財務諸表、貸付_附属明細表、貸付_決算精算表</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 C23</t>
        </is>
      </c>
      <c r="I831" s="1708" t="inlineStr">
        <is>
          <t>報告_貸付P23-25、貸付_財務諸表、貸付_附属明細表、貸付_決算精算表</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 C24</t>
        </is>
      </c>
      <c r="I832" s="1708" t="inlineStr">
        <is>
          <t>報告_貸付P23-25、貸付_財務諸表、貸付_附属明細表、貸付_決算精算表</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 C25</t>
        </is>
      </c>
      <c r="I833" s="1708" t="inlineStr">
        <is>
          <t>報告_貸付P23-25、貸付_財務諸表、貸付_附属明細表、貸付_決算精算表</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 C26</t>
        </is>
      </c>
      <c r="I834" s="1708" t="inlineStr">
        <is>
          <t>報告_貸付P23-25、貸付_財務諸表、貸付_附属明細表、貸付_決算精算表</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 C27</t>
        </is>
      </c>
      <c r="I835" s="1708" t="inlineStr">
        <is>
          <t>報告_貸付P23-25、貸付_財務諸表、貸付_附属明細表、貸付_決算精算表</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 C28</t>
        </is>
      </c>
      <c r="I836" s="1708" t="inlineStr">
        <is>
          <t>報告_貸付P23-25、貸付_財務諸表、貸付_附属明細表、貸付_決算精算表</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 C29</t>
        </is>
      </c>
      <c r="I837" s="1708" t="inlineStr">
        <is>
          <t>報告_貸付P23-25、貸付_財務諸表、貸付_附属明細表、貸付_決算精算表</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 C30</t>
        </is>
      </c>
      <c r="I838" s="1708" t="inlineStr">
        <is>
          <t>報告_貸付P23-25、貸付_財務諸表、貸付_附属明細表、貸付_決算精算表</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 C32</t>
        </is>
      </c>
      <c r="I839" s="1708" t="inlineStr">
        <is>
          <t>報告_貸付P23-25、貸付_財務諸表、貸付_附属明細表、貸付_決算精算表</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 E34</t>
        </is>
      </c>
      <c r="I840" s="1708" t="inlineStr">
        <is>
          <t>報告_貸付P23-25、貸付_財務諸表、貸付_附属明細表、貸付_決算精算表</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 E35</t>
        </is>
      </c>
      <c r="I841" s="1708" t="inlineStr">
        <is>
          <t>報告_貸付P23-25、貸付_財務諸表、貸付_附属明細表、貸付_決算精算表</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 E36</t>
        </is>
      </c>
      <c r="I842" s="1708" t="inlineStr">
        <is>
          <t>報告_貸付P23-25、貸付_財務諸表、貸付_附属明細表、貸付_決算精算表</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HYPERLINK("#'短期_決算精算表'!B19","'短期_決算精算表'!B19")</f>
        <v>'短期_決算精算表'!B19</v>
      </c>
      <c r="E179" s="1761">
        <v>876229790</v>
      </c>
      <c r="F179" s="1762">
        <f>N(短期_決算精算表!G19)</f>
        <v>907739421</v>
      </c>
      <c r="G179" s="1764" t="s">
        <v>2500</v>
      </c>
    </row>
    <row r="180" spans="1:7" ht="19.95" customHeight="1">
      <c r="A180" s="1712">
        <v>173</v>
      </c>
      <c r="B180" s="1752" t="s">
        <v>7</v>
      </c>
      <c r="C180" s="1708" t="s">
        <v>2501</v>
      </c>
      <c r="D180" s="1727" t="str">
        <f>HYPERLINK("#'短期_附属明細表'!E99","'短期_附属明細表'!E99")</f>
        <v>'短期_附属明細表'!E99</v>
      </c>
      <c r="E180" s="1761">
        <v>480287584</v>
      </c>
      <c r="F180" s="1762">
        <f>N(短期_附属明細表!Q99)</f>
        <v>533584212</v>
      </c>
      <c r="G180" s="1763" t="s">
        <v>2502</v>
      </c>
    </row>
    <row r="181" spans="1:7" ht="19.95" customHeight="1">
      <c r="A181" s="1716">
        <v>174</v>
      </c>
      <c r="B181" s="1755" t="s">
        <v>7</v>
      </c>
      <c r="C181" s="1711" t="s">
        <v>2503</v>
      </c>
      <c r="D181" s="1730" t="str">
        <f>HYPERLINK("#'短期_附属明細表'!E100","'短期_附属明細表'!E100")</f>
        <v>'短期_附属明細表'!E100</v>
      </c>
      <c r="E181" s="1761">
        <v>1646038250</v>
      </c>
      <c r="F181" s="1762">
        <f>N(短期_附属明細表!Q100)</f>
        <v>2358068031</v>
      </c>
      <c r="G181" s="1764" t="s">
        <v>2504</v>
      </c>
    </row>
    <row r="182" spans="1:7" ht="19.95" customHeight="1">
      <c r="A182" s="1712">
        <v>175</v>
      </c>
      <c r="B182" s="1752" t="s">
        <v>7</v>
      </c>
      <c r="C182" s="1708" t="s">
        <v>2505</v>
      </c>
      <c r="D182" s="1727" t="str">
        <f>HYPERLINK("#'短期_附属明細表'!E101","'短期_附属明細表'!E101")</f>
        <v>'短期_附属明細表'!E101</v>
      </c>
      <c r="E182" s="1761">
        <v>111039759</v>
      </c>
      <c r="F182" s="1762">
        <f>N(短期_附属明細表!Q101)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HYPERLINK("#'業務_附属明細表'!E91","'業務_附属明細表'!E91")</f>
        <v>'業務_附属明細表'!E91</v>
      </c>
      <c r="E246" s="1761">
        <v>71093911</v>
      </c>
      <c r="F246" s="1762">
        <f>N(業務_附属明細表!Q91)</f>
        <v>74697421</v>
      </c>
      <c r="G246" s="1763" t="s">
        <v>2618</v>
      </c>
    </row>
    <row r="247" spans="1:7" ht="19.95" customHeight="1">
      <c r="A247" s="1716">
        <v>240</v>
      </c>
      <c r="B247" s="1755" t="s">
        <v>12</v>
      </c>
      <c r="C247" s="1711" t="s">
        <v>2619</v>
      </c>
      <c r="D247" s="1730" t="str">
        <f>HYPERLINK("#'業務_附属明細表'!D76","'業務_附属明細表'!D76")</f>
        <v>'業務_附属明細表'!D76</v>
      </c>
      <c r="E247" s="1761">
        <v>383946</v>
      </c>
      <c r="F247" s="1762">
        <f>N(業務_附属明細表!S76)</f>
        <v>207390</v>
      </c>
      <c r="G247" s="1764" t="s">
        <v>2620</v>
      </c>
    </row>
    <row r="248" spans="1:7" ht="19.95" customHeight="1">
      <c r="A248" s="1712">
        <v>241</v>
      </c>
      <c r="B248" s="1752" t="s">
        <v>12</v>
      </c>
      <c r="C248" s="1708" t="s">
        <v>2621</v>
      </c>
      <c r="D248" s="1727" t="str">
        <f>HYPERLINK("#'業務_附属明細表'!E115","'業務_附属明細表'!E115")</f>
        <v>'業務_附属明細表'!E115</v>
      </c>
      <c r="E248" s="1761">
        <v>466904</v>
      </c>
      <c r="F248" s="1762">
        <f>N(業務_附属明細表!Q115)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HYPERLINK("#'保健_附属明細表'!E147","'保健_附属明細表'!E147")</f>
        <v>'保健_附属明細表'!E147</v>
      </c>
      <c r="E282" s="1761">
        <v>270947604</v>
      </c>
      <c r="F282" s="1762">
        <f>N(保健_附属明細表!Q147)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IFERROR(N(短期_財務諸表!D25),"エラー")</f>
        <v>4035990451</v>
      </c>
      <c r="F7" s="1757">
        <f>IFERROR(N(短期_財務諸表!H25),"エラー")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IFERROR(N(短期_財務諸表!D66),"エラー")</f>
        <v>13868707590</v>
      </c>
      <c r="F8" s="1754">
        <f>IFERROR(N(短期_財務諸表!H66),"エラー")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IFERROR(N(短期_決算精算表!A64),"エラー")</f>
        <v>17904698041</v>
      </c>
      <c r="F9" s="1757">
        <f>IFERROR(N(短期_決算精算表!G64),"エラー")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IFERROR(N(短期_決算精算表!C64),"エラー")</f>
        <v>16142540320</v>
      </c>
      <c r="F10" s="1754">
        <f>IFERROR(N(短期_決算精算表!E64),"エラー")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IFERROR(N(短期_決算精算表!B64),"エラー")</f>
        <v>3451252492</v>
      </c>
      <c r="F11" s="1757">
        <f>IFERROR(N(短期_決算精算表!F64),"エラー")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IFERROR(N(短期_附属明細表!M9),"エラー")</f>
        <v>3976508883</v>
      </c>
      <c r="F12" s="1754">
        <f>IFERROR(N(短期_財務諸表!C7),"エラー")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IFERROR(N(短期_附属明細表!M16),"エラー")</f>
        <v>0</v>
      </c>
      <c r="F13" s="1757">
        <f>IFERROR(N(短期_財務諸表!C8),"エラー")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IFERROR(N(短期_附属明細表!M25),"エラー")</f>
        <v>0</v>
      </c>
      <c r="F14" s="1754">
        <f>IFERROR(N(短期_財務諸表!C9),"エラー")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IFERROR(N(短期_附属明細表!G49),"エラー")</f>
        <v>54568</v>
      </c>
      <c r="F15" s="1757">
        <f>IFERROR(N(短期_財務諸表!C12),"エラー")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IFERROR(N(短期_附属明細表!G56),"エラー")</f>
        <v>59427000</v>
      </c>
      <c r="F16" s="1754">
        <f>IFERROR(N(短期_財務諸表!C13),"エラー")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IFERROR(N(短期_附属明細表!G75),"エラー")</f>
        <v>41640951</v>
      </c>
      <c r="F17" s="1757">
        <f>IFERROR(N(短期_財務諸表!G7),"エラー")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IFERROR(N(短期_附属明細表!G82),"エラー")</f>
        <v>6050</v>
      </c>
      <c r="F18" s="1754">
        <f>IFERROR(N(短期_決算精算表!G17),"エラー")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IFERROR(N(短期_附属明細表!G82),"エラー")</f>
        <v>6050</v>
      </c>
      <c r="F19" s="1757">
        <f>IFERROR(N(短期_財務諸表!G8),"エラー")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IFERROR(N(短期_附属明細表!R92),"エラー")</f>
        <v>36468255</v>
      </c>
      <c r="F20" s="1754">
        <f>IFERROR(N(短期_財務諸表!G9),"エラー")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IFERROR(N(短期_附属明細表!Q99),"エラー")</f>
        <v>533584212</v>
      </c>
      <c r="F21" s="1757">
        <f>IFERROR(N(短期_財務諸表!F19),"エラー")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IFERROR(N(短期_附属明細表!Q100),"エラー")</f>
        <v>2358068031</v>
      </c>
      <c r="F22" s="1754">
        <f>IFERROR(N(短期_財務諸表!F20),"エラー")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IFERROR(N(短期_附属明細表!Q101),"エラー")</f>
        <v>158483531</v>
      </c>
      <c r="F23" s="1757">
        <f>IFERROR(N(短期_財務諸表!F21),"エラー")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IFERROR(N(短期_附属明細表!K118),"エラー")</f>
        <v>2358068031</v>
      </c>
      <c r="F24" s="1754">
        <f>IFERROR(N(短期_附属明細表!Q100),"エラー")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IFERROR(N(短期_附属明細表!K119),"エラー")</f>
        <v>158483531</v>
      </c>
      <c r="F25" s="1757">
        <f>IFERROR(N(短期_附属明細表!Q101),"エラー")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IFERROR(N(短期_決算精算表!G19),"エラー")</f>
        <v>907739421</v>
      </c>
      <c r="F26" s="1754">
        <f>IFERROR(N(短期_財務諸表!G13),"エラー")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IFERROR(N(短期_財務諸表!H37+短期_財務諸表!H56+短期_財務諸表!H58),"エラー")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IFERROR(N(短期_財務諸表!D37+短期_財務諸表!D56+短期_財務諸表!D58+短期_財務諸表!D60),"エラー")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IFERROR(N(短期_財務諸表!D62-短期_財務諸表!H60),"エラー")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IFERROR(N(短期_附属明細表!E99+短期_附属明細表!I99-短期_附属明細表!M99),"エラー")</f>
        <v>533584212</v>
      </c>
      <c r="F42" s="1754">
        <f>IFERROR(N(短期_附属明細表!Q99),"エラー")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IFERROR(N(短期_附属明細表!E100+短期_附属明細表!I100-短期_附属明細表!M100),"エラー")</f>
        <v>2358068031</v>
      </c>
      <c r="F43" s="1757">
        <f>IFERROR(N(短期_附属明細表!Q100),"エラー")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IFERROR(N(短期_附属明細表!E101+短期_附属明細表!I101-短期_附属明細表!M101),"エラー")</f>
        <v>158483531</v>
      </c>
      <c r="F44" s="1754">
        <f>IFERROR(N(短期_附属明細表!Q101),"エラー")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IFERROR(N(短期_決算精算表!B19),"エラー")</f>
        <v>876229790</v>
      </c>
      <c r="F45" s="1757">
        <f>IFERROR(N(短期_財務諸表!G57),"エラー")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IFERROR(N(厚生_貸借・損益!F12),"エラー")</f>
        <v>1679618183</v>
      </c>
      <c r="F48" s="1754">
        <f>IFERROR(N(厚生_貸借・損益!M12),"エラー")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IFERROR(N(厚生_貸借・損益!F26),"エラー")</f>
        <v>19731409796</v>
      </c>
      <c r="F49" s="1757">
        <f>IFERROR(N(厚生_貸借・損益!M26),"エラー")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IFERROR(N(厚生_決算精算表!A22),"エラー")</f>
        <v>21411027979</v>
      </c>
      <c r="F50" s="1754">
        <f>IFERROR(N(厚生_決算精算表!G22),"エラー")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IFERROR(N(厚生_決算精算表!C22),"エラー")</f>
        <v>19731499796</v>
      </c>
      <c r="F51" s="1757">
        <f>IFERROR(N(厚生_決算精算表!E22),"エラー")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IFERROR(N(厚生_決算精算表!B22),"エラー")</f>
        <v>1679528183</v>
      </c>
      <c r="F52" s="1754">
        <f>IFERROR(N(厚生_決算精算表!F22),"エラー")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IFERROR(N(厚生_預金・立替・未収!E11),"エラー")</f>
        <v>1679618183</v>
      </c>
      <c r="F53" s="1757">
        <f>IFERROR(N(厚生_貸借・損益!E8),"エラー")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IFERROR(N(厚生_預金・立替・未収!C19),"エラー")</f>
        <v>0</v>
      </c>
      <c r="F54" s="1754">
        <f>IFERROR(N(厚生_貸借・損益!E9),"エラー")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IFERROR(N(厚生_預金・立替・未収!C30),"エラー")</f>
        <v>1679528183</v>
      </c>
      <c r="F55" s="1757">
        <f>IFERROR(N(厚生_貸借・損益!L8),"エラー")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IFERROR(N(厚生_預金・立替・未収!C38),"エラー")</f>
        <v>90000</v>
      </c>
      <c r="F56" s="1754">
        <f>IFERROR(N(厚生_貸借・損益!L9),"エラー")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IFERROR(N(退職等_貸借・損益!F12),"エラー")</f>
        <v>111499006</v>
      </c>
      <c r="F64" s="1754">
        <f>IFERROR(N(退職等_貸借・損益!M12),"エラー")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IFERROR(N(退職等_貸借・損益!F26),"エラー")</f>
        <v>1268365350</v>
      </c>
      <c r="F65" s="1757">
        <f>IFERROR(N(退職等_貸借・損益!M26),"エラー")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IFERROR(N(退職等_決算精算表!A22),"エラー")</f>
        <v>1379864356</v>
      </c>
      <c r="F66" s="1754">
        <f>IFERROR(N(退職等_決算精算表!G22),"エラー")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IFERROR(N(退職等_決算精算表!C22),"エラー")</f>
        <v>1268365350</v>
      </c>
      <c r="F67" s="1757">
        <f>IFERROR(N(退職等_決算精算表!E22),"エラー")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IFERROR(N(退職等_決算精算表!B22),"エラー")</f>
        <v>111499006</v>
      </c>
      <c r="F68" s="1754">
        <f>IFERROR(N(退職等_決算精算表!F22),"エラー")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IFERROR(N(退職等_預金・立替・未収!E8),"エラー")</f>
        <v>111499006</v>
      </c>
      <c r="F69" s="1757">
        <f>IFERROR(N(退職等_貸借・損益!E8),"エラー")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IFERROR(N(退職等_預金・立替・未収!C16),"エラー")</f>
        <v>0</v>
      </c>
      <c r="F70" s="1754">
        <f>IFERROR(N(退職等_貸借・損益!E9),"エラー")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IFERROR(N(退職等_預金・立替・未収!C26),"エラー")</f>
        <v>111499006</v>
      </c>
      <c r="F71" s="1757">
        <f>IFERROR(N(退職等_貸借・損益!L8),"エラー")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IFERROR(N(退職等_預金・立替・未収!C34),"エラー")</f>
        <v>0</v>
      </c>
      <c r="F72" s="1754">
        <f>IFERROR(N(退職等_貸借・損益!L9),"エラー")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IFERROR(N(経過的_貸借・損益!F12),"エラー")</f>
        <v>722478</v>
      </c>
      <c r="F79" s="1757">
        <f>IFERROR(N(経過的_貸借・損益!M12),"エラー")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IFERROR(N(経過的_貸借・損益!F25),"エラー")</f>
        <v>85620216</v>
      </c>
      <c r="F80" s="1754">
        <f>IFERROR(N(経過的_貸借・損益!M25),"エラー")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IFERROR(N(経過的_決算精算表!A19),"エラー")</f>
        <v>86342694</v>
      </c>
      <c r="F81" s="1757">
        <f>IFERROR(N(経過的_決算精算表!G19),"エラー")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IFERROR(N(経過的_決算精算表!C19),"エラー")</f>
        <v>85620216</v>
      </c>
      <c r="F82" s="1754">
        <f>IFERROR(N(経過的_決算精算表!E19),"エラー")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IFERROR(N(経過的_決算精算表!B19),"エラー")</f>
        <v>722478</v>
      </c>
      <c r="F83" s="1757">
        <f>IFERROR(N(経過的_決算精算表!F19),"エラー")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IFERROR(N(経過的_預金・立替・未収!E8),"エラー")</f>
        <v>722478</v>
      </c>
      <c r="F84" s="1754">
        <f>IFERROR(N(経過的_貸借・損益!E8),"エラー")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IFERROR(N(経過的_預金・立替・未収!C16),"エラー")</f>
        <v>0</v>
      </c>
      <c r="F85" s="1757">
        <f>IFERROR(N(経過的_貸借・損益!E9),"エラー")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IFERROR(N(経過的_預金・立替・未収!C23),"エラー")</f>
        <v>722478</v>
      </c>
      <c r="F86" s="1754">
        <f>IFERROR(N(経過的_貸借・損益!L8),"エラー")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IFERROR(N(預託金_貸借・損益!F15),"エラー")</f>
        <v>0</v>
      </c>
      <c r="F91" s="1757">
        <f>IFERROR(N(預託金_貸借・損益!M15),"エラー")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IFERROR(N(預託金_貸借・損益!F30),"エラー")</f>
        <v>136059</v>
      </c>
      <c r="F92" s="1754">
        <f>IFERROR(N(預託金_貸借・損益!M30),"エラー")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IFERROR(N(預託金_決算精算表!A20),"エラー")</f>
        <v>136059</v>
      </c>
      <c r="F93" s="1757">
        <f>IFERROR(N(預託金_決算精算表!G20),"エラー")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IFERROR(N(預託金_決算精算表!C20),"エラー")</f>
        <v>136059</v>
      </c>
      <c r="F94" s="1754">
        <f>IFERROR(N(預託金_決算精算表!E20),"エラー")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IFERROR(N(預託金_決算精算表!B20),"エラー")</f>
        <v>3</v>
      </c>
      <c r="F95" s="1757">
        <f>IFERROR(N(預託金_決算精算表!F20),"エラー")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IFERROR(N(預託金_預金・未収・貸付・預託金!F8),"エラー")</f>
        <v>0</v>
      </c>
      <c r="F96" s="1754">
        <f>IFERROR(N(預託金_貸借・損益!E8),"エラー")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IFERROR(N(預託金_預金・未収・貸付・預託金!C15),"エラー")</f>
        <v>0</v>
      </c>
      <c r="F97" s="1757">
        <f>IFERROR(N(預託金_貸借・損益!E9),"エラー")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IFERROR(N(預託金_預金・未収・貸付・預託金!M22),"エラー")</f>
        <v>0</v>
      </c>
      <c r="F98" s="1754">
        <f>IFERROR(N(預託金_貸借・損益!E13),"エラー")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IFERROR(N(預託金_預金・未収・貸付・預託金!M29),"エラー")</f>
        <v>0</v>
      </c>
      <c r="F99" s="1757">
        <f>IFERROR(N(預託金_貸借・損益!L8),"エラー")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IFERROR(N(預託金_預金・未収・貸付・預託金!C21+預託金_預金・未収・貸付・預託金!F21-預託金_預金・未収・貸付・預託金!I21),"エラー")</f>
        <v>0</v>
      </c>
      <c r="F103" s="1757">
        <f>IFERROR(N(預託金_預金・未収・貸付・預託金!M21),"エラー")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IFERROR(N(預託金_預金・未収・貸付・預託金!M22),"エラー")</f>
        <v>0</v>
      </c>
      <c r="F104" s="1754">
        <f>IFERROR(N(貸付_附属明細表!R20),"エラー")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IFERROR(N(預託金_預金・未収・貸付・預託金!C28+預託金_預金・未収・貸付・預託金!F28-預託金_預金・未収・貸付・預託金!I28),"エラー")</f>
        <v>0</v>
      </c>
      <c r="F105" s="1757">
        <f>IFERROR(N(預託金_預金・未収・貸付・預託金!M28),"エラー")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IFERROR(N(業務_財務諸表!D25),"エラー")</f>
        <v>85175250</v>
      </c>
      <c r="F108" s="1754">
        <f>IFERROR(N(業務_財務諸表!H25),"エラー")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IFERROR(N(業務_財務諸表!D59),"エラー")</f>
        <v>124727469</v>
      </c>
      <c r="F109" s="1757">
        <f>IFERROR(N(業務_財務諸表!H59),"エラー")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IFERROR(N(業務_決算精算表!A48),"エラー")</f>
        <v>209902719</v>
      </c>
      <c r="F110" s="1754">
        <f>IFERROR(N(業務_決算精算表!G48),"エラー")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IFERROR(N(業務_決算精算表!C48),"エラー")</f>
        <v>189744039</v>
      </c>
      <c r="F111" s="1757">
        <f>IFERROR(N(業務_決算精算表!E48),"エラー")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IFERROR(N(業務_決算精算表!B48),"エラー")</f>
        <v>29250903</v>
      </c>
      <c r="F112" s="1754">
        <f>IFERROR(N(業務_決算精算表!F48),"エラー")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IFERROR(N(業務_附属明細表!M6),"エラー")</f>
        <v>72939159</v>
      </c>
      <c r="F113" s="1757">
        <f>IFERROR(N(業務_財務諸表!C7),"エラー")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IFERROR(N(業務_附属明細表!G14),"エラー")</f>
        <v>194420</v>
      </c>
      <c r="F114" s="1754">
        <f>IFERROR(N(業務_財務諸表!C8),"エラー")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IFERROR(N(業務_附属明細表!G32),"エラー")</f>
        <v>11834281</v>
      </c>
      <c r="F115" s="1757">
        <f>IFERROR(N(業務_財務諸表!C9),"エラー")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IFERROR(N(業務_附属明細表!G46),"エラー")</f>
        <v>9597685</v>
      </c>
      <c r="F116" s="1754">
        <f>IFERROR(N(業務_財務諸表!G7),"エラー")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IFERROR(N(業務_附属明細表!G54),"エラー")</f>
        <v>435361</v>
      </c>
      <c r="F117" s="1757">
        <f>IFERROR(N(業務_財務諸表!G8),"エラー")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IFERROR(N(業務_附属明細表!G62),"エラー")</f>
        <v>227940</v>
      </c>
      <c r="F118" s="1754">
        <f>IFERROR(N(業務_財務諸表!G9),"エラー")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IFERROR(N(業務_附属明細表!G69),"エラー")</f>
        <v>216843</v>
      </c>
      <c r="F119" s="1757">
        <f>IFERROR(N(業務_財務諸表!G10),"エラー")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IFERROR(N(業務_附属明細表!S77),"エラー")</f>
        <v>207390</v>
      </c>
      <c r="F120" s="1754">
        <f>IFERROR(N(業務_財務諸表!B14),"エラー")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IFERROR(N(業務_附属明細表!Q92),"エラー")</f>
        <v>74697421</v>
      </c>
      <c r="F121" s="1757">
        <f>IFERROR(N(業務_財務諸表!F16),"エラー")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IFERROR(N(業務_附属明細表!Q116),"エラー")</f>
        <v>643460</v>
      </c>
      <c r="F122" s="1754">
        <f>IFERROR(N(業務_附属明細表!K85),"エラー")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IFERROR(N(業務_附属明細表!P77),"エラー")</f>
        <v>176556</v>
      </c>
      <c r="F123" s="1757">
        <f>IFERROR(N(業務_財務諸表!B52),"エラー")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IFERROR(N(業務_財務諸表!H36+業務_財務諸表!H46+業務_財務諸表!H49),"エラー")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IFERROR(N(業務_財務諸表!D36+業務_財務諸表!D53),"エラー")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IFERROR(N(業務_財務諸表!G47),"エラー")</f>
        <v>11834281</v>
      </c>
      <c r="F126" s="1754">
        <f>IFERROR(N(短期_財務諸表!C57),"エラー")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IFERROR(N(業務_附属明細表!E91+業務_附属明細表!I91-業務_附属明細表!M91),"エラー")</f>
        <v>74697421</v>
      </c>
      <c r="F127" s="1757">
        <f>IFERROR(N(業務_附属明細表!Q91),"エラー")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IFERROR(N(業務_附属明細表!M77),"エラー")</f>
        <v>383946</v>
      </c>
      <c r="F128" s="1754">
        <f>IFERROR(N(業務_附属明細表!F85-業務_附属明細表!E115),"エラー")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IFERROR(N(保健_財務諸表!D27),"エラー")</f>
        <v>461488881</v>
      </c>
      <c r="F131" s="1757">
        <f>IFERROR(N(保健_財務諸表!H27),"エラー")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IFERROR(N(保健_財務諸表!D62),"エラー")</f>
        <v>629427111</v>
      </c>
      <c r="F132" s="1754">
        <f>IFERROR(N(保健_財務諸表!H62),"エラー")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IFERROR(N(保健_決算精算表!A54),"エラー")</f>
        <v>1090915992</v>
      </c>
      <c r="F133" s="1757">
        <f>IFERROR(N(保健_決算精算表!G54),"エラー")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IFERROR(N(保健_決算精算表!C54),"エラー")</f>
        <v>772179484</v>
      </c>
      <c r="F134" s="1754">
        <f>IFERROR(N(保健_決算精算表!E54),"エラー")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IFERROR(N(保健_決算精算表!B54),"エラー")</f>
        <v>333001648</v>
      </c>
      <c r="F135" s="1757">
        <f>IFERROR(N(保健_決算精算表!F54),"エラー")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IFERROR(N(保健_附属明細表!M6),"エラー")</f>
        <v>332277800</v>
      </c>
      <c r="F136" s="1754">
        <f>IFERROR(N(保健_財務諸表!C7),"エラー")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IFERROR(N(保健_附属明細表!M13),"エラー")</f>
        <v>0</v>
      </c>
      <c r="F137" s="1757">
        <f>IFERROR(N(保健_財務諸表!C8),"エラー")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IFERROR(N(保健_附属明細表!M20),"エラー")</f>
        <v>0</v>
      </c>
      <c r="F138" s="1754">
        <f>IFERROR(N(保健_財務諸表!C9),"エラー")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IFERROR(N(保健_附属明細表!G43),"エラー")</f>
        <v>129211081</v>
      </c>
      <c r="F139" s="1757">
        <f>IFERROR(N(保健_財務諸表!C12),"エラー")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IFERROR(N(保健_附属明細表!G61),"エラー")</f>
        <v>175260287</v>
      </c>
      <c r="F140" s="1754">
        <f>IFERROR(N(保健_財務諸表!G7),"エラー")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IFERROR(N(保健_附属明細表!G70),"エラー")</f>
        <v>0</v>
      </c>
      <c r="F141" s="1757">
        <f>IFERROR(N(保健_財務諸表!G8),"エラー")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IFERROR(N(保健_附属明細表!G79),"エラー")</f>
        <v>1015850</v>
      </c>
      <c r="F142" s="1754">
        <f>IFERROR(N(保健_財務諸表!G9),"エラー")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IFERROR(N(保健_附属明細表!Q148),"エラー")</f>
        <v>285212744</v>
      </c>
      <c r="F143" s="1757">
        <f>IFERROR(N(保健_財務諸表!H14),"エラー")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IFERROR(N(保健_財務諸表!H37+保健_財務諸表!H46),"エラー")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IFERROR(N(保健_財務諸表!D37+保健_財務諸表!D55),"エラー")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IFERROR(N(保健_附属明細表!E147+保健_附属明細表!I147-保健_附属明細表!M147),"エラー")</f>
        <v>285212744</v>
      </c>
      <c r="F148" s="1754">
        <f>IFERROR(N(保健_附属明細表!Q147),"エラー")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IFERROR(N(保健_附属明細表!I116),"エラー")</f>
        <v>0</v>
      </c>
      <c r="F149" s="1757">
        <f>IFERROR(N(N(保健_財務諸表!B54)),"エラー")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IFERROR(N(保健_附属明細表!S95),"エラー")</f>
        <v>0</v>
      </c>
      <c r="F150" s="1754">
        <f>IFERROR(N(保健_財務諸表!C15),"エラー")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IFERROR(N(貸付_財務諸表!D25),"エラー")</f>
        <v>1958201706</v>
      </c>
      <c r="F153" s="1757">
        <f>IFERROR(N(貸付_財務諸表!H25),"エラー")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IFERROR(N(貸付_財務諸表!D58),"エラー")</f>
        <v>14882388</v>
      </c>
      <c r="F154" s="1754">
        <f>IFERROR(N(貸付_財務諸表!H58),"エラー")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IFERROR(N(貸付_決算精算表!A39),"エラー")</f>
        <v>1973084094</v>
      </c>
      <c r="F155" s="1757">
        <f>IFERROR(N(貸付_決算精算表!G39+貸付_附属明細表!G70),"エラー")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IFERROR(N(貸付_決算精算表!C39),"エラー")</f>
        <v>1972139610</v>
      </c>
      <c r="F156" s="1754">
        <f>IFERROR(N(貸付_決算精算表!E39),"エラー")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IFERROR(N(貸付_決算精算表!B39),"エラー")</f>
        <v>8783340</v>
      </c>
      <c r="F157" s="1757">
        <f>IFERROR(N(貸付_決算精算表!F39+貸付_附属明細表!G70),"エラー")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IFERROR(N(貸付_附属明細表!M6),"エラー")</f>
        <v>1108845248</v>
      </c>
      <c r="F158" s="1754">
        <f>IFERROR(N(貸付_財務諸表!C7),"エラー")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IFERROR(N(貸付_附属明細表!G29),"エラー")</f>
        <v>180749</v>
      </c>
      <c r="F159" s="1757">
        <f>IFERROR(N(貸付_財務諸表!C8),"エラー")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IFERROR(N(貸付_附属明細表!G37),"エラー")</f>
        <v>0</v>
      </c>
      <c r="F160" s="1754">
        <f>IFERROR(N(貸付_財務諸表!C9),"エラー")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IFERROR(N(貸付_附属明細表!G47),"エラー")</f>
        <v>380530</v>
      </c>
      <c r="F161" s="1757">
        <f>IFERROR(N(貸付_財務諸表!G7),"エラー")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IFERROR(N(貸付_附属明細表!G55),"エラー")</f>
        <v>383205</v>
      </c>
      <c r="F162" s="1754">
        <f>IFERROR(N(貸付_財務諸表!G8),"エラー")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IFERROR(N(貸付_附属明細表!G62),"エラー")</f>
        <v>305231</v>
      </c>
      <c r="F163" s="1757">
        <f>IFERROR(N(貸付_財務諸表!G9),"エラー")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IFERROR(N(貸付_附属明細表!G70),"エラー")</f>
        <v>0</v>
      </c>
      <c r="F164" s="1754">
        <f>IFERROR(N(貸付_財務諸表!G10),"エラー")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IFERROR(N(貸付_附属明細表!R20),"エラー")</f>
        <v>0</v>
      </c>
      <c r="F165" s="1757">
        <f>IFERROR(N(貸付_財務諸表!G13),"エラー")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IFERROR(N(貸付_附属明細表!S77),"エラー")</f>
        <v>1</v>
      </c>
      <c r="F166" s="1754">
        <f>IFERROR(N(貸付_財務諸表!B14),"エラー")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IFERROR(N(貸付_附属明細表!R13-貸付_附属明細表!G28-貸付_附属明細表!G35+貸付_附属明細表!G68),"エラー")</f>
        <v>849175708</v>
      </c>
      <c r="F167" s="1757">
        <f>IFERROR(N(貸付_財務諸表!B19),"エラー")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IFERROR(N(貸付_附属明細表!Q91),"エラー")</f>
        <v>1957132740</v>
      </c>
      <c r="F168" s="1754">
        <f>IFERROR(N(貸付_財務諸表!H18),"エラー")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IFERROR(N(貸付_附属明細表!Q90),"エラー")</f>
        <v>1957132740</v>
      </c>
      <c r="F169" s="1757">
        <f>IFERROR(N(貸付_財務諸表!F20),"エラー")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IFERROR(N(貸付_財務諸表!D35+貸付_財務諸表!D49),"エラー")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IFERROR(N(貸付_附属明細表!F13+貸付_附属明細表!J13-貸付_附属明細表!N13),"エラー")</f>
        <v>849175708</v>
      </c>
      <c r="F175" s="1757">
        <f>IFERROR(N(貸付_附属明細表!R13),"エラー")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IFERROR(N(貸付_附属明細表!F20+貸付_附属明細表!J20-貸付_附属明細表!N20),"エラー")</f>
        <v>0</v>
      </c>
      <c r="F176" s="1754">
        <f>IFERROR(N(貸付_附属明細表!R20),"エラー")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IFERROR(N(貸付_附属明細表!E91+貸付_附属明細表!I91-貸付_附属明細表!M91),"エラー")</f>
        <v>1957132740</v>
      </c>
      <c r="F177" s="1757">
        <f>IFERROR(N(貸付_附属明細表!Q91),"エラー")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IFERROR(N(貸付_附属明細表!M77),"エラー")</f>
        <v>1</v>
      </c>
      <c r="F178" s="1754">
        <f>IFERROR(N(貸付_附属明細表!F84-貸付_附属明細表!E105),"エラー")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IFERROR(N(貸付_附属明細表!H84),"エラー")</f>
        <v>0</v>
      </c>
      <c r="F179" s="1757">
        <f>IFERROR(N(N(貸付_財務諸表!B47)),"エラー")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IFERROR(N(業務_附属明細表!J126+業務_附属明細表!O126),"エラー")</f>
        <v>24510562</v>
      </c>
      <c r="F190" s="1754">
        <f>IFERROR(N(業務_決算精算表!A21+業務_決算精算表!A22+業務_決算精算表!A24+業務_決算精算表!A25),"エラー")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IFERROR(N(保健_附属明細表!J139+保健_附属明細表!O139),"エラー")</f>
        <v>7053810</v>
      </c>
      <c r="F191" s="1757">
        <f>IFERROR(N(保健_決算精算表!A27+保健_附属明細表!J137+保健_附属明細表!O137+保健_決算精算表!A30),"エラー")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IFERROR(N(貸付_附属明細表!J115+貸付_附属明細表!O115),"エラー")</f>
        <v>6980826</v>
      </c>
      <c r="F192" s="1754">
        <f>IFERROR(N(貸付_決算精算表!A21+貸付_決算精算表!A23+貸付_決算精算表!A24),"エラー")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COUNTIF(短期_財務諸表!A1:M67,"#"&amp;"REF!")</f>
        <v>0</v>
      </c>
      <c r="C224" s="1770">
        <f>COUNTIF(短期_財務諸表!A1:M67,"#"&amp;"VALUE!")</f>
        <v>0</v>
      </c>
      <c r="D224" s="1770">
        <f>COUNTIF(短期_財務諸表!A1:M67,"#"&amp;"DIV/0!")</f>
        <v>0</v>
      </c>
      <c r="E224" s="1770">
        <f>COUNTIF(短期_財務諸表!A1:M67,"#"&amp;"NAME?")</f>
        <v>0</v>
      </c>
      <c r="F224" s="1770">
        <f>SUMPRODUCT(--ISERROR(短期_財務諸表!A1:M67))-SUM(B224:E224)</f>
        <v>0</v>
      </c>
      <c r="G224" s="1770">
        <f ca="1">IFERROR(SUMPRODUCT(--ISNUMBER(FIND("[",_xlfn.FORMULATEXT(短期_財務諸表!A1:M67)))),0)</f>
        <v>0</v>
      </c>
      <c r="H224" s="1771" t="s">
        <v>3205</v>
      </c>
    </row>
    <row r="225" spans="1:8" ht="19.05" customHeight="1">
      <c r="A225" s="1755" t="s">
        <v>1495</v>
      </c>
      <c r="B225" s="1772">
        <f>COUNTIF(短期_附属明細表!A1:V119,"#"&amp;"REF!")</f>
        <v>0</v>
      </c>
      <c r="C225" s="1772">
        <f>COUNTIF(短期_附属明細表!A1:V119,"#"&amp;"VALUE!")</f>
        <v>0</v>
      </c>
      <c r="D225" s="1772">
        <f>COUNTIF(短期_附属明細表!A1:V119,"#"&amp;"DIV/0!")</f>
        <v>0</v>
      </c>
      <c r="E225" s="1772">
        <f>COUNTIF(短期_附属明細表!A1:V119,"#"&amp;"NAME?")</f>
        <v>0</v>
      </c>
      <c r="F225" s="1772">
        <f>SUMPRODUCT(--ISERROR(短期_附属明細表!A1:V119))-SUM(B225:E225)</f>
        <v>0</v>
      </c>
      <c r="G225" s="1772">
        <f ca="1">IFERROR(SUMPRODUCT(--ISNUMBER(FIND("[",_xlfn.FORMULATEXT(短期_附属明細表!A1:V119)))),0)</f>
        <v>0</v>
      </c>
      <c r="H225" s="1773" t="s">
        <v>3206</v>
      </c>
    </row>
    <row r="226" spans="1:8" ht="19.05" customHeight="1">
      <c r="A226" s="1752" t="s">
        <v>1927</v>
      </c>
      <c r="B226" s="1770">
        <f>COUNTIF(短期_決算精算表!A1:I69,"#"&amp;"REF!")</f>
        <v>0</v>
      </c>
      <c r="C226" s="1770">
        <f>COUNTIF(短期_決算精算表!A1:I69,"#"&amp;"VALUE!")</f>
        <v>0</v>
      </c>
      <c r="D226" s="1770">
        <f>COUNTIF(短期_決算精算表!A1:I69,"#"&amp;"DIV/0!")</f>
        <v>0</v>
      </c>
      <c r="E226" s="1770">
        <f>COUNTIF(短期_決算精算表!A1:I69,"#"&amp;"NAME?")</f>
        <v>0</v>
      </c>
      <c r="F226" s="1770">
        <f>SUMPRODUCT(--ISERROR(短期_決算精算表!A1:I69))-SUM(B226:E226)</f>
        <v>0</v>
      </c>
      <c r="G226" s="1770">
        <f ca="1">IFERROR(SUMPRODUCT(--ISNUMBER(FIND("[",_xlfn.FORMULATEXT(短期_決算精算表!A1:I69)))),0)</f>
        <v>0</v>
      </c>
      <c r="H226" s="1771" t="s">
        <v>3207</v>
      </c>
    </row>
    <row r="227" spans="1:8" ht="19.05" customHeight="1">
      <c r="A227" s="1755" t="s">
        <v>3208</v>
      </c>
      <c r="B227" s="1772">
        <f>COUNTIF(厚生_貸借・損益!A1:M26,"#"&amp;"REF!")</f>
        <v>0</v>
      </c>
      <c r="C227" s="1772">
        <f>COUNTIF(厚生_貸借・損益!A1:M26,"#"&amp;"VALUE!")</f>
        <v>0</v>
      </c>
      <c r="D227" s="1772">
        <f>COUNTIF(厚生_貸借・損益!A1:M26,"#"&amp;"DIV/0!")</f>
        <v>0</v>
      </c>
      <c r="E227" s="1772">
        <f>COUNTIF(厚生_貸借・損益!A1:M26,"#"&amp;"NAME?")</f>
        <v>0</v>
      </c>
      <c r="F227" s="1772">
        <f>SUMPRODUCT(--ISERROR(厚生_貸借・損益!A1:M26))-SUM(B227:E227)</f>
        <v>0</v>
      </c>
      <c r="G227" s="1772">
        <f ca="1">IFERROR(SUMPRODUCT(--ISNUMBER(FIND("[",_xlfn.FORMULATEXT(厚生_貸借・損益!A1:M26)))),0)</f>
        <v>0</v>
      </c>
      <c r="H227" s="1773" t="s">
        <v>3209</v>
      </c>
    </row>
    <row r="228" spans="1:8" ht="19.05" customHeight="1">
      <c r="A228" s="1752" t="s">
        <v>1952</v>
      </c>
      <c r="B228" s="1770">
        <f>COUNTIF(厚生_預金・立替・未収!A1:I38,"#"&amp;"REF!")</f>
        <v>0</v>
      </c>
      <c r="C228" s="1770">
        <f>COUNTIF(厚生_預金・立替・未収!A1:I38,"#"&amp;"VALUE!")</f>
        <v>0</v>
      </c>
      <c r="D228" s="1770">
        <f>COUNTIF(厚生_預金・立替・未収!A1:I38,"#"&amp;"DIV/0!")</f>
        <v>0</v>
      </c>
      <c r="E228" s="1770">
        <f>COUNTIF(厚生_預金・立替・未収!A1:I38,"#"&amp;"NAME?")</f>
        <v>0</v>
      </c>
      <c r="F228" s="1770">
        <f>SUMPRODUCT(--ISERROR(厚生_預金・立替・未収!A1:I38))-SUM(B228:E228)</f>
        <v>0</v>
      </c>
      <c r="G228" s="1770">
        <f ca="1">IFERROR(SUMPRODUCT(--ISNUMBER(FIND("[",_xlfn.FORMULATEXT(厚生_預金・立替・未収!A1:I38)))),0)</f>
        <v>0</v>
      </c>
      <c r="H228" s="1771" t="s">
        <v>3210</v>
      </c>
    </row>
    <row r="229" spans="1:8" ht="19.05" customHeight="1">
      <c r="A229" s="1755" t="s">
        <v>1960</v>
      </c>
      <c r="B229" s="1772">
        <f>COUNTIF(厚生_決算精算表!A1:G26,"#"&amp;"REF!")</f>
        <v>0</v>
      </c>
      <c r="C229" s="1772">
        <f>COUNTIF(厚生_決算精算表!A1:G26,"#"&amp;"VALUE!")</f>
        <v>0</v>
      </c>
      <c r="D229" s="1772">
        <f>COUNTIF(厚生_決算精算表!A1:G26,"#"&amp;"DIV/0!")</f>
        <v>0</v>
      </c>
      <c r="E229" s="1772">
        <f>COUNTIF(厚生_決算精算表!A1:G26,"#"&amp;"NAME?")</f>
        <v>0</v>
      </c>
      <c r="F229" s="1772">
        <f>SUMPRODUCT(--ISERROR(厚生_決算精算表!A1:G26))-SUM(B229:E229)</f>
        <v>0</v>
      </c>
      <c r="G229" s="1772">
        <f ca="1">IFERROR(SUMPRODUCT(--ISNUMBER(FIND("[",_xlfn.FORMULATEXT(厚生_決算精算表!A1:G26)))),0)</f>
        <v>0</v>
      </c>
      <c r="H229" s="1773" t="s">
        <v>3211</v>
      </c>
    </row>
    <row r="230" spans="1:8" ht="19.05" customHeight="1">
      <c r="A230" s="1752" t="s">
        <v>3212</v>
      </c>
      <c r="B230" s="1770">
        <f>COUNTIF(厚生_白紙!A1:A1,"#"&amp;"REF!")</f>
        <v>0</v>
      </c>
      <c r="C230" s="1770">
        <f>COUNTIF(厚生_白紙!A1:A1,"#"&amp;"VALUE!")</f>
        <v>0</v>
      </c>
      <c r="D230" s="1770">
        <f>COUNTIF(厚生_白紙!A1:A1,"#"&amp;"DIV/0!")</f>
        <v>0</v>
      </c>
      <c r="E230" s="1770">
        <f>COUNTIF(厚生_白紙!A1:A1,"#"&amp;"NAME?")</f>
        <v>0</v>
      </c>
      <c r="F230" s="1770">
        <f>SUMPRODUCT(--ISERROR(厚生_白紙!A1:A1))-SUM(B230:E230)</f>
        <v>0</v>
      </c>
      <c r="G230" s="1770">
        <f ca="1">IFERROR(SUMPRODUCT(--ISNUMBER(FIND("[",_xlfn.FORMULATEXT(厚生_白紙!A1:A1)))),0)</f>
        <v>0</v>
      </c>
      <c r="H230" s="1771" t="s">
        <v>3204</v>
      </c>
    </row>
    <row r="231" spans="1:8" ht="19.05" customHeight="1">
      <c r="A231" s="1755" t="s">
        <v>1487</v>
      </c>
      <c r="B231" s="1772">
        <f>COUNTIF(退職等_貸借・損益!A1:M26,"#"&amp;"REF!")</f>
        <v>0</v>
      </c>
      <c r="C231" s="1772">
        <f>COUNTIF(退職等_貸借・損益!A1:M26,"#"&amp;"VALUE!")</f>
        <v>0</v>
      </c>
      <c r="D231" s="1772">
        <f>COUNTIF(退職等_貸借・損益!A1:M26,"#"&amp;"DIV/0!")</f>
        <v>0</v>
      </c>
      <c r="E231" s="1772">
        <f>COUNTIF(退職等_貸借・損益!A1:M26,"#"&amp;"NAME?")</f>
        <v>0</v>
      </c>
      <c r="F231" s="1772">
        <f>SUMPRODUCT(--ISERROR(退職等_貸借・損益!A1:M26))-SUM(B231:E231)</f>
        <v>0</v>
      </c>
      <c r="G231" s="1772">
        <f ca="1">IFERROR(SUMPRODUCT(--ISNUMBER(FIND("[",_xlfn.FORMULATEXT(退職等_貸借・損益!A1:M26)))),0)</f>
        <v>0</v>
      </c>
      <c r="H231" s="1773" t="s">
        <v>3209</v>
      </c>
    </row>
    <row r="232" spans="1:8" ht="19.05" customHeight="1">
      <c r="A232" s="1752" t="s">
        <v>1963</v>
      </c>
      <c r="B232" s="1770">
        <f>COUNTIF(退職等_預金・立替・未収!A1:I34,"#"&amp;"REF!")</f>
        <v>0</v>
      </c>
      <c r="C232" s="1770">
        <f>COUNTIF(退職等_預金・立替・未収!A1:I34,"#"&amp;"VALUE!")</f>
        <v>0</v>
      </c>
      <c r="D232" s="1770">
        <f>COUNTIF(退職等_預金・立替・未収!A1:I34,"#"&amp;"DIV/0!")</f>
        <v>0</v>
      </c>
      <c r="E232" s="1770">
        <f>COUNTIF(退職等_預金・立替・未収!A1:I34,"#"&amp;"NAME?")</f>
        <v>0</v>
      </c>
      <c r="F232" s="1770">
        <f>SUMPRODUCT(--ISERROR(退職等_預金・立替・未収!A1:I34))-SUM(B232:E232)</f>
        <v>0</v>
      </c>
      <c r="G232" s="1770">
        <f ca="1">IFERROR(SUMPRODUCT(--ISNUMBER(FIND("[",_xlfn.FORMULATEXT(退職等_預金・立替・未収!A1:I34)))),0)</f>
        <v>0</v>
      </c>
      <c r="H232" s="1771" t="s">
        <v>3213</v>
      </c>
    </row>
    <row r="233" spans="1:8" ht="19.05" customHeight="1">
      <c r="A233" s="1755" t="s">
        <v>1966</v>
      </c>
      <c r="B233" s="1772">
        <f>COUNTIF(退職等_決算精算表!A1:G26,"#"&amp;"REF!")</f>
        <v>0</v>
      </c>
      <c r="C233" s="1772">
        <f>COUNTIF(退職等_決算精算表!A1:G26,"#"&amp;"VALUE!")</f>
        <v>0</v>
      </c>
      <c r="D233" s="1772">
        <f>COUNTIF(退職等_決算精算表!A1:G26,"#"&amp;"DIV/0!")</f>
        <v>0</v>
      </c>
      <c r="E233" s="1772">
        <f>COUNTIF(退職等_決算精算表!A1:G26,"#"&amp;"NAME?")</f>
        <v>0</v>
      </c>
      <c r="F233" s="1772">
        <f>SUMPRODUCT(--ISERROR(退職等_決算精算表!A1:G26))-SUM(B233:E233)</f>
        <v>0</v>
      </c>
      <c r="G233" s="1772">
        <f ca="1">IFERROR(SUMPRODUCT(--ISNUMBER(FIND("[",_xlfn.FORMULATEXT(退職等_決算精算表!A1:G26)))),0)</f>
        <v>0</v>
      </c>
      <c r="H233" s="1773" t="s">
        <v>3211</v>
      </c>
    </row>
    <row r="234" spans="1:8" ht="19.05" customHeight="1">
      <c r="A234" s="1752" t="s">
        <v>3214</v>
      </c>
      <c r="B234" s="1770">
        <f>COUNTIF(退職等_白紙!A1:A1,"#"&amp;"REF!")</f>
        <v>0</v>
      </c>
      <c r="C234" s="1770">
        <f>COUNTIF(退職等_白紙!A1:A1,"#"&amp;"VALUE!")</f>
        <v>0</v>
      </c>
      <c r="D234" s="1770">
        <f>COUNTIF(退職等_白紙!A1:A1,"#"&amp;"DIV/0!")</f>
        <v>0</v>
      </c>
      <c r="E234" s="1770">
        <f>COUNTIF(退職等_白紙!A1:A1,"#"&amp;"NAME?")</f>
        <v>0</v>
      </c>
      <c r="F234" s="1770">
        <f>SUMPRODUCT(--ISERROR(退職等_白紙!A1:A1))-SUM(B234:E234)</f>
        <v>0</v>
      </c>
      <c r="G234" s="1770">
        <f ca="1">IFERROR(SUMPRODUCT(--ISNUMBER(FIND("[",_xlfn.FORMULATEXT(退職等_白紙!A1:A1)))),0)</f>
        <v>0</v>
      </c>
      <c r="H234" s="1771" t="s">
        <v>3204</v>
      </c>
    </row>
    <row r="235" spans="1:8" ht="19.05" customHeight="1">
      <c r="A235" s="1755" t="s">
        <v>3215</v>
      </c>
      <c r="B235" s="1772">
        <f>COUNTIF(経過的_貸借・損益!A1:M25,"#"&amp;"REF!")</f>
        <v>0</v>
      </c>
      <c r="C235" s="1772">
        <f>COUNTIF(経過的_貸借・損益!A1:M25,"#"&amp;"VALUE!")</f>
        <v>0</v>
      </c>
      <c r="D235" s="1772">
        <f>COUNTIF(経過的_貸借・損益!A1:M25,"#"&amp;"DIV/0!")</f>
        <v>0</v>
      </c>
      <c r="E235" s="1772">
        <f>COUNTIF(経過的_貸借・損益!A1:M25,"#"&amp;"NAME?")</f>
        <v>0</v>
      </c>
      <c r="F235" s="1772">
        <f>SUMPRODUCT(--ISERROR(経過的_貸借・損益!A1:M25))-SUM(B235:E235)</f>
        <v>0</v>
      </c>
      <c r="G235" s="1772">
        <f ca="1">IFERROR(SUMPRODUCT(--ISNUMBER(FIND("[",_xlfn.FORMULATEXT(経過的_貸借・損益!A1:M25)))),0)</f>
        <v>0</v>
      </c>
      <c r="H235" s="1773" t="s">
        <v>3216</v>
      </c>
    </row>
    <row r="236" spans="1:8" ht="19.05" customHeight="1">
      <c r="A236" s="1752" t="s">
        <v>1969</v>
      </c>
      <c r="B236" s="1770">
        <f>COUNTIF(経過的_預金・立替・未収!A1:I23,"#"&amp;"REF!")</f>
        <v>0</v>
      </c>
      <c r="C236" s="1770">
        <f>COUNTIF(経過的_預金・立替・未収!A1:I23,"#"&amp;"VALUE!")</f>
        <v>0</v>
      </c>
      <c r="D236" s="1770">
        <f>COUNTIF(経過的_預金・立替・未収!A1:I23,"#"&amp;"DIV/0!")</f>
        <v>0</v>
      </c>
      <c r="E236" s="1770">
        <f>COUNTIF(経過的_預金・立替・未収!A1:I23,"#"&amp;"NAME?")</f>
        <v>0</v>
      </c>
      <c r="F236" s="1770">
        <f>SUMPRODUCT(--ISERROR(経過的_預金・立替・未収!A1:I23))-SUM(B236:E236)</f>
        <v>0</v>
      </c>
      <c r="G236" s="1770">
        <f ca="1">IFERROR(SUMPRODUCT(--ISNUMBER(FIND("[",_xlfn.FORMULATEXT(経過的_預金・立替・未収!A1:I23)))),0)</f>
        <v>0</v>
      </c>
      <c r="H236" s="1771" t="s">
        <v>3217</v>
      </c>
    </row>
    <row r="237" spans="1:8" ht="19.05" customHeight="1">
      <c r="A237" s="1755" t="s">
        <v>1970</v>
      </c>
      <c r="B237" s="1772">
        <f>COUNTIF(経過的_決算精算表!A1:G23,"#"&amp;"REF!")</f>
        <v>0</v>
      </c>
      <c r="C237" s="1772">
        <f>COUNTIF(経過的_決算精算表!A1:G23,"#"&amp;"VALUE!")</f>
        <v>0</v>
      </c>
      <c r="D237" s="1772">
        <f>COUNTIF(経過的_決算精算表!A1:G23,"#"&amp;"DIV/0!")</f>
        <v>0</v>
      </c>
      <c r="E237" s="1772">
        <f>COUNTIF(経過的_決算精算表!A1:G23,"#"&amp;"NAME?")</f>
        <v>0</v>
      </c>
      <c r="F237" s="1772">
        <f>SUMPRODUCT(--ISERROR(経過的_決算精算表!A1:G23))-SUM(B237:E237)</f>
        <v>0</v>
      </c>
      <c r="G237" s="1772">
        <f ca="1">IFERROR(SUMPRODUCT(--ISNUMBER(FIND("[",_xlfn.FORMULATEXT(経過的_決算精算表!A1:G23)))),0)</f>
        <v>0</v>
      </c>
      <c r="H237" s="1773" t="s">
        <v>3218</v>
      </c>
    </row>
    <row r="238" spans="1:8" ht="19.05" customHeight="1">
      <c r="A238" s="1752" t="s">
        <v>3219</v>
      </c>
      <c r="B238" s="1770">
        <f>COUNTIF(経過的_白紙!A1:A1,"#"&amp;"REF!")</f>
        <v>0</v>
      </c>
      <c r="C238" s="1770">
        <f>COUNTIF(経過的_白紙!A1:A1,"#"&amp;"VALUE!")</f>
        <v>0</v>
      </c>
      <c r="D238" s="1770">
        <f>COUNTIF(経過的_白紙!A1:A1,"#"&amp;"DIV/0!")</f>
        <v>0</v>
      </c>
      <c r="E238" s="1770">
        <f>COUNTIF(経過的_白紙!A1:A1,"#"&amp;"NAME?")</f>
        <v>0</v>
      </c>
      <c r="F238" s="1770">
        <f>SUMPRODUCT(--ISERROR(経過的_白紙!A1:A1))-SUM(B238:E238)</f>
        <v>0</v>
      </c>
      <c r="G238" s="1770">
        <f ca="1">IFERROR(SUMPRODUCT(--ISNUMBER(FIND("[",_xlfn.FORMULATEXT(経過的_白紙!A1:A1)))),0)</f>
        <v>0</v>
      </c>
      <c r="H238" s="1771" t="s">
        <v>3204</v>
      </c>
    </row>
    <row r="239" spans="1:8" ht="19.05" customHeight="1">
      <c r="A239" s="1755" t="s">
        <v>3220</v>
      </c>
      <c r="B239" s="1772">
        <f>COUNTIF(預託金_貸借・損益!A1:M30,"#"&amp;"REF!")</f>
        <v>0</v>
      </c>
      <c r="C239" s="1772">
        <f>COUNTIF(預託金_貸借・損益!A1:M30,"#"&amp;"VALUE!")</f>
        <v>0</v>
      </c>
      <c r="D239" s="1772">
        <f>COUNTIF(預託金_貸借・損益!A1:M30,"#"&amp;"DIV/0!")</f>
        <v>0</v>
      </c>
      <c r="E239" s="1772">
        <f>COUNTIF(預託金_貸借・損益!A1:M30,"#"&amp;"NAME?")</f>
        <v>0</v>
      </c>
      <c r="F239" s="1772">
        <f>SUMPRODUCT(--ISERROR(預託金_貸借・損益!A1:M30))-SUM(B239:E239)</f>
        <v>0</v>
      </c>
      <c r="G239" s="1772">
        <f ca="1">IFERROR(SUMPRODUCT(--ISNUMBER(FIND("[",_xlfn.FORMULATEXT(預託金_貸借・損益!A1:M30)))),0)</f>
        <v>0</v>
      </c>
      <c r="H239" s="1773" t="s">
        <v>3221</v>
      </c>
    </row>
    <row r="240" spans="1:8" ht="19.05" customHeight="1">
      <c r="A240" s="1752" t="s">
        <v>1462</v>
      </c>
      <c r="B240" s="1770">
        <f>COUNTIF(預託金_預金・未収・貸付・預託金!A1:O29,"#"&amp;"REF!")</f>
        <v>0</v>
      </c>
      <c r="C240" s="1770">
        <f>COUNTIF(預託金_預金・未収・貸付・預託金!A1:O29,"#"&amp;"VALUE!")</f>
        <v>0</v>
      </c>
      <c r="D240" s="1770">
        <f>COUNTIF(預託金_預金・未収・貸付・預託金!A1:O29,"#"&amp;"DIV/0!")</f>
        <v>0</v>
      </c>
      <c r="E240" s="1770">
        <f>COUNTIF(預託金_預金・未収・貸付・預託金!A1:O29,"#"&amp;"NAME?")</f>
        <v>0</v>
      </c>
      <c r="F240" s="1770">
        <f>SUMPRODUCT(--ISERROR(預託金_預金・未収・貸付・預託金!A1:O29))-SUM(B240:E240)</f>
        <v>0</v>
      </c>
      <c r="G240" s="1770">
        <f ca="1">IFERROR(SUMPRODUCT(--ISNUMBER(FIND("[",_xlfn.FORMULATEXT(預託金_預金・未収・貸付・預託金!A1:O29)))),0)</f>
        <v>0</v>
      </c>
      <c r="H240" s="1771" t="s">
        <v>3222</v>
      </c>
    </row>
    <row r="241" spans="1:8" ht="19.05" customHeight="1">
      <c r="A241" s="1755" t="s">
        <v>1973</v>
      </c>
      <c r="B241" s="1772">
        <f>COUNTIF(預託金_決算精算表!A1:G24,"#"&amp;"REF!")</f>
        <v>0</v>
      </c>
      <c r="C241" s="1772">
        <f>COUNTIF(預託金_決算精算表!A1:G24,"#"&amp;"VALUE!")</f>
        <v>0</v>
      </c>
      <c r="D241" s="1772">
        <f>COUNTIF(預託金_決算精算表!A1:G24,"#"&amp;"DIV/0!")</f>
        <v>0</v>
      </c>
      <c r="E241" s="1772">
        <f>COUNTIF(預託金_決算精算表!A1:G24,"#"&amp;"NAME?")</f>
        <v>0</v>
      </c>
      <c r="F241" s="1772">
        <f>SUMPRODUCT(--ISERROR(預託金_決算精算表!A1:G24))-SUM(B241:E241)</f>
        <v>0</v>
      </c>
      <c r="G241" s="1772">
        <f ca="1">IFERROR(SUMPRODUCT(--ISNUMBER(FIND("[",_xlfn.FORMULATEXT(預託金_決算精算表!A1:G24)))),0)</f>
        <v>0</v>
      </c>
      <c r="H241" s="1773" t="s">
        <v>3223</v>
      </c>
    </row>
    <row r="242" spans="1:8" ht="19.05" customHeight="1">
      <c r="A242" s="1752" t="s">
        <v>3224</v>
      </c>
      <c r="B242" s="1770">
        <f>COUNTIF(預託金_白紙!A1:A1,"#"&amp;"REF!")</f>
        <v>0</v>
      </c>
      <c r="C242" s="1770">
        <f>COUNTIF(預託金_白紙!A1:A1,"#"&amp;"VALUE!")</f>
        <v>0</v>
      </c>
      <c r="D242" s="1770">
        <f>COUNTIF(預託金_白紙!A1:A1,"#"&amp;"DIV/0!")</f>
        <v>0</v>
      </c>
      <c r="E242" s="1770">
        <f>COUNTIF(預託金_白紙!A1:A1,"#"&amp;"NAME?")</f>
        <v>0</v>
      </c>
      <c r="F242" s="1770">
        <f>SUMPRODUCT(--ISERROR(預託金_白紙!A1:A1))-SUM(B242:E242)</f>
        <v>0</v>
      </c>
      <c r="G242" s="1770">
        <f ca="1">IFERROR(SUMPRODUCT(--ISNUMBER(FIND("[",_xlfn.FORMULATEXT(預託金_白紙!A1:A1)))),0)</f>
        <v>0</v>
      </c>
      <c r="H242" s="1771" t="s">
        <v>3204</v>
      </c>
    </row>
    <row r="243" spans="1:8" ht="19.05" customHeight="1">
      <c r="A243" s="1755" t="s">
        <v>3225</v>
      </c>
      <c r="B243" s="1772">
        <f>COUNTIF(業務_財務諸表!A1:H59,"#"&amp;"REF!")</f>
        <v>0</v>
      </c>
      <c r="C243" s="1772">
        <f>COUNTIF(業務_財務諸表!A1:H59,"#"&amp;"VALUE!")</f>
        <v>0</v>
      </c>
      <c r="D243" s="1772">
        <f>COUNTIF(業務_財務諸表!A1:H59,"#"&amp;"DIV/0!")</f>
        <v>0</v>
      </c>
      <c r="E243" s="1772">
        <f>COUNTIF(業務_財務諸表!A1:H59,"#"&amp;"NAME?")</f>
        <v>0</v>
      </c>
      <c r="F243" s="1772">
        <f>SUMPRODUCT(--ISERROR(業務_財務諸表!A1:H59))-SUM(B243:E243)</f>
        <v>0</v>
      </c>
      <c r="G243" s="1772">
        <f ca="1">IFERROR(SUMPRODUCT(--ISNUMBER(FIND("[",_xlfn.FORMULATEXT(業務_財務諸表!A1:H59)))),0)</f>
        <v>0</v>
      </c>
      <c r="H243" s="1773" t="s">
        <v>3226</v>
      </c>
    </row>
    <row r="244" spans="1:8" ht="19.05" customHeight="1">
      <c r="A244" s="1752" t="s">
        <v>1467</v>
      </c>
      <c r="B244" s="1770">
        <f>COUNTIF(業務_附属明細表!A1:Y150,"#"&amp;"REF!")</f>
        <v>0</v>
      </c>
      <c r="C244" s="1770">
        <f>COUNTIF(業務_附属明細表!A1:Y150,"#"&amp;"VALUE!")</f>
        <v>0</v>
      </c>
      <c r="D244" s="1770">
        <f>COUNTIF(業務_附属明細表!A1:Y150,"#"&amp;"DIV/0!")</f>
        <v>0</v>
      </c>
      <c r="E244" s="1770">
        <f>COUNTIF(業務_附属明細表!A1:Y150,"#"&amp;"NAME?")</f>
        <v>0</v>
      </c>
      <c r="F244" s="1770">
        <f>SUMPRODUCT(--ISERROR(業務_附属明細表!A1:Y150))-SUM(B244:E244)</f>
        <v>0</v>
      </c>
      <c r="G244" s="1770">
        <f ca="1">IFERROR(SUMPRODUCT(--ISNUMBER(FIND("[",_xlfn.FORMULATEXT(業務_附属明細表!A1:Y150)))),0)</f>
        <v>0</v>
      </c>
      <c r="H244" s="1771" t="s">
        <v>3227</v>
      </c>
    </row>
    <row r="245" spans="1:8" ht="19.05" customHeight="1">
      <c r="A245" s="1755" t="s">
        <v>2011</v>
      </c>
      <c r="B245" s="1772">
        <f>COUNTIF(業務_決算精算表!A1:G54,"#"&amp;"REF!")</f>
        <v>0</v>
      </c>
      <c r="C245" s="1772">
        <f>COUNTIF(業務_決算精算表!A1:G54,"#"&amp;"VALUE!")</f>
        <v>0</v>
      </c>
      <c r="D245" s="1772">
        <f>COUNTIF(業務_決算精算表!A1:G54,"#"&amp;"DIV/0!")</f>
        <v>0</v>
      </c>
      <c r="E245" s="1772">
        <f>COUNTIF(業務_決算精算表!A1:G54,"#"&amp;"NAME?")</f>
        <v>0</v>
      </c>
      <c r="F245" s="1772">
        <f>SUMPRODUCT(--ISERROR(業務_決算精算表!A1:G54))-SUM(B245:E245)</f>
        <v>0</v>
      </c>
      <c r="G245" s="1772">
        <f ca="1">IFERROR(SUMPRODUCT(--ISNUMBER(FIND("[",_xlfn.FORMULATEXT(業務_決算精算表!A1:G54)))),0)</f>
        <v>0</v>
      </c>
      <c r="H245" s="1773" t="s">
        <v>3228</v>
      </c>
    </row>
    <row r="246" spans="1:8" ht="19.05" customHeight="1">
      <c r="A246" s="1752" t="s">
        <v>3229</v>
      </c>
      <c r="B246" s="1770">
        <f>COUNTIF(業務_白紙!A1:A1,"#"&amp;"REF!")</f>
        <v>0</v>
      </c>
      <c r="C246" s="1770">
        <f>COUNTIF(業務_白紙!A1:A1,"#"&amp;"VALUE!")</f>
        <v>0</v>
      </c>
      <c r="D246" s="1770">
        <f>COUNTIF(業務_白紙!A1:A1,"#"&amp;"DIV/0!")</f>
        <v>0</v>
      </c>
      <c r="E246" s="1770">
        <f>COUNTIF(業務_白紙!A1:A1,"#"&amp;"NAME?")</f>
        <v>0</v>
      </c>
      <c r="F246" s="1770">
        <f>SUMPRODUCT(--ISERROR(業務_白紙!A1:A1))-SUM(B246:E246)</f>
        <v>0</v>
      </c>
      <c r="G246" s="1770">
        <f ca="1">IFERROR(SUMPRODUCT(--ISNUMBER(FIND("[",_xlfn.FORMULATEXT(業務_白紙!A1:A1)))),0)</f>
        <v>0</v>
      </c>
      <c r="H246" s="1771" t="s">
        <v>3204</v>
      </c>
    </row>
    <row r="247" spans="1:8" ht="19.05" customHeight="1">
      <c r="A247" s="1755" t="s">
        <v>3230</v>
      </c>
      <c r="B247" s="1772">
        <f>COUNTIF(保健_財務諸表!A1:K62,"#"&amp;"REF!")</f>
        <v>0</v>
      </c>
      <c r="C247" s="1772">
        <f>COUNTIF(保健_財務諸表!A1:K62,"#"&amp;"VALUE!")</f>
        <v>0</v>
      </c>
      <c r="D247" s="1772">
        <f>COUNTIF(保健_財務諸表!A1:K62,"#"&amp;"DIV/0!")</f>
        <v>0</v>
      </c>
      <c r="E247" s="1772">
        <f>COUNTIF(保健_財務諸表!A1:K62,"#"&amp;"NAME?")</f>
        <v>0</v>
      </c>
      <c r="F247" s="1772">
        <f>SUMPRODUCT(--ISERROR(保健_財務諸表!A1:K62))-SUM(B247:E247)</f>
        <v>0</v>
      </c>
      <c r="G247" s="1772">
        <f ca="1">IFERROR(SUMPRODUCT(--ISNUMBER(FIND("[",_xlfn.FORMULATEXT(保健_財務諸表!A1:K62)))),0)</f>
        <v>0</v>
      </c>
      <c r="H247" s="1773" t="s">
        <v>3231</v>
      </c>
    </row>
    <row r="248" spans="1:8" ht="19.05" customHeight="1">
      <c r="A248" s="1752" t="s">
        <v>1475</v>
      </c>
      <c r="B248" s="1770">
        <f>COUNTIF(保健_附属明細表!A1:AA167,"#"&amp;"REF!")</f>
        <v>0</v>
      </c>
      <c r="C248" s="1770">
        <f>COUNTIF(保健_附属明細表!A1:AA167,"#"&amp;"VALUE!")</f>
        <v>0</v>
      </c>
      <c r="D248" s="1770">
        <f>COUNTIF(保健_附属明細表!A1:AA167,"#"&amp;"DIV/0!")</f>
        <v>0</v>
      </c>
      <c r="E248" s="1770">
        <f>COUNTIF(保健_附属明細表!A1:AA167,"#"&amp;"NAME?")</f>
        <v>0</v>
      </c>
      <c r="F248" s="1770">
        <f>SUMPRODUCT(--ISERROR(保健_附属明細表!A1:AA167))-SUM(B248:E248)</f>
        <v>0</v>
      </c>
      <c r="G248" s="1770">
        <f ca="1">IFERROR(SUMPRODUCT(--ISNUMBER(FIND("[",_xlfn.FORMULATEXT(保健_附属明細表!A1:AA167)))),0)</f>
        <v>0</v>
      </c>
      <c r="H248" s="1771" t="s">
        <v>3232</v>
      </c>
    </row>
    <row r="249" spans="1:8" ht="19.05" customHeight="1">
      <c r="A249" s="1755" t="s">
        <v>2114</v>
      </c>
      <c r="B249" s="1772">
        <f>COUNTIF(保健_決算精算表!A1:G59,"#"&amp;"REF!")</f>
        <v>0</v>
      </c>
      <c r="C249" s="1772">
        <f>COUNTIF(保健_決算精算表!A1:G59,"#"&amp;"VALUE!")</f>
        <v>0</v>
      </c>
      <c r="D249" s="1772">
        <f>COUNTIF(保健_決算精算表!A1:G59,"#"&amp;"DIV/0!")</f>
        <v>0</v>
      </c>
      <c r="E249" s="1772">
        <f>COUNTIF(保健_決算精算表!A1:G59,"#"&amp;"NAME?")</f>
        <v>0</v>
      </c>
      <c r="F249" s="1772">
        <f>SUMPRODUCT(--ISERROR(保健_決算精算表!A1:G59))-SUM(B249:E249)</f>
        <v>0</v>
      </c>
      <c r="G249" s="1772">
        <f ca="1">IFERROR(SUMPRODUCT(--ISNUMBER(FIND("[",_xlfn.FORMULATEXT(保健_決算精算表!A1:G59)))),0)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COUNTIF(貸付_財務諸表!A1:H58,"#"&amp;"REF!")</f>
        <v>0</v>
      </c>
      <c r="C251" s="1772">
        <f>COUNTIF(貸付_財務諸表!A1:H58,"#"&amp;"VALUE!")</f>
        <v>0</v>
      </c>
      <c r="D251" s="1772">
        <f>COUNTIF(貸付_財務諸表!A1:H58,"#"&amp;"DIV/0!")</f>
        <v>0</v>
      </c>
      <c r="E251" s="1772">
        <f>COUNTIF(貸付_財務諸表!A1:H58,"#"&amp;"NAME?")</f>
        <v>0</v>
      </c>
      <c r="F251" s="1772">
        <f>SUMPRODUCT(--ISERROR(貸付_財務諸表!A1:H58))-SUM(B251:E251)</f>
        <v>0</v>
      </c>
      <c r="G251" s="1772">
        <f ca="1">IFERROR(SUMPRODUCT(--ISNUMBER(FIND("[",_xlfn.FORMULATEXT(貸付_財務諸表!A1:H58)))),0)</f>
        <v>0</v>
      </c>
      <c r="H251" s="1773" t="s">
        <v>3235</v>
      </c>
    </row>
    <row r="252" spans="1:8" ht="19.05" customHeight="1">
      <c r="A252" s="1752" t="s">
        <v>3236</v>
      </c>
      <c r="B252" s="1770">
        <f>COUNTIF(貸付_附属明細表!A1:V125,"#"&amp;"REF!")</f>
        <v>0</v>
      </c>
      <c r="C252" s="1770">
        <f>COUNTIF(貸付_附属明細表!A1:V125,"#"&amp;"VALUE!")</f>
        <v>0</v>
      </c>
      <c r="D252" s="1770">
        <f>COUNTIF(貸付_附属明細表!A1:V125,"#"&amp;"DIV/0!")</f>
        <v>0</v>
      </c>
      <c r="E252" s="1770">
        <f>COUNTIF(貸付_附属明細表!A1:V125,"#"&amp;"NAME?")</f>
        <v>0</v>
      </c>
      <c r="F252" s="1770">
        <f>SUMPRODUCT(--ISERROR(貸付_附属明細表!A1:V125))-SUM(B252:E252)</f>
        <v>0</v>
      </c>
      <c r="G252" s="1770">
        <f ca="1">IFERROR(SUMPRODUCT(--ISNUMBER(FIND("[",_xlfn.FORMULATEXT(貸付_附属明細表!A1:V125)))),0)</f>
        <v>0</v>
      </c>
      <c r="H252" s="1771" t="s">
        <v>3237</v>
      </c>
    </row>
    <row r="253" spans="1:8" ht="19.05" customHeight="1">
      <c r="A253" s="1755" t="s">
        <v>1477</v>
      </c>
      <c r="B253" s="1772">
        <f>COUNTIF(貸付_決算精算表!A1:G45,"#"&amp;"REF!")</f>
        <v>0</v>
      </c>
      <c r="C253" s="1772">
        <f>COUNTIF(貸付_決算精算表!A1:G45,"#"&amp;"VALUE!")</f>
        <v>0</v>
      </c>
      <c r="D253" s="1772">
        <f>COUNTIF(貸付_決算精算表!A1:G45,"#"&amp;"DIV/0!")</f>
        <v>0</v>
      </c>
      <c r="E253" s="1772">
        <f>COUNTIF(貸付_決算精算表!A1:G45,"#"&amp;"NAME?")</f>
        <v>0</v>
      </c>
      <c r="F253" s="1772">
        <f>SUMPRODUCT(--ISERROR(貸付_決算精算表!A1:G45))-SUM(B253:E253)</f>
        <v>0</v>
      </c>
      <c r="G253" s="1772">
        <f ca="1">IFERROR(SUMPRODUCT(--ISNUMBER(FIND("[",_xlfn.FORMULATEXT(貸付_決算精算表!A1:G45)))),0)</f>
        <v>0</v>
      </c>
      <c r="H253" s="1773" t="s">
        <v>3238</v>
      </c>
    </row>
    <row r="254" spans="1:8" ht="19.05" customHeight="1">
      <c r="A254" s="1752" t="s">
        <v>3239</v>
      </c>
      <c r="B254" s="1770">
        <f>COUNTIF(貸付_白紙!A1:A1,"#"&amp;"REF!")</f>
        <v>0</v>
      </c>
      <c r="C254" s="1770">
        <f>COUNTIF(貸付_白紙!A1:A1,"#"&amp;"VALUE!")</f>
        <v>0</v>
      </c>
      <c r="D254" s="1770">
        <f>COUNTIF(貸付_白紙!A1:A1,"#"&amp;"DIV/0!")</f>
        <v>0</v>
      </c>
      <c r="E254" s="1770">
        <f>COUNTIF(貸付_白紙!A1:A1,"#"&amp;"NAME?")</f>
        <v>0</v>
      </c>
      <c r="F254" s="1770">
        <f>SUMPRODUCT(--ISERROR(貸付_白紙!A1:A1))-SUM(B254:E254)</f>
        <v>0</v>
      </c>
      <c r="G254" s="1770">
        <f ca="1">IFERROR(SUMPRODUCT(--ISNUMBER(FIND("[",_xlfn.FORMULATEXT(貸付_白紙!A1:A1)))),0)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2">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2">
      <formula>AND(入力色表示=1,NOT(_xlfn.ISFORMULA(G55)))</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2">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2">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2">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短期_附属明細表 ほか1シート" sqref="CB49"/>
    <dataValidation allowBlank="1" showInputMessage="1" promptTitle="手入力セル" prompt="反映先：報告_短期P7-10 CB66,DD50,FH50&#10;他の帳票：報告_短期P11-13、報告_P8グラフデータ、短期_財務諸表、短期_附属明細表 ほか1シート" sqref="CB50"/>
    <dataValidation allowBlank="1" showInputMessage="1" promptTitle="手入力セル" prompt="反映先：報告_短期P7-10 CB66,CP142,DD51…&#10;他の帳票：報告_短期P11-13、報告_P8グラフデータ、短期_財務諸表、短期_附属明細表 ほか1シート" sqref="CB51"/>
    <dataValidation allowBlank="1" showInputMessage="1" promptTitle="手入力セル" prompt="反映先：報告_短期P7-10 CB66,DD52,FH52&#10;他の帳票：報告_短期P11-13、報告_P8グラフデータ、短期_財務諸表、短期_附属明細表 ほか1シート" sqref="CB52"/>
    <dataValidation allowBlank="1" showInputMessage="1" promptTitle="手入力セル" prompt="反映先：報告_短期P7-10 CB66,CP151,DD53…&#10;他の帳票：報告_短期P11-13、報告_P8グラフデータ、短期_財務諸表、短期_附属明細表 ほか1シート" sqref="CB53"/>
    <dataValidation allowBlank="1" showInputMessage="1" promptTitle="手入力セル" prompt="反映先：報告_短期P7-10 CB66,CP154,DD54…&#10;他の帳票：報告_短期P11-13、報告_P8グラフデータ、短期_財務諸表、短期_附属明細表 ほか1シート" sqref="CB54"/>
    <dataValidation allowBlank="1" showInputMessage="1" promptTitle="手入力セル" prompt="反映先：報告_短期P7-10 CB66,DD55,FH55&#10;他の帳票：報告_短期P11-13、報告_P8グラフデータ、短期_財務諸表、短期_附属明細表 ほか1シート" sqref="CB55"/>
    <dataValidation allowBlank="1" showInputMessage="1" promptTitle="手入力セル" prompt="反映先：報告_短期P7-10 CB66,DD56,FH56&#10;他の帳票：報告_短期P11-13、報告_P8グラフデータ、短期_財務諸表、短期_附属明細表 ほか1シート" sqref="CB56"/>
    <dataValidation allowBlank="1" showInputMessage="1" promptTitle="手入力セル" prompt="反映先：報告_短期P7-10 CB66,CP154,DD57…&#10;他の帳票：報告_短期P11-13、報告_P8グラフデータ、短期_財務諸表、短期_附属明細表 ほか1シート" sqref="CB57"/>
    <dataValidation allowBlank="1" showInputMessage="1" promptTitle="手入力セル" prompt="反映先：報告_短期P7-10 CB66,DD58,FH58&#10;他の帳票：報告_短期P11-13、報告_P8グラフデータ、短期_財務諸表、短期_附属明細表 ほか1シート" sqref="CB58"/>
    <dataValidation allowBlank="1" showInputMessage="1" promptTitle="手入力セル" prompt="反映先：報告_短期P7-10 CB66,DD59,FH59&#10;他の帳票：報告_短期P11-13、報告_P8グラフデータ、短期_財務諸表、短期_附属明細表 ほか1シート" sqref="CB59"/>
    <dataValidation allowBlank="1" showInputMessage="1" promptTitle="手入力セル" prompt="反映先：報告_短期P7-10 CB66,DD60,FH60&#10;他の帳票：報告_短期P11-13、報告_P8グラフデータ、短期_財務諸表、短期_附属明細表 ほか1シート" sqref="CB60"/>
    <dataValidation allowBlank="1" showInputMessage="1" promptTitle="手入力セル" prompt="反映先：報告_短期P7-10 CB66,DD61,FH61&#10;他の帳票：報告_短期P11-13、報告_P8グラフデータ、短期_財務諸表、短期_附属明細表 ほか1シート" sqref="CB61"/>
    <dataValidation allowBlank="1" showInputMessage="1" promptTitle="手入力セル" prompt="反映先：報告_短期P7-10 CB66,DD62,FH62&#10;他の帳票：報告_短期P11-13、報告_P8グラフデータ、短期_財務諸表、短期_附属明細表 ほか1シート" sqref="CB62"/>
    <dataValidation allowBlank="1" showInputMessage="1" promptTitle="手入力セル" prompt="反映先：報告_短期P7-10 CB66,DD63,FH63&#10;他の帳票：報告_短期P11-13、報告_P8グラフデータ、短期_財務諸表、短期_附属明細表 ほか1シート" sqref="CB63"/>
    <dataValidation allowBlank="1" showInputMessage="1" promptTitle="手入力セル" prompt="反映先：報告_短期P7-10 CB66,DD64,FH64&#10;他の帳票：報告_短期P11-13、報告_P8グラフデータ、短期_財務諸表、短期_附属明細表 ほか1シート" sqref="CB64"/>
    <dataValidation allowBlank="1" showInputMessage="1" promptTitle="手入力セル" prompt="反映先：報告_短期P7-10 CB66,DD65,FH65&#10;他の帳票：報告_短期P11-13、報告_P8グラフデータ、短期_財務諸表、短期_附属明細表 ほか1シート" sqref="CB65"/>
    <dataValidation allowBlank="1" showInputMessage="1" promptTitle="手入力セル" prompt="反映先：報告_短期P7-10 CB74,DD67,FH67&#10;他の帳票：報告_短期P11-13、報告_P8グラフデータ、短期_財務諸表、短期_附属明細表 ほか1シート" sqref="CB67"/>
    <dataValidation allowBlank="1" showInputMessage="1" promptTitle="手入力セル" prompt="反映先：報告_短期P7-10 CB74,DD68,FH68&#10;他の帳票：報告_短期P11-13、報告_P8グラフデータ、短期_財務諸表、短期_附属明細表 ほか1シート" sqref="CB68"/>
    <dataValidation allowBlank="1" showInputMessage="1" promptTitle="手入力セル" prompt="反映先：報告_短期P7-10 CB74,DD69,FH69&#10;他の帳票：報告_短期P11-13、報告_P8グラフデータ、短期_財務諸表、短期_附属明細表 ほか1シート" sqref="CB69"/>
    <dataValidation allowBlank="1" showInputMessage="1" promptTitle="手入力セル" prompt="反映先：報告_短期P7-10 CB74,DD70,FH70&#10;他の帳票：報告_短期P11-13、報告_P8グラフデータ、短期_財務諸表、短期_附属明細表 ほか1シート" sqref="CB70"/>
    <dataValidation allowBlank="1" showInputMessage="1" promptTitle="手入力セル" prompt="反映先：報告_短期P7-10 CB74,DD71,FH71&#10;他の帳票：報告_短期P11-13、報告_P8グラフデータ、短期_財務諸表、短期_附属明細表 ほか1シート" sqref="CB71"/>
    <dataValidation allowBlank="1" showInputMessage="1" promptTitle="手入力セル" prompt="反映先：報告_短期P7-10 CB74,DD72,FH72&#10;他の帳票：報告_短期P11-13、報告_P8グラフデータ、短期_財務諸表、短期_附属明細表 ほか1シート" sqref="CB72"/>
    <dataValidation allowBlank="1" showInputMessage="1" promptTitle="手入力セル" prompt="反映先：報告_短期P7-10 CB74,DD73,FH73&#10;他の帳票：報告_短期P11-13、報告_P8グラフデータ、短期_財務諸表、短期_附属明細表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短期_附属明細表 ほか1シート" sqref="CB82"/>
    <dataValidation allowBlank="1" showInputMessage="1" promptTitle="手入力セル" prompt="反映先：報告_短期P7-10 CB89,DD83,FH83&#10;他の帳票：報告_短期P11-13、報告_P8グラフデータ、短期_財務諸表、短期_附属明細表 ほか1シート" sqref="CB83"/>
    <dataValidation allowBlank="1" showInputMessage="1" promptTitle="手入力セル" prompt="反映先：報告_短期P7-10 CB89,DD84,FH84&#10;他の帳票：報告_短期P11-13、報告_P8グラフデータ、短期_財務諸表、短期_附属明細表 ほか1シート" sqref="CB84"/>
    <dataValidation allowBlank="1" showInputMessage="1" promptTitle="手入力セル" prompt="反映先：報告_短期P7-10 CB89,DD85,FH85&#10;他の帳票：報告_短期P11-13、報告_P8グラフデータ、短期_財務諸表、短期_附属明細表 ほか1シート" sqref="CB85"/>
    <dataValidation allowBlank="1" showInputMessage="1" promptTitle="手入力セル" prompt="反映先：報告_短期P7-10 CB89,DD86,FH86&#10;他の帳票：報告_短期P11-13、報告_P8グラフデータ、短期_財務諸表、短期_附属明細表 ほか1シート" sqref="CB86"/>
    <dataValidation allowBlank="1" showInputMessage="1" promptTitle="手入力セル" prompt="反映先：報告_短期P7-10 CB89,DD87,FH87&#10;他の帳票：報告_短期P11-13、報告_P8グラフデータ、短期_財務諸表、短期_附属明細表 ほか1シート" sqref="CB87"/>
    <dataValidation allowBlank="1" showInputMessage="1" promptTitle="手入力セル" prompt="反映先：報告_短期P7-10 CB89,DD88,FH88&#10;他の帳票：報告_短期P11-13、報告_P8グラフデータ、短期_財務諸表、短期_附属明細表 ほか1シート" sqref="CB88"/>
    <dataValidation allowBlank="1" showInputMessage="1" promptTitle="手入力セル" prompt="反映先：報告_短期P7-10 CB102,DD100,FH100&#10;他の帳票：報告_短期P11-13、報告_P8グラフデータ、短期_財務諸表、短期_附属明細表 ほか1シート" sqref="CB100"/>
    <dataValidation allowBlank="1" showInputMessage="1" promptTitle="手入力セル" prompt="反映先：報告_短期P7-10 CB102,DD101,FH101&#10;他の帳票：報告_短期P11-13、報告_P8グラフデータ、短期_財務諸表、短期_附属明細表 ほか1シート" sqref="CB101"/>
    <dataValidation allowBlank="1" showInputMessage="1" promptTitle="手入力セル" prompt="反映先：報告_短期P7-10 CB105,DD103,FH103&#10;他の帳票：報告_短期P11-13、報告_P8グラフデータ、短期_財務諸表、短期_附属明細表 ほか1シート" sqref="CB103"/>
    <dataValidation allowBlank="1" showInputMessage="1" promptTitle="手入力セル" prompt="反映先：報告_短期P7-10 CB105,DD104,FH104&#10;他の帳票：報告_短期P11-13、報告_P8グラフデータ、短期_財務諸表、短期_附属明細表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短期_財務諸表!G13</f>
        <v>907739421</v>
      </c>
      <c r="Y90" s="2032"/>
      <c r="Z90" s="2032"/>
      <c r="AA90" s="2032"/>
      <c r="AB90" s="2032"/>
      <c r="AC90" s="2032"/>
      <c r="AD90" s="2032"/>
      <c r="AE90" s="2032"/>
      <c r="AF90" s="2032"/>
      <c r="AG90" s="2032"/>
      <c r="AH90" s="2032"/>
      <c r="AI90" s="2032"/>
      <c r="AJ90" s="2032"/>
      <c r="AK90" s="2032"/>
      <c r="AL90" s="2032"/>
      <c r="AM90" s="226"/>
      <c r="AN90" s="2032">
        <f>短期_財務諸表!H56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短期_財務諸表!F19</f>
        <v>533584212</v>
      </c>
      <c r="Y91" s="2032"/>
      <c r="Z91" s="2032"/>
      <c r="AA91" s="2032"/>
      <c r="AB91" s="2032"/>
      <c r="AC91" s="2032"/>
      <c r="AD91" s="2032"/>
      <c r="AE91" s="2032"/>
      <c r="AF91" s="2032"/>
      <c r="AG91" s="2032"/>
      <c r="AH91" s="2032"/>
      <c r="AI91" s="2032"/>
      <c r="AJ91" s="2032"/>
      <c r="AK91" s="2032"/>
      <c r="AL91" s="2032"/>
      <c r="AM91" s="226"/>
      <c r="AN91" s="2032">
        <f>短期_附属明細表!E99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短期_財務諸表!F20</f>
        <v>2358068031</v>
      </c>
      <c r="Y95" s="2032"/>
      <c r="Z95" s="2032"/>
      <c r="AA95" s="2032"/>
      <c r="AB95" s="2032"/>
      <c r="AC95" s="2032"/>
      <c r="AD95" s="2032"/>
      <c r="AE95" s="2032"/>
      <c r="AF95" s="2032"/>
      <c r="AG95" s="2032"/>
      <c r="AH95" s="2032"/>
      <c r="AI95" s="2032"/>
      <c r="AJ95" s="2032"/>
      <c r="AK95" s="2032"/>
      <c r="AL95" s="2032"/>
      <c r="AM95" s="226"/>
      <c r="AN95" s="2032">
        <f>短期_附属明細表!K109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短期_財務諸表!F21</f>
        <v>158483531</v>
      </c>
      <c r="Y97" s="2037"/>
      <c r="Z97" s="2037"/>
      <c r="AA97" s="2037"/>
      <c r="AB97" s="2037"/>
      <c r="AC97" s="2037"/>
      <c r="AD97" s="2037"/>
      <c r="AE97" s="2037"/>
      <c r="AF97" s="2037"/>
      <c r="AG97" s="2037"/>
      <c r="AH97" s="2037"/>
      <c r="AI97" s="2037"/>
      <c r="AJ97" s="2037"/>
      <c r="AK97" s="2037"/>
      <c r="AL97" s="2037"/>
      <c r="AM97" s="226"/>
      <c r="AN97" s="2037">
        <f>短期_附属明細表!E101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C63=0,"0",IF(短期_財務諸表!C63&gt;=100000000,TEXT(INT(短期_財務諸表!C63/100000000),"#,##0")&amp;"億","")&amp;IF(MOD(INT(短期_財務諸表!C63/10000),10000)&gt;0,TEXT(MOD(INT(短期_財務諸表!C63/10000),10000),"#,##0")&amp;"万","")&amp;IF(MOD(短期_財務諸表!C63,10000)&gt;0,TEXT(MOD(短期_財務諸表!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I99=0,"0",IF(短期_附属明細表!I99&gt;=100000000,TEXT(INT(短期_附属明細表!I99/100000000),"#,##0")&amp;"億","")&amp;IF(MOD(INT(短期_附属明細表!I99/10000),10000)&gt;0,TEXT(MOD(INT(短期_附属明細表!I99/10000),10000),"#,##0")&amp;"万","")&amp;IF(MOD(短期_附属明細表!I99,10000)&gt;0,TEXT(MOD(短期_附属明細表!I99,10000),"#,##0"),""))&amp;"円"&amp;"を積み立て法定額とし、"&amp;IF(短期_附属明細表!I100=0,"0",IF(短期_附属明細表!I100&gt;=100000000,TEXT(INT(短期_附属明細表!I100/100000000),"#,##0")&amp;"億","")&amp;IF(MOD(INT(短期_附属明細表!I100/10000),10000)&gt;0,TEXT(MOD(INT(短期_附属明細表!I100/10000),10000),"#,##0")&amp;"万","")&amp;IF(MOD(短期_附属明細表!I100,10000)&gt;0,TEXT(MOD(短期_附属明細表!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E99=0,"0",IF(短期_附属明細表!E99&gt;=100000000,TEXT(INT(短期_附属明細表!E99/100000000),"#,##0")&amp;"億","")&amp;IF(MOD(INT(短期_附属明細表!E99/10000),10000)&gt;0,TEXT(MOD(INT(短期_附属明細表!E99/10000),10000),"#,##0")&amp;"万","")&amp;IF(MOD(短期_附属明細表!E99,10000)&gt;0,TEXT(MOD(短期_附属明細表!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Q99=0,"0",IF(短期_附属明細表!Q99&gt;=100000000,TEXT(INT(短期_附属明細表!Q99/100000000),"#,##0")&amp;"億","")&amp;IF(MOD(INT(短期_附属明細表!Q99/10000),10000)&gt;0,TEXT(MOD(INT(短期_附属明細表!Q99/10000),10000),"#,##0")&amp;"万","")&amp;IF(MOD(短期_附属明細表!Q99,10000)&gt;0,TEXT(MOD(短期_附属明細表!Q99,10000),"#,##0"),""))&amp;"円"&amp;"となり、また、前年度より繰り越した短期積立金"&amp;IF(短期_附属明細表!E100=0,"0",IF(短期_附属明細表!E100&gt;=100000000,TEXT(INT(短期_附属明細表!E100/100000000),"#,##0")&amp;"億","")&amp;IF(MOD(INT(短期_附属明細表!E100/10000),10000)&gt;0,TEXT(MOD(INT(短期_附属明細表!E100/10000),10000),"#,##0")&amp;"万","")&amp;IF(MOD(短期_附属明細表!E100,10000)&gt;0,TEXT(MOD(短期_附属明細表!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Q100=0,"0",IF(短期_附属明細表!Q100&gt;=100000000,TEXT(INT(短期_附属明細表!Q100/100000000),"#,##0")&amp;"億","")&amp;IF(MOD(INT(短期_附属明細表!Q100/10000),10000)&gt;0,TEXT(MOD(INT(短期_附属明細表!Q100/10000),10000),"#,##0")&amp;"万","")&amp;IF(MOD(短期_附属明細表!Q100,10000)&gt;0,TEXT(MOD(短期_附属明細表!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C64=0,"0",IF(短期_財務諸表!C64&gt;=100000000,TEXT(INT(短期_財務諸表!C64/100000000),"#,##0")&amp;"億","")&amp;IF(MOD(INT(短期_財務諸表!C64/10000),10000)&gt;0,TEXT(MOD(INT(短期_財務諸表!C64/10000),10000),"#,##0")&amp;"万","")&amp;IF(MOD(短期_財務諸表!C64,10000)&gt;0,TEXT(MOD(短期_財務諸表!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E101=0,"0",IF(短期_附属明細表!E101&gt;=100000000,TEXT(INT(短期_附属明細表!E101/100000000),"#,##0")&amp;"億","")&amp;IF(MOD(INT(短期_附属明細表!E101/10000),10000)&gt;0,TEXT(MOD(INT(短期_附属明細表!E101/10000),10000),"#,##0")&amp;"万","")&amp;IF(MOD(短期_附属明細表!E101,10000)&gt;0,TEXT(MOD(短期_附属明細表!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Q101=0,"0",IF(短期_附属明細表!Q101&gt;=100000000,TEXT(INT(短期_附属明細表!Q101/100000000),"#,##0")&amp;"億","")&amp;IF(MOD(INT(短期_附属明細表!Q101/10000),10000)&gt;0,TEXT(MOD(INT(短期_附属明細表!Q101/10000),10000),"#,##0")&amp;"万","")&amp;IF(MOD(短期_附属明細表!Q101,10000)&gt;0,TEXT(MOD(短期_附属明細表!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Q102=0,"0",IF(短期_附属明細表!Q102&gt;=100000000,TEXT(INT(短期_附属明細表!Q102/100000000),"#,##0")&amp;"億","")&amp;IF(MOD(INT(短期_附属明細表!Q102/10000),10000)&gt;0,TEXT(MOD(INT(短期_附属明細表!Q102/10000),10000),"#,##0")&amp;"万","")&amp;IF(MOD(短期_附属明細表!Q102,10000)&gt;0,TEXT(MOD(短期_附属明細表!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2">
      <formula>AND(入力色表示=1,NOT(_xlfn.ISFORMULA(H85)))</formula>
    </cfRule>
  </conditionalFormatting>
  <conditionalFormatting sqref="AD18 AA49 AP49">
    <cfRule type="expression" dxfId="7"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conditionalFormatting sqref="B8 B11">
    <cfRule type="expression" dxfId="7" priority="1">
      <formula>入力色表示=1</formula>
    </cfRule>
  </conditionalFormatting>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2">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厚生_決算精算表" sqref="W33"/>
    <dataValidation allowBlank="1" showInputMessage="1" promptTitle="手入力セル" prompt="反映先：報告_厚生年金P14 W32,AG34,BA34&#10;他の帳票：厚生_貸借・損益、厚生_決算精算表" sqref="W34"/>
    <dataValidation allowBlank="1" showInputMessage="1" promptTitle="手入力セル" prompt="反映先：報告_厚生年金P14 W32,AG35,BA35&#10;他の帳票：厚生_貸借・損益、厚生_決算精算表" sqref="W35"/>
    <dataValidation allowBlank="1" showInputMessage="1" promptTitle="手入力セル" prompt="反映先：報告_厚生年金P14 W32,AG36,BA36&#10;他の帳票：厚生_貸借・損益、厚生_決算精算表" sqref="W36"/>
    <dataValidation allowBlank="1" showInputMessage="1" promptTitle="手入力セル" prompt="反映先：報告_厚生年金P14 W37,AG38,BA38&#10;他の帳票：厚生_貸借・損益、厚生_決算精算表" sqref="W38"/>
    <dataValidation allowBlank="1" showInputMessage="1" promptTitle="手入力セル" prompt="反映先：報告_厚生年金P14 W37,AG39,BA39&#10;他の帳票：厚生_貸借・損益、厚生_決算精算表"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2">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退職等_決算精算表" sqref="W20"/>
    <dataValidation allowBlank="1" showInputMessage="1" promptTitle="手入力セル" prompt="反映先：報告_退職等年金P15 W19,AG21,BA21&#10;他の帳票：退職等_貸借・損益、退職等_決算精算表" sqref="W21"/>
    <dataValidation allowBlank="1" showInputMessage="1" promptTitle="手入力セル" prompt="反映先：報告_退職等年金P15 W22,AG23,BA23&#10;他の帳票：退職等_貸借・損益、退職等_決算精算表" sqref="W23"/>
    <dataValidation allowBlank="1" showInputMessage="1" promptTitle="手入力セル" prompt="反映先：報告_退職等年金P15 W22,AG24,BA24&#10;他の帳票：退職等_貸借・損益、退職等_決算精算表"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2">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経過的_決算精算表" sqref="W26"/>
    <dataValidation allowBlank="1" showInputMessage="1" promptTitle="手入力セル" prompt="反映先：報告_経過的長期P16 W25,AG27,BA27&#10;他の帳票：経過的_貸借・損益、経過的_決算精算表" sqref="W27"/>
    <dataValidation allowBlank="1" showInputMessage="1" promptTitle="手入力セル" prompt="反映先：報告_経過的長期P16 W25,AG28,BA28&#10;他の帳票：経過的_貸借・損益、経過的_決算精算表" sqref="W28"/>
    <dataValidation allowBlank="1" showInputMessage="1" promptTitle="手入力セル" prompt="反映先：報告_経過的長期P16 W25,AG29,BA29&#10;他の帳票：経過的_貸借・損益、経過的_決算精算表"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預託金_預金・未収・貸付・預託金!C21</f>
        <v>105000000</v>
      </c>
      <c r="G25" s="389">
        <f>預託金_預金・未収・貸付・預託金!F21</f>
        <v>0</v>
      </c>
      <c r="H25" s="389">
        <f>預託金_預金・未収・貸付・預託金!I21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2">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預託金_預金・未収・貸付・預託金!M22</f>
        <v>0</v>
      </c>
      <c r="G9" s="412">
        <f t="shared" si="1"/>
        <v>0</v>
      </c>
      <c r="H9" s="413">
        <f t="shared" si="2"/>
        <v>0</v>
      </c>
      <c r="I9" s="412">
        <f t="shared" si="2"/>
        <v>0</v>
      </c>
      <c r="J9" s="411">
        <f>預託金_預金・未収・貸付・預託金!C21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2">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2">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IF(業務_財務諸表!G54&gt;0,"　　本年度における収支決算を行った結果、当期損失金として"&amp;IF(業務_財務諸表!G54=0,"0",IF(業務_財務諸表!G54&gt;=100000000,TEXT(INT(業務_財務諸表!G54/100000000),"#,##0")&amp;"億","")&amp;IF(MOD(INT(業務_財務諸表!G54/10000),10000)&gt;0,TEXT(MOD(INT(業務_財務諸表!G54/10000),10000),"#,##0")&amp;"万","")&amp;IF(MOD(業務_財務諸表!G54,10000)&gt;0,TEXT(MOD(業務_財務諸表!G54,10000),"#,##0"),""))&amp;"円を生じたが、","　　本年度における収支決算を行った結果、当期利益金として"&amp;IF(業務_財務諸表!C57=0,"0",IF(業務_財務諸表!C57&gt;=100000000,TEXT(INT(業務_財務諸表!C57/100000000),"#,##0")&amp;"億","")&amp;IF(MOD(INT(業務_財務諸表!C57/10000),10000)&gt;0,TEXT(MOD(INT(業務_財務諸表!C57/10000),10000),"#,##0")&amp;"万","")&amp;IF(MOD(業務_財務諸表!C57,10000)&gt;0,TEXT(MOD(業務_財務諸表!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IF(業務_財務諸表!G54&gt;0,"　　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を取り崩して補てんした。なお、翌年度へ繰り越す積立金は、","　　この利益金に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Q91=0,"0",IF(業務_附属明細表!Q91&gt;=100000000,TEXT(INT(業務_附属明細表!Q91/100000000),"#,##0")&amp;"億","")&amp;IF(MOD(INT(業務_附属明細表!Q91/10000),10000)&gt;0,TEXT(MOD(INT(業務_附属明細表!Q91/10000),10000),"#,##0")&amp;"万","")&amp;IF(MOD(業務_附属明細表!Q91,10000)&gt;0,TEXT(MOD(業務_附属明細表!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C47 C48 C49 C54 C55 C56 C58 C59 D47 D48 D49 D54 D55 D56 D58 D59 E47 E48 E49 E54 E55 E56 E58 E59 F47 F48 F54 F55 F58 F59 G47 G48 G54 G55 G58 G59 H47 H48 H54 H55 H58 H59 M5 M6 M7 M8 M9 M10 M11 M12 M13 M14 M15 M16 M17 M19 M20 M21 M23 M24 M25 V12 V17">
    <cfRule type="expression" dxfId="6" priority="2">
      <formula>AND(入力色表示=1,NOT(_xlfn.ISFORMULA(B47)))</formula>
    </cfRule>
  </conditionalFormatting>
  <dataValidations count="21">
    <dataValidation allowBlank="1" showInputMessage="1" promptTitle="手入力セル" prompt="反映先：報告_業務P19 M26,AE5、業務_附属明細表 E122&#10;他の帳票：業務_附属明細表" sqref="M5"/>
    <dataValidation allowBlank="1" showInputMessage="1" promptTitle="手入力セル" prompt="反映先：報告_業務P19 M26,AE6、業務_附属明細表 E123&#10;他の帳票：業務_附属明細表"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 E124&#10;他の帳票：業務_附属明細表"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IF(保健_財務諸表!G50&gt;0,"　　本年度における収支決算を行った結果、当期損失金として"&amp;IF(保健_財務諸表!G50=0,"0",IF(保健_財務諸表!G50&gt;=100000000,TEXT(INT(保健_財務諸表!G50/100000000),"#,##0")&amp;"億","")&amp;IF(MOD(INT(保健_財務諸表!G50/10000),10000)&gt;0,TEXT(MOD(INT(保健_財務諸表!G50/10000),10000),"#,##0")&amp;"万","")&amp;IF(MOD(保健_財務諸表!G50,10000)&gt;0,TEXT(MOD(保健_財務諸表!G50,10000),"#,##0"),""))&amp;"円を生じたが、","　　本年度における収支決算を行った結果、当期利益金として"&amp;IF(保健_財務諸表!C60=0,"0",IF(保健_財務諸表!C60&gt;=100000000,TEXT(INT(保健_財務諸表!C60/100000000),"#,##0")&amp;"億","")&amp;IF(MOD(INT(保健_財務諸表!C60/10000),10000)&gt;0,TEXT(MOD(INT(保健_財務諸表!C60/10000),10000),"#,##0")&amp;"万","")&amp;IF(MOD(保健_財務諸表!C60,10000)&gt;0,TEXT(MOD(保健_財務諸表!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IF(保健_財務諸表!G50&gt;0,"　　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を取り崩して補てんした。なお、翌年度に繰り越す積立金は、","　　この利益金に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Q147=0,"0",IF(保健_附属明細表!Q147&gt;=100000000,TEXT(INT(保健_附属明細表!Q147/100000000),"#,##0")&amp;"億","")&amp;IF(MOD(INT(保健_附属明細表!Q147/10000),10000)&gt;0,TEXT(MOD(INT(保健_附属明細表!Q147/10000),10000),"#,##0")&amp;"万","")&amp;IF(MOD(保健_附属明細表!Q147,10000)&gt;0,TEXT(MOD(保健_附属明細表!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B101 B102 B103 C101 C102 C103 D101 D102 D103 E101 E102 E103 F101 F102 F103 G101 G102 G103 H101 H102 H103 I101 I102 I103 J101 J102 J103 K101 K102 K103 L101 L102 L103 M21 M22 M23 M25 M26 M27 M28 M29 M30 M31 M32 M46 M47 M48 M49 M50 M51 M52 M53 M54 M55 M56 M57 M58 M59 M60 M61 M62 M63 M64 M101 M102 M103 N101 N102 N103 O9 O10 O11 O12 O13 O101 O102 O103 P71 P73 P74 P75 P76 P77 P78 P79 P80 P82 P84 P86 P87 P88 P90 P91 P93 P94 P95 P96 P101 P102 P103 Q101 Q102 Q103 R101 R102 R103 S101 S102 S103 T101 T102 T103 U101 U102 U103 V21 V22 V23 V25 V26 V27 V28 V30 V49 V101 V102 V103 W9 W10 W11 W12 W101 W102 W103 X71 X73 X74 X75 X76 X77 X78 X79 X80 X82 X84 X86 X87 X88 X90 X91 X93 X94 X95 X96 X101 X102 X103 Y101 Y102 Y103 Z101 Z102 Z103 AA101 AA102 AA103 AB101 AB102 AB103 AC101 AC102 AC103 AD101 AD102 AD103 AE101 AE102 AE103 AF101 AF102 AF103 AG101 AG102 AG103 AH101 AH102 AH103 AI101 AI102 AI103 AJ101 AJ102 AJ103 AK101 AK102 AK103 AL101 AL102 AL103 AM101 AM102 AM103 AN101 AN102 AN103 AO101 AO102 AO103 AP101 AP102 AP103 AQ101 AQ102 AQ103 AR101 AR102 AR103 AS101 AS102 AS103 AT101 AT102 AT103 AU101 AU102 AU103 AV101 AV102 AV103 AW101 AW102 AW103 AX101 AX102 AX103 AY101 AY102 AY103 AZ101 AZ102 AZ103 BA101 BA102 BA103 BB101 BB102 BB103 BC101 BC102 BC103 BD101 BD102 BD103 BE101 BE102 BE103">
    <cfRule type="expression" dxfId="6" priority="2">
      <formula>AND(入力色表示=1,NOT(_xlfn.ISFORMULA(B101)))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 E136&#10;他の帳票：保健_附属明細表"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 E137&#10;他の帳票：保健_附属明細表" sqref="M49"/>
    <dataValidation allowBlank="1" showInputMessage="1" promptTitle="手入力セル" prompt="反映先：報告_保健P20-22 M65,AE50、保健_附属明細表 E138&#10;他の帳票：保健_附属明細表"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保健_附属明細表、保健_決算精算表" sqref="V21"/>
    <dataValidation allowBlank="1" showInputMessage="1" promptTitle="手入力セル" prompt="反映先：報告_保健P20-22 V20,AE22,AW22&#10;他の帳票：保健_財務諸表、保健_附属明細表、保健_決算精算表" sqref="V22"/>
    <dataValidation allowBlank="1" showInputMessage="1" promptTitle="手入力セル" prompt="反映先：報告_保健P20-22 V20,AE23,AW23&#10;他の帳票：保健_財務諸表、保健_附属明細表、保健_決算精算表" sqref="V23"/>
    <dataValidation allowBlank="1" showInputMessage="1" promptTitle="手入力セル" prompt="反映先：報告_保健P20-22 V24,AE25,AW25&#10;他の帳票：保健_財務諸表、保健_附属明細表、保健_決算精算表" sqref="V25"/>
    <dataValidation allowBlank="1" showInputMessage="1" promptTitle="手入力セル" prompt="反映先：報告_保健P20-22 V24,AE26,AW26&#10;他の帳票：保健_財務諸表、保健_附属明細表、保健_決算精算表"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貸付_附属明細表!F20</f>
        <v>105000000</v>
      </c>
      <c r="N38" s="2309"/>
      <c r="O38" s="2309"/>
      <c r="P38" s="2309"/>
      <c r="Q38" s="2309"/>
      <c r="R38" s="2309"/>
      <c r="S38" s="2309"/>
      <c r="T38" s="2309"/>
      <c r="U38" s="2309"/>
      <c r="V38" s="1878">
        <f>貸付_附属明細表!J20</f>
        <v>0</v>
      </c>
      <c r="W38" s="1878"/>
      <c r="X38" s="1878"/>
      <c r="Y38" s="1878"/>
      <c r="Z38" s="1878"/>
      <c r="AA38" s="1878"/>
      <c r="AB38" s="1878"/>
      <c r="AC38" s="1878"/>
      <c r="AD38" s="2366">
        <f>貸付_附属明細表!N20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貸付_附属明細表!N13</f>
        <v>234813316</v>
      </c>
      <c r="AE40" s="2366"/>
      <c r="AF40" s="2366"/>
      <c r="AG40" s="2366"/>
      <c r="AH40" s="2366"/>
      <c r="AI40" s="2366"/>
      <c r="AJ40" s="2366"/>
      <c r="AK40" s="2366"/>
      <c r="AL40" s="2368">
        <f>貸付_財務諸表!B19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IF(貸付_財務諸表!C54&gt;0,"  　本年度における収支決算を行った結果、当期利益金として"&amp;IF(貸付_財務諸表!C54=0,"0",IF(貸付_財務諸表!C54&gt;=100000000,TEXT(INT(貸付_財務諸表!C54/100000000),"#,##0")&amp;"億","")&amp;IF(MOD(INT(貸付_財務諸表!C54/10000),10000)&gt;0,TEXT(MOD(INT(貸付_財務諸表!C54/10000),10000),"#,##0")&amp;"万","")&amp;IF(MOD(貸付_財務諸表!C54,10000)&gt;0,TEXT(MOD(貸付_財務諸表!C54,10000),"#,##0"),""))&amp;"円を生じた。","  　本年度における収支決算を行った結果、当期損失金として"&amp;IF(貸付_財務諸表!G47=0,"0",IF(貸付_財務諸表!G47&gt;=100000000,TEXT(INT(貸付_財務諸表!G47/100000000),"#,##0")&amp;"億","")&amp;IF(MOD(INT(貸付_財務諸表!G47/10000),10000)&gt;0,TEXT(MOD(INT(貸付_財務諸表!G47/10000),10000),"#,##0")&amp;"万","")&amp;IF(MOD(貸付_財務諸表!G47,10000)&gt;0,TEXT(MOD(貸付_財務諸表!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IF(貸付_財務諸表!C54&gt;0,"　この利益金に前年度より繰り越した積立金"&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を合わせ、","　"&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IF(貸付_財務諸表!C54&gt;0,"　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となる。","　なお、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A129 B113 B114 B115 B119 B120 B121 B123 B124 B125 B127 B128 B129 C113 C114 C115 C119 C120 C121 C123 C124 C127 C128 C129 D113 D114 D115 D119 D120 D121 D123 D124 D127 D128 D129 E113 E114 E115 E119 E120 E121 E123 E124 E127 E128 E129 F113 F114 F119 F120 F121 F123 F124 F127 F128 F129 G113 G114 G119 G120 G123 G124 G127 G128 G129 H113 H114 H119 H120 H123 H124 H127 H128 H129 I113 I114 I119 I120 I123 I124 I127 I128 I129 J113 J114 J119 J120 J123 J124 J127 J128 J129 K127 K128 K129 L127 L128 L129 M127 M128 M129 N127 N128 N129 O127 O128 O129 P6 P7 P8 P16 P19 P20 P21 P22 P23 P24 P25 P26 P27 P28 P29 P30 P31 P127 P128 P129 Q127 Q128 Q129 R127 R128 R129 S127 S128 S129 T47 T48 T49 T50 T51 T52 T53 T54 T55 T56 T57 T58 T59 T60 T61 T62 T63 T64 T65 T66 T67 T68 T127 T128 T129 U127 U128 U129 V127 V128 V129 W47 W49 W51 W53 W55 W57 W59 W61 W65 W67 W127 W128 W129 X127 X128 X129 Y21 Y23 Y25 Y28 Y29 Y127 Y128 Y129 Z127 Z128 Z129 AA127 AA128 AA129 AB127 AB128 AB129 AC78 AC79 AC80 AC81 AC82 AC83 AC85 AC86 AC87 AC88 AC89 AC91 AC127 AC128 AC129 AD63 AD127 AD128 AD129 AE127 AE128 AE129 AF127 AF128 AF129 AG47 AG49 AG51 AG53 AG55 AG57 AG59 AG61 AG63 AG65 AG67 AG78 AG79 AG80 AG81 AG82 AG83 AG85 AG86 AG87 AG88 AG89 AG91 AG127 AG128 AG129 AH127 AH128 AH129 AI127 AI128 AI129 AJ127 AJ128 AJ129 AK127 AK128 AK129 AL127 AL128 AL129 AM127 AM128 AM129 AN127 AN128 AN129 AO127 AO128 AO129 AP127 AP128 AP129 AQ127 AQ128 AQ129 AR127 AR128 AR129 AS127 AS128 AS129 AT127 AT128 AT129 AU127 AU128 AU129 AV127 AV128 AV129 AW127 AW128 AW129 AX127 AX128 AX129 AY127 AY128 AY129 AZ127 AZ128 AZ129 BA127 BA128 BA129 BB127 BB128 BB129 BC127 BC128 BC129 BD127 BD128 BD129 BE127 BE128 BE129 BF127 BF128 BF129 BG127 BG128 BG129 BH127 BH128 BH129">
    <cfRule type="expression" dxfId="6" priority="2">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短期_附属明細表!M9</f>
        <v>3976508883</v>
      </c>
      <c r="D7" s="599"/>
      <c r="E7" s="607" t="s">
        <v>769</v>
      </c>
      <c r="F7" s="605"/>
      <c r="G7" s="601">
        <f>短期_附属明細表!G75</f>
        <v>41640951</v>
      </c>
      <c r="H7" s="603"/>
    </row>
    <row r="8" spans="1:8" ht="13.2" customHeight="1">
      <c r="A8" s="604" t="s">
        <v>234</v>
      </c>
      <c r="B8" s="605"/>
      <c r="C8" s="606">
        <f>短期_附属明細表!M16</f>
        <v>0</v>
      </c>
      <c r="D8" s="599"/>
      <c r="E8" s="607" t="s">
        <v>770</v>
      </c>
      <c r="F8" s="605"/>
      <c r="G8" s="601">
        <f>短期_附属明細表!G81</f>
        <v>6050</v>
      </c>
      <c r="H8" s="603"/>
    </row>
    <row r="9" spans="1:8" ht="13.2" customHeight="1">
      <c r="A9" s="604" t="s">
        <v>771</v>
      </c>
      <c r="B9" s="605"/>
      <c r="C9" s="606">
        <f>短期_附属明細表!M25</f>
        <v>0</v>
      </c>
      <c r="D9" s="599"/>
      <c r="E9" s="607" t="s">
        <v>772</v>
      </c>
      <c r="F9" s="605"/>
      <c r="G9" s="601">
        <f>短期_附属明細表!R92</f>
        <v>36468255</v>
      </c>
      <c r="H9" s="603"/>
    </row>
    <row r="10" spans="1:8" ht="13.2" customHeight="1">
      <c r="A10" s="604" t="s">
        <v>773</v>
      </c>
      <c r="B10" s="605"/>
      <c r="C10" s="606">
        <f>短期_附属明細表!G32</f>
        <v>0</v>
      </c>
      <c r="D10" s="599"/>
      <c r="F10" s="608"/>
      <c r="H10" s="603"/>
    </row>
    <row r="11" spans="1:8" ht="13.2" customHeight="1">
      <c r="A11" s="604" t="s">
        <v>774</v>
      </c>
      <c r="B11" s="605"/>
      <c r="C11" s="606">
        <f>短期_附属明細表!G42</f>
        <v>0</v>
      </c>
      <c r="D11" s="599"/>
      <c r="E11" s="607"/>
      <c r="F11" s="605"/>
      <c r="G11" s="601"/>
      <c r="H11" s="603"/>
    </row>
    <row r="12" spans="1:8" ht="13.2" customHeight="1">
      <c r="A12" s="604" t="s">
        <v>775</v>
      </c>
      <c r="B12" s="605"/>
      <c r="C12" s="606">
        <f>短期_附属明細表!G49</f>
        <v>54568</v>
      </c>
      <c r="D12" s="599"/>
      <c r="E12" s="600" t="s">
        <v>776</v>
      </c>
      <c r="F12" s="605"/>
      <c r="G12" s="601"/>
      <c r="H12" s="603">
        <f>SUM(G13)</f>
        <v>907739421</v>
      </c>
    </row>
    <row r="13" spans="1:8" ht="13.2" customHeight="1">
      <c r="A13" s="609" t="s">
        <v>197</v>
      </c>
      <c r="B13" s="610"/>
      <c r="C13" s="606">
        <f>短期_附属明細表!G56</f>
        <v>59427000</v>
      </c>
      <c r="D13" s="599"/>
      <c r="E13" s="611" t="s">
        <v>204</v>
      </c>
      <c r="F13" s="605"/>
      <c r="G13" s="601">
        <f>短期_決算精算表!I49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短期_附属明細表!Q99</f>
        <v>533584212</v>
      </c>
      <c r="G19" s="602"/>
      <c r="H19" s="603"/>
    </row>
    <row r="20" spans="1:12" ht="13.2" customHeight="1">
      <c r="A20" s="596"/>
      <c r="B20" s="601"/>
      <c r="C20" s="619"/>
      <c r="D20" s="617"/>
      <c r="E20" s="607" t="s">
        <v>202</v>
      </c>
      <c r="F20" s="601">
        <f>短期_附属明細表!Q100</f>
        <v>2358068031</v>
      </c>
      <c r="G20" s="601"/>
      <c r="H20" s="603"/>
    </row>
    <row r="21" spans="1:12" ht="13.2" customHeight="1">
      <c r="A21" s="596"/>
      <c r="B21" s="601"/>
      <c r="C21" s="619"/>
      <c r="D21" s="617"/>
      <c r="E21" s="607" t="s">
        <v>203</v>
      </c>
      <c r="F21" s="601">
        <f>短期_附属明細表!Q101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短期_決算精算表!A23</f>
        <v>5264002497</v>
      </c>
      <c r="C39" s="602"/>
      <c r="D39" s="617"/>
      <c r="E39" s="652" t="s">
        <v>798</v>
      </c>
      <c r="F39" s="601">
        <f>短期_決算精算表!G44</f>
        <v>5622054228</v>
      </c>
      <c r="G39" s="602"/>
      <c r="H39" s="603"/>
      <c r="K39" s="653"/>
      <c r="L39" s="626">
        <f>F40+F42+F44</f>
        <v>997197452</v>
      </c>
      <c r="M39" s="605" t="s">
        <v>799</v>
      </c>
      <c r="N39" s="650"/>
    </row>
    <row r="40" spans="1:14" ht="15.6" customHeight="1">
      <c r="A40" s="651" t="s">
        <v>436</v>
      </c>
      <c r="B40" s="601">
        <f>短期_決算精算表!A24</f>
        <v>650334235</v>
      </c>
      <c r="C40" s="602"/>
      <c r="D40" s="617"/>
      <c r="E40" s="652" t="s">
        <v>31</v>
      </c>
      <c r="F40" s="601">
        <f>短期_決算精算表!G45</f>
        <v>496114904</v>
      </c>
      <c r="G40" s="602"/>
      <c r="H40" s="603"/>
      <c r="K40" s="648" t="s">
        <v>795</v>
      </c>
      <c r="L40" s="649" t="s">
        <v>800</v>
      </c>
      <c r="M40" s="649"/>
      <c r="N40" s="650"/>
    </row>
    <row r="41" spans="1:14" ht="15.6" customHeight="1">
      <c r="A41" s="651" t="s">
        <v>801</v>
      </c>
      <c r="B41" s="601">
        <f>短期_決算精算表!A25</f>
        <v>0</v>
      </c>
      <c r="C41" s="602"/>
      <c r="D41" s="617"/>
      <c r="E41" s="652" t="s">
        <v>802</v>
      </c>
      <c r="F41" s="601">
        <f>短期_決算精算表!G46</f>
        <v>5551497726</v>
      </c>
      <c r="G41" s="602"/>
      <c r="H41" s="603"/>
      <c r="K41" s="653"/>
      <c r="L41" s="1674">
        <v>0</v>
      </c>
      <c r="M41" s="605" t="s">
        <v>803</v>
      </c>
      <c r="N41" s="650"/>
    </row>
    <row r="42" spans="1:14" ht="15.6" customHeight="1">
      <c r="A42" s="651" t="s">
        <v>804</v>
      </c>
      <c r="B42" s="601">
        <f>短期_決算精算表!A26</f>
        <v>36346677</v>
      </c>
      <c r="C42" s="602"/>
      <c r="D42" s="617"/>
      <c r="E42" s="652" t="s">
        <v>805</v>
      </c>
      <c r="F42" s="601">
        <f>短期_決算精算表!G47</f>
        <v>496288832</v>
      </c>
      <c r="G42" s="602"/>
      <c r="H42" s="603"/>
      <c r="K42" s="648" t="s">
        <v>806</v>
      </c>
      <c r="L42" s="649" t="s">
        <v>807</v>
      </c>
      <c r="M42" s="649"/>
      <c r="N42" s="650"/>
    </row>
    <row r="43" spans="1:14" ht="15.6" customHeight="1">
      <c r="A43" s="654" t="s">
        <v>85</v>
      </c>
      <c r="B43" s="601">
        <f>短期_決算精算表!A27</f>
        <v>2096611727</v>
      </c>
      <c r="C43" s="602"/>
      <c r="D43" s="617"/>
      <c r="E43" s="621" t="s">
        <v>34</v>
      </c>
      <c r="F43" s="601">
        <f>短期_決算精算表!G48</f>
        <v>96062536</v>
      </c>
      <c r="G43" s="602"/>
      <c r="H43" s="603"/>
      <c r="K43" s="653"/>
      <c r="L43" s="626">
        <f>B48</f>
        <v>949753680</v>
      </c>
      <c r="M43" s="605" t="s">
        <v>808</v>
      </c>
      <c r="N43" s="650"/>
    </row>
    <row r="44" spans="1:14" ht="15.6" customHeight="1">
      <c r="A44" s="654" t="s">
        <v>86</v>
      </c>
      <c r="B44" s="601">
        <f>短期_決算精算表!A28</f>
        <v>2306088269</v>
      </c>
      <c r="C44" s="602"/>
      <c r="D44" s="617"/>
      <c r="E44" s="621" t="s">
        <v>35</v>
      </c>
      <c r="F44" s="601">
        <f>短期_決算精算表!G49</f>
        <v>4793716</v>
      </c>
      <c r="G44" s="602"/>
      <c r="H44" s="603"/>
      <c r="K44" s="653"/>
      <c r="L44" s="626"/>
      <c r="M44" s="649"/>
      <c r="N44" s="650"/>
    </row>
    <row r="45" spans="1:14" s="660" customFormat="1" ht="16.5" customHeight="1">
      <c r="A45" s="655" t="s">
        <v>809</v>
      </c>
      <c r="B45" s="601">
        <f>短期_決算精算表!A29</f>
        <v>0</v>
      </c>
      <c r="C45" s="656"/>
      <c r="D45" s="657"/>
      <c r="E45" s="658" t="s">
        <v>36</v>
      </c>
      <c r="F45" s="601">
        <f>短期_決算精算表!G50</f>
        <v>7419879</v>
      </c>
      <c r="G45" s="656"/>
      <c r="H45" s="659"/>
      <c r="K45" s="661"/>
      <c r="L45" s="662"/>
      <c r="M45" s="663"/>
      <c r="N45" s="664"/>
    </row>
    <row r="46" spans="1:14" ht="15.6" customHeight="1">
      <c r="A46" s="654" t="s">
        <v>89</v>
      </c>
      <c r="B46" s="601">
        <f>短期_決算精算表!A30</f>
        <v>871</v>
      </c>
      <c r="C46" s="602"/>
      <c r="D46" s="617"/>
      <c r="E46" s="665" t="s">
        <v>37</v>
      </c>
      <c r="F46" s="601">
        <f>短期_決算精算表!G51</f>
        <v>13759</v>
      </c>
      <c r="G46" s="602"/>
      <c r="H46" s="603"/>
      <c r="K46" s="648" t="s">
        <v>810</v>
      </c>
      <c r="L46" s="605" t="s">
        <v>811</v>
      </c>
      <c r="M46" s="649"/>
      <c r="N46" s="650"/>
    </row>
    <row r="47" spans="1:14" ht="15.6" customHeight="1">
      <c r="A47" s="654" t="s">
        <v>87</v>
      </c>
      <c r="B47" s="601">
        <f>短期_決算精算表!A31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短期_決算精算表!A32</f>
        <v>949753680</v>
      </c>
      <c r="C48" s="602"/>
      <c r="D48" s="617"/>
      <c r="E48" s="621" t="s">
        <v>41</v>
      </c>
      <c r="F48" s="601">
        <f>短期_決算精算表!G52</f>
        <v>71223000</v>
      </c>
      <c r="G48" s="602"/>
      <c r="H48" s="603"/>
      <c r="K48" s="668"/>
      <c r="L48" s="669"/>
      <c r="M48" s="669"/>
      <c r="N48" s="670"/>
    </row>
    <row r="49" spans="1:16" ht="16.5" customHeight="1">
      <c r="A49" s="655" t="s">
        <v>813</v>
      </c>
      <c r="B49" s="601">
        <f>短期_決算精算表!A33</f>
        <v>0</v>
      </c>
      <c r="C49" s="602"/>
      <c r="D49" s="617"/>
      <c r="E49" s="621" t="s">
        <v>42</v>
      </c>
      <c r="F49" s="601">
        <f>短期_決算精算表!G53</f>
        <v>0</v>
      </c>
      <c r="G49" s="602"/>
      <c r="H49" s="603"/>
      <c r="K49" s="633"/>
      <c r="L49" s="633"/>
      <c r="M49" s="633"/>
      <c r="N49" s="633"/>
    </row>
    <row r="50" spans="1:16" ht="16.5" customHeight="1">
      <c r="A50" s="654" t="s">
        <v>92</v>
      </c>
      <c r="B50" s="601">
        <f>短期_決算精算表!A34</f>
        <v>83079703</v>
      </c>
      <c r="C50" s="602"/>
      <c r="D50" s="617"/>
      <c r="E50" s="671" t="s">
        <v>205</v>
      </c>
      <c r="F50" s="601">
        <f>短期_決算精算表!G54</f>
        <v>587326584</v>
      </c>
      <c r="G50" s="614"/>
      <c r="H50" s="603"/>
      <c r="K50" s="633"/>
      <c r="L50" s="633"/>
      <c r="M50" s="633"/>
      <c r="N50" s="633"/>
    </row>
    <row r="51" spans="1:16" ht="17.25" customHeight="1">
      <c r="A51" s="654" t="s">
        <v>814</v>
      </c>
      <c r="B51" s="601">
        <f>短期_決算精算表!A35</f>
        <v>0</v>
      </c>
      <c r="C51" s="602"/>
      <c r="D51" s="617"/>
      <c r="E51" s="672" t="s">
        <v>45</v>
      </c>
      <c r="F51" s="601">
        <f>短期_決算精算表!G55</f>
        <v>10496090</v>
      </c>
      <c r="G51" s="614"/>
      <c r="H51" s="603"/>
      <c r="K51" s="633"/>
      <c r="L51" s="633"/>
      <c r="M51" s="633"/>
      <c r="N51" s="633"/>
    </row>
    <row r="52" spans="1:16" ht="15.6" customHeight="1">
      <c r="A52" s="654" t="s">
        <v>815</v>
      </c>
      <c r="B52" s="601">
        <f>短期_決算精算表!A36</f>
        <v>0</v>
      </c>
      <c r="C52" s="602"/>
      <c r="D52" s="617"/>
      <c r="E52" s="607" t="s">
        <v>816</v>
      </c>
      <c r="F52" s="601">
        <f>短期_決算精算表!G56</f>
        <v>37196000</v>
      </c>
      <c r="G52" s="602"/>
      <c r="H52" s="603"/>
      <c r="K52" s="633"/>
      <c r="L52" s="633"/>
      <c r="M52" s="633"/>
      <c r="N52" s="633"/>
    </row>
    <row r="53" spans="1:16" ht="15.6" customHeight="1">
      <c r="A53" s="651" t="s">
        <v>175</v>
      </c>
      <c r="B53" s="601">
        <f>短期_決算精算表!A37</f>
        <v>137606038</v>
      </c>
      <c r="C53" s="602"/>
      <c r="D53" s="617"/>
      <c r="E53" s="646" t="s">
        <v>817</v>
      </c>
      <c r="F53" s="601"/>
      <c r="G53" s="602">
        <f>SUM(F54:F55)</f>
        <v>1422838</v>
      </c>
      <c r="H53" s="603"/>
      <c r="K53" s="633"/>
      <c r="L53" s="633"/>
      <c r="M53" s="633"/>
      <c r="N53" s="633"/>
    </row>
    <row r="54" spans="1:16" ht="18" customHeight="1">
      <c r="A54" s="651" t="s">
        <v>818</v>
      </c>
      <c r="B54" s="601">
        <f>短期_決算精算表!A38</f>
        <v>612540010</v>
      </c>
      <c r="C54" s="602"/>
      <c r="D54" s="617"/>
      <c r="E54" s="621" t="s">
        <v>819</v>
      </c>
      <c r="F54" s="601">
        <f>短期_決算精算表!G57</f>
        <v>0</v>
      </c>
      <c r="G54" s="602"/>
      <c r="H54" s="603"/>
      <c r="K54" s="633"/>
      <c r="L54" s="633"/>
      <c r="M54" s="633"/>
      <c r="N54" s="633"/>
    </row>
    <row r="55" spans="1:16" ht="15.6" customHeight="1">
      <c r="A55" s="612"/>
      <c r="B55" s="608"/>
      <c r="C55" s="602"/>
      <c r="D55" s="617"/>
      <c r="E55" s="607" t="s">
        <v>820</v>
      </c>
      <c r="F55" s="601">
        <f>短期_決算精算表!G58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短期_決算精算表!A39</f>
        <v>11834281</v>
      </c>
      <c r="D57" s="617"/>
      <c r="E57" s="674" t="s">
        <v>50</v>
      </c>
      <c r="F57" s="601"/>
      <c r="G57" s="602">
        <f>短期_決算精算表!G59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短期_決算精算表!A40</f>
        <v>907739421</v>
      </c>
      <c r="D59" s="617"/>
      <c r="E59" s="677" t="s">
        <v>51</v>
      </c>
      <c r="F59" s="602"/>
      <c r="G59" s="602">
        <f>短期_決算精算表!G60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2">
      <formula>AND(入力色表示=1,NOT(_xlfn.ISFORMULA(L41)))</formula>
    </cfRule>
  </conditionalFormatting>
  <dataValidations count="2">
    <dataValidation allowBlank="1" showInputMessage="1" promptTitle="手入力セル" prompt="反映先：短期_財務諸表 L47&#10;他の帳票：報告_短期P11-13、短期_附属明細表、短期_決算精算表" sqref="L41"/>
    <dataValidation allowBlank="1" showInputMessage="1" promptTitle="手入力セル" prompt="反映先：短期_財務諸表 L67&#10;他の帳票：報告_短期P11-13、短期_附属明細表、短期_決算精算表"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短期_財務諸表!C63-短期_財務諸表!G61-I99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短期_財務諸表!C64-短期_財務諸表!G62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IF(短期_財務諸表!G61&gt;0,"当期短期損失金（△）","当期短期利益金")</f>
        <v>当期短期利益金</v>
      </c>
      <c r="F112" s="748"/>
      <c r="G112" s="748"/>
      <c r="H112" s="748"/>
      <c r="I112" s="748"/>
      <c r="J112" s="748"/>
      <c r="K112" s="2391">
        <f>短期_財務諸表!C63-短期_財務諸表!G61</f>
        <v>765326409</v>
      </c>
      <c r="L112" s="2391"/>
      <c r="M112" s="2391"/>
      <c r="N112" s="2391"/>
      <c r="O112" s="753" t="s">
        <v>551</v>
      </c>
      <c r="P112" s="753"/>
      <c r="Q112" s="753"/>
      <c r="R112" s="753"/>
      <c r="S112" s="753"/>
    </row>
    <row r="113" spans="1:23" s="752" customFormat="1" ht="20.25" customHeight="1">
      <c r="D113" s="747"/>
      <c r="E113" s="748" t="str">
        <f>IF(短期_財務諸表!G62&gt;0,"当期介護損失金（△）","当期介護利益金")</f>
        <v>当期介護利益金</v>
      </c>
      <c r="F113" s="748"/>
      <c r="G113" s="748"/>
      <c r="H113" s="748"/>
      <c r="I113" s="748"/>
      <c r="J113" s="748"/>
      <c r="K113" s="2391">
        <f>短期_財務諸表!C64-短期_財務諸表!G62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89 I90 I91 I99 L89 L90 L91 M5 M7 M15 M22 M23 M24 O89 O90 O91">
    <cfRule type="expression" dxfId="6" priority="2">
      <formula>AND(入力色表示=1,NOT(_xlfn.ISFORMULA(G38)))</formula>
    </cfRule>
  </conditionalFormatting>
  <conditionalFormatting sqref="E110">
    <cfRule type="expression" dxfId="7" priority="1">
      <formula>入力色表示=1</formula>
    </cfRule>
  </conditionalFormatting>
  <dataValidations count="19">
    <dataValidation allowBlank="1" showInputMessage="1" promptTitle="手入力セル" prompt="反映先：短期_附属明細表 G42&#10;他の帳票：短期_財務諸表" sqref="G38 G39 G40 G41"/>
    <dataValidation allowBlank="1" showInputMessage="1" promptTitle="手入力セル" prompt="反映先：報告_短期P7-10 CB38、短期_附属明細表 G49、短期_決算精算表 F48&#10;他の帳票：報告_短期P7-10、報告_短期P11-13、報告_P8グラフデータ、短期_財務諸表 ほか1シート" sqref="G48"/>
    <dataValidation allowBlank="1" showInputMessage="1" promptTitle="手入力セル" prompt="反映先：短期_附属明細表 G56&#10;他の帳票：短期_財務諸表、短期_決算精算表" sqref="G55"/>
    <dataValidation allowBlank="1" showInputMessage="1" promptTitle="手入力セル" prompt="反映先：短期_附属明細表 G63&#10;他の帳票：なし" sqref="G61 G62"/>
    <dataValidation allowBlank="1" showInputMessage="1" promptTitle="手入力セル" prompt="反映先：短期_附属明細表 G75、短期_決算精算表 B23&#10;他の帳票：報告_短期P11-13、短期_財務諸表、短期_決算精算表" sqref="G69"/>
    <dataValidation allowBlank="1" showInputMessage="1" promptTitle="手入力セル" prompt="反映先：短期_附属明細表 G75、短期_決算精算表 B24&#10;他の帳票：報告_短期P11-13、短期_財務諸表、短期_決算精算表" sqref="G70"/>
    <dataValidation allowBlank="1" showInputMessage="1" promptTitle="手入力セル" prompt="反映先：短期_附属明細表 G75、短期_決算精算表 B26&#10;他の帳票：報告_短期P11-13、短期_財務諸表、短期_決算精算表" sqref="G71"/>
    <dataValidation allowBlank="1" showInputMessage="1" promptTitle="手入力セル" prompt="反映先：短期_附属明細表 G75、短期_決算精算表 B34&#10;他の帳票：報告_短期P7-10、報告_短期P11-13、報告_P8グラフデータ、短期_財務諸表 ほか1シート" sqref="G72"/>
    <dataValidation allowBlank="1" showInputMessage="1" promptTitle="手入力セル" prompt="反映先：短期_附属明細表 G75、短期_決算精算表 B37&#10;他の帳票：報告_短期P11-13、短期_財務諸表、短期_決算精算表" sqref="G73"/>
    <dataValidation allowBlank="1" showInputMessage="1" promptTitle="手入力セル" prompt="反映先：短期_附属明細表 G75、短期_決算精算表 B39、業務_附属明細表 G31&#10;他の帳票：報告_短期P7-10、報告_短期P11-13、報告_P8グラフデータ、報告_業務P18 ほか6シート" sqref="G74"/>
    <dataValidation allowBlank="1" showInputMessage="1" promptTitle="手入力セル" prompt="反映先：短期_財務諸表 G8、短期_附属明細表 G82&#10;他の帳票：短期_財務諸表" sqref="G81"/>
    <dataValidation allowBlank="1" showInputMessage="1" promptTitle="手入力セル" prompt="反映先：報告_短期P11-13 C108、短期_附属明細表 I100,I102,K115…&#10;他の帳票：報告_短期P11-13、短期_財務諸表" sqref="I99"/>
    <dataValidation allowBlank="1" showInputMessage="1" promptTitle="手入力セル" prompt="反映先：短期_附属明細表 M6&#10;他の帳票：短期_財務諸表、短期_決算精算表" sqref="M5"/>
    <dataValidation allowBlank="1" showInputMessage="1" promptTitle="手入力セル" prompt="反映先：短期_附属明細表 M8&#10;他の帳票：短期_財務諸表、短期_決算精算表" sqref="M7"/>
    <dataValidation allowBlank="1" showInputMessage="1" promptTitle="手入力セル" prompt="反映先：短期_附属明細表 M16&#10;他の帳票：短期_財務諸表" sqref="M15"/>
    <dataValidation allowBlank="1" showInputMessage="1" promptTitle="手入力セル" prompt="反映先：短期_附属明細表 M25&#10;他の帳票：短期_財務諸表" sqref="M22 M23 M24"/>
    <dataValidation allowBlank="1" showInputMessage="1" promptTitle="手入力セル" prompt="反映先：短期_附属明細表 O92,R89&#10;他の帳票：短期_財務諸表、短期_決算精算表" sqref="O89"/>
    <dataValidation allowBlank="1" showInputMessage="1" promptTitle="手入力セル" prompt="反映先：短期_附属明細表 O92,R90&#10;他の帳票：短期_財務諸表、短期_決算精算表" sqref="O90"/>
    <dataValidation allowBlank="1" showInputMessage="1" promptTitle="手入力セル" prompt="反映先：短期_附属明細表 O92,R91&#10;他の帳票：短期_財務諸表、短期_決算精算表"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短期_附属明細表!G49</f>
        <v>54568</v>
      </c>
      <c r="C14" s="791"/>
      <c r="D14" s="792" t="s">
        <v>898</v>
      </c>
      <c r="E14" s="793"/>
      <c r="F14" s="790"/>
      <c r="G14" s="788"/>
      <c r="H14" s="758"/>
    </row>
    <row r="15" spans="1:8" ht="13.5" customHeight="1">
      <c r="A15" s="789">
        <f>C15+B15-F15-E15</f>
        <v>59427000</v>
      </c>
      <c r="B15" s="790"/>
      <c r="C15" s="791">
        <f>短期_附属明細表!G56</f>
        <v>59427000</v>
      </c>
      <c r="D15" s="792" t="s">
        <v>197</v>
      </c>
      <c r="E15" s="793"/>
      <c r="F15" s="790"/>
      <c r="G15" s="788"/>
      <c r="H15" s="758"/>
    </row>
    <row r="16" spans="1:8" ht="13.5" customHeight="1">
      <c r="A16" s="789"/>
      <c r="B16" s="790"/>
      <c r="C16" s="791"/>
      <c r="D16" s="792" t="s">
        <v>899</v>
      </c>
      <c r="E16" s="793"/>
      <c r="F16" s="790">
        <f>短期_附属明細表!G75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短期_財務諸表!D62+短期_財務諸表!H60</f>
        <v>812770181</v>
      </c>
      <c r="C20" s="791"/>
      <c r="D20" s="797" t="s">
        <v>901</v>
      </c>
      <c r="E20" s="3124">
        <f>短期_附属明細表!E102</f>
        <v>2237365593</v>
      </c>
      <c r="F20" s="3122">
        <f>短期_財務諸表!D62*2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短期_附属明細表!G69</f>
        <v>12773988</v>
      </c>
      <c r="C23" s="3125">
        <f>'報告_短期P7-10'!CB66-B23+E23</f>
        <v>5251228509</v>
      </c>
      <c r="D23" s="786" t="s">
        <v>198</v>
      </c>
      <c r="E23" s="787"/>
      <c r="F23" s="784"/>
      <c r="G23" s="788"/>
      <c r="H23" s="758"/>
      <c r="I23" s="806"/>
    </row>
    <row r="24" spans="1:10" ht="13.5" customHeight="1">
      <c r="A24" s="783">
        <f>SUM(B24:C24)-F24</f>
        <v>650334235</v>
      </c>
      <c r="B24" s="784">
        <f>短期_附属明細表!G70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短期_財務諸表!C63</f>
        <v>765326409</v>
      </c>
      <c r="C42" s="785"/>
      <c r="D42" s="786" t="s">
        <v>829</v>
      </c>
      <c r="E42" s="787"/>
      <c r="F42" s="784"/>
      <c r="G42" s="788"/>
      <c r="H42" s="758"/>
      <c r="I42" s="809"/>
      <c r="J42" s="816"/>
    </row>
    <row r="43" spans="1:10" ht="13.5" customHeight="1">
      <c r="A43" s="783">
        <f>SUM(B43:C43)</f>
        <v>47443772</v>
      </c>
      <c r="B43" s="3122">
        <f>短期_財務諸表!C64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IF(短期_財務諸表!G61=0,"",短期_財務諸表!G61)</f>
        <v/>
      </c>
      <c r="G61" s="788" t="str">
        <f>IF(SUM(E61:F61)=0,"",SUM(E61:F61))</f>
        <v/>
      </c>
      <c r="H61" s="758"/>
    </row>
    <row r="62" spans="1:9" ht="13.5" customHeight="1">
      <c r="A62" s="789"/>
      <c r="B62" s="779"/>
      <c r="C62" s="791"/>
      <c r="D62" s="792" t="s">
        <v>192</v>
      </c>
      <c r="E62" s="793"/>
      <c r="F62" s="779" t="str">
        <f>IF(短期_財務諸表!G62=0,"",短期_財務諸表!G62)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2">
      <formula>AND(入力色表示=1,NOT(_xlfn.ISFORMULA(C25)))</formula>
    </cfRule>
  </conditionalFormatting>
  <conditionalFormatting sqref="I48">
    <cfRule type="expression" dxfId="7" priority="1">
      <formula>入力色表示=1</formula>
    </cfRule>
  </conditionalFormatting>
  <dataValidations count="23">
    <dataValidation allowBlank="1" showInputMessage="1" promptTitle="手入力セル" prompt="反映先：短期_決算精算表 A27,C63&#10;他の帳票：報告_短期P7-10、報告_短期P11-13、報告_P8グラフデータ、短期_財務諸表 ほか1シート" sqref="C27"/>
    <dataValidation allowBlank="1" showInputMessage="1" promptTitle="手入力セル" prompt="反映先：短期_決算精算表 A28,C63&#10;他の帳票：報告_短期P7-10、報告_短期P11-13、報告_P8グラフデータ、短期_財務諸表 ほか1シート" sqref="C28"/>
    <dataValidation allowBlank="1" showInputMessage="1" promptTitle="手入力セル" prompt="反映先：短期_決算精算表 A30,C63&#10;他の帳票：報告_短期P7-10、報告_短期P11-13、報告_P8グラフデータ、短期_財務諸表 ほか1シート" sqref="C30"/>
    <dataValidation allowBlank="1" showInputMessage="1" promptTitle="手入力セル" prompt="反映先：短期_決算精算表 A32,C63&#10;他の帳票：報告_短期P7-10、報告_短期P11-13、短期_財務諸表、短期_附属明細表" sqref="C32"/>
    <dataValidation allowBlank="1" showInputMessage="1" promptTitle="手入力セル" prompt="反映先：短期_決算精算表 A34,C63&#10;他の帳票：報告_短期P7-10、報告_短期P11-13、報告_P8グラフデータ、短期_財務諸表 ほか1シート" sqref="C34"/>
    <dataValidation allowBlank="1" showInputMessage="1" promptTitle="手入力セル" prompt="反映先：短期_決算精算表 E22,G17&#10;他の帳票：なし" sqref="E17"/>
    <dataValidation allowBlank="1" showInputMessage="1" promptTitle="手入力セル" prompt="反映先：短期_決算精算表 E63,G44&#10;他の帳票：報告_短期P7-10、報告_短期P11-13、報告_P8グラフデータ、短期_財務諸表 ほか1シート" sqref="E44"/>
    <dataValidation allowBlank="1" showInputMessage="1" promptTitle="手入力セル" prompt="反映先：短期_決算精算表 E63,G45&#10;他の帳票：報告_短期P7-10、報告_短期P11-13、短期_財務諸表、短期_附属明細表" sqref="E45"/>
    <dataValidation allowBlank="1" showInputMessage="1" promptTitle="手入力セル" prompt="反映先：短期_決算精算表 E63,G46&#10;他の帳票：報告_短期P7-10、報告_短期P11-13、報告_P8グラフデータ、短期_財務諸表 ほか1シート" sqref="E46"/>
    <dataValidation allowBlank="1" showInputMessage="1" promptTitle="手入力セル" prompt="反映先：短期_決算精算表 E63,G47&#10;他の帳票：報告_短期P7-10、報告_短期P11-13、短期_財務諸表、短期_附属明細表" sqref="E47"/>
    <dataValidation allowBlank="1" showInputMessage="1" promptTitle="手入力セル" prompt="反映先：短期_決算精算表 E63,G48&#10;他の帳票：報告_短期P7-10、報告_短期P11-13、報告_P8グラフデータ、短期_財務諸表 ほか1シート" sqref="E48"/>
    <dataValidation allowBlank="1" showInputMessage="1" promptTitle="手入力セル" prompt="反映先：短期_決算精算表 E63,G49&#10;他の帳票：報告_短期P7-10、報告_短期P11-13、短期_財務諸表、短期_附属明細表" sqref="E49"/>
    <dataValidation allowBlank="1" showInputMessage="1" promptTitle="手入力セル" prompt="反映先：短期_決算精算表 E63,G50&#10;他の帳票：報告_短期P7-10、報告_短期P11-13、短期_財務諸表、短期_附属明細表" sqref="E50"/>
    <dataValidation allowBlank="1" showInputMessage="1" promptTitle="手入力セル" prompt="反映先：短期_決算精算表 E63,G51&#10;他の帳票：報告_短期P7-10、報告_短期P11-13、報告_P8グラフデータ、短期_財務諸表 ほか1シート" sqref="E51"/>
    <dataValidation allowBlank="1" showInputMessage="1" promptTitle="手入力セル" prompt="反映先：短期_決算精算表 E63,G52&#10;他の帳票：報告_短期P7-10、報告_短期P11-13、報告_P8グラフデータ、短期_財務諸表 ほか1シート" sqref="E52"/>
    <dataValidation allowBlank="1" showInputMessage="1" promptTitle="手入力セル" prompt="反映先：短期_決算精算表 E63,G54&#10;他の帳票：報告_短期P7-10、報告_短期P11-13、報告_P8グラフデータ、短期_財務諸表 ほか1シート" sqref="E54"/>
    <dataValidation allowBlank="1" showInputMessage="1" promptTitle="手入力セル" prompt="反映先：短期_決算精算表 E63,G55&#10;他の帳票：報告_短期P7-10、報告_短期P11-13、報告_P8グラフデータ、短期_財務諸表 ほか1シート" sqref="E55"/>
    <dataValidation allowBlank="1" showInputMessage="1" promptTitle="手入力セル" prompt="反映先：短期_決算精算表 E63,G56&#10;他の帳票：報告_短期P7-10、報告_短期P11-13、報告_P8グラフデータ、短期_財務諸表 ほか1シート" sqref="E56"/>
    <dataValidation allowBlank="1" showInputMessage="1" promptTitle="手入力セル" prompt="反映先：短期_決算精算表 E63,G58&#10;他の帳票：報告_短期P7-10、報告_短期P11-13、報告_P8グラフデータ、短期_財務諸表 ほか1シート" sqref="E58"/>
    <dataValidation allowBlank="1" showInputMessage="1" promptTitle="手入力セル" prompt="反映先：短期_決算精算表 E63,G60&#10;他の帳票：報告_短期P7-10、報告_短期P11-13、報告_P8グラフデータ、短期_財務諸表 ほか1シート" sqref="E60"/>
    <dataValidation allowBlank="1" showInputMessage="1" promptTitle="手入力セル" prompt="反映先：短期_決算精算表 A24,B54,C24…&#10;他の帳票：報告_短期P7-10、報告_短期P11-13、報告_P8グラフデータ、短期_財務諸表 ほか1シート" sqref="F24"/>
    <dataValidation allowBlank="1" showInputMessage="1" promptTitle="手入力セル" prompt="反映先：短期_決算精算表 A34,B17,F63&#10;他の帳票：報告_短期P7-10、報告_短期P11-13、報告_P8グラフデータ、短期_財務諸表 ほか1シート" sqref="F34"/>
    <dataValidation allowBlank="1" showInputMessage="1" promptTitle="手入力セル" prompt="反映先：短期_財務諸表 G13、短期_決算精算表 B40,F19&#10;他の帳票：報告_短期P7-10、報告_短期P11-13、報告_P8グラフデータ、短期_財務諸表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厚生_預金・立替・未収!E11</f>
        <v>1679618183</v>
      </c>
      <c r="F8" s="866"/>
      <c r="G8" s="860"/>
      <c r="H8" s="2514" t="s">
        <v>899</v>
      </c>
      <c r="I8" s="2514"/>
      <c r="J8" s="2514"/>
      <c r="K8" s="857"/>
      <c r="L8" s="869">
        <f>厚生_預金・立替・未収!C30</f>
        <v>1679528183</v>
      </c>
      <c r="M8" s="868"/>
      <c r="N8" s="863"/>
      <c r="O8" s="846"/>
      <c r="P8" s="846"/>
    </row>
    <row r="9" spans="1:16" s="847" customFormat="1" ht="17.100000000000001" customHeight="1">
      <c r="A9" s="2513" t="s">
        <v>898</v>
      </c>
      <c r="B9" s="2513"/>
      <c r="C9" s="2513"/>
      <c r="D9" s="870"/>
      <c r="E9" s="858">
        <f>厚生_預金・立替・未収!C19</f>
        <v>0</v>
      </c>
      <c r="F9" s="866"/>
      <c r="G9" s="871"/>
      <c r="H9" s="2514" t="s">
        <v>200</v>
      </c>
      <c r="I9" s="2514"/>
      <c r="J9" s="2514"/>
      <c r="K9" s="857"/>
      <c r="L9" s="861">
        <f>厚生_預金・立替・未収!C38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厚生_決算精算表!A17</f>
        <v>11995594883</v>
      </c>
      <c r="E23" s="911"/>
      <c r="F23" s="916"/>
      <c r="G23" s="920"/>
      <c r="H23" s="925"/>
      <c r="I23" s="922"/>
      <c r="J23" s="923" t="s">
        <v>125</v>
      </c>
      <c r="K23" s="924">
        <f>厚生_決算精算表!G19</f>
        <v>11995594883</v>
      </c>
      <c r="L23" s="911"/>
      <c r="M23" s="918"/>
      <c r="N23" s="915"/>
      <c r="O23" s="908"/>
      <c r="P23" s="908"/>
    </row>
    <row r="24" spans="1:16" s="909" customFormat="1" ht="23.25" customHeight="1">
      <c r="A24" s="926"/>
      <c r="B24" s="922"/>
      <c r="C24" s="927" t="s">
        <v>919</v>
      </c>
      <c r="D24" s="924">
        <f>厚生_決算精算表!A18</f>
        <v>7735814913</v>
      </c>
      <c r="E24" s="911"/>
      <c r="F24" s="916"/>
      <c r="G24" s="920"/>
      <c r="H24" s="925"/>
      <c r="I24" s="922"/>
      <c r="J24" s="923" t="s">
        <v>584</v>
      </c>
      <c r="K24" s="924">
        <f>厚生_決算精算表!G20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2">
      <formula>AND(入力色表示=1,NOT(_xlfn.ISFORMULA(C18)))</formula>
    </cfRule>
  </conditionalFormatting>
  <dataValidations count="6">
    <dataValidation allowBlank="1" showInputMessage="1" promptTitle="手入力セル" prompt="反映先：厚生_預金・立替・未収 C19&#10;他の帳票：厚生_貸借・損益" sqref="C18"/>
    <dataValidation allowBlank="1" showInputMessage="1" promptTitle="手入力セル" prompt="反映先：厚生_預金・立替・未収 C30、厚生_決算精算表 B17&#10;他の帳票：厚生_貸借・損益、厚生_決算精算表" sqref="C25 C26 C27"/>
    <dataValidation allowBlank="1" showInputMessage="1" promptTitle="手入力セル" prompt="反映先：厚生_預金・立替・未収 C30、厚生_決算精算表 B18&#10;他の帳票：厚生_貸借・損益、厚生_決算精算表" sqref="C28 C29"/>
    <dataValidation allowBlank="1" showInputMessage="1" promptTitle="手入力セル" prompt="反映先：厚生_預金・立替・未収 C38&#10;他の帳票：厚生_貸借・損益、厚生_決算精算表" sqref="C37"/>
    <dataValidation allowBlank="1" showInputMessage="1" promptTitle="手入力セル" prompt="反映先：厚生_預金・立替・未収 E8&#10;他の帳票：厚生_貸借・損益、厚生_決算精算表" sqref="E7"/>
    <dataValidation allowBlank="1" showInputMessage="1" promptTitle="手入力セル" prompt="反映先：厚生_預金・立替・未収 E10&#10;他の帳票：厚生_貸借・損益、厚生_決算精算表"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厚生_貸借・損益!L8</f>
        <v>1679528183</v>
      </c>
      <c r="G14" s="1009">
        <f>SUM(E14:F14)</f>
        <v>1679528183</v>
      </c>
      <c r="H14" s="988"/>
    </row>
    <row r="15" spans="1:8" ht="18.600000000000001" customHeight="1">
      <c r="A15" s="1010"/>
      <c r="B15" s="1011"/>
      <c r="C15" s="1012"/>
      <c r="D15" s="1013" t="s">
        <v>200</v>
      </c>
      <c r="E15" s="1008">
        <f>厚生_貸借・損益!L9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厚生_預金・立替・未収!C25+厚生_預金・立替・未収!C26+厚生_預金・立替・未収!C27</f>
        <v>999571414</v>
      </c>
      <c r="C17" s="1685">
        <v>10996023469</v>
      </c>
      <c r="D17" s="1025" t="s">
        <v>594</v>
      </c>
      <c r="E17" s="1026"/>
      <c r="F17" s="1027"/>
      <c r="G17" s="1028"/>
      <c r="H17" s="996"/>
    </row>
    <row r="18" spans="1:8" ht="18.600000000000001" customHeight="1">
      <c r="A18" s="997">
        <f>C18+B18</f>
        <v>7735814913</v>
      </c>
      <c r="B18" s="1029">
        <f>厚生_預金・立替・未収!C28+厚生_預金・立替・未収!C29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2">
      <formula>AND(入力色表示=1,NOT(_xlfn.ISFORMULA(C17)))</formula>
    </cfRule>
  </conditionalFormatting>
  <conditionalFormatting sqref="A25">
    <cfRule type="expression" dxfId="7" priority="1">
      <formula>入力色表示=1</formula>
    </cfRule>
  </conditionalFormatting>
  <dataValidations count="2">
    <dataValidation allowBlank="1" showInputMessage="1" promptTitle="手入力セル" prompt="反映先：厚生_決算精算表 A17,C21&#10;他の帳票：厚生_貸借・損益" sqref="C17"/>
    <dataValidation allowBlank="1" showInputMessage="1" promptTitle="手入力セル" prompt="反映先：厚生_決算精算表 A18,C21&#10;他の帳票：厚生_貸借・損益"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退職等_預金・立替・未収!E8</f>
        <v>111499006</v>
      </c>
      <c r="F8" s="866"/>
      <c r="G8" s="860"/>
      <c r="H8" s="2514" t="s">
        <v>899</v>
      </c>
      <c r="I8" s="2514"/>
      <c r="J8" s="2514"/>
      <c r="K8" s="857"/>
      <c r="L8" s="858">
        <f>退職等_預金・立替・未収!C26</f>
        <v>111499006</v>
      </c>
      <c r="M8" s="866"/>
      <c r="N8" s="863"/>
      <c r="O8" s="846"/>
      <c r="P8" s="846"/>
    </row>
    <row r="9" spans="1:16" s="847" customFormat="1" ht="17.100000000000001" customHeight="1">
      <c r="A9" s="2513" t="s">
        <v>898</v>
      </c>
      <c r="B9" s="2513"/>
      <c r="C9" s="2513"/>
      <c r="D9" s="870"/>
      <c r="E9" s="858">
        <f>退職等_預金・立替・未収!C16</f>
        <v>0</v>
      </c>
      <c r="F9" s="866"/>
      <c r="G9" s="871"/>
      <c r="H9" s="2514" t="s">
        <v>200</v>
      </c>
      <c r="I9" s="2514"/>
      <c r="J9" s="2514"/>
      <c r="K9" s="857"/>
      <c r="L9" s="1683">
        <f>退職等_預金・立替・未収!C34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退職等_決算精算表!A17</f>
        <v>634159455</v>
      </c>
      <c r="E23" s="861"/>
      <c r="F23" s="866"/>
      <c r="G23" s="1086"/>
      <c r="H23" s="2514" t="s">
        <v>125</v>
      </c>
      <c r="I23" s="2514"/>
      <c r="J23" s="2514"/>
      <c r="K23" s="1087">
        <f>退職等_決算精算表!G19</f>
        <v>634159455</v>
      </c>
      <c r="L23" s="861"/>
      <c r="M23" s="866"/>
      <c r="N23" s="863"/>
      <c r="O23" s="846"/>
      <c r="P23" s="846"/>
    </row>
    <row r="24" spans="1:16" s="847" customFormat="1" ht="17.100000000000001" customHeight="1">
      <c r="A24" s="2513" t="s">
        <v>602</v>
      </c>
      <c r="B24" s="2513"/>
      <c r="C24" s="2513"/>
      <c r="D24" s="1087">
        <f>退職等_決算精算表!A18</f>
        <v>634205895</v>
      </c>
      <c r="E24" s="861"/>
      <c r="F24" s="866"/>
      <c r="G24" s="1086"/>
      <c r="H24" s="2514" t="s">
        <v>196</v>
      </c>
      <c r="I24" s="2514"/>
      <c r="J24" s="2514"/>
      <c r="K24" s="1087">
        <f>退職等_決算精算表!G20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2">
      <formula>AND(入力色表示=1,NOT(_xlfn.ISFORMULA(C22)))</formula>
    </cfRule>
  </conditionalFormatting>
  <conditionalFormatting sqref="C33 C34">
    <cfRule type="expression" dxfId="7" priority="1">
      <formula>入力色表示=1</formula>
    </cfRule>
  </conditionalFormatting>
  <dataValidations count="4">
    <dataValidation allowBlank="1" showInputMessage="1" promptTitle="手入力セル" prompt="反映先：退職等_預金・立替・未収 C26、退職等_決算精算表 B17&#10;他の帳票：退職等_貸借・損益、退職等_決算精算表" sqref="C22 C23"/>
    <dataValidation allowBlank="1" showInputMessage="1" promptTitle="手入力セル" prompt="反映先：退職等_預金・立替・未収 C26、退職等_決算精算表 B18&#10;他の帳票：退職等_貸借・損益、退職等_決算精算表" sqref="C24 C25"/>
    <dataValidation allowBlank="1" showInputMessage="1" promptTitle="手入力セル" prompt="反映先：退職等_預金・立替・未収 C34&#10;他の帳票：退職等_貸借・損益、退職等_決算精算表" sqref="C33"/>
    <dataValidation allowBlank="1" showInputMessage="1" promptTitle="手入力セル" prompt="反映先：退職等_預金・立替・未収 E8&#10;他の帳票：退職等_貸借・損益、退職等_決算精算表"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退職等_貸借・損益!E8</f>
        <v>111499006</v>
      </c>
      <c r="D12" s="1116" t="s">
        <v>194</v>
      </c>
      <c r="E12" s="1117"/>
      <c r="F12" s="994"/>
      <c r="G12" s="1118"/>
      <c r="H12" s="973"/>
    </row>
    <row r="13" spans="1:9" ht="18.600000000000001" customHeight="1">
      <c r="A13" s="1119">
        <f>C13+B13</f>
        <v>0</v>
      </c>
      <c r="B13" s="1120">
        <f>退職等_預金・立替・未収!C14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退職等_貸借・損益!L8</f>
        <v>111499006</v>
      </c>
      <c r="G14" s="1037">
        <f>SUM(E14:F14)</f>
        <v>111499006</v>
      </c>
      <c r="H14" s="1015"/>
    </row>
    <row r="15" spans="1:9" ht="18.600000000000001" customHeight="1">
      <c r="A15" s="1128"/>
      <c r="B15" s="1129"/>
      <c r="C15" s="1130"/>
      <c r="D15" s="1131" t="s">
        <v>200</v>
      </c>
      <c r="E15" s="1132">
        <f>退職等_貸借・損益!L9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退職等_預金・立替・未収!C22+退職等_預金・立替・未収!C23</f>
        <v>55749738</v>
      </c>
      <c r="C17" s="1688">
        <v>578409717</v>
      </c>
      <c r="D17" s="1141" t="s">
        <v>594</v>
      </c>
      <c r="E17" s="1142"/>
      <c r="F17" s="1143"/>
      <c r="G17" s="1144"/>
      <c r="H17" s="973"/>
    </row>
    <row r="18" spans="1:8" ht="18.600000000000001" customHeight="1">
      <c r="A18" s="989">
        <f>C18+B18</f>
        <v>634205895</v>
      </c>
      <c r="B18" s="1029">
        <f>退職等_預金・立替・未収!C24+退職等_預金・立替・未収!C25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2">
      <formula>AND(入力色表示=1,NOT(_xlfn.ISFORMULA(C13)))</formula>
    </cfRule>
  </conditionalFormatting>
  <dataValidations count="3">
    <dataValidation allowBlank="1" showInputMessage="1" promptTitle="手入力セル" prompt="反映先：退職等_決算精算表 A13,C16&#10;他の帳票：なし" sqref="C13"/>
    <dataValidation allowBlank="1" showInputMessage="1" promptTitle="手入力セル" prompt="反映先：退職等_決算精算表 A17,C21&#10;他の帳票：退職等_貸借・損益" sqref="C17"/>
    <dataValidation allowBlank="1" showInputMessage="1" promptTitle="手入力セル" prompt="反映先：退職等_決算精算表 A18,C21&#10;他の帳票：退職等_貸借・損益"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経過的_預金・立替・未収!E8</f>
        <v>722478</v>
      </c>
      <c r="F8" s="866"/>
      <c r="G8" s="860"/>
      <c r="H8" s="2514" t="s">
        <v>899</v>
      </c>
      <c r="I8" s="2514"/>
      <c r="J8" s="2514"/>
      <c r="K8" s="857"/>
      <c r="L8" s="858">
        <f>経過的_預金・立替・未収!C23</f>
        <v>722478</v>
      </c>
      <c r="M8" s="866"/>
      <c r="N8" s="863"/>
      <c r="O8" s="846"/>
      <c r="P8" s="846"/>
    </row>
    <row r="9" spans="1:16" s="847" customFormat="1" ht="17.100000000000001" customHeight="1">
      <c r="A9" s="2513" t="s">
        <v>898</v>
      </c>
      <c r="B9" s="2513"/>
      <c r="C9" s="2513"/>
      <c r="D9" s="857"/>
      <c r="E9" s="858">
        <f>経過的_預金・立替・未収!C16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経過的_決算精算表!A16</f>
        <v>85620216</v>
      </c>
      <c r="E23" s="861"/>
      <c r="F23" s="866"/>
      <c r="G23" s="1086"/>
      <c r="H23" s="2514" t="s">
        <v>125</v>
      </c>
      <c r="I23" s="2514"/>
      <c r="J23" s="2514"/>
      <c r="K23" s="1087">
        <f>経過的_決算精算表!G17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2">
      <formula>AND(入力色表示=1,NOT(_xlfn.ISFORMULA(C15)))</formula>
    </cfRule>
  </conditionalFormatting>
  <dataValidations count="3">
    <dataValidation allowBlank="1" showInputMessage="1" promptTitle="手入力セル" prompt="反映先：経過的_預金・立替・未収 C16&#10;他の帳票：経過的_貸借・損益" sqref="C15"/>
    <dataValidation allowBlank="1" showInputMessage="1" promptTitle="手入力セル" prompt="反映先：経過的_預金・立替・未収 C23、経過的_決算精算表 B16&#10;他の帳票：経過的_貸借・損益、経過的_決算精算表" sqref="C22"/>
    <dataValidation allowBlank="1" showInputMessage="1" promptTitle="手入力セル" prompt="反映先：経過的_預金・立替・未収 E8&#10;他の帳票：経過的_貸借・損益、経過的_決算精算表"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2">
      <formula>AND(入力色表示=1,NOT(_xlfn.ISFORMULA(C16)))</formula>
    </cfRule>
  </conditionalFormatting>
  <dataValidations count="1">
    <dataValidation allowBlank="1" showInputMessage="1" promptTitle="手入力セル" prompt="反映先：経過的_決算精算表 A16,C18&#10;他の帳票：経過的_貸借・損益"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預託金_預金・未収・貸付・預託金!F8</f>
        <v>0</v>
      </c>
      <c r="F8" s="866"/>
      <c r="G8" s="860"/>
      <c r="H8" s="2651" t="s">
        <v>215</v>
      </c>
      <c r="I8" s="2651"/>
      <c r="J8" s="2651"/>
      <c r="K8" s="870"/>
      <c r="L8" s="858">
        <f>預託金_預金・未収・貸付・預託金!M29</f>
        <v>0</v>
      </c>
      <c r="M8" s="866"/>
      <c r="N8" s="863"/>
      <c r="O8" s="846"/>
      <c r="P8" s="846"/>
    </row>
    <row r="9" spans="1:16" s="847" customFormat="1" ht="17.100000000000001" customHeight="1">
      <c r="A9" s="2583" t="s">
        <v>774</v>
      </c>
      <c r="B9" s="2583"/>
      <c r="C9" s="2583"/>
      <c r="D9" s="870"/>
      <c r="E9" s="858">
        <f>預託金_預金・未収・貸付・預託金!C15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預託金_決算精算表!A17</f>
        <v>136059</v>
      </c>
      <c r="E27" s="861"/>
      <c r="F27" s="866"/>
      <c r="G27" s="1086"/>
      <c r="H27" s="1217"/>
      <c r="I27" s="841"/>
      <c r="J27" s="1215" t="s">
        <v>106</v>
      </c>
      <c r="K27" s="1087">
        <f>預託金_決算精算表!G18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2">
      <formula>AND(入力色表示=1,NOT(_xlfn.ISFORMULA(C14)))</formula>
    </cfRule>
  </conditionalFormatting>
  <dataValidations count="3">
    <dataValidation allowBlank="1" showInputMessage="1" promptTitle="手入力セル" prompt="反映先：預託金_預金・未収・貸付・預託金 C15&#10;他の帳票：報告_預託金のカメラ、預託金_貸借・損益" sqref="C14"/>
    <dataValidation allowBlank="1" showInputMessage="1" promptTitle="手入力セル" prompt="反映先：預託金_預金・未収・貸付・預託金 F8&#10;他の帳票：報告_預託金のカメラ、預託金_貸借・損益" sqref="F7"/>
    <dataValidation allowBlank="1" showInputMessage="1" promptTitle="手入力セル" prompt="反映先：預託金_預金・未収・貸付・預託金 I29,M28&#10;他の帳票：預託金_貸借・損益"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2">
      <formula>AND(入力色表示=1,NOT(_xlfn.ISFORMULA(B17)))</formula>
    </cfRule>
  </conditionalFormatting>
  <dataValidations count="4">
    <dataValidation allowBlank="1" showInputMessage="1" promptTitle="手入力セル" prompt="反映先：預託金_決算精算表 A17,B19&#10;他の帳票：報告_預託金P17、預託金_貸借・損益、預託金_預金・未収・貸付・預託金" sqref="B17"/>
    <dataValidation allowBlank="1" showInputMessage="1" promptTitle="手入力セル" prompt="反映先：預託金_決算精算表 A15,C16,G15&#10;他の帳票：なし" sqref="C15"/>
    <dataValidation allowBlank="1" showInputMessage="1" promptTitle="手入力セル" prompt="反映先：預託金_決算精算表 A17,C19&#10;他の帳票：報告_預託金P17、預託金_貸借・損益、預託金_預金・未収・貸付・預託金" sqref="C17"/>
    <dataValidation allowBlank="1" showInputMessage="1" promptTitle="手入力セル" prompt="反映先：預託金_決算精算表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業務_決算精算表!A9</f>
        <v>72939159</v>
      </c>
      <c r="D7" s="1293"/>
      <c r="E7" s="1294" t="s">
        <v>899</v>
      </c>
      <c r="F7" s="1270"/>
      <c r="G7" s="1287">
        <f>業務_決算精算表!G14</f>
        <v>9597685</v>
      </c>
      <c r="H7" s="1295"/>
      <c r="I7" s="1281"/>
      <c r="J7" s="1281"/>
      <c r="K7" s="1281"/>
      <c r="L7" s="1281"/>
      <c r="M7" s="1281"/>
      <c r="N7" s="1281"/>
      <c r="O7" s="1281"/>
      <c r="P7" s="1281"/>
      <c r="Q7" s="1281"/>
      <c r="R7" s="1281"/>
    </row>
    <row r="8" spans="1:18" ht="16.2" customHeight="1">
      <c r="A8" s="1290" t="s">
        <v>217</v>
      </c>
      <c r="B8" s="1291"/>
      <c r="C8" s="1292">
        <f>業務_決算精算表!A10</f>
        <v>194420</v>
      </c>
      <c r="D8" s="1296"/>
      <c r="E8" s="1294" t="s">
        <v>997</v>
      </c>
      <c r="F8" s="1287"/>
      <c r="G8" s="1287">
        <f>業務_決算精算表!G15</f>
        <v>435361</v>
      </c>
      <c r="H8" s="1295"/>
      <c r="I8" s="1281"/>
      <c r="J8" s="1281"/>
      <c r="K8" s="1281"/>
      <c r="L8" s="1281"/>
      <c r="M8" s="1281"/>
      <c r="N8" s="1281"/>
      <c r="O8" s="1281"/>
      <c r="P8" s="1281"/>
      <c r="Q8" s="1281"/>
      <c r="R8" s="1281"/>
    </row>
    <row r="9" spans="1:18" ht="16.2" customHeight="1">
      <c r="A9" s="1290" t="s">
        <v>898</v>
      </c>
      <c r="B9" s="1291"/>
      <c r="C9" s="1292">
        <f>業務_決算精算表!A12</f>
        <v>11834281</v>
      </c>
      <c r="D9" s="1296"/>
      <c r="E9" s="1294" t="s">
        <v>200</v>
      </c>
      <c r="F9" s="1287"/>
      <c r="G9" s="1287">
        <f>業務_決算精算表!G16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業務_決算精算表!A21</f>
        <v>33000</v>
      </c>
      <c r="C38" s="1288"/>
      <c r="D38" s="1296"/>
      <c r="E38" s="1294" t="s">
        <v>125</v>
      </c>
      <c r="F38" s="1287">
        <f>業務_決算精算表!G39</f>
        <v>89655843</v>
      </c>
      <c r="G38" s="1288"/>
      <c r="H38" s="1295"/>
      <c r="I38" s="1281"/>
      <c r="J38" s="1281"/>
      <c r="K38" s="1281"/>
      <c r="L38" s="1281"/>
      <c r="M38" s="1281"/>
      <c r="N38" s="1281"/>
      <c r="O38" s="1281"/>
      <c r="P38" s="1281"/>
      <c r="Q38" s="1281"/>
      <c r="R38" s="1281"/>
    </row>
    <row r="39" spans="1:18" ht="16.2" customHeight="1">
      <c r="A39" s="1323" t="s">
        <v>128</v>
      </c>
      <c r="B39" s="1287">
        <f>業務_決算精算表!A22</f>
        <v>10141337</v>
      </c>
      <c r="C39" s="1288"/>
      <c r="D39" s="1296"/>
      <c r="E39" s="1294" t="s">
        <v>37</v>
      </c>
      <c r="F39" s="1287">
        <f>業務_決算精算表!G40</f>
        <v>77607</v>
      </c>
      <c r="G39" s="1288"/>
      <c r="H39" s="1295"/>
      <c r="I39" s="1281"/>
      <c r="J39" s="1281"/>
      <c r="K39" s="1281"/>
      <c r="L39" s="1281"/>
      <c r="M39" s="1281"/>
      <c r="N39" s="1281"/>
      <c r="O39" s="1281"/>
      <c r="P39" s="1281"/>
      <c r="Q39" s="1281"/>
      <c r="R39" s="1281"/>
    </row>
    <row r="40" spans="1:18" ht="16.2" customHeight="1">
      <c r="A40" s="1323" t="s">
        <v>129</v>
      </c>
      <c r="B40" s="1287">
        <f>業務_決算精算表!A23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業務_決算精算表!A25</f>
        <v>13993113</v>
      </c>
      <c r="C42" s="1288"/>
      <c r="D42" s="1296"/>
      <c r="E42" s="1294" t="s">
        <v>38</v>
      </c>
      <c r="F42" s="1287">
        <f>業務_決算精算表!E42</f>
        <v>23159738</v>
      </c>
      <c r="G42" s="1324"/>
      <c r="H42" s="1295"/>
      <c r="I42" s="1281"/>
      <c r="J42" s="1281"/>
      <c r="K42" s="1281"/>
      <c r="L42" s="1281"/>
      <c r="M42" s="1281"/>
      <c r="N42" s="1281"/>
      <c r="O42" s="1281"/>
      <c r="P42" s="1281"/>
      <c r="Q42" s="1281"/>
      <c r="R42" s="1281"/>
    </row>
    <row r="43" spans="1:18" ht="16.2" customHeight="1">
      <c r="A43" s="1325" t="s">
        <v>132</v>
      </c>
      <c r="B43" s="1287">
        <f>業務_決算精算表!A26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業務_決算精算表!A27</f>
        <v>10084438</v>
      </c>
      <c r="C44" s="1288"/>
      <c r="D44" s="1296"/>
      <c r="E44" s="1327" t="s">
        <v>1005</v>
      </c>
      <c r="F44" s="1287" t="str">
        <f>IF(業務_決算精算表!G43=0,"",業務_決算精算表!G43)</f>
        <v/>
      </c>
      <c r="G44" s="1324"/>
      <c r="H44" s="1295"/>
      <c r="I44" s="1281"/>
      <c r="J44" s="1281"/>
      <c r="K44" s="1281"/>
      <c r="L44" s="1281"/>
      <c r="M44" s="1281"/>
      <c r="N44" s="1281"/>
      <c r="O44" s="1281"/>
      <c r="P44" s="1281"/>
      <c r="Q44" s="1281"/>
      <c r="R44" s="1281"/>
    </row>
    <row r="45" spans="1:18" ht="16.2" customHeight="1">
      <c r="A45" s="1325" t="s">
        <v>135</v>
      </c>
      <c r="B45" s="1287">
        <f>業務_決算精算表!A28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業務_決算精算表!A30</f>
        <v>9430768</v>
      </c>
      <c r="C47" s="1288"/>
      <c r="D47" s="1296"/>
      <c r="E47" s="1328" t="s">
        <v>126</v>
      </c>
      <c r="F47" s="1287"/>
      <c r="G47" s="1329">
        <f>業務_決算精算表!G44</f>
        <v>11834281</v>
      </c>
      <c r="H47" s="1289"/>
      <c r="I47" s="1281"/>
      <c r="J47" s="1281"/>
      <c r="K47" s="1281"/>
      <c r="L47" s="1281"/>
      <c r="M47" s="1281"/>
      <c r="N47" s="1281"/>
      <c r="O47" s="1281"/>
      <c r="P47" s="1281"/>
      <c r="Q47" s="1281"/>
      <c r="R47" s="1281"/>
    </row>
    <row r="48" spans="1:18" ht="16.2" customHeight="1">
      <c r="A48" s="1323" t="s">
        <v>1008</v>
      </c>
      <c r="B48" s="1287">
        <f>業務_決算精算表!A31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業務_決算精算表!A33</f>
        <v>13718352</v>
      </c>
      <c r="C50" s="1288"/>
      <c r="D50" s="1296"/>
      <c r="E50" s="1327" t="s">
        <v>1010</v>
      </c>
      <c r="F50" s="1287"/>
      <c r="G50" s="1288">
        <f>業務_決算精算表!G45</f>
        <v>0</v>
      </c>
      <c r="H50" s="1289"/>
      <c r="I50" s="1281"/>
      <c r="J50" s="1281"/>
      <c r="K50" s="1281"/>
      <c r="L50" s="1281"/>
      <c r="M50" s="1281"/>
      <c r="N50" s="1281"/>
      <c r="O50" s="1281"/>
      <c r="P50" s="1281"/>
      <c r="Q50" s="1281"/>
      <c r="R50" s="1281"/>
    </row>
    <row r="51" spans="1:18" ht="15.75" customHeight="1">
      <c r="A51" s="1331" t="s">
        <v>1011</v>
      </c>
      <c r="B51" s="1287">
        <f>業務_決算精算表!A34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業務_財務諸表!C57</f>
        <v>3603510</v>
      </c>
      <c r="J91" s="2714"/>
      <c r="K91" s="2714"/>
      <c r="L91" s="2714"/>
      <c r="M91" s="2714">
        <f>業務_財務諸表!G54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業務_決算精算表!C21</f>
        <v>33000</v>
      </c>
      <c r="K122" s="2714"/>
      <c r="L122" s="2714"/>
      <c r="M122" s="2714"/>
      <c r="N122" s="2714"/>
      <c r="O122" s="2714">
        <f>業務_決算精算表!B21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業務_決算精算表!C22</f>
        <v>10082322</v>
      </c>
      <c r="K123" s="2705"/>
      <c r="L123" s="2705"/>
      <c r="M123" s="2705"/>
      <c r="N123" s="2705"/>
      <c r="O123" s="2705">
        <f>業務_決算精算表!B22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業務_決算精算表!C24</f>
        <v>343112</v>
      </c>
      <c r="K124" s="2705"/>
      <c r="L124" s="2705"/>
      <c r="M124" s="2705"/>
      <c r="N124" s="2705"/>
      <c r="O124" s="2705">
        <f>業務_決算精算表!B24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業務_決算精算表!C25</f>
        <v>13146428</v>
      </c>
      <c r="K125" s="2705"/>
      <c r="L125" s="2705"/>
      <c r="M125" s="2705"/>
      <c r="N125" s="2705"/>
      <c r="O125" s="2705">
        <f>業務_決算精算表!B25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IF(業務_財務諸表!G54&gt;0,"当期損失金（△）","当期利益金")</f>
        <v>当期利益金</v>
      </c>
      <c r="E134" s="2694"/>
      <c r="F134" s="2694"/>
      <c r="G134" s="2694"/>
      <c r="H134" s="2694"/>
      <c r="I134" s="2694"/>
      <c r="J134" s="2694"/>
      <c r="K134" s="2694"/>
      <c r="L134" s="49"/>
      <c r="M134" s="49"/>
      <c r="N134" s="49"/>
      <c r="O134" s="49"/>
      <c r="P134" s="2701">
        <f>業務_財務諸表!C57-業務_財務諸表!G54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94 A95 A96 A97 A98 A99 A100 A101 A102 A103 A104 A105 A106 A107 A108 A109 A110 B94 B95 B101 B102 B103 B108 B109 B110 C94 C95 C101 C102 C103 C108 C109 C110 D94 D95 D96 D97 D98 D99 D100 D101 D102 D103 D108 D109 D110 E94 E95 E101 E102 E103 E104 E105 E106 E108 E109 E110 E125 F83 F84 F94 F95 F96 F97 F98 F99 F101 F102 F103 F108 F109 F110 G12 G38 G39 G40 G41 G42 G43 G44 G45 G52 G53 G60 G61 G68 G76 G94 G95 G101 G102 G103 G108 G109 G110 H83 H84 H94 H95 H96 H97 H98 H99 H101 H102 H103 H108 H109 H110 I94 I95 I101 I102 I103 I104 I105 I106 I108 I109 I110 J76 J95 J96 J97 J99 J101 J103 J108 J109 J110 K83 K84 K95 K101 K103 K108 K109 K110 K136 K137 L95 L96 L97 L98 L99 L101 L103 L108 L109 L110 M5 M95 M101 M103 M104 M105 M106 M108 M109 M110 N95 N96 N97 N99 N100 N101 N103 N108 N109 N110 O95 O101 O103 O108 O109 O110 P95 P96 P97 P99 P100 P101 P103 P108 P109 P110 Q94 Q95 Q101 Q102 Q103 Q104 Q105 Q108 Q109 Q110 R95 R101 R103 R108 R109 R110 S95 S101 S103 S108 S109 S110 T95 T101 T103 T108 T109 T110 U95 U101 U103 U104 U105 U106 U107 U108 U109 U110 V95 V101 V103 V108 V109 V110 W95 W101 W103 W108 W109 W110 X95 X101 X103 X108 X109 X110">
    <cfRule type="expression" dxfId="6" priority="2">
      <formula>AND(入力色表示=1,NOT(_xlfn.ISFORMULA(A94)))</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 E107,Q106&#10;他の帳票：なし" sqref="E106"/>
    <dataValidation allowBlank="1" showInputMessage="1" promptTitle="手入力セル" prompt="反映先：業務_附属明細表 E126,Q145,T125&#10;他の帳票：なし" sqref="E125"/>
    <dataValidation allowBlank="1" showInputMessage="1" promptTitle="手入力セル" prompt="反映先：業務_附属明細表 F85,N83,Q83&#10;他の帳票：なし" sqref="F83"/>
    <dataValidation allowBlank="1" showInputMessage="1" promptTitle="手入力セル" prompt="反映先：業務_附属明細表 F85,N84,Q84&#10;他の帳票：なし" sqref="F84"/>
    <dataValidation allowBlank="1" showInputMessage="1" promptTitle="手入力セル" prompt="反映先：業務_附属明細表 F100,N98&#10;他の帳票：なし" sqref="F98"/>
    <dataValidation allowBlank="1" showInputMessage="1" promptTitle="手入力セル" prompt="反映先：業務_附属明細表 F100&#10;他の帳票：なし" sqref="F99"/>
    <dataValidation allowBlank="1" showInputMessage="1" promptTitle="手入力セル" prompt="反映先：業務_附属明細表 G14&#10;他の帳票：なし" sqref="G12"/>
    <dataValidation allowBlank="1" showInputMessage="1" promptTitle="手入力セル" prompt="反映先：業務_附属明細表 G46、業務_決算精算表 B10&#10;他の帳票：業務_財務諸表、業務_決算精算表" sqref="G38"/>
    <dataValidation allowBlank="1" showInputMessage="1" promptTitle="手入力セル" prompt="反映先：業務_附属明細表 G46、業務_決算精算表 B25&#10;他の帳票：報告_業務P19、業務_財務諸表、業務_決算精算表" sqref="G39"/>
    <dataValidation allowBlank="1" showInputMessage="1" promptTitle="手入力セル" prompt="反映先：業務_附属明細表 G46、業務_決算精算表 B27&#10;他の帳票：報告_業務P19、業務_財務諸表、業務_決算精算表" sqref="G40"/>
    <dataValidation allowBlank="1" showInputMessage="1" promptTitle="手入力セル" prompt="反映先：業務_附属明細表 G46、業務_決算精算表 B28&#10;他の帳票：報告_業務P19、業務_財務諸表、業務_決算精算表" sqref="G41"/>
    <dataValidation allowBlank="1" showInputMessage="1" promptTitle="手入力セル" prompt="反映先：業務_附属明細表 G46、業務_決算精算表 B30&#10;他の帳票：報告_業務P19、業務_財務諸表、業務_決算精算表" sqref="G42"/>
    <dataValidation allowBlank="1" showInputMessage="1" promptTitle="手入力セル" prompt="反映先：業務_附属明細表 G46、業務_決算精算表 B31&#10;他の帳票：報告_業務P19、業務_財務諸表、業務_決算精算表" sqref="G43"/>
    <dataValidation allowBlank="1" showInputMessage="1" promptTitle="手入力セル" prompt="反映先：業務_附属明細表 G46、業務_決算精算表 B32&#10;他の帳票：報告_業務P19、業務_財務諸表、業務_決算精算表" sqref="G44"/>
    <dataValidation allowBlank="1" showInputMessage="1" promptTitle="手入力セル" prompt="反映先：業務_附属明細表 G46、業務_決算精算表 B39&#10;他の帳票：報告_業務P18、報告_業務P19、業務_財務諸表、業務_決算精算表" sqref="G45"/>
    <dataValidation allowBlank="1" showInputMessage="1" promptTitle="手入力セル" prompt="反映先：業務_附属明細表 G54、業務_決算精算表 B22&#10;他の帳票：報告_業務P19、業務_財務諸表、業務_決算精算表" sqref="G52"/>
    <dataValidation allowBlank="1" showInputMessage="1" promptTitle="手入力セル" prompt="反映先：業務_附属明細表 G54、業務_決算精算表 B26&#10;他の帳票：報告_業務P19、業務_財務諸表、業務_決算精算表" sqref="G53"/>
    <dataValidation allowBlank="1" showInputMessage="1" promptTitle="手入力セル" prompt="反映先：業務_附属明細表 G62&#10;他の帳票：業務_財務諸表、業務_決算精算表" sqref="G60 G61"/>
    <dataValidation allowBlank="1" showInputMessage="1" promptTitle="手入力セル" prompt="反映先：業務_附属明細表 G69、業務_決算精算表 E17&#10;他の帳票：業務_財務諸表、業務_決算精算表" sqref="G68"/>
    <dataValidation allowBlank="1" showInputMessage="1" promptTitle="手入力セル" prompt="反映先：業務_附属明細表 G77,M76&#10;他の帳票：業務_財務諸表、業務_決算精算表" sqref="G76"/>
    <dataValidation allowBlank="1" showInputMessage="1" promptTitle="手入力セル" prompt="反映先：業務_附属明細表 H85&#10;他の帳票：報告_業務P19、業務_財務諸表、業務_決算精算表" sqref="H83 H84"/>
    <dataValidation allowBlank="1" showInputMessage="1" promptTitle="手入力セル" prompt="反映先：業務_附属明細表 H100&#10;他の帳票：なし" sqref="H98 H99"/>
    <dataValidation allowBlank="1" showInputMessage="1" promptTitle="手入力セル" prompt="反映先：業務_附属明細表 I107,Q106&#10;他の帳票：なし" sqref="I106"/>
    <dataValidation allowBlank="1" showInputMessage="1" promptTitle="手入力セル" prompt="反映先：業務_附属明細表 J77,M76&#10;他の帳票：業務_財務諸表、業務_決算精算表" sqref="J76"/>
    <dataValidation allowBlank="1" showInputMessage="1" promptTitle="手入力セル" prompt="反映先：業務_附属明細表 K85,N83,Q83&#10;他の帳票：なし" sqref="K83"/>
    <dataValidation allowBlank="1" showInputMessage="1" promptTitle="手入力セル" prompt="反映先：業務_附属明細表 K85,N84,Q84&#10;他の帳票：なし" sqref="K84"/>
    <dataValidation allowBlank="1" showInputMessage="1" promptTitle="手入力セル" prompt="反映先：業務_附属明細表 P135&#10;他の帳票：なし" sqref="K136 K137"/>
    <dataValidation allowBlank="1" showInputMessage="1" promptTitle="手入力セル" prompt="反映先：業務_附属明細表 L100&#10;他の帳票：なし" sqref="L98 L99"/>
    <dataValidation allowBlank="1" showInputMessage="1" promptTitle="手入力セル" prompt="反映先：業務_附属明細表 M6、業務_決算精算表 C9&#10;他の帳票：業務_財務諸表、業務_決算精算表" sqref="M5"/>
    <dataValidation allowBlank="1" showInputMessage="1" promptTitle="手入力セル" prompt="反映先：業務_附属明細表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業務_附属明細表!M5</f>
        <v>72939159</v>
      </c>
      <c r="D9" s="1447" t="s">
        <v>895</v>
      </c>
      <c r="E9" s="1448"/>
      <c r="F9" s="1449"/>
      <c r="G9" s="1450"/>
      <c r="H9" s="1419"/>
    </row>
    <row r="10" spans="1:8" ht="17.7" customHeight="1">
      <c r="A10" s="1444">
        <f>SUM(B10:C10)</f>
        <v>194420</v>
      </c>
      <c r="B10" s="1451">
        <f>業務_附属明細表!G38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業務_附属明細表!G32</f>
        <v>11834281</v>
      </c>
      <c r="C12" s="1452"/>
      <c r="D12" s="1453" t="s">
        <v>898</v>
      </c>
      <c r="E12" s="1454"/>
      <c r="F12" s="1455"/>
      <c r="G12" s="1450"/>
      <c r="H12" s="1419"/>
    </row>
    <row r="13" spans="1:8" ht="17.7" customHeight="1">
      <c r="A13" s="1444">
        <f>SUM(B13:C13)-F13</f>
        <v>207390</v>
      </c>
      <c r="B13" s="1451"/>
      <c r="C13" s="1452">
        <f>業務_附属明細表!M76</f>
        <v>383946</v>
      </c>
      <c r="D13" s="1453" t="s">
        <v>222</v>
      </c>
      <c r="E13" s="1458"/>
      <c r="F13" s="1451">
        <f>業務_附属明細表!P76</f>
        <v>176556</v>
      </c>
      <c r="G13" s="1459" t="s">
        <v>415</v>
      </c>
      <c r="H13" s="1419"/>
    </row>
    <row r="14" spans="1:8" ht="17.7" customHeight="1">
      <c r="A14" s="1460"/>
      <c r="B14" s="1451"/>
      <c r="C14" s="1452"/>
      <c r="D14" s="1453" t="s">
        <v>899</v>
      </c>
      <c r="E14" s="1458"/>
      <c r="F14" s="1457">
        <f>業務_附属明細表!G46</f>
        <v>9597685</v>
      </c>
      <c r="G14" s="1459">
        <f>SUM(E14:F14)</f>
        <v>9597685</v>
      </c>
      <c r="H14" s="1419"/>
    </row>
    <row r="15" spans="1:8" ht="17.7" customHeight="1">
      <c r="A15" s="1460"/>
      <c r="B15" s="1451"/>
      <c r="C15" s="1452"/>
      <c r="D15" s="1453" t="s">
        <v>997</v>
      </c>
      <c r="E15" s="1458"/>
      <c r="F15" s="1451">
        <f>業務_附属明細表!G54</f>
        <v>435361</v>
      </c>
      <c r="G15" s="1459">
        <f>SUM(E15:F15)</f>
        <v>435361</v>
      </c>
      <c r="H15" s="1419"/>
    </row>
    <row r="16" spans="1:8" ht="17.7" customHeight="1">
      <c r="A16" s="1460"/>
      <c r="B16" s="1451"/>
      <c r="C16" s="1452"/>
      <c r="D16" s="1453" t="s">
        <v>200</v>
      </c>
      <c r="E16" s="1458">
        <f>業務_附属明細表!G62</f>
        <v>227940</v>
      </c>
      <c r="F16" s="1451"/>
      <c r="G16" s="1459">
        <f>SUM(E16:F16)</f>
        <v>227940</v>
      </c>
      <c r="H16" s="1419"/>
    </row>
    <row r="17" spans="1:8" ht="17.7" customHeight="1">
      <c r="A17" s="1460"/>
      <c r="B17" s="1451"/>
      <c r="C17" s="1452"/>
      <c r="D17" s="1453" t="s">
        <v>221</v>
      </c>
      <c r="E17" s="1458">
        <f>業務_附属明細表!G68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B38+業務_財務諸表!G54</f>
        <v>3603510</v>
      </c>
      <c r="C19" s="1462"/>
      <c r="D19" s="818" t="s">
        <v>901</v>
      </c>
      <c r="E19" s="1463">
        <f>業務_附属明細表!E92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業務_附属明細表!G39</f>
        <v>846685</v>
      </c>
      <c r="C25" s="1695">
        <v>13146428</v>
      </c>
      <c r="D25" s="1453" t="s">
        <v>131</v>
      </c>
      <c r="E25" s="1454"/>
      <c r="F25" s="1455"/>
      <c r="G25" s="1456"/>
      <c r="H25" s="1419"/>
    </row>
    <row r="26" spans="1:8" ht="17.7" customHeight="1">
      <c r="A26" s="1470">
        <f t="shared" si="0"/>
        <v>4598066</v>
      </c>
      <c r="B26" s="1457">
        <f>業務_附属明細表!G53</f>
        <v>376346</v>
      </c>
      <c r="C26" s="1695">
        <v>4221720</v>
      </c>
      <c r="D26" s="1453" t="s">
        <v>132</v>
      </c>
      <c r="E26" s="1454"/>
      <c r="F26" s="1455"/>
      <c r="G26" s="1456"/>
      <c r="H26" s="1419"/>
    </row>
    <row r="27" spans="1:8" ht="17.7" customHeight="1">
      <c r="A27" s="1470">
        <f t="shared" si="0"/>
        <v>10084438</v>
      </c>
      <c r="B27" s="1457">
        <f>業務_附属明細表!G40</f>
        <v>1576505</v>
      </c>
      <c r="C27" s="1695">
        <v>8507933</v>
      </c>
      <c r="D27" s="1453" t="s">
        <v>133</v>
      </c>
      <c r="E27" s="1454"/>
      <c r="F27" s="1455"/>
      <c r="G27" s="1456"/>
      <c r="H27" s="1419"/>
    </row>
    <row r="28" spans="1:8" ht="17.7" customHeight="1">
      <c r="A28" s="1470">
        <f t="shared" si="0"/>
        <v>103921</v>
      </c>
      <c r="B28" s="1457">
        <f>業務_附属明細表!G41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業務_附属明細表!G42</f>
        <v>1020091</v>
      </c>
      <c r="C30" s="1695">
        <v>8410677</v>
      </c>
      <c r="D30" s="1453" t="s">
        <v>137</v>
      </c>
      <c r="E30" s="1454"/>
      <c r="F30" s="1471"/>
      <c r="G30" s="1456"/>
      <c r="H30" s="1419"/>
    </row>
    <row r="31" spans="1:8" ht="17.7" customHeight="1">
      <c r="A31" s="1470">
        <f t="shared" si="0"/>
        <v>1884714</v>
      </c>
      <c r="B31" s="1457">
        <f>業務_附属明細表!G43</f>
        <v>689790</v>
      </c>
      <c r="C31" s="1695">
        <v>1194924</v>
      </c>
      <c r="D31" s="1453" t="s">
        <v>138</v>
      </c>
      <c r="E31" s="1454"/>
      <c r="F31" s="1471"/>
      <c r="G31" s="1456"/>
      <c r="H31" s="1419"/>
    </row>
    <row r="32" spans="1:8" ht="17.7" customHeight="1">
      <c r="A32" s="1470">
        <f t="shared" si="0"/>
        <v>2453880</v>
      </c>
      <c r="B32" s="1457">
        <f>業務_附属明細表!G44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業務_財務諸表!C57</f>
        <v>3603510</v>
      </c>
      <c r="C38" s="1452"/>
      <c r="D38" s="1478" t="s">
        <v>828</v>
      </c>
      <c r="E38" s="1454"/>
      <c r="F38" s="1455"/>
      <c r="G38" s="1456"/>
      <c r="H38" s="1419"/>
    </row>
    <row r="39" spans="1:8" ht="17.7" customHeight="1">
      <c r="A39" s="1470"/>
      <c r="B39" s="1457">
        <f>業務_附属明細表!G45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IF(業務_財務諸表!G54=0,"",業務_財務諸表!G54)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2">
      <formula>AND(入力色表示=1,NOT(_xlfn.ISFORMULA(B37)))</formula>
    </cfRule>
  </conditionalFormatting>
  <dataValidations count="19">
    <dataValidation allowBlank="1" showInputMessage="1" promptTitle="手入力セル" prompt="反映先：業務_決算精算表 A37,B47&#10;他の帳票：報告_業務P19、業務_財務諸表、業務_附属明細表" sqref="B37"/>
    <dataValidation allowBlank="1" showInputMessage="1" promptTitle="手入力セル" prompt="反映先：業務_決算精算表 A10,C20&#10;他の帳票：業務_財務諸表" sqref="C10"/>
    <dataValidation allowBlank="1" showInputMessage="1" promptTitle="手入力セル" prompt="反映先：業務_附属明細表 J122、業務_決算精算表 A21,C47&#10;他の帳票：報告_業務P19、業務_財務諸表、業務_附属明細表" sqref="C21"/>
    <dataValidation allowBlank="1" showInputMessage="1" promptTitle="手入力セル" prompt="反映先：業務_附属明細表 J123、業務_決算精算表 A22,C47&#10;他の帳票：報告_業務P19、業務_財務諸表、業務_附属明細表" sqref="C22"/>
    <dataValidation allowBlank="1" showInputMessage="1" promptTitle="手入力セル" prompt="反映先：業務_決算精算表 A23,C47&#10;他の帳票：報告_業務P19、業務_財務諸表、業務_附属明細表" sqref="C23"/>
    <dataValidation allowBlank="1" showInputMessage="1" promptTitle="手入力セル" prompt="反映先：業務_附属明細表 J124、業務_決算精算表 A24,C47&#10;他の帳票：報告_業務P19、業務_財務諸表、業務_附属明細表" sqref="C24"/>
    <dataValidation allowBlank="1" showInputMessage="1" promptTitle="手入力セル" prompt="反映先：業務_附属明細表 J125、業務_決算精算表 A25,C47&#10;他の帳票：報告_業務P19、業務_財務諸表、業務_附属明細表" sqref="C25"/>
    <dataValidation allowBlank="1" showInputMessage="1" promptTitle="手入力セル" prompt="反映先：業務_決算精算表 A26,C47&#10;他の帳票：報告_業務P19、業務_財務諸表、業務_附属明細表" sqref="C26"/>
    <dataValidation allowBlank="1" showInputMessage="1" promptTitle="手入力セル" prompt="反映先：業務_決算精算表 A27,C47&#10;他の帳票：報告_業務P19、業務_財務諸表、業務_附属明細表" sqref="C27"/>
    <dataValidation allowBlank="1" showInputMessage="1" promptTitle="手入力セル" prompt="反映先：業務_決算精算表 A28,C47&#10;他の帳票：報告_業務P19、業務_財務諸表、業務_附属明細表" sqref="C28"/>
    <dataValidation allowBlank="1" showInputMessage="1" promptTitle="手入力セル" prompt="反映先：業務_決算精算表 A29,C47&#10;他の帳票：報告_業務P19、業務_財務諸表、業務_附属明細表" sqref="C29"/>
    <dataValidation allowBlank="1" showInputMessage="1" promptTitle="手入力セル" prompt="反映先：業務_決算精算表 A30,C47&#10;他の帳票：報告_業務P19、業務_財務諸表、業務_附属明細表" sqref="C30"/>
    <dataValidation allowBlank="1" showInputMessage="1" promptTitle="手入力セル" prompt="反映先：業務_決算精算表 A31,C47&#10;他の帳票：報告_業務P19、業務_財務諸表、業務_附属明細表" sqref="C31"/>
    <dataValidation allowBlank="1" showInputMessage="1" promptTitle="手入力セル" prompt="反映先：業務_決算精算表 A32,C47&#10;他の帳票：報告_業務P19、業務_財務諸表、業務_附属明細表" sqref="C32"/>
    <dataValidation allowBlank="1" showInputMessage="1" promptTitle="手入力セル" prompt="反映先：業務_決算精算表 A33,C47&#10;他の帳票：報告_業務P19、業務_財務諸表、業務_附属明細表" sqref="C33"/>
    <dataValidation allowBlank="1" showInputMessage="1" promptTitle="手入力セル" prompt="反映先：業務_決算精算表 A34,C47&#10;他の帳票：報告_業務P19、業務_財務諸表、業務_附属明細表" sqref="C34"/>
    <dataValidation allowBlank="1" showInputMessage="1" promptTitle="手入力セル" prompt="反映先：業務_決算精算表 E47,G39&#10;他の帳票：報告_業務P18、報告_業務P19、業務_財務諸表、業務_附属明細表" sqref="E39"/>
    <dataValidation allowBlank="1" showInputMessage="1" promptTitle="手入力セル" prompt="反映先：業務_決算精算表 E47,G40&#10;他の帳票：報告_業務P18、報告_業務P19、業務_財務諸表、業務_附属明細表" sqref="E40"/>
    <dataValidation allowBlank="1" showInputMessage="1" promptTitle="手入力セル" prompt="反映先：業務_財務諸表 F42、業務_決算精算表 E47,G42&#10;他の帳票：報告_業務P18、報告_業務P19、業務_財務諸表、業務_附属明細表"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保健_附属明細表!M6</f>
        <v>332277800</v>
      </c>
      <c r="D7" s="1504"/>
      <c r="E7" s="1516" t="s">
        <v>769</v>
      </c>
      <c r="F7" s="1496"/>
      <c r="G7" s="1512">
        <f>保健_附属明細表!G61</f>
        <v>175260287</v>
      </c>
      <c r="H7" s="1514"/>
    </row>
    <row r="8" spans="1:8" s="613" customFormat="1" ht="13.5" customHeight="1">
      <c r="A8" s="1515" t="s">
        <v>234</v>
      </c>
      <c r="B8" s="1496"/>
      <c r="C8" s="1503">
        <f>保健_附属明細表!M12</f>
        <v>0</v>
      </c>
      <c r="D8" s="1504"/>
      <c r="E8" s="1516" t="s">
        <v>1098</v>
      </c>
      <c r="F8" s="1512"/>
      <c r="G8" s="1512">
        <f>保健_附属明細表!G70</f>
        <v>0</v>
      </c>
      <c r="H8" s="1514"/>
    </row>
    <row r="9" spans="1:8" s="613" customFormat="1" ht="13.5" customHeight="1">
      <c r="A9" s="1515" t="s">
        <v>771</v>
      </c>
      <c r="B9" s="1496"/>
      <c r="C9" s="1503">
        <f>保健_附属明細表!M20</f>
        <v>0</v>
      </c>
      <c r="D9" s="1510"/>
      <c r="E9" s="1516" t="s">
        <v>221</v>
      </c>
      <c r="F9" s="1512"/>
      <c r="G9" s="1512">
        <f>保健_附属明細表!G79</f>
        <v>1015850</v>
      </c>
      <c r="H9" s="1514"/>
    </row>
    <row r="10" spans="1:8" s="613" customFormat="1" ht="13.5" customHeight="1">
      <c r="A10" s="1515" t="s">
        <v>1099</v>
      </c>
      <c r="B10" s="1517"/>
      <c r="C10" s="1518">
        <f>保健_附属明細表!G27</f>
        <v>0</v>
      </c>
      <c r="D10" s="1519"/>
      <c r="E10" s="1516" t="s">
        <v>772</v>
      </c>
      <c r="F10" s="1512"/>
      <c r="G10" s="1512">
        <f>保健_附属明細表!G86</f>
        <v>0</v>
      </c>
      <c r="H10" s="1514"/>
    </row>
    <row r="11" spans="1:8" s="613" customFormat="1" ht="13.5" customHeight="1">
      <c r="A11" s="1515" t="s">
        <v>774</v>
      </c>
      <c r="B11" s="1496"/>
      <c r="C11" s="1503">
        <f>保健_附属明細表!G35</f>
        <v>0</v>
      </c>
      <c r="D11" s="1520"/>
      <c r="E11" s="1521"/>
      <c r="F11" s="1512"/>
      <c r="G11" s="1512"/>
      <c r="H11" s="1514"/>
    </row>
    <row r="12" spans="1:8" s="613" customFormat="1" ht="13.5" customHeight="1">
      <c r="A12" s="1515" t="s">
        <v>1100</v>
      </c>
      <c r="B12" s="1496"/>
      <c r="C12" s="1503">
        <f>保健_附属明細表!G43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保健_附属明細表!O104</f>
        <v>0</v>
      </c>
      <c r="C16" s="1503"/>
      <c r="D16" s="1520"/>
      <c r="E16" s="1527" t="s">
        <v>243</v>
      </c>
      <c r="F16" s="1512">
        <f>保健_附属明細表!Q145</f>
        <v>0</v>
      </c>
      <c r="G16" s="1513"/>
      <c r="H16" s="1514"/>
    </row>
    <row r="17" spans="1:9" s="613" customFormat="1" ht="13.5" customHeight="1">
      <c r="A17" s="1515" t="s">
        <v>239</v>
      </c>
      <c r="B17" s="1512">
        <f>保健_附属明細表!O106</f>
        <v>0</v>
      </c>
      <c r="C17" s="1518"/>
      <c r="D17" s="1520"/>
      <c r="E17" s="1526" t="s">
        <v>901</v>
      </c>
      <c r="F17" s="1512"/>
      <c r="G17" s="1512">
        <f>SUM(F18:F19)</f>
        <v>285212744</v>
      </c>
      <c r="H17" s="1514"/>
    </row>
    <row r="18" spans="1:9" s="613" customFormat="1" ht="13.5" customHeight="1">
      <c r="A18" s="1515" t="s">
        <v>222</v>
      </c>
      <c r="B18" s="1512">
        <f>保健_附属明細表!O115</f>
        <v>0</v>
      </c>
      <c r="C18" s="1518"/>
      <c r="D18" s="1520"/>
      <c r="E18" s="1528" t="s">
        <v>201</v>
      </c>
      <c r="F18" s="1512">
        <f>保健_附属明細表!Q146</f>
        <v>0</v>
      </c>
      <c r="G18" s="1513"/>
      <c r="H18" s="1514"/>
    </row>
    <row r="19" spans="1:9" s="613" customFormat="1" ht="13.5" customHeight="1">
      <c r="A19" s="1529" t="s">
        <v>981</v>
      </c>
      <c r="B19" s="1512"/>
      <c r="C19" s="1503">
        <f>SUM(B20:B20)</f>
        <v>0</v>
      </c>
      <c r="D19" s="1510"/>
      <c r="E19" s="1516" t="s">
        <v>1102</v>
      </c>
      <c r="F19" s="1512">
        <f>保健_附属明細表!Q147</f>
        <v>285212744</v>
      </c>
      <c r="G19" s="1513"/>
      <c r="H19" s="1514"/>
    </row>
    <row r="20" spans="1:9" s="613" customFormat="1" ht="13.5" customHeight="1">
      <c r="A20" s="1515" t="s">
        <v>1103</v>
      </c>
      <c r="B20" s="1512">
        <f>保健_附属明細表!Q123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保健_決算精算表!A27</f>
        <v>6510030</v>
      </c>
      <c r="C39" s="602"/>
      <c r="D39" s="617"/>
      <c r="E39" s="607" t="s">
        <v>1009</v>
      </c>
      <c r="F39" s="1536">
        <f>保健_決算精算表!G46</f>
        <v>405168491</v>
      </c>
      <c r="G39" s="623"/>
      <c r="H39" s="647"/>
    </row>
    <row r="40" spans="1:8" ht="13.5" customHeight="1">
      <c r="A40" s="604" t="s">
        <v>1104</v>
      </c>
      <c r="B40" s="601">
        <f>保健_決算精算表!A28</f>
        <v>574362302</v>
      </c>
      <c r="C40" s="602"/>
      <c r="D40" s="617"/>
      <c r="E40" s="607" t="s">
        <v>1105</v>
      </c>
      <c r="F40" s="1536">
        <f>保健_決算精算表!G47</f>
        <v>224153980</v>
      </c>
      <c r="G40" s="623"/>
      <c r="H40" s="647"/>
    </row>
    <row r="41" spans="1:8" ht="18" customHeight="1">
      <c r="A41" s="1537" t="s">
        <v>149</v>
      </c>
      <c r="B41" s="601">
        <f>保健_決算精算表!A29</f>
        <v>20355535</v>
      </c>
      <c r="C41" s="602"/>
      <c r="D41" s="617"/>
      <c r="E41" s="607" t="s">
        <v>147</v>
      </c>
      <c r="F41" s="1536">
        <f>保健_決算精算表!G48</f>
        <v>0</v>
      </c>
      <c r="G41" s="623"/>
      <c r="H41" s="647"/>
    </row>
    <row r="42" spans="1:8" ht="13.5" customHeight="1">
      <c r="A42" s="651" t="s">
        <v>1003</v>
      </c>
      <c r="B42" s="601">
        <f>保健_決算精算表!A30</f>
        <v>543780</v>
      </c>
      <c r="C42" s="602"/>
      <c r="D42" s="617"/>
      <c r="E42" s="607"/>
      <c r="F42" s="1536"/>
      <c r="G42" s="623"/>
      <c r="H42" s="647"/>
    </row>
    <row r="43" spans="1:8" ht="13.5" customHeight="1">
      <c r="A43" s="1538" t="s">
        <v>150</v>
      </c>
      <c r="B43" s="601">
        <f>保健_決算精算表!A31</f>
        <v>170673</v>
      </c>
      <c r="C43" s="602"/>
      <c r="D43" s="617"/>
      <c r="E43" s="1539" t="s">
        <v>817</v>
      </c>
      <c r="F43" s="639"/>
      <c r="G43" s="623">
        <f>SUM(F44)</f>
        <v>0</v>
      </c>
      <c r="H43" s="647"/>
    </row>
    <row r="44" spans="1:8" ht="13.5" customHeight="1">
      <c r="A44" s="604" t="s">
        <v>1106</v>
      </c>
      <c r="B44" s="601">
        <f>保健_決算精算表!A32</f>
        <v>0</v>
      </c>
      <c r="C44" s="602"/>
      <c r="D44" s="617"/>
      <c r="E44" s="1540" t="s">
        <v>106</v>
      </c>
      <c r="F44" s="1536">
        <f>保健_決算精算表!G50</f>
        <v>0</v>
      </c>
      <c r="G44" s="623"/>
      <c r="H44" s="647"/>
    </row>
    <row r="45" spans="1:8" ht="13.5" customHeight="1">
      <c r="A45" s="604" t="s">
        <v>1004</v>
      </c>
      <c r="B45" s="601">
        <f>保健_決算精算表!A33</f>
        <v>4535066</v>
      </c>
      <c r="C45" s="602"/>
      <c r="D45" s="617"/>
      <c r="E45" s="1539"/>
      <c r="F45" s="639"/>
      <c r="G45" s="623"/>
      <c r="H45" s="647"/>
    </row>
    <row r="46" spans="1:8" ht="13.5" customHeight="1">
      <c r="A46" s="604" t="s">
        <v>135</v>
      </c>
      <c r="B46" s="601">
        <f>保健_決算精算表!A34</f>
        <v>0</v>
      </c>
      <c r="C46" s="602"/>
      <c r="D46" s="617"/>
      <c r="E46" s="596" t="s">
        <v>823</v>
      </c>
      <c r="F46" s="639"/>
      <c r="G46" s="623"/>
      <c r="H46" s="641">
        <f>G47</f>
        <v>104640</v>
      </c>
    </row>
    <row r="47" spans="1:8" ht="13.5" customHeight="1">
      <c r="A47" s="604" t="s">
        <v>1107</v>
      </c>
      <c r="B47" s="601">
        <f>保健_決算精算表!A35</f>
        <v>0</v>
      </c>
      <c r="C47" s="602"/>
      <c r="D47" s="617"/>
      <c r="E47" s="1541" t="s">
        <v>51</v>
      </c>
      <c r="F47" s="1536"/>
      <c r="G47" s="1536">
        <f>保健_決算精算表!G51</f>
        <v>104640</v>
      </c>
      <c r="H47" s="647"/>
    </row>
    <row r="48" spans="1:8" ht="13.2" customHeight="1">
      <c r="A48" s="651" t="s">
        <v>1108</v>
      </c>
      <c r="B48" s="601">
        <f>保健_決算精算表!A36</f>
        <v>28027</v>
      </c>
      <c r="C48" s="602"/>
      <c r="D48" s="617"/>
      <c r="E48" s="607"/>
      <c r="F48" s="601"/>
      <c r="G48" s="602"/>
      <c r="H48" s="603"/>
    </row>
    <row r="49" spans="1:11" ht="13.5" customHeight="1">
      <c r="A49" s="604" t="s">
        <v>1007</v>
      </c>
      <c r="B49" s="601">
        <f>保健_決算精算表!A37</f>
        <v>3453940</v>
      </c>
      <c r="C49" s="602"/>
      <c r="D49" s="617"/>
      <c r="E49" s="596" t="s">
        <v>233</v>
      </c>
      <c r="F49" s="639"/>
      <c r="H49" s="641">
        <f>SUM(G50)</f>
        <v>0</v>
      </c>
    </row>
    <row r="50" spans="1:11" ht="13.5" customHeight="1">
      <c r="A50" s="604" t="s">
        <v>1109</v>
      </c>
      <c r="B50" s="601">
        <f>保健_決算精算表!A38</f>
        <v>0</v>
      </c>
      <c r="C50" s="602"/>
      <c r="D50" s="617"/>
      <c r="E50" s="652" t="s">
        <v>233</v>
      </c>
      <c r="F50" s="639"/>
      <c r="G50" s="623">
        <f>MAX(0,D37+D55-H37-H46)</f>
        <v>0</v>
      </c>
      <c r="H50" s="647"/>
      <c r="K50" s="628">
        <f>D37+D55-H37-H46</f>
        <v>-14265140</v>
      </c>
    </row>
    <row r="51" spans="1:11" ht="13.5" customHeight="1">
      <c r="A51" s="604" t="s">
        <v>1008</v>
      </c>
      <c r="B51" s="601">
        <f>保健_決算精算表!A39</f>
        <v>1768131</v>
      </c>
      <c r="C51" s="602"/>
      <c r="D51" s="617"/>
      <c r="E51" s="652"/>
      <c r="F51" s="639"/>
      <c r="G51" s="623"/>
      <c r="H51" s="647"/>
    </row>
    <row r="52" spans="1:11" ht="13.5" customHeight="1">
      <c r="A52" s="604" t="s">
        <v>1009</v>
      </c>
      <c r="B52" s="601">
        <f>保健_決算精算表!A40</f>
        <v>565872</v>
      </c>
      <c r="C52" s="602"/>
      <c r="D52" s="617"/>
      <c r="E52" s="596"/>
      <c r="F52" s="639"/>
      <c r="G52" s="623"/>
      <c r="H52" s="641"/>
    </row>
    <row r="53" spans="1:11" ht="13.5" customHeight="1">
      <c r="A53" s="609" t="s">
        <v>140</v>
      </c>
      <c r="B53" s="601">
        <f>保健_決算精算表!A41</f>
        <v>2868615</v>
      </c>
      <c r="C53" s="602"/>
      <c r="D53" s="617"/>
      <c r="E53" s="596"/>
      <c r="F53" s="639"/>
      <c r="G53" s="623"/>
      <c r="H53" s="641"/>
    </row>
    <row r="54" spans="1:11" ht="11.25" customHeight="1">
      <c r="A54" s="604" t="str">
        <f>IF(N(保健_附属明細表!I116)=0,"","減価償却費")</f>
        <v/>
      </c>
      <c r="B54" s="601" t="str">
        <f>IF(N(保健_附属明細表!I116)=0,"",保健_附属明細表!I116)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保健_決算精算表!A43</f>
        <v>0</v>
      </c>
      <c r="D56" s="617"/>
      <c r="E56" s="596"/>
      <c r="F56" s="639"/>
      <c r="G56" s="623"/>
      <c r="H56" s="641"/>
    </row>
    <row r="57" spans="1:11" ht="13.5" customHeight="1">
      <c r="A57" s="609" t="s">
        <v>144</v>
      </c>
      <c r="B57" s="601"/>
      <c r="C57" s="601">
        <f>保健_決算精算表!A44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保健_決算精算表!C27</f>
        <v>6510030</v>
      </c>
      <c r="K136" s="3175"/>
      <c r="L136" s="3175"/>
      <c r="M136" s="3175"/>
      <c r="N136" s="3175"/>
      <c r="O136" s="2872">
        <f>保健_決算精算表!B27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保健_財務諸表!C60</f>
        <v>14265140</v>
      </c>
      <c r="J147" s="3175"/>
      <c r="K147" s="3175"/>
      <c r="L147" s="3175"/>
      <c r="M147" s="2872">
        <f>保健_財務諸表!G50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保健_財務諸表!C60-保健_財務諸表!G50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S56">
    <cfRule type="expression" dxfId="6" priority="2">
      <formula>AND(入力色表示=1,NOT(_xlfn.ISFORMULA(D92)))</formula>
    </cfRule>
  </conditionalFormatting>
  <conditionalFormatting sqref="J138 T138 J139 T139">
    <cfRule type="expression" dxfId="7" priority="1">
      <formula>入力色表示=1</formula>
    </cfRule>
  </conditionalFormatting>
  <dataValidations count="68">
    <dataValidation allowBlank="1" showInputMessage="1" promptTitle="手入力セル" prompt="反映先：保健_附属明細表 D95,M92&#10;他の帳票：保健_決算精算表" sqref="D92"/>
    <dataValidation allowBlank="1" showInputMessage="1" promptTitle="手入力セル" prompt="反映先：保健_附属明細表 D95,M93&#10;他の帳票：保健_決算精算表" sqref="D93"/>
    <dataValidation allowBlank="1" showInputMessage="1" promptTitle="手入力セル" prompt="反映先：保健_附属明細表 D95,M94&#10;他の帳票：保健_決算精算表"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 E123,Q122&#10;他の帳票：保健_財務諸表" sqref="E122"/>
    <dataValidation allowBlank="1" showInputMessage="1" promptTitle="手入力セル" prompt="反映先：保健_附属明細表 E156,Q155&#10;他の帳票：なし" sqref="E155"/>
    <dataValidation allowBlank="1" showInputMessage="1" promptTitle="手入力セル" prompt="反映先：保健_附属明細表 F104,R101&#10;他の帳票：なし" sqref="F101"/>
    <dataValidation allowBlank="1" showInputMessage="1" promptTitle="手入力セル" prompt="反映先：保健_附属明細表 F104,R102&#10;他の帳票：なし" sqref="F102"/>
    <dataValidation allowBlank="1" showInputMessage="1" promptTitle="手入力セル" prompt="反映先：保健_附属明細表 F104,R103&#10;他の帳票：なし" sqref="F103"/>
    <dataValidation allowBlank="1" showInputMessage="1" promptTitle="手入力セル" prompt="反映先：保健_附属明細表 F106,R105&#10;他の帳票：なし" sqref="F105"/>
    <dataValidation allowBlank="1" showInputMessage="1" promptTitle="手入力セル" prompt="反映先：保健_附属明細表 F115,R107&#10;他の帳票：なし" sqref="F107"/>
    <dataValidation allowBlank="1" showInputMessage="1" promptTitle="手入力セル" prompt="反映先：保健_附属明細表 F115,R108&#10;他の帳票：なし" sqref="F108"/>
    <dataValidation allowBlank="1" showInputMessage="1" promptTitle="手入力セル" prompt="反映先：保健_附属明細表 F115,R109&#10;他の帳票：なし" sqref="F109"/>
    <dataValidation allowBlank="1" showInputMessage="1" promptTitle="手入力セル" prompt="反映先：保健_附属明細表 F115,R110&#10;他の帳票：なし" sqref="F110"/>
    <dataValidation allowBlank="1" showInputMessage="1" promptTitle="手入力セル" prompt="反映先：保健_附属明細表 F115,R111&#10;他の帳票：なし" sqref="F111"/>
    <dataValidation allowBlank="1" showInputMessage="1" promptTitle="手入力セル" prompt="反映先：保健_附属明細表 F115,R112&#10;他の帳票：なし" sqref="F112"/>
    <dataValidation allowBlank="1" showInputMessage="1" promptTitle="手入力セル" prompt="反映先：保健_附属明細表 F115,R113&#10;他の帳票：なし" sqref="F113"/>
    <dataValidation allowBlank="1" showInputMessage="1" promptTitle="手入力セル" prompt="反映先：保健_附属明細表 F115,R114&#10;他の帳票：なし" sqref="F114"/>
    <dataValidation allowBlank="1" showInputMessage="1" promptTitle="手入力セル" prompt="反映先：保健_附属明細表 G35&#10;他の帳票：保健_財務諸表" sqref="G33 G34"/>
    <dataValidation allowBlank="1" showInputMessage="1" promptTitle="手入力セル" prompt="反映先：保健_附属明細表 G43、保健_決算精算表 F46&#10;他の帳票：報告_保健P20-22、保健_財務諸表、保健_決算精算表" sqref="G41"/>
    <dataValidation allowBlank="1" showInputMessage="1" promptTitle="手入力セル" prompt="反映先：保健_附属明細表 G61、保健_決算精算表 B28&#10;他の帳票：報告_保健P20-22、保健_財務諸表、保健_決算精算表" sqref="G50"/>
    <dataValidation allowBlank="1" showInputMessage="1" promptTitle="手入力セル" prompt="反映先：保健_附属明細表 G61、保健_決算精算表 B29&#10;他の帳票：報告_保健P20-22、保健_財務諸表、保健_決算精算表" sqref="G51"/>
    <dataValidation allowBlank="1" showInputMessage="1" promptTitle="手入力セル" prompt="反映先：保健_附属明細表 G61,O138、保健_決算精算表 B30&#10;他の帳票：報告_保健P20-22、保健_財務諸表、保健_決算精算表" sqref="G52"/>
    <dataValidation allowBlank="1" showInputMessage="1" promptTitle="手入力セル" prompt="反映先：保健_附属明細表 G61&#10;他の帳票：保健_財務諸表、保健_決算精算表" sqref="G53"/>
    <dataValidation allowBlank="1" showInputMessage="1" promptTitle="手入力セル" prompt="反映先：保健_附属明細表 G61、保健_決算精算表 B33&#10;他の帳票：報告_保健P20-22、保健_財務諸表、保健_決算精算表" sqref="G54"/>
    <dataValidation allowBlank="1" showInputMessage="1" promptTitle="手入力セル" prompt="反映先：保健_附属明細表 G61、保健_決算精算表 B36&#10;他の帳票：報告_保健P20-22、保健_財務諸表、保健_決算精算表" sqref="G56"/>
    <dataValidation allowBlank="1" showInputMessage="1" promptTitle="手入力セル" prompt="反映先：保健_附属明細表 G61、保健_決算精算表 B37&#10;他の帳票：報告_保健P20-22、保健_財務諸表、保健_決算精算表" sqref="G57"/>
    <dataValidation allowBlank="1" showInputMessage="1" promptTitle="手入力セル" prompt="反映先：保健_附属明細表 G61、保健_決算精算表 B40&#10;他の帳票：報告_保健P20-22、保健_財務諸表、保健_決算精算表" sqref="G58"/>
    <dataValidation allowBlank="1" showInputMessage="1" promptTitle="手入力セル" prompt="反映先：保健_附属明細表 G61、保健_決算精算表 B46&#10;他の帳票：報告_保健P20-22、保健_財務諸表、保健_決算精算表" sqref="G59"/>
    <dataValidation allowBlank="1" showInputMessage="1" promptTitle="手入力セル" prompt="反映先：保健_附属明細表 G61、保健_決算精算表 B39&#10;他の帳票：報告_保健P20-22、保健_財務諸表、保健_決算精算表" sqref="G60"/>
    <dataValidation allowBlank="1" showInputMessage="1" promptTitle="手入力セル" prompt="反映先：保健_附属明細表 G70、保健_決算精算表 B37&#10;他の帳票：報告_保健P20-22、保健_財務諸表、保健_決算精算表" sqref="G67"/>
    <dataValidation allowBlank="1" showInputMessage="1" promptTitle="手入力セル" prompt="反映先：保健_附属明細表 G79&#10;他の帳票：保健_財務諸表、保健_決算精算表" sqref="G76 G77"/>
    <dataValidation allowBlank="1" showInputMessage="1" promptTitle="手入力セル" prompt="反映先：保健_附属明細表 G95,M92&#10;他の帳票：保健_決算精算表" sqref="G92"/>
    <dataValidation allowBlank="1" showInputMessage="1" promptTitle="手入力セル" prompt="反映先：保健_附属明細表 G95,M93&#10;他の帳票：保健_決算精算表" sqref="G93"/>
    <dataValidation allowBlank="1" showInputMessage="1" promptTitle="手入力セル" prompt="反映先：保健_附属明細表 G95,M94&#10;他の帳票：保健_決算精算表" sqref="G94"/>
    <dataValidation allowBlank="1" showInputMessage="1" promptTitle="手入力セル" prompt="反映先：保健_附属明細表 I104&#10;他の帳票：報告_保健P20-22、保健_財務諸表、保健_決算精算表" sqref="I101 I102 I103"/>
    <dataValidation allowBlank="1" showInputMessage="1" promptTitle="手入力セル" prompt="反映先：保健_附属明細表 I106&#10;他の帳票：報告_保健P20-22、保健_財務諸表、保健_決算精算表" sqref="I105"/>
    <dataValidation allowBlank="1" showInputMessage="1" promptTitle="手入力セル" prompt="反映先：保健_附属明細表 I115&#10;他の帳票：報告_保健P20-22、保健_財務諸表、保健_決算精算表" sqref="I107 I108 I109 I110 I111 I112 I113 I114"/>
    <dataValidation allowBlank="1" showInputMessage="1" promptTitle="手入力セル" prompt="反映先：保健_附属明細表 I123,Q122&#10;他の帳票：保健_財務諸表" sqref="I122"/>
    <dataValidation allowBlank="1" showInputMessage="1" promptTitle="手入力セル" prompt="反映先：保健_附属明細表 I148,Q145&#10;他の帳票：保健_財務諸表、保健_決算精算表" sqref="I145"/>
    <dataValidation allowBlank="1" showInputMessage="1" promptTitle="手入力セル" prompt="反映先：保健_附属明細表 I148,Q146&#10;他の帳票：保健_財務諸表、保健_決算精算表" sqref="I146"/>
    <dataValidation allowBlank="1" showInputMessage="1" promptTitle="手入力セル" prompt="反映先：保健_附属明細表 I156,Q155&#10;他の帳票：なし" sqref="I155"/>
    <dataValidation allowBlank="1" showInputMessage="1" promptTitle="手入力セル" prompt="反映先：保健_附属明細表 J95,M92&#10;他の帳票：保健_決算精算表" sqref="J92"/>
    <dataValidation allowBlank="1" showInputMessage="1" promptTitle="手入力セル" prompt="反映先：保健_附属明細表 J95,M93&#10;他の帳票：保健_決算精算表" sqref="J93"/>
    <dataValidation allowBlank="1" showInputMessage="1" promptTitle="手入力セル" prompt="反映先：保健_附属明細表 J95,M94&#10;他の帳票：保健_決算精算表" sqref="J94"/>
    <dataValidation allowBlank="1" showInputMessage="1" promptTitle="手入力セル" prompt="反映先：保健_附属明細表 J139,T137&#10;他の帳票：なし" sqref="J137"/>
    <dataValidation allowBlank="1" showInputMessage="1" promptTitle="手入力セル" prompt="反映先：保健_附属明細表 L104,R101&#10;他の帳票：なし" sqref="L101"/>
    <dataValidation allowBlank="1" showInputMessage="1" promptTitle="手入力セル" prompt="反映先：保健_附属明細表 L104,R102&#10;他の帳票：なし" sqref="L102"/>
    <dataValidation allowBlank="1" showInputMessage="1" promptTitle="手入力セル" prompt="反映先：保健_附属明細表 L104,R103&#10;他の帳票：なし" sqref="L103"/>
    <dataValidation allowBlank="1" showInputMessage="1" promptTitle="手入力セル" prompt="反映先：保健_附属明細表 L106,R105&#10;他の帳票：なし" sqref="L105"/>
    <dataValidation allowBlank="1" showInputMessage="1" promptTitle="手入力セル" prompt="反映先：保健_附属明細表 L115,R107&#10;他の帳票：なし" sqref="L107"/>
    <dataValidation allowBlank="1" showInputMessage="1" promptTitle="手入力セル" prompt="反映先：保健_附属明細表 L115,R108&#10;他の帳票：なし" sqref="L108"/>
    <dataValidation allowBlank="1" showInputMessage="1" promptTitle="手入力セル" prompt="反映先：保健_附属明細表 L115,R109&#10;他の帳票：なし" sqref="L109"/>
    <dataValidation allowBlank="1" showInputMessage="1" promptTitle="手入力セル" prompt="反映先：保健_附属明細表 L115,R110&#10;他の帳票：なし" sqref="L110"/>
    <dataValidation allowBlank="1" showInputMessage="1" promptTitle="手入力セル" prompt="反映先：保健_附属明細表 L115,R111&#10;他の帳票：なし" sqref="L111"/>
    <dataValidation allowBlank="1" showInputMessage="1" promptTitle="手入力セル" prompt="反映先：保健_附属明細表 L115,R112&#10;他の帳票：なし" sqref="L112"/>
    <dataValidation allowBlank="1" showInputMessage="1" promptTitle="手入力セル" prompt="反映先：保健_附属明細表 L115,R113&#10;他の帳票：なし" sqref="L113"/>
    <dataValidation allowBlank="1" showInputMessage="1" promptTitle="手入力セル" prompt="反映先：保健_附属明細表 L115,R114&#10;他の帳票：なし" sqref="L114"/>
    <dataValidation allowBlank="1" showInputMessage="1" promptTitle="手入力セル" prompt="反映先：保健_附属明細表 M6&#10;他の帳票：保健_財務諸表、保健_決算精算表" sqref="M5"/>
    <dataValidation allowBlank="1" showInputMessage="1" promptTitle="手入力セル" prompt="反映先：保健_財務諸表 C8、保健_附属明細表 M13&#10;他の帳票：保健_財務諸表" sqref="M12"/>
    <dataValidation allowBlank="1" showInputMessage="1" promptTitle="手入力セル" prompt="反映先：保健_附属明細表 M20&#10;他の帳票：保健_財務諸表" sqref="M19"/>
    <dataValidation allowBlank="1" showInputMessage="1" promptTitle="手入力セル" prompt="反映先：保健_附属明細表 M123,Q122&#10;他の帳票：保健_財務諸表" sqref="M122"/>
    <dataValidation allowBlank="1" showInputMessage="1" promptTitle="手入力セル" prompt="反映先：保健_附属明細表 M156,Q155&#10;他の帳票：なし" sqref="M155"/>
    <dataValidation allowBlank="1" showInputMessage="1" promptTitle="手入力セル" prompt="反映先：保健_附属明細表 O104&#10;他の帳票：保健_財務諸表" sqref="O101 O102 O103"/>
    <dataValidation allowBlank="1" showInputMessage="1" promptTitle="手入力セル" prompt="反映先：保健_附属明細表 O106&#10;他の帳票：保健_財務諸表" sqref="O105"/>
    <dataValidation allowBlank="1" showInputMessage="1" promptTitle="手入力セル" prompt="反映先：保健_附属明細表 O115&#10;他の帳票：保健_財務諸表" sqref="O107 O108 O109 O110 O111 O112 O113 O114"/>
    <dataValidation allowBlank="1" showInputMessage="1" promptTitle="手入力セル" prompt="反映先：保健_附属明細表 O139,T137&#10;他の帳票：なし" sqref="O137"/>
    <dataValidation allowBlank="1" showInputMessage="1" promptTitle="手入力セル" prompt="反映先：保健_附属明細表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保健_附属明細表!G43</f>
        <v>129211081</v>
      </c>
      <c r="C14" s="791"/>
      <c r="D14" s="792" t="s">
        <v>898</v>
      </c>
      <c r="E14" s="793"/>
      <c r="F14" s="790"/>
      <c r="G14" s="796"/>
      <c r="H14" s="758"/>
    </row>
    <row r="15" spans="1:8" ht="15" customHeight="1">
      <c r="A15" s="789" t="str">
        <f>IF(SUM(B15:C15)-SUM(F15)=0,"",SUM(B15:C15)-SUM(F15))</f>
        <v/>
      </c>
      <c r="B15" s="790"/>
      <c r="C15" s="791" t="str">
        <f>IF(N(保健_附属明細表!M92)=0,"",保健_附属明細表!M92)</f>
        <v/>
      </c>
      <c r="D15" s="792" t="s">
        <v>238</v>
      </c>
      <c r="E15" s="793"/>
      <c r="F15" s="790" t="str">
        <f>IF(N(保健_附属明細表!P92)=0,"",保健_附属明細表!P92)</f>
        <v/>
      </c>
      <c r="G15" s="796"/>
      <c r="H15" s="758"/>
    </row>
    <row r="16" spans="1:8" ht="15" customHeight="1">
      <c r="A16" s="789" t="str">
        <f>IF(SUM(B16:C16)-SUM(F16)=0,"",SUM(B16:C16)-SUM(F16))</f>
        <v/>
      </c>
      <c r="B16" s="790"/>
      <c r="C16" s="791" t="str">
        <f>IF(N(保健_附属明細表!M93)=0,"",保健_附属明細表!M93)</f>
        <v/>
      </c>
      <c r="D16" s="792" t="s">
        <v>239</v>
      </c>
      <c r="E16" s="793"/>
      <c r="F16" s="790" t="str">
        <f>IF(N(保健_附属明細表!P93)=0,"",保健_附属明細表!P93)</f>
        <v/>
      </c>
      <c r="G16" s="796"/>
      <c r="H16" s="758"/>
    </row>
    <row r="17" spans="1:8" ht="15" customHeight="1">
      <c r="A17" s="789" t="str">
        <f>IF(SUM(B17:C17)-SUM(F17)=0,"",SUM(B17:C17)-SUM(F17))</f>
        <v/>
      </c>
      <c r="B17" s="790"/>
      <c r="C17" s="791" t="str">
        <f>IF(N(保健_附属明細表!M94)=0,"",保健_附属明細表!M94)</f>
        <v/>
      </c>
      <c r="D17" s="792" t="s">
        <v>222</v>
      </c>
      <c r="E17" s="793"/>
      <c r="F17" s="790" t="str">
        <f>IF(N(保健_附属明細表!P94)=0,"",保健_附属明細表!P94)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保健_附属明細表!G61</f>
        <v>175260287</v>
      </c>
      <c r="G19" s="796">
        <f>SUM(E19:F19)</f>
        <v>175260287</v>
      </c>
      <c r="H19" s="758"/>
    </row>
    <row r="20" spans="1:8" ht="15" customHeight="1">
      <c r="A20" s="789"/>
      <c r="B20" s="790"/>
      <c r="C20" s="791"/>
      <c r="D20" s="792" t="s">
        <v>997</v>
      </c>
      <c r="E20" s="793"/>
      <c r="F20" s="1590">
        <f>保健_附属明細表!G70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保健_附属明細表!I148+保健_附属明細表!M147</f>
        <v>14265140</v>
      </c>
      <c r="C25" s="791"/>
      <c r="D25" s="792" t="s">
        <v>1156</v>
      </c>
      <c r="E25" s="793">
        <f>保健_附属明細表!E148</f>
        <v>270947604</v>
      </c>
      <c r="F25" s="790">
        <f>保健_附属明細表!I148*2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保健_附属明細表!G50</f>
        <v>170769925</v>
      </c>
      <c r="C28" s="1677">
        <v>403592377</v>
      </c>
      <c r="D28" s="786" t="s">
        <v>129</v>
      </c>
      <c r="E28" s="793"/>
      <c r="F28" s="790"/>
      <c r="G28" s="796"/>
      <c r="H28" s="758"/>
    </row>
    <row r="29" spans="1:8" ht="15" customHeight="1">
      <c r="A29" s="789">
        <f>SUM(B29:C29)-F29</f>
        <v>20355535</v>
      </c>
      <c r="B29" s="790">
        <f>保健_附属明細表!G51</f>
        <v>3896573</v>
      </c>
      <c r="C29" s="1677">
        <v>16458962</v>
      </c>
      <c r="D29" s="792" t="s">
        <v>149</v>
      </c>
      <c r="E29" s="793"/>
      <c r="F29" s="790"/>
      <c r="G29" s="796"/>
      <c r="H29" s="758"/>
    </row>
    <row r="30" spans="1:8" ht="15" customHeight="1">
      <c r="A30" s="789">
        <f>SUM(B30:C30)-F30</f>
        <v>543780</v>
      </c>
      <c r="B30" s="819">
        <f>保健_附属明細表!G52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保健_附属明細表!G56</f>
        <v>5274</v>
      </c>
      <c r="C36" s="1677">
        <v>22753</v>
      </c>
      <c r="D36" s="792" t="s">
        <v>151</v>
      </c>
      <c r="E36" s="793"/>
      <c r="F36" s="819"/>
      <c r="G36" s="796"/>
      <c r="H36" s="758"/>
    </row>
    <row r="37" spans="1:8" ht="15" customHeight="1">
      <c r="A37" s="789">
        <f>SUM(B37:C37)</f>
        <v>3453940</v>
      </c>
      <c r="B37" s="790">
        <f>保健_附属明細表!G57+保健_附属明細表!G67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保健_附属明細表!G60+F30</f>
        <v>0</v>
      </c>
      <c r="C39" s="1677">
        <v>1768131</v>
      </c>
      <c r="D39" s="792" t="s">
        <v>138</v>
      </c>
      <c r="E39" s="793"/>
      <c r="F39" s="790"/>
      <c r="G39" s="796"/>
      <c r="H39" s="758"/>
    </row>
    <row r="40" spans="1:8" ht="15" customHeight="1">
      <c r="A40" s="789">
        <f>SUM(B40:C40)</f>
        <v>565872</v>
      </c>
      <c r="B40" s="790">
        <f>保健_附属明細表!G58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IF(N(保健_附属明細表!I116)=0,"",保健_附属明細表!I116)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保健_附属明細表!G59</f>
        <v>0</v>
      </c>
      <c r="C46" s="791"/>
      <c r="D46" s="792" t="s">
        <v>125</v>
      </c>
      <c r="E46" s="793">
        <f>'報告_保健P20-22'!V20-F46+B46</f>
        <v>275957410</v>
      </c>
      <c r="F46" s="790">
        <f>保健_附属明細表!G41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2">
      <formula>AND(入力色表示=1,NOT(_xlfn.ISFORMULA(C27)))</formula>
    </cfRule>
  </conditionalFormatting>
  <dataValidations count="12">
    <dataValidation allowBlank="1" showInputMessage="1" promptTitle="手入力セル" prompt="反映先：保健_附属明細表 J136、保健_決算精算表 A27,C53&#10;他の帳票：報告_保健P20-22、保健_財務諸表、保健_附属明細表" sqref="C27"/>
    <dataValidation allowBlank="1" showInputMessage="1" promptTitle="手入力セル" prompt="反映先：保健_決算精算表 A28,C53&#10;他の帳票：報告_保健P20-22、保健_財務諸表、保健_附属明細表" sqref="C28"/>
    <dataValidation allowBlank="1" showInputMessage="1" promptTitle="手入力セル" prompt="反映先：保健_決算精算表 A29,C53&#10;他の帳票：報告_保健P20-22、保健_財務諸表、保健_附属明細表" sqref="C29"/>
    <dataValidation allowBlank="1" showInputMessage="1" promptTitle="手入力セル" prompt="反映先：保健_附属明細表 J138、保健_決算精算表 A30,C53&#10;他の帳票：報告_保健P20-22、保健_財務諸表、保健_附属明細表" sqref="C30"/>
    <dataValidation allowBlank="1" showInputMessage="1" promptTitle="手入力セル" prompt="反映先：保健_決算精算表 A31,C53&#10;他の帳票：報告_保健P20-22、保健_財務諸表、保健_附属明細表" sqref="C31"/>
    <dataValidation allowBlank="1" showInputMessage="1" promptTitle="手入力セル" prompt="反映先：保健_決算精算表 A33,C53&#10;他の帳票：報告_保健P20-22、保健_財務諸表、保健_附属明細表" sqref="C33"/>
    <dataValidation allowBlank="1" showInputMessage="1" promptTitle="手入力セル" prompt="反映先：保健_決算精算表 A36,C53&#10;他の帳票：報告_保健P20-22、保健_財務諸表、保健_附属明細表" sqref="C36"/>
    <dataValidation allowBlank="1" showInputMessage="1" promptTitle="手入力セル" prompt="反映先：保健_決算精算表 A37,C53&#10;他の帳票：報告_保健P20-22、保健_財務諸表、保健_附属明細表" sqref="C37"/>
    <dataValidation allowBlank="1" showInputMessage="1" promptTitle="手入力セル" prompt="反映先：保健_決算精算表 A39,C53&#10;他の帳票：報告_保健P20-22、保健_財務諸表、保健_附属明細表" sqref="C39"/>
    <dataValidation allowBlank="1" showInputMessage="1" promptTitle="手入力セル" prompt="反映先：保健_決算精算表 A40,C53&#10;他の帳票：報告_保健P20-22、保健_財務諸表、保健_附属明細表" sqref="C40"/>
    <dataValidation allowBlank="1" showInputMessage="1" promptTitle="手入力セル" prompt="反映先：保健_決算精算表 A41,C53&#10;他の帳票：報告_保健P20-22、保健_財務諸表、保健_附属明細表" sqref="C41"/>
    <dataValidation allowBlank="1" showInputMessage="1" promptTitle="手入力セル" prompt="反映先：保健_決算精算表 E53,G51&#10;他の帳票：報告_保健P20-22、保健_財務諸表、保健_附属明細表"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HYPERLINK("#'貸付_決算精算表'!A1","▶ 貸付_決算精算表を確認する")</f>
        <v>▶ 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貸付_財務諸表!C54</f>
        <v>0</v>
      </c>
      <c r="D42" s="1775" t="s">
        <v>872</v>
      </c>
    </row>
    <row r="43" spans="1:4" ht="21" customHeight="1">
      <c r="A43" s="1735" t="s">
        <v>3245</v>
      </c>
      <c r="B43" s="1764" t="s">
        <v>3251</v>
      </c>
      <c r="C43" s="1777">
        <f>貸付_附属明細表!Q90</f>
        <v>1957132740</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IF(貸付_財務諸表!D25=貸付_財務諸表!H25,"OK","NG")</f>
        <v>OK</v>
      </c>
      <c r="D77" s="1779"/>
    </row>
    <row r="78" spans="1:4" ht="21" customHeight="1">
      <c r="A78" s="1732" t="s">
        <v>3253</v>
      </c>
      <c r="B78" s="1752" t="s">
        <v>1228</v>
      </c>
      <c r="C78" s="1714" t="str">
        <f>IF(貸付_財務諸表!D58=貸付_財務諸表!H58,"OK","NG")</f>
        <v>OK</v>
      </c>
      <c r="D78" s="1779"/>
    </row>
    <row r="79" spans="1:4" ht="21" customHeight="1">
      <c r="A79" s="1732" t="s">
        <v>3253</v>
      </c>
      <c r="B79" s="1752" t="s">
        <v>1229</v>
      </c>
      <c r="C79" s="1714" t="str">
        <f>IF(貸付_決算精算表!A39=貸付_決算精算表!G39+貸付_附属明細表!G70,"OK","NG")</f>
        <v>OK</v>
      </c>
      <c r="D79" s="1779"/>
    </row>
    <row r="80" spans="1:4" ht="21" customHeight="1">
      <c r="A80" s="1732" t="s">
        <v>3253</v>
      </c>
      <c r="B80" s="1752" t="s">
        <v>1230</v>
      </c>
      <c r="C80" s="1714" t="str">
        <f>IF(貸付_決算精算表!C39=貸付_決算精算表!E39,"OK","NG")</f>
        <v>OK</v>
      </c>
      <c r="D80" s="1779"/>
    </row>
    <row r="81" spans="1:4" ht="21" customHeight="1">
      <c r="A81" s="1732" t="s">
        <v>3253</v>
      </c>
      <c r="B81" s="1752" t="s">
        <v>3254</v>
      </c>
      <c r="C81" s="1714" t="str">
        <f>IF(貸付_財務諸表!B19=貸付_附属明細表!R13-貸付_附属明細表!G28-貸付_附属明細表!G35+貸付_附属明細表!G68,"OK","NG")</f>
        <v>OK</v>
      </c>
      <c r="D81" s="1779"/>
    </row>
    <row r="82" spans="1:4" ht="21" customHeight="1">
      <c r="A82" s="1732" t="s">
        <v>3253</v>
      </c>
      <c r="B82" s="1752" t="s">
        <v>1231</v>
      </c>
      <c r="C82" s="1714" t="str">
        <f>IF(貸付_財務諸表!C7=貸付_附属明細表!M6,"OK","NG")</f>
        <v>OK</v>
      </c>
      <c r="D82" s="1779"/>
    </row>
    <row r="83" spans="1:4" ht="21" customHeight="1">
      <c r="A83" s="1732" t="s">
        <v>3253</v>
      </c>
      <c r="B83" s="1752" t="s">
        <v>1232</v>
      </c>
      <c r="C83" s="1714" t="str">
        <f>IF(貸付_財務諸表!H18=貸付_附属明細表!Q91,"OK","NG")</f>
        <v>OK</v>
      </c>
      <c r="D83" s="1779"/>
    </row>
    <row r="84" spans="1:4" ht="21" customHeight="1">
      <c r="A84" s="1732" t="s">
        <v>3253</v>
      </c>
      <c r="B84" s="1752" t="s">
        <v>1233</v>
      </c>
      <c r="C84" s="1714" t="str">
        <f>IF(貸付_附属明細表!S77=貸付_財務諸表!B14,"OK","NG")</f>
        <v>OK</v>
      </c>
      <c r="D84" s="1779"/>
    </row>
    <row r="85" spans="1:4" ht="21" customHeight="1">
      <c r="A85" s="1732" t="s">
        <v>3253</v>
      </c>
      <c r="B85" s="1752" t="s">
        <v>1234</v>
      </c>
      <c r="C85" s="1714" t="str">
        <f>IF(AND(貸付_財務諸表!G7=貸付_附属明細表!G47,貸付_財務諸表!G8=貸付_附属明細表!G55,貸付_財務諸表!G9=貸付_附属明細表!G62,貸付_財務諸表!G10=貸付_附属明細表!G70),"OK","NG")</f>
        <v>OK</v>
      </c>
      <c r="D85" s="1779"/>
    </row>
    <row r="86" spans="1:4" ht="21" customHeight="1">
      <c r="A86" s="1732" t="s">
        <v>3253</v>
      </c>
      <c r="B86" s="1752" t="s">
        <v>1235</v>
      </c>
      <c r="C86" s="1714" t="str">
        <f>IF('報告_貸付P23-25'!AG92=貸付_附属明細表!R13,"OK","NG")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貸付_決算精算表!A9</f>
        <v>1108845248</v>
      </c>
      <c r="D7" s="599"/>
      <c r="E7" s="607" t="s">
        <v>1236</v>
      </c>
      <c r="F7" s="633"/>
      <c r="G7" s="1287">
        <f>貸付_決算精算表!G14</f>
        <v>380530</v>
      </c>
      <c r="H7" s="603"/>
      <c r="I7" s="1281"/>
      <c r="J7" s="1281"/>
      <c r="K7" s="1281"/>
      <c r="L7" s="1281"/>
      <c r="M7" s="1281"/>
      <c r="N7" s="1281"/>
      <c r="O7" s="1281"/>
      <c r="P7" s="1281"/>
      <c r="Q7" s="1281"/>
      <c r="R7" s="1281"/>
    </row>
    <row r="8" spans="1:18" ht="13.5" customHeight="1">
      <c r="A8" s="604" t="s">
        <v>214</v>
      </c>
      <c r="B8" s="601"/>
      <c r="C8" s="1300">
        <f>貸付_決算精算表!A10</f>
        <v>180749</v>
      </c>
      <c r="D8" s="617"/>
      <c r="E8" s="607" t="s">
        <v>997</v>
      </c>
      <c r="F8" s="601"/>
      <c r="G8" s="1287">
        <f>貸付_決算精算表!G15</f>
        <v>383205</v>
      </c>
      <c r="H8" s="603"/>
      <c r="I8" s="1281"/>
      <c r="J8" s="1281"/>
      <c r="K8" s="1281"/>
      <c r="L8" s="1281"/>
      <c r="M8" s="1281"/>
      <c r="N8" s="1281"/>
      <c r="O8" s="1281"/>
      <c r="P8" s="1281"/>
      <c r="Q8" s="1281"/>
      <c r="R8" s="1281"/>
    </row>
    <row r="9" spans="1:18" ht="13.5" customHeight="1">
      <c r="A9" s="604" t="s">
        <v>1237</v>
      </c>
      <c r="B9" s="601"/>
      <c r="C9" s="1300">
        <f>貸付_決算精算表!A11</f>
        <v>0</v>
      </c>
      <c r="D9" s="617"/>
      <c r="E9" s="607" t="s">
        <v>1238</v>
      </c>
      <c r="F9" s="601"/>
      <c r="G9" s="1287">
        <f>貸付_決算精算表!G16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貸付_決算精算表!G17</f>
        <v>0</v>
      </c>
      <c r="H13" s="603"/>
      <c r="I13" s="1281"/>
      <c r="J13" s="1281"/>
      <c r="K13" s="1281"/>
      <c r="L13" s="1281"/>
      <c r="M13" s="1281"/>
      <c r="N13" s="1281"/>
      <c r="O13" s="1281"/>
      <c r="P13" s="1281"/>
      <c r="Q13" s="1281"/>
      <c r="R13" s="1281"/>
    </row>
    <row r="14" spans="1:18" ht="13.5" customHeight="1">
      <c r="A14" s="604" t="s">
        <v>222</v>
      </c>
      <c r="B14" s="1287">
        <f>貸付_決算精算表!A12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f>貸付_附属明細表!Q90</f>
        <v>1957132740</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貸付_決算精算表!G18-F20</f>
        <v>0</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貸付_決算精算表!A21</f>
        <v>6345567</v>
      </c>
      <c r="C37" s="602"/>
      <c r="D37" s="617"/>
      <c r="E37" s="2984" t="s">
        <v>172</v>
      </c>
      <c r="F37" s="2985">
        <f>貸付_決算精算表!G34</f>
        <v>10920960</v>
      </c>
      <c r="G37" s="623"/>
      <c r="H37" s="647"/>
      <c r="I37" s="1281"/>
      <c r="J37" s="1281"/>
      <c r="K37" s="1281"/>
      <c r="L37" s="1281"/>
      <c r="M37" s="1281"/>
      <c r="N37" s="1281"/>
      <c r="O37" s="1281"/>
      <c r="P37" s="1281"/>
      <c r="Q37" s="1281"/>
      <c r="R37" s="1281"/>
    </row>
    <row r="38" spans="1:18" ht="13.5" customHeight="1">
      <c r="A38" s="604" t="s">
        <v>1104</v>
      </c>
      <c r="B38" s="1287">
        <f>貸付_決算精算表!A22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貸付_決算精算表!A25</f>
        <v>4403185</v>
      </c>
      <c r="C41" s="602"/>
      <c r="D41" s="617"/>
      <c r="E41" s="1618" t="s">
        <v>1243</v>
      </c>
      <c r="F41" s="1287">
        <f>貸付_決算精算表!G35</f>
        <v>42000</v>
      </c>
      <c r="G41" s="602"/>
      <c r="H41" s="603"/>
      <c r="I41" s="1281"/>
      <c r="J41" s="1281"/>
      <c r="K41" s="1281"/>
      <c r="L41" s="1281"/>
      <c r="M41" s="1281"/>
      <c r="N41" s="1281"/>
      <c r="O41" s="1281"/>
      <c r="P41" s="1281"/>
      <c r="Q41" s="1281"/>
      <c r="R41" s="1281"/>
    </row>
    <row r="42" spans="1:18" ht="13.5" customHeight="1">
      <c r="A42" s="604" t="s">
        <v>1004</v>
      </c>
      <c r="B42" s="1287">
        <f>貸付_決算精算表!A26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貸付_決算精算表!A28</f>
        <v>323822</v>
      </c>
      <c r="C44" s="602"/>
      <c r="D44" s="617"/>
      <c r="E44" s="1619" t="s">
        <v>1244</v>
      </c>
      <c r="F44" s="1287">
        <f>貸付_決算精算表!E36+貸付_決算精算表!F36</f>
        <v>0</v>
      </c>
      <c r="G44" s="1308"/>
      <c r="H44" s="603"/>
      <c r="I44" s="1281"/>
      <c r="J44" s="1281"/>
      <c r="K44" s="1281"/>
      <c r="L44" s="1281"/>
      <c r="M44" s="1281"/>
      <c r="N44" s="1281"/>
      <c r="O44" s="1281"/>
      <c r="P44" s="1281"/>
      <c r="Q44" s="1281"/>
      <c r="R44" s="1281"/>
    </row>
    <row r="45" spans="1:18" ht="13.5" customHeight="1">
      <c r="A45" s="604" t="s">
        <v>1009</v>
      </c>
      <c r="B45" s="1287">
        <f>貸付_決算精算表!A29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IF(N(貸付_附属明細表!H84)=0,"","減価償却費")</f>
        <v/>
      </c>
      <c r="B47" s="1287" t="str">
        <f>IF(N(貸付_附属明細表!H84)=0,"",貸付_附属明細表!H84)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conditionalFormatting sqref="F20 F22">
    <cfRule type="expression" dxfId="7" priority="1">
      <formula>入力色表示=1</formula>
    </cfRule>
  </conditionalFormatting>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貸付_決算精算表!C21</f>
        <v>6345567</v>
      </c>
      <c r="K112" s="2714"/>
      <c r="L112" s="2714"/>
      <c r="M112" s="2714"/>
      <c r="N112" s="2714"/>
      <c r="O112" s="2714">
        <f>貸付_決算精算表!B21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貸付_決算精算表!C23</f>
        <v>0</v>
      </c>
      <c r="K113" s="2705"/>
      <c r="L113" s="2705"/>
      <c r="M113" s="2705"/>
      <c r="N113" s="2705"/>
      <c r="O113" s="2705">
        <f>貸付_決算精算表!B23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貸付_決算精算表!C24</f>
        <v>609600</v>
      </c>
      <c r="K114" s="2705"/>
      <c r="L114" s="2705"/>
      <c r="M114" s="2705"/>
      <c r="N114" s="2705"/>
      <c r="O114" s="2705">
        <f>貸付_決算精算表!B24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IF(貸付_財務諸表!C54&gt;0,"当期利益金","当期損失金（△）")</f>
        <v>当期損失金（△）</v>
      </c>
      <c r="E122" s="210"/>
      <c r="F122" s="210"/>
      <c r="G122" s="210"/>
      <c r="H122" s="210"/>
      <c r="I122" s="210"/>
      <c r="J122" s="210"/>
      <c r="K122" s="210"/>
      <c r="L122" s="49"/>
      <c r="M122" s="49"/>
      <c r="N122" s="49"/>
      <c r="O122" s="49"/>
      <c r="P122" s="2701">
        <f>貸付_財務諸表!C54-貸付_財務諸表!G47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貸付_附属明細表!M6</f>
        <v>1108845248</v>
      </c>
      <c r="D9" s="1640" t="s">
        <v>895</v>
      </c>
      <c r="E9" s="1641"/>
      <c r="F9" s="1638"/>
      <c r="G9" s="788"/>
      <c r="H9" s="758"/>
    </row>
    <row r="10" spans="1:8" ht="20.399999999999999" customHeight="1">
      <c r="A10" s="1642">
        <f>SUM(C10,B10)</f>
        <v>180749</v>
      </c>
      <c r="B10" s="1457">
        <f>貸付_附属明細表!G29</f>
        <v>180749</v>
      </c>
      <c r="C10" s="1462"/>
      <c r="D10" s="1643" t="s">
        <v>214</v>
      </c>
      <c r="E10" s="1644"/>
      <c r="F10" s="1645"/>
      <c r="G10" s="796"/>
      <c r="H10" s="758"/>
    </row>
    <row r="11" spans="1:8" ht="20.399999999999999" customHeight="1">
      <c r="A11" s="1642">
        <f>SUM(C11,B11)</f>
        <v>0</v>
      </c>
      <c r="B11" s="1646">
        <f>貸付_附属明細表!G37</f>
        <v>0</v>
      </c>
      <c r="C11" s="1462"/>
      <c r="D11" s="1643" t="s">
        <v>898</v>
      </c>
      <c r="E11" s="1644"/>
      <c r="F11" s="1645"/>
      <c r="G11" s="788"/>
      <c r="H11" s="758"/>
    </row>
    <row r="12" spans="1:8" ht="20.399999999999999" customHeight="1">
      <c r="A12" s="1642">
        <f>C12-F12</f>
        <v>1</v>
      </c>
      <c r="B12" s="1457"/>
      <c r="C12" s="1462">
        <f>貸付_附属明細表!M76</f>
        <v>1</v>
      </c>
      <c r="D12" s="1643" t="s">
        <v>222</v>
      </c>
      <c r="E12" s="1644"/>
      <c r="F12" s="1647">
        <f>貸付_附属明細表!P76</f>
        <v>0</v>
      </c>
      <c r="G12" s="788"/>
      <c r="H12" s="758"/>
    </row>
    <row r="13" spans="1:8" ht="20.399999999999999" customHeight="1">
      <c r="A13" s="1637">
        <f>SUM(C13,B13)-F13</f>
        <v>849175708</v>
      </c>
      <c r="B13" s="1646">
        <f>貸付_附属明細表!G68</f>
        <v>0</v>
      </c>
      <c r="C13" s="1462">
        <f>貸付_附属明細表!R13</f>
        <v>849175708</v>
      </c>
      <c r="D13" s="1643" t="s">
        <v>1240</v>
      </c>
      <c r="E13" s="1644"/>
      <c r="F13" s="1646">
        <f>貸付_附属明細表!G28+貸付_附属明細表!G35</f>
        <v>0</v>
      </c>
      <c r="G13" s="1648"/>
      <c r="H13" s="758"/>
    </row>
    <row r="14" spans="1:8" ht="20.399999999999999" customHeight="1">
      <c r="A14" s="789"/>
      <c r="B14" s="1457"/>
      <c r="C14" s="1649"/>
      <c r="D14" s="1643" t="s">
        <v>899</v>
      </c>
      <c r="E14" s="1644"/>
      <c r="F14" s="1457">
        <f>貸付_附属明細表!G47</f>
        <v>380530</v>
      </c>
      <c r="G14" s="1648">
        <f>SUM(E14:F14)</f>
        <v>380530</v>
      </c>
      <c r="H14" s="758"/>
    </row>
    <row r="15" spans="1:8" ht="20.399999999999999" customHeight="1">
      <c r="A15" s="789"/>
      <c r="B15" s="1457"/>
      <c r="C15" s="1649"/>
      <c r="D15" s="1643" t="s">
        <v>997</v>
      </c>
      <c r="E15" s="1644"/>
      <c r="F15" s="1457">
        <f>貸付_附属明細表!G55</f>
        <v>383205</v>
      </c>
      <c r="G15" s="1648">
        <f>SUM(E15:F15)</f>
        <v>383205</v>
      </c>
      <c r="H15" s="758"/>
    </row>
    <row r="16" spans="1:8" ht="20.399999999999999" customHeight="1">
      <c r="A16" s="789"/>
      <c r="B16" s="1457"/>
      <c r="C16" s="1649"/>
      <c r="D16" s="1643" t="s">
        <v>200</v>
      </c>
      <c r="E16" s="1463">
        <f>貸付_附属明細表!G62</f>
        <v>305231</v>
      </c>
      <c r="F16" s="1457"/>
      <c r="G16" s="1648">
        <f>SUM(E16:F16)</f>
        <v>305231</v>
      </c>
      <c r="H16" s="758"/>
    </row>
    <row r="17" spans="1:8" ht="20.399999999999999" customHeight="1">
      <c r="A17" s="789"/>
      <c r="B17" s="1457"/>
      <c r="C17" s="1649"/>
      <c r="D17" s="1643" t="s">
        <v>1239</v>
      </c>
      <c r="E17" s="1650">
        <f>貸付_附属明細表!R20</f>
        <v>0</v>
      </c>
      <c r="F17" s="1457"/>
      <c r="G17" s="1648">
        <f>SUM(E17:F17)-B17</f>
        <v>0</v>
      </c>
      <c r="H17" s="758"/>
    </row>
    <row r="18" spans="1:8" ht="20.399999999999999" customHeight="1">
      <c r="A18" s="789"/>
      <c r="B18" s="1457">
        <f>F37</f>
        <v>3919428</v>
      </c>
      <c r="C18" s="1649"/>
      <c r="D18" s="1643" t="s">
        <v>901</v>
      </c>
      <c r="E18" s="1463">
        <f>貸付_附属明細表!E91</f>
        <v>1961052168</v>
      </c>
      <c r="F18" s="1457" t="str">
        <f>IF(貸付_財務諸表!C54=0,"",貸付_財務諸表!C54)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貸付_附属明細表!G43</f>
        <v>25659</v>
      </c>
      <c r="C24" s="1462">
        <f>貸付_入力!C55</f>
        <v>609600</v>
      </c>
      <c r="D24" s="1643" t="s">
        <v>131</v>
      </c>
      <c r="E24" s="1644"/>
      <c r="F24" s="1645"/>
      <c r="G24" s="796"/>
      <c r="H24" s="758"/>
    </row>
    <row r="25" spans="1:8" ht="20.399999999999999" customHeight="1">
      <c r="A25" s="1642">
        <f t="shared" si="0"/>
        <v>4403185</v>
      </c>
      <c r="B25" s="1457">
        <f>貸付_附属明細表!G54</f>
        <v>383205</v>
      </c>
      <c r="C25" s="1462">
        <f>貸付_入力!C56</f>
        <v>4019980</v>
      </c>
      <c r="D25" s="1643" t="s">
        <v>132</v>
      </c>
      <c r="E25" s="1644"/>
      <c r="F25" s="1645"/>
      <c r="G25" s="796"/>
      <c r="H25" s="758"/>
    </row>
    <row r="26" spans="1:8" ht="20.399999999999999" customHeight="1">
      <c r="A26" s="1642">
        <f t="shared" si="0"/>
        <v>229663</v>
      </c>
      <c r="B26" s="1457">
        <f>貸付_附属明細表!G44</f>
        <v>192720</v>
      </c>
      <c r="C26" s="1462">
        <f>貸付_入力!C57</f>
        <v>36943</v>
      </c>
      <c r="D26" s="1643" t="s">
        <v>133</v>
      </c>
      <c r="E26" s="1644"/>
      <c r="F26" s="1645"/>
      <c r="G26" s="796"/>
      <c r="H26" s="758"/>
    </row>
    <row r="27" spans="1:8" ht="20.399999999999999" customHeight="1">
      <c r="A27" s="1642">
        <f t="shared" si="0"/>
        <v>912240</v>
      </c>
      <c r="B27" s="1457">
        <f>貸付_附属明細表!G45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IF(N(貸付_附属明細表!H84)=0,"",貸付_附属明細表!H84)</f>
        <v/>
      </c>
      <c r="C31" s="1462"/>
      <c r="D31" s="1643" t="str">
        <f>IF(N(貸付_附属明細表!H84)&gt;0,"減価償却費","連合会払込金")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IF(貸付_財務諸表!C54=0,"",貸付_財務諸表!C54)</f>
        <v/>
      </c>
      <c r="C33" s="1661"/>
      <c r="D33" s="1643" t="s">
        <v>828</v>
      </c>
      <c r="E33" s="1644"/>
      <c r="F33" s="1645"/>
      <c r="G33" s="1648"/>
      <c r="H33" s="758"/>
    </row>
    <row r="34" spans="1:8" ht="20.399999999999999" customHeight="1">
      <c r="A34" s="1642"/>
      <c r="B34" s="1657">
        <f>貸付_附属明細表!G69</f>
        <v>0</v>
      </c>
      <c r="C34" s="1649"/>
      <c r="D34" s="1643" t="s">
        <v>172</v>
      </c>
      <c r="E34" s="1463">
        <f>貸付_入力!C64</f>
        <v>10740211</v>
      </c>
      <c r="F34" s="1457">
        <f>貸付_附属明細表!G27+貸付_附属明細表!G36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vt:lpstr>
      <vt:lpstr>短期_附属明細表</vt:lpstr>
      <vt:lpstr>短期_決算精算表</vt:lpstr>
      <vt:lpstr>厚生_貸借・損益</vt:lpstr>
      <vt:lpstr>厚生_預金・立替・未収</vt:lpstr>
      <vt:lpstr>厚生_決算精算表</vt:lpstr>
      <vt:lpstr>厚生_白紙</vt:lpstr>
      <vt:lpstr>退職等_貸借・損益</vt:lpstr>
      <vt:lpstr>退職等_預金・立替・未収</vt:lpstr>
      <vt:lpstr>退職等_決算精算表</vt:lpstr>
      <vt:lpstr>退職等_白紙</vt:lpstr>
      <vt:lpstr>経過的_貸借・損益</vt:lpstr>
      <vt:lpstr>経過的_預金・立替・未収</vt:lpstr>
      <vt:lpstr>経過的_決算精算表</vt:lpstr>
      <vt:lpstr>経過的_白紙</vt:lpstr>
      <vt:lpstr>預託金_貸借・損益</vt:lpstr>
      <vt:lpstr>預託金_預金・未収・貸付・預託金</vt:lpstr>
      <vt:lpstr>預託金_決算精算表</vt:lpstr>
      <vt:lpstr>預託金_白紙</vt:lpstr>
      <vt:lpstr>業務_財務諸表</vt:lpstr>
      <vt:lpstr>業務_附属明細表</vt:lpstr>
      <vt:lpstr>業務_決算精算表</vt:lpstr>
      <vt:lpstr>業務_白紙</vt:lpstr>
      <vt:lpstr>保健_財務諸表</vt:lpstr>
      <vt:lpstr>保健_附属明細表</vt:lpstr>
      <vt:lpstr>保健_決算精算表</vt:lpstr>
      <vt:lpstr>貸付_入力</vt:lpstr>
      <vt:lpstr>貸付_財務諸表</vt:lpstr>
      <vt:lpstr>貸付_附属明細表</vt:lpstr>
      <vt:lpstr>貸付_決算精算表</vt:lpstr>
      <vt:lpstr>貸付_白紙</vt:lpstr>
      <vt:lpstr>業務_決算精算表!Print_Area</vt:lpstr>
      <vt:lpstr>業務_白紙!Print_Area</vt:lpstr>
      <vt:lpstr>業務_附属明細表!Print_Area</vt:lpstr>
      <vt:lpstr>経過的_決算精算表!Print_Area</vt:lpstr>
      <vt:lpstr>経過的_貸借・損益!Print_Area</vt:lpstr>
      <vt:lpstr>経過的_預金・立替・未収!Print_Area</vt:lpstr>
      <vt:lpstr>厚生_決算精算表!Print_Area</vt:lpstr>
      <vt:lpstr>厚生_貸借・損益!Print_Area</vt:lpstr>
      <vt:lpstr>厚生_預金・立替・未収!Print_Area</vt:lpstr>
      <vt:lpstr>貸付_決算精算表!Print_Area</vt:lpstr>
      <vt:lpstr>貸付_白紙!Print_Area</vt:lpstr>
      <vt:lpstr>貸付_附属明細表!Print_Area</vt:lpstr>
      <vt:lpstr>退職等_決算精算表!Print_Area</vt:lpstr>
      <vt:lpstr>退職等_貸借・損益!Print_Area</vt:lpstr>
      <vt:lpstr>退職等_預金・立替・未収!Print_Area</vt:lpstr>
      <vt:lpstr>短期_決算精算表!Print_Area</vt:lpstr>
      <vt:lpstr>短期_財務諸表!Print_Area</vt:lpstr>
      <vt:lpstr>短期_附属明細表!Print_Area</vt:lpstr>
      <vt:lpstr>表紙等!Print_Area</vt:lpstr>
      <vt:lpstr>保健_決算精算表!Print_Area</vt:lpstr>
      <vt:lpstr>保健_財務諸表!Print_Area</vt:lpstr>
      <vt:lpstr>保健_附属明細表!Print_Area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預託金_決算精算表!Print_Area</vt:lpstr>
      <vt:lpstr>預託金_貸借・損益!Print_Area</vt:lpstr>
      <vt:lpstr>預託金_預金・未収・貸付・預託金!Print_Area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