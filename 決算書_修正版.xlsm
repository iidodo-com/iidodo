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貸付_入力" sheetId="47" r:id="rId49"/>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P27" sheetId="21" r:id="rId23"/>
    <sheet name="短期_附属明細表P28-29" sheetId="22" r:id="rId24"/>
    <sheet name="短期_決算精算表P30" sheetId="23" r:id="rId25"/>
    <sheet name="厚生_貸借・損益P31" sheetId="24" r:id="rId26"/>
    <sheet name="厚生_預金・立替・未収P32" sheetId="25" r:id="rId27"/>
    <sheet name="厚生_決算精算表P33" sheetId="26" r:id="rId28"/>
    <sheet name="厚生_白紙P34" sheetId="27" r:id="rId29"/>
    <sheet name="退職等_貸借・損益P35" sheetId="28" r:id="rId30"/>
    <sheet name="退職等_預金・立替・未収P36" sheetId="29" r:id="rId31"/>
    <sheet name="退職等_決算精算表P37" sheetId="30" r:id="rId32"/>
    <sheet name="退職等_白紙P38" sheetId="31" r:id="rId33"/>
    <sheet name="経過的_貸借・損益P39" sheetId="32" r:id="rId34"/>
    <sheet name="経過的_預金・立替・未収P40" sheetId="33" r:id="rId35"/>
    <sheet name="経過的_決算精算表P41" sheetId="34" r:id="rId36"/>
    <sheet name="経過的_白紙P42" sheetId="35" r:id="rId37"/>
    <sheet name="預託金_貸借・損益P43" sheetId="36" r:id="rId38"/>
    <sheet name="預託金_預金・未収・貸付・預託金P44" sheetId="37" r:id="rId39"/>
    <sheet name="預託金_決算精算表P45" sheetId="38" r:id="rId40"/>
    <sheet name="預託金_白紙P46" sheetId="39" r:id="rId41"/>
    <sheet name="業務_財務諸表P47" sheetId="40" r:id="rId42"/>
    <sheet name="業務_附属明細表P48-50" sheetId="41" r:id="rId43"/>
    <sheet name="業務_決算精算表P51" sheetId="42" r:id="rId44"/>
    <sheet name="業務_白紙P52" sheetId="43" r:id="rId45"/>
    <sheet name="保健_財務諸表P53" sheetId="44" r:id="rId46"/>
    <sheet name="保健_附属明細表P54-57" sheetId="45" r:id="rId47"/>
    <sheet name="保健_決算精算表P58" sheetId="46" r:id="rId48"/>
    <sheet name="貸付_財務諸表P59" sheetId="48" r:id="rId50"/>
    <sheet name="貸付_附属明細表P60-62" sheetId="49" r:id="rId51"/>
    <sheet name="貸付_決算精算表P63" sheetId="50" r:id="rId52"/>
    <sheet name="貸付_白紙P64" sheetId="51" r:id="rId53"/>
  </sheets>
  <definedNames>
    <definedName name="_xlnm.Print_Area" localSheetId="44">'業務_決算精算表P51'!$A$1:$G$54</definedName>
    <definedName name="_xlnm.Print_Area" localSheetId="45">'業務_白紙P52'!$A$1:$I$59</definedName>
    <definedName name="_xlnm.Print_Area" localSheetId="43">'業務_附属明細表P48-50'!$A$1:$X$140</definedName>
    <definedName name="_xlnm.Print_Area" localSheetId="36">'経過的_決算精算表P41'!$A$1:$H$23</definedName>
    <definedName name="_xlnm.Print_Area" localSheetId="34">'経過的_貸借・損益P39'!$A$1:$N$25</definedName>
    <definedName name="_xlnm.Print_Area" localSheetId="35">'経過的_預金・立替・未収P40'!$A$1:$K$23</definedName>
    <definedName name="_xlnm.Print_Area" localSheetId="28">'厚生_決算精算表P33'!$A$1:$H$26</definedName>
    <definedName name="_xlnm.Print_Area" localSheetId="26">'厚生_貸借・損益P31'!$A$1:$N$26</definedName>
    <definedName name="_xlnm.Print_Area" localSheetId="27">'厚生_預金・立替・未収P32'!$A$1:$K$38</definedName>
    <definedName name="_xlnm.Print_Area" localSheetId="51">'貸付_決算精算表P63'!$A$1:$G$45</definedName>
    <definedName name="_xlnm.Print_Area" localSheetId="52">'貸付_白紙P64'!$A$1:$I$59</definedName>
    <definedName name="_xlnm.Print_Area" localSheetId="50">'貸付_附属明細表P60-62'!$A$1:$X$138</definedName>
    <definedName name="_xlnm.Print_Area" localSheetId="32">'退職等_決算精算表P37'!$A$1:$H$26</definedName>
    <definedName name="_xlnm.Print_Area" localSheetId="30">'退職等_貸借・損益P35'!$A$1:$N$26</definedName>
    <definedName name="_xlnm.Print_Area" localSheetId="31">'退職等_預金・立替・未収P36'!$A$1:$K$49</definedName>
    <definedName name="_xlnm.Print_Area" localSheetId="25">'短期_決算精算表P30'!$A$1:$G$70</definedName>
    <definedName name="_xlnm.Print_Area" localSheetId="23">'短期_財務諸表P27'!$A$1:$H$67</definedName>
    <definedName name="_xlnm.Print_Area" localSheetId="24">'短期_附属明細表P28-29'!$A$1:$X$120</definedName>
    <definedName name="_xlnm.Print_Area" localSheetId="5">表紙等!$A$1:$R$188</definedName>
    <definedName name="_xlnm.Print_Area" localSheetId="48">'保健_決算精算表P58'!$A$1:$G$60</definedName>
    <definedName name="_xlnm.Print_Area" localSheetId="46">'保健_財務諸表P53'!$A$1:$H$64</definedName>
    <definedName name="_xlnm.Print_Area" localSheetId="47">'保健_附属明細表P54-57'!$A$1:$Y$168</definedName>
    <definedName name="_xlnm.Print_Area" localSheetId="7">'報告_概況P1-2'!$A$1:$Y$67</definedName>
    <definedName name="_xlnm.Print_Area" localSheetId="18">報告_業務P18!$A$1:$BG$32</definedName>
    <definedName name="_xlnm.Print_Area" localSheetId="19">報告_業務P19!$A$1:$BE$31</definedName>
    <definedName name="_xlnm.Print_Area" localSheetId="15">報告_経過的長期P16!$A$4:$BL$46</definedName>
    <definedName name="_xlnm.Print_Area" localSheetId="13">報告_厚生年金P14!$A$4:$BL$59</definedName>
    <definedName name="_xlnm.Print_Area" localSheetId="8">'報告_総括P3-5'!$A$1:$BA$96</definedName>
    <definedName name="_xlnm.Print_Area" localSheetId="21">'報告_貸付P23-25'!$A$1:$BH$96</definedName>
    <definedName name="_xlnm.Print_Area" localSheetId="14">報告_退職等年金P15!$A$4:$BL$44</definedName>
    <definedName name="_xlnm.Print_Area" localSheetId="11">'報告_短期P11-13'!$A$1:$BI$124</definedName>
    <definedName name="_xlnm.Print_Area" localSheetId="9">報告_短期P6!$A$1:$AT$31</definedName>
    <definedName name="_xlnm.Print_Area" localSheetId="10">'報告_短期P7-10'!$A$1:$GI$160</definedName>
    <definedName name="_xlnm.Print_Area" localSheetId="22">報告_白紙P26!$A$1:$I$59</definedName>
    <definedName name="_xlnm.Print_Area" localSheetId="20">'報告_保健P20-22'!$A$4:$BE$107</definedName>
    <definedName name="_xlnm.Print_Area" localSheetId="6">目次!$A$1:$R$60</definedName>
    <definedName name="_xlnm.Print_Area" localSheetId="40">'預託金_決算精算表P45'!$A$1:$H$24</definedName>
    <definedName name="_xlnm.Print_Area" localSheetId="38">'預託金_貸借・損益P43'!$A$1:$N$30</definedName>
    <definedName name="_xlnm.Print_Area" localSheetId="39">'預託金_預金・未収・貸付・預託金P44'!$A$1:$O$30</definedName>
    <definedName name="入力色表示">入力ガイド!$E$9</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<sst xmlns="http://schemas.openxmlformats.org/spreadsheetml/2006/main" count="9478" uniqueCount="3256">
  <si>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</si>
  <si>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</si>
  <si>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</si>
  <si>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</si>
  <si>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</si>
  <si>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</si>
  <si>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</si>
  <si>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</si>
  <si>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</si>
  <si>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</si>
  <si>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</si>
  <si>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</si>
  <si>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</si>
  <si>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</si>
  <si>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</si>
  <si>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</si>
  <si>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</si>
  <si>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</si>
  <si>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</si>
  <si>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</si>
  <si>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</si>
  <si>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</si>
  <si>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</si>
  <si>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</si>
  <si>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</si>
  <si>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</si>
  <si>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</si>
  <si>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</si>
  <si>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</si>
  <si>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</si>
  <si>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</si>
  <si>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</si>
  <si>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</si>
  <si>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</si>
  <si>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</si>
  <si>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</si>
  <si>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</si>
  <si>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</si>
  <si>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</si>
  <si>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</si>
  <si>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</si>
  <si>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</si>
  <si>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</si>
  <si>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</si>
  <si>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</si>
  <si>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</si>
  <si>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</si>
  <si>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</si>
  <si>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</si>
  <si>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</si>
  <si>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</si>
  <si>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</si>
  <si>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</si>
  <si>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</si>
  <si>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</si>
  <si>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</si>
  <si>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</si>
  <si>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</si>
  <si>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</si>
  <si>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</si>
  <si>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</si>
  <si>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</si>
  <si>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</si>
  <si>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</si>
  <si>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</si>
  <si>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</si>
  <si>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</si>
  <si>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</si>
  <si>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</si>
  <si>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</si>
  <si>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</si>
  <si>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</si>
  <si>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</si>
  <si>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</si>
  <si>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</si>
  <si>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</si>
  <si>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</si>
  <si>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</si>
  <si>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</si>
  <si>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</si>
  <si>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</si>
  <si>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</si>
  <si>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</si>
  <si>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</si>
  <si>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</si>
  <si>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</si>
  <si>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</si>
  <si>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</si>
  <si>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</si>
  <si>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</si>
  <si>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</si>
  <si>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</si>
  <si>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</si>
  <si>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</si>
  <si>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</si>
  <si>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</si>
  <si>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</si>
  <si>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</si>
  <si>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</si>
  <si>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</si>
  <si>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</si>
  <si>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</si>
  <si>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</si>
  <si>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</si>
  <si>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</si>
  <si>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</si>
  <si>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</si>
  <si>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</si>
  <si>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</si>
  <si>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</si>
  <si>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</si>
  <si>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</si>
  <si>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</si>
  <si>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</si>
  <si>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</si>
  <si>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</si>
  <si>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</si>
  <si>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</si>
  <si>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</si>
  <si>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</si>
  <si>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</si>
  <si>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</si>
  <si>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</si>
  <si>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</si>
  <si>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</si>
  <si>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</si>
  <si>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</si>
  <si>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</si>
  <si>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</si>
  <si>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</si>
  <si>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</si>
  <si>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</si>
  <si>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</si>
  <si>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</si>
  <si>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</si>
  <si>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</si>
  <si>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</si>
  <si>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</si>
  <si>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</si>
  <si>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</si>
  <si>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</si>
  <si>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</si>
  <si>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</si>
  <si>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</si>
  <si>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</si>
  <si>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</si>
  <si>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</si>
  <si>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</si>
  <si>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</si>
  <si>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</si>
  <si>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</si>
  <si>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</si>
  <si>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</si>
  <si>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</si>
  <si>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</si>
  <si>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</si>
  <si>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</si>
  <si>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</si>
  <si>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</si>
  <si>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</si>
  <si>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</si>
  <si>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</si>
  <si>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</si>
  <si>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</si>
  <si>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</si>
  <si>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</si>
  <si>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</si>
  <si>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</si>
  <si>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</si>
  <si>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</si>
  <si>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</si>
  <si>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</si>
  <si>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</si>
  <si>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</si>
  <si>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</si>
  <si>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</si>
  <si>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</si>
  <si>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</si>
  <si>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</si>
  <si>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</si>
  <si>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</si>
  <si>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</si>
  <si>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</si>
  <si>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</si>
  <si>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</si>
  <si>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</si>
  <si>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</si>
  <si>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</si>
  <si>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</si>
  <si>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</si>
  <si>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</si>
  <si>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</si>
  <si>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</si>
  <si>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</si>
  <si>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</si>
  <si>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</si>
  <si>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</si>
  <si>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</si>
  <si>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</si>
  <si>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</si>
  <si>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</si>
  <si>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</si>
  <si>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</si>
  <si>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</si>
  <si>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</si>
  <si>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</si>
  <si>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</si>
  <si>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</si>
  <si>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</si>
  <si>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</si>
  <si>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</si>
  <si>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</si>
  <si>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</si>
  <si>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</si>
  <si>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</si>
  <si>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</si>
  <si>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</si>
  <si>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</si>
  <si>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</si>
  <si>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</si>
  <si>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</si>
  <si>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</si>
  <si>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</si>
  <si>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</si>
  <si>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</si>
  <si>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</si>
  <si>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</si>
  <si>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</si>
  <si>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</si>
  <si>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</si>
  <si>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</si>
  <si>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</si>
  <si>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</si>
  <si>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</si>
  <si>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</si>
  <si>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</si>
  <si>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</si>
  <si>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</si>
  <si>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</si>
  <si>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</si>
  <si>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</si>
  <si>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</si>
  <si>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</si>
  <si>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</si>
  <si>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</si>
  <si>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</si>
  <si>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</si>
  <si>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</si>
  <si>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</si>
  <si>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</si>
  <si>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</si>
  <si>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</si>
  <si>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</si>
  <si>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</si>
  <si>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</si>
  <si>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</si>
  <si>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</si>
  <si>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</si>
  <si>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</si>
  <si>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</si>
  <si>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</si>
  <si>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</si>
  <si>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</si>
  <si>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</si>
  <si>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</si>
  <si>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</si>
  <si>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</si>
  <si>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</si>
  <si>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</si>
  <si>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</si>
  <si>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</si>
  <si>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</si>
  <si>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</si>
  <si>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</si>
  <si>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</si>
  <si>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</si>
  <si>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</si>
  <si>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</si>
  <si>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</si>
  <si>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</si>
  <si>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</si>
  <si>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</si>
  <si>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</si>
  <si>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</si>
  <si>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</si>
  <si>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</si>
  <si>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</si>
  <si>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</si>
  <si>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</si>
  <si>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</si>
  <si>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</si>
  <si>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</si>
  <si>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</si>
  <si>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</si>
  <si>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</si>
  <si>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</si>
  <si>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</si>
  <si>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</si>
  <si>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</si>
  <si>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</si>
  <si>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</si>
  <si>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</si>
  <si>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</si>
  <si>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</si>
  <si>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</si>
  <si>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</si>
  <si>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</si>
  <si>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</si>
  <si>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</si>
  <si>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</si>
  <si>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</si>
  <si>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</si>
  <si>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</si>
  <si>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</si>
  <si>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</si>
  <si>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</si>
  <si>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</si>
  <si>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</si>
  <si>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</si>
  <si>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</si>
  <si>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</si>
  <si>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</si>
  <si>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</si>
  <si>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</si>
  <si>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</si>
  <si>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</si>
  <si>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</si>
  <si>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</si>
  <si>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</si>
  <si>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</si>
  <si>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</si>
  <si>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</si>
  <si>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</si>
  <si>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</si>
  <si>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</si>
  <si>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</si>
  <si>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</si>
  <si>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</si>
  <si>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</si>
  <si>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</si>
  <si>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</si>
  <si>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</si>
  <si>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</si>
  <si>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</si>
  <si>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</si>
  <si>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</si>
  <si>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</si>
  <si>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</si>
  <si>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</si>
  <si>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</si>
  <si>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</si>
  <si>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</si>
  <si>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</si>
  <si>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</si>
  <si>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</si>
  <si>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</si>
  <si>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</si>
  <si>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</si>
  <si>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</si>
  <si>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</si>
  <si>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</si>
  <si>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</si>
  <si>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</si>
  <si>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</si>
  <si>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</si>
  <si>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</si>
  <si>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</si>
  <si>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</si>
  <si>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</si>
  <si>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</si>
  <si>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</si>
  <si>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</si>
  <si>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</si>
  <si>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</si>
  <si>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</si>
  <si>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</si>
  <si>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</si>
  <si>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</si>
  <si>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</si>
  <si>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</si>
  <si>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</si>
  <si>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</si>
  <si>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</si>
  <si>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</si>
  <si>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</si>
  <si>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</si>
  <si>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</si>
  <si>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</si>
  <si>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</si>
  <si>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</si>
  <si>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</si>
  <si>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</si>
  <si>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</si>
  <si>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</si>
  <si>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</si>
  <si>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</si>
  <si>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</si>
  <si>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</si>
  <si>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</si>
  <si>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</si>
  <si>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</si>
  <si>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</si>
  <si>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</si>
  <si>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</si>
  <si>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</si>
  <si>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</si>
  <si>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</si>
  <si>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</si>
  <si>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</si>
  <si>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</si>
  <si>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</si>
  <si>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</si>
  <si>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</si>
  <si>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</si>
  <si>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</si>
  <si>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</si>
  <si>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</si>
  <si>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</si>
  <si>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</si>
  <si>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</si>
  <si>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</si>
  <si>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</si>
  <si>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</si>
  <si>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</si>
  <si>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</si>
  <si>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</si>
  <si>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</si>
  <si>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</si>
  <si>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</si>
  <si>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</si>
  <si>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</si>
  <si>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</si>
  <si>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</si>
  <si>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</si>
  <si>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</si>
  <si>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</si>
  <si>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</si>
  <si>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</si>
  <si>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</si>
  <si>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</si>
  <si>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</si>
  <si>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</si>
  <si>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</si>
  <si>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</si>
  <si>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</si>
  <si>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</si>
  <si>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</si>
  <si>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</si>
  <si>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</si>
  <si>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</si>
  <si>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</si>
  <si>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</si>
  <si>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</si>
  <si>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</si>
  <si>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</si>
  <si>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</si>
  <si>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</si>
  <si>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</si>
  <si>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</si>
  <si>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</si>
  <si>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</si>
  <si>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</si>
  <si>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</si>
  <si>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</si>
  <si>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</si>
  <si>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</si>
  <si>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</si>
  <si>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</si>
  <si>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</si>
  <si>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</si>
  <si>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</si>
  <si>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</si>
  <si>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</si>
  <si>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</si>
  <si>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</si>
  <si>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</si>
  <si>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</si>
  <si>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</si>
  <si>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</si>
  <si>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</si>
  <si>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</si>
  <si>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</si>
  <si>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</si>
  <si>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</si>
  <si>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</si>
  <si>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</si>
  <si>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</si>
  <si>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</si>
  <si>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</si>
  <si>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</si>
  <si>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</si>
  <si>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</si>
  <si>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</si>
  <si>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</si>
  <si>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</si>
  <si>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</si>
  <si>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</si>
  <si>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</si>
  <si>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</si>
  <si>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</si>
  <si>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</si>
  <si>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</si>
  <si>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</si>
  <si>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</si>
  <si>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</si>
  <si>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</si>
  <si>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</si>
  <si>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</si>
  <si>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</si>
  <si>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</si>
  <si>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</si>
  <si>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</si>
  <si>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</si>
  <si>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</si>
  <si>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</si>
  <si>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</si>
  <si>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</si>
  <si>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</si>
  <si>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</si>
  <si>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</si>
  <si>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</si>
  <si>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</si>
  <si>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</si>
  <si>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</si>
  <si>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</si>
  <si>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</si>
  <si>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</si>
  <si>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</si>
  <si>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</si>
  <si>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</si>
  <si>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</si>
  <si>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</si>
  <si>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</si>
  <si>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</si>
  <si>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</si>
  <si>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</si>
  <si>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</si>
  <si>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</si>
  <si>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</si>
  <si>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</si>
  <si>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</si>
  <si>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</si>
  <si>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</si>
  <si>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</si>
  <si>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</si>
  <si>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</si>
  <si>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</si>
  <si>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</si>
  <si>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</si>
  <si>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</si>
  <si>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</si>
  <si>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</si>
  <si>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</si>
  <si>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</si>
  <si>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</si>
  <si>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</si>
  <si>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</si>
  <si>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</si>
  <si>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</si>
  <si>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</si>
  <si>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</si>
  <si>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</si>
  <si>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</si>
  <si>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</si>
  <si>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</si>
  <si>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</si>
  <si>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</si>
  <si>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</si>
  <si>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</si>
  <si>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</si>
  <si>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</si>
  <si>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</si>
  <si>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</si>
  <si>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</si>
  <si>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</si>
  <si>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</si>
  <si>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</si>
  <si>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</si>
  <si>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</si>
  <si>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</si>
  <si>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</si>
  <si>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</si>
  <si>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</si>
  <si>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</si>
  <si>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</si>
  <si>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</si>
  <si>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</si>
  <si>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</si>
  <si>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</si>
  <si>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</si>
  <si>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</si>
  <si>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</si>
  <si>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</si>
  <si>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</si>
  <si>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</si>
  <si>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</si>
  <si>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</si>
  <si>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</si>
  <si>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</si>
  <si>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</si>
  <si>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</si>
  <si>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</si>
  <si>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</si>
  <si>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</si>
  <si>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</si>
  <si>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</si>
  <si>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</si>
  <si>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</si>
  <si>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</si>
  <si>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</si>
  <si>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</si>
  <si>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</si>
  <si>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</si>
  <si>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</si>
  <si>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</si>
  <si>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</si>
  <si>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</si>
  <si>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</si>
  <si>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</si>
  <si>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</si>
  <si>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</si>
  <si>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</si>
  <si>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</si>
  <si>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</si>
  <si>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</si>
  <si>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</si>
  <si>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</si>
  <si>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</si>
  <si>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</si>
  <si>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</si>
  <si>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</si>
  <si>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</si>
  <si>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</si>
  <si>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</si>
  <si>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</si>
  <si>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</si>
  <si>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</si>
  <si>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</si>
  <si>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</si>
  <si>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</si>
  <si>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</si>
  <si>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</si>
  <si>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</si>
  <si>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</si>
  <si>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</si>
  <si>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</si>
  <si>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</si>
  <si>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</si>
  <si>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</si>
  <si>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</si>
  <si>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</si>
  <si>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</si>
  <si>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</si>
  <si>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</si>
  <si>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</si>
  <si>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</si>
  <si>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</si>
  <si>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</si>
  <si>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</si>
  <si>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</si>
  <si>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</si>
  <si>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</si>
  <si>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</si>
  <si>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</si>
  <si>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</si>
  <si>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</si>
  <si>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</si>
  <si>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</si>
  <si>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</si>
  <si>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</si>
  <si>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</si>
  <si>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</si>
  <si>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</si>
  <si>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</si>
  <si>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</si>
  <si>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</si>
  <si>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</si>
  <si>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</si>
  <si>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</si>
  <si>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</si>
  <si>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</si>
  <si>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</si>
  <si>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</si>
  <si>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</si>
  <si>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</si>
  <si>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</si>
  <si>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</si>
  <si>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</si>
  <si>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</si>
  <si>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</si>
  <si>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</si>
  <si>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</si>
  <si>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</si>
  <si>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</si>
  <si>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</si>
  <si>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</si>
  <si>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</si>
  <si>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</si>
  <si>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</si>
  <si>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</si>
  <si>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</si>
  <si>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</si>
  <si>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</si>
  <si>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</si>
  <si>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</si>
  <si>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</si>
  <si>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</si>
  <si>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</si>
  <si>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</si>
  <si>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</si>
  <si>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</si>
  <si>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</si>
  <si>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</si>
  <si>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</si>
  <si>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</si>
  <si>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</si>
  <si>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</si>
  <si>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</si>
  <si>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</si>
  <si>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</si>
  <si>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</si>
  <si>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</si>
  <si>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</si>
  <si>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</si>
  <si>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</si>
  <si>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</si>
  <si>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</si>
  <si>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</si>
  <si>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</si>
  <si>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</si>
  <si>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</si>
  <si>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</si>
  <si>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</si>
  <si>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</si>
  <si>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</si>
  <si>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</si>
  <si>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</si>
  <si>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</si>
  <si>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</si>
  <si>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</si>
  <si>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</si>
  <si>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</si>
  <si>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</si>
  <si>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</si>
  <si>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</si>
  <si>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</si>
  <si>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</si>
  <si>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</si>
  <si>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</si>
  <si>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</si>
  <si>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</si>
  <si>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</si>
  <si>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</si>
  <si>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</si>
  <si>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</si>
  <si>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</si>
  <si>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</si>
  <si>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</si>
  <si>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</si>
  <si>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</si>
  <si>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</si>
  <si>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</si>
  <si>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</si>
  <si>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</si>
  <si>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</si>
  <si>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</si>
  <si>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</si>
  <si>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</si>
  <si>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</si>
  <si>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</si>
  <si>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</si>
  <si>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</si>
  <si>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</si>
  <si>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</si>
  <si>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</si>
  <si>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</si>
  <si>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</si>
  <si>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</si>
  <si>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</si>
  <si>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</si>
  <si>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</si>
  <si>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</si>
  <si>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</si>
  <si>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</si>
  <si>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</si>
  <si>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</si>
  <si>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</si>
  <si>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</si>
  <si>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</si>
  <si>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</si>
  <si>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</si>
  <si>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</si>
  <si>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</si>
  <si>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</si>
  <si>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</si>
  <si>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</si>
  <si>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</si>
  <si>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</si>
  <si>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</si>
  <si>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</si>
  <si>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</si>
  <si>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</si>
  <si>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</si>
  <si>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</si>
  <si>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</si>
  <si>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</si>
  <si>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</si>
  <si>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</si>
  <si>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</si>
  <si>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</si>
  <si>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</si>
  <si>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</si>
  <si>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</si>
  <si>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</si>
  <si>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</si>
  <si>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</si>
  <si>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</si>
  <si>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</si>
  <si>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</si>
  <si>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</si>
  <si>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</si>
  <si>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</si>
  <si>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</si>
  <si>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</si>
  <si>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</si>
  <si>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</si>
  <si>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</si>
  <si>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</si>
  <si>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</si>
  <si>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</si>
  <si>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</si>
  <si>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</si>
  <si>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</si>
  <si>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</si>
  <si>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</si>
  <si>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</si>
  <si>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</si>
  <si>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</si>
  <si>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</si>
  <si>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</si>
  <si>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</si>
  <si>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</si>
  <si>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</si>
  <si>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</si>
  <si>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</si>
  <si>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</si>
  <si>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</si>
  <si>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</si>
  <si>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</si>
  <si>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</si>
  <si>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</si>
  <si>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</si>
  <si>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</si>
  <si>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</si>
  <si>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</si>
  <si>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</si>
  <si>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</si>
  <si>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</si>
  <si>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</si>
  <si>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</si>
  <si>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</si>
  <si>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</si>
  <si>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</si>
  <si>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</si>
  <si>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</si>
  <si>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</si>
  <si>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</si>
  <si>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</si>
  <si>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</si>
  <si>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</si>
  <si>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</si>
  <si>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</si>
  <si>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</si>
  <si>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</si>
  <si>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</si>
  <si>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</si>
  <si>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</si>
  <si>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</si>
  <si>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</si>
  <si>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</si>
  <si>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</si>
  <si>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</si>
  <si>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</si>
  <si>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</si>
  <si>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</si>
  <si>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</si>
  <si>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</si>
  <si>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</si>
  <si>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</si>
  <si>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</si>
  <si>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</si>
  <si>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</si>
  <si>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</si>
  <si>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</si>
  <si>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</si>
  <si>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</si>
  <si>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</si>
  <si>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</si>
  <si>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</si>
  <si>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</si>
  <si>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</si>
  <si>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</si>
  <si>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</si>
  <si>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</si>
  <si>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</si>
  <si>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</si>
  <si>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</si>
  <si>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</si>
  <si>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</si>
  <si>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</si>
  <si>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</si>
  <si>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</si>
  <si>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</si>
  <si>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</si>
  <si>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</si>
  <si>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</si>
  <si>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</si>
  <si>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</si>
  <si>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</si>
  <si>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</si>
  <si>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</si>
  <si>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</si>
  <si>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</si>
  <si>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</si>
  <si>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</si>
  <si>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</si>
  <si>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</si>
  <si>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</si>
  <si>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</si>
  <si>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</si>
  <si>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</si>
  <si>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</si>
  <si>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</si>
  <si>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</si>
  <si>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</si>
  <si>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</si>
  <si>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</si>
  <si>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</si>
  <si>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</si>
  <si>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</si>
  <si>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</si>
  <si>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</si>
  <si>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</si>
  <si>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</si>
  <si>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</si>
  <si>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</si>
  <si>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</si>
  <si>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</si>
  <si>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</si>
  <si>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</si>
  <si>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</si>
  <si>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</si>
  <si>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</si>
  <si>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</si>
  <si>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</si>
  <si>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</si>
  <si>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</si>
  <si>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</si>
  <si>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</si>
  <si>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</si>
  <si>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</si>
  <si>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</si>
  <si>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</si>
  <si>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</si>
  <si>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</si>
  <si>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</si>
  <si>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</si>
  <si>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</si>
  <si>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</si>
  <si>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</si>
  <si>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</si>
  <si>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</si>
  <si>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</si>
  <si>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</si>
  <si>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</si>
  <si>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</si>
  <si>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</si>
  <si>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</si>
  <si>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</si>
  <si>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</si>
  <si>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</si>
  <si>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</si>
  <si>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</si>
  <si>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</si>
  <si>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</si>
  <si>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</si>
  <si>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</si>
  <si>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</si>
  <si>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</si>
  <si>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</si>
  <si>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</si>
  <si>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</si>
  <si>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</si>
  <si>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</si>
  <si>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</si>
  <si>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</si>
  <si>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</si>
  <si>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</si>
  <si>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</si>
  <si>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</si>
  <si>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</si>
  <si>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</si>
  <si>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</si>
  <si>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</si>
  <si>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</si>
  <si>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</si>
  <si>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</si>
  <si>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</si>
  <si>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</si>
  <si>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</si>
  <si>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</si>
  <si>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</si>
  <si>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</si>
  <si>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</si>
  <si>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</si>
  <si>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</si>
  <si>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</si>
  <si>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</si>
  <si>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</si>
  <si>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</si>
  <si>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</si>
  <si>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</si>
  <si>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</si>
  <si>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</si>
  <si>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</si>
  <si>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</si>
  <si>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</si>
  <si>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</si>
  <si>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</si>
  <si>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</si>
  <si>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</si>
  <si>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</si>
  <si>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</si>
  <si>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</si>
  <si>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</si>
  <si>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</si>
  <si>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</si>
  <si>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</si>
  <si>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</si>
  <si>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</si>
  <si>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</si>
  <si>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</si>
  <si>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</si>
  <si>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</si>
  <si>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</si>
  <si>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</si>
  <si>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</si>
  <si>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</si>
  <si>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</si>
  <si>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</si>
  <si>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</si>
  <si>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</si>
  <si>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</si>
  <si>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</si>
  <si>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</si>
  <si>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</si>
  <si>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</si>
  <si>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</si>
  <si>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</si>
  <si>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</si>
  <si>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</si>
  <si>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</si>
  <si>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</si>
  <si>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</si>
  <si>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</si>
  <si>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</si>
  <si>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</si>
  <si>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</si>
  <si>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</si>
  <si>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</si>
  <si>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</si>
  <si>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</si>
  <si>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</si>
  <si>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</si>
  <si>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</si>
  <si>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</si>
  <si>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</si>
  <si>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</si>
  <si>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</si>
  <si>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</si>
  <si>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</si>
  <si>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</si>
  <si>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</si>
  <si>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</si>
  <si>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</si>
  <si>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</si>
  <si>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</si>
  <si>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</si>
  <si>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</si>
  <si>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</si>
  <si>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</si>
  <si>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</si>
  <si>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</si>
  <si>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</si>
  <si>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</si>
  <si>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</si>
  <si>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</si>
  <si>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</si>
  <si>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</si>
  <si>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</si>
  <si>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</si>
  <si>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</si>
  <si>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</si>
  <si>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</si>
  <si>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</si>
  <si>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</si>
  <si>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</si>
  <si>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</si>
  <si>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</si>
  <si>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</si>
  <si>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</si>
  <si>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</si>
  <si>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</si>
  <si>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</si>
  <si>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</si>
  <si>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</si>
  <si>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</si>
  <si>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</si>
  <si>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</si>
  <si>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</si>
  <si>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</si>
  <si>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</si>
  <si>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</si>
  <si>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</si>
  <si>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</si>
  <si>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</si>
  <si>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</si>
  <si>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</si>
  <si>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</si>
  <si>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</si>
  <si>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</si>
  <si>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</si>
  <si>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</si>
  <si>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</si>
  <si>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</si>
  <si>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</si>
  <si>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</si>
  <si>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</si>
  <si>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</si>
  <si>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</si>
  <si>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</si>
  <si>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</si>
  <si>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</si>
  <si>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</si>
  <si>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</si>
  <si>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</si>
  <si>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</si>
  <si>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</si>
  <si>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</si>
  <si>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</si>
  <si>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</si>
  <si>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</si>
  <si>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</si>
  <si>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</si>
  <si>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</si>
  <si>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</si>
  <si>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</si>
  <si>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</si>
  <si>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</si>
  <si>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</si>
  <si>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</si>
  <si>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</si>
  <si>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</si>
  <si>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</si>
  <si>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</si>
  <si>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</si>
  <si>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</si>
  <si>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</si>
  <si>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</si>
  <si>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</si>
  <si>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</si>
  <si>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</si>
  <si>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</si>
  <si>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</si>
  <si>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</si>
  <si>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</si>
  <si>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</si>
  <si>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</si>
  <si>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</si>
  <si>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</si>
  <si>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</si>
  <si>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</si>
  <si>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</si>
  <si>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</si>
  <si>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</si>
  <si>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</si>
  <si>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</si>
  <si>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</si>
  <si>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</si>
  <si>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</si>
  <si>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</si>
  <si>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</si>
  <si>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</si>
  <si>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</si>
  <si>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</si>
  <si>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</si>
  <si>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</si>
  <si>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</si>
  <si>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</si>
  <si>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</si>
  <si>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</si>
  <si>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</si>
  <si>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</si>
  <si>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</si>
  <si>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</si>
  <si>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</si>
  <si>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</si>
  <si>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</si>
  <si>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</si>
  <si>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</si>
  <si>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</si>
  <si>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</si>
  <si>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</si>
  <si>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</si>
  <si>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</si>
  <si>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</si>
  <si>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</si>
  <si>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</si>
  <si>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</si>
  <si>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</si>
  <si>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</si>
  <si>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</si>
  <si>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</si>
  <si>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</si>
  <si>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</si>
  <si>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</si>
  <si>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</si>
  <si>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</si>
  <si>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</si>
  <si>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</si>
  <si>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</si>
  <si>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</si>
  <si>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</si>
  <si>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</si>
  <si>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</si>
  <si>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</si>
  <si>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</si>
  <si>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</si>
  <si>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</si>
  <si>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</si>
  <si>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</si>
  <si>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</si>
  <si>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</si>
  <si>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</si>
  <si>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</si>
  <si>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</si>
  <si>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</si>
  <si>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</si>
  <si>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</si>
  <si>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</si>
  <si>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</si>
  <si>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</si>
  <si>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</si>
  <si>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</si>
  <si>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</si>
  <si>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</si>
  <si>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</si>
  <si>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</si>
  <si>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</si>
  <si>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</si>
  <si>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</si>
  <si>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</si>
  <si>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</si>
  <si>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</si>
  <si>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</si>
  <si>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</si>
  <si>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</si>
  <si>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</si>
  <si>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</si>
  <si>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</si>
  <si>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</si>
  <si>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</si>
  <si>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</si>
  <si>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</si>
  <si>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</si>
  <si>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</si>
  <si>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</si>
  <si>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</si>
  <si>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</si>
  <si>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</si>
  <si>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</si>
  <si>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</si>
  <si>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</si>
  <si>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</si>
  <si>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</si>
  <si>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</si>
  <si>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</si>
  <si>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</si>
  <si>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この入力ガイドの黄色の欄（1.）、帳票シートの黄色のセル（一覧は「入力セル一覧」）、「貸付_入力」の入力欄、「前年度貼付」のE列です。黄色は画面表示用で、印刷・PDF出力には出ません。数式が入っているセルは黄色になりません。手入力セルで Enter を押すと次の手入力セルへ移動します（Shift+Enterで戻る）。</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</si>
  <si>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</si>
  <si>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</si>
  <si>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</si>
  <si>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</si>
  <si>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</si>
  <si>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</si>
  <si>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</si>
  <si>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</si>
  <si>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</si>
  <si>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</si>
  <si>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</si>
  <si>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</si>
  <si>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</si>
  <si>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</si>
  <si>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入力欄」に、対象年度・作成年月日・出納主任と出納役の氏名・審査日を入力します（全帳票の令和表記と決算精算表の署名欄に反映されます）。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</si>
  <si>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</si>
  <si>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</si>
  <si>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</si>
  <si>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</si>
  <si>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</si>
  <si>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</si>
  <si>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</si>
  <si>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</si>
  <si>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</si>
  <si>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</si>
  <si>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</si>
  <si>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</si>
  <si>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</si>
  <si>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</si>
  <si>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</si>
  <si>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</si>
  <si>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</si>
  <si>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</si>
  <si>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</si>
  <si>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</si>
  <si>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</si>
  <si>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</si>
  <si>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</si>
  <si>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</si>
  <si>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</si>
  <si>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</si>
  <si>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</si>
  <si>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</si>
  <si>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</si>
  <si>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</si>
  <si>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</si>
  <si>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</si>
  <si>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</si>
  <si>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</si>
  <si>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</si>
  <si>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</si>
  <si>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</si>
  <si>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</si>
  <si>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</si>
  <si>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</si>
  <si>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</si>
  <si>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</si>
  <si>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</si>
  <si>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</si>
  <si>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</si>
  <si>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</si>
  <si>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</si>
  <si>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</si>
  <si>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</si>
  <si>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</si>
  <si>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</si>
  <si>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</si>
  <si>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</si>
  <si>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</si>
  <si>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</si>
  <si>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</si>
  <si>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</si>
  <si>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</si>
  <si>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</si>
  <si>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</si>
  <si>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</si>
  <si>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</si>
  <si>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</si>
  <si>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</si>
  <si>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</si>
  <si>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</si>
  <si>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</si>
  <si>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</si>
  <si>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</si>
  <si>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</si>
  <si>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</si>
  <si>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</si>
  <si>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</si>
  <si>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</si>
  <si>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</si>
  <si>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</si>
  <si>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</si>
  <si>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</si>
  <si>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</si>
  <si>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</si>
  <si>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</si>
  <si>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</si>
  <si>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</si>
  <si>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</si>
  <si>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</si>
  <si>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</si>
  <si>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</si>
  <si>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</si>
  <si>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</si>
  <si>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</si>
  <si>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</si>
  <si>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</si>
  <si>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</si>
  <si>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</si>
  <si>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</si>
  <si>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</si>
  <si>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</si>
  <si>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</si>
  <si>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</si>
  <si>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</si>
  <si>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</si>
  <si>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</si>
  <si>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</si>
  <si>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</si>
  <si>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</si>
  <si>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</si>
  <si>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</si>
  <si>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</si>
  <si>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</si>
  <si>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</si>
  <si>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</si>
  <si>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</si>
  <si>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</si>
  <si>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</si>
  <si>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</si>
  <si>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</si>
  <si>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</si>
  <si>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</si>
  <si>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</si>
  <si>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</si>
  <si>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</si>
  <si>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</si>
  <si>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</si>
  <si>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</si>
  <si>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</si>
  <si>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</si>
  <si>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</si>
  <si>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</si>
  <si>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</si>
  <si>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</si>
  <si>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</si>
  <si>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</si>
  <si>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</si>
  <si>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</si>
  <si>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</si>
  <si>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</si>
  <si>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</si>
  <si>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</si>
  <si>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</si>
  <si>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</si>
  <si>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</si>
  <si>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</si>
  <si>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</si>
  <si>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</si>
  <si>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</si>
  <si>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※元の21ファイルを1つに統合したブックです。シート名の先頭に経理名（短期_/厚生_/退職等_/経過的_/預託金_/業務_/保健_/貸付_/報告_）を付けています。灰色のシートタブは、手入力が不要なシートです。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</si>
  <si>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</si>
  <si>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</si>
  <si>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</si>
  <si>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</si>
  <si>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</si>
  <si>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</si>
  <si>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</si>
  <si>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</si>
  <si>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</si>
  <si>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</si>
  <si>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</si>
  <si>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</si>
  <si>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預託金_預金・未収・貸付・預託金P44</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</si>
  <si>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</si>
  <si>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</si>
  <si>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</si>
  <si>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</si>
  <si>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業務_附属明細表P48-50</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</si>
  <si>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</si>
  <si>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</si>
  <si>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</si>
  <si>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</si>
  <si>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</si>
  <si>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</si>
  <si>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</si>
  <si>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保健_附属明細表P54-57</t>
  </si>
  <si>
    <t>積立金の当期減少額＝当期損失金</t>
  </si>
  <si>
    <t>貸付_決算精算表P63</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</si>
  <si>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</si>
  <si>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</si>
  <si>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</si>
  <si>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</si>
  <si>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</si>
  <si>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</si>
  <si>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</si>
  <si>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</si>
  <si>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</si>
  <si>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退職等_貸借・損益P35</t>
  </si>
  <si>
    <t>預り金：預り金明細表（退職等_預金・立替・未収P36!C33）に残っていた前年度残4,050円を0円に修正し、貸借対照表L9を明細表合計（C34）への数式連動に変更しました。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</si>
  <si>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</si>
  <si>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貸付_財務諸表P59</t>
  </si>
  <si>
    <t>欠損金補てん積立金：貸借対照表F20は元の決算書の額（1,966,406,293円）を固定値で入力。下段の積立金F22は決算精算表の利益剰余金との差額（△9,273,553円）。F20＋F22は積立金明細表の計上額と一致します。</t>
  </si>
  <si>
    <t>元の決算書のとおり。F20は手入力（黄色）。F20＋F22と積立金明細表の計上額の一致をチェックNo.149で確認します。</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</si>
  <si>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</si>
  <si>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</si>
  <si>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短期_附属明細表P28-29</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</si>
  <si>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</si>
  <si>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</si>
  <si>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</si>
  <si>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前年度決算額「減価償却費」：前年度貼付シートからの参照（176,556円）に統一済み。あわせて業務_附属明細表P48-50!P135（当期処分額計）も内訳合計式に自動化しました。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</si>
  <si>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</si>
  <si>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</si>
  <si>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</si>
  <si>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</si>
  <si>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</si>
  <si>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</si>
  <si>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</si>
  <si>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</si>
  <si>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</si>
  <si>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</si>
  <si>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</si>
  <si>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</si>
  <si>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</si>
  <si>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</si>
  <si>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</si>
  <si>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</si>
  <si>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</si>
  <si>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</si>
  <si>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</si>
  <si>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</si>
  <si>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</si>
  <si>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</si>
  <si>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</si>
  <si>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</si>
  <si>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帳票シートの手入力セルの黄色表示を、表示／非表示に切り替えます（入力ガイドE9の 1／0 と同じ）。印刷・PDF出力・印刷プレビューの前には自動で非表示になります。</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</si>
  <si>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</si>
  <si>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</si>
  <si>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</si>
  <si>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</si>
  <si>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</si>
  <si>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</si>
  <si>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</si>
  <si>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</si>
  <si>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</si>
  <si>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</si>
  <si>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</si>
  <si>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</si>
  <si>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</si>
  <si>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</si>
  <si>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</si>
  <si>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</si>
  <si>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</si>
  <si>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</si>
  <si>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</si>
  <si>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</si>
  <si>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</si>
  <si>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</si>
  <si>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</si>
  <si>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</si>
  <si>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</si>
  <si>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数値の手入力セル一覧（837箇所） ― セル番地をクリックすると入力箇所へ移動します。科目・氏名・摘要などの文字の入力欄は、帳票上の黄色のセルです</t>
  </si>
  <si>
    <t>※ここに載っているセルだけ手入力します（それ以外の金額セルはすべて数式のため入力不要）。5行目のフィルターで「経理」や「入力状態」を絞り込めます。H列・I列は、入力した金額の反映先です。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</si>
  <si>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</si>
  <si>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</si>
  <si>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</si>
  <si>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</si>
  <si>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</si>
  <si>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</si>
  <si>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</si>
  <si>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</si>
  <si>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</si>
  <si>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</si>
  <si>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</si>
  <si>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</si>
  <si>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</si>
  <si>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</si>
  <si>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</si>
  <si>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</si>
  <si>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</si>
  <si>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</si>
  <si>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</si>
  <si>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</si>
  <si>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</si>
  <si>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</si>
  <si>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</si>
  <si>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</si>
  <si>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</si>
  <si>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</si>
  <si>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</si>
  <si>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</si>
  <si>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</si>
  <si>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</si>
  <si>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</si>
  <si>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</si>
  <si>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</si>
  <si>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</si>
  <si>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</si>
  <si>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</si>
  <si>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</si>
  <si>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</si>
  <si>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</si>
  <si>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</si>
  <si>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</si>
  <si>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</si>
  <si>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</si>
  <si>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</si>
  <si>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</si>
  <si>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</si>
  <si>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</si>
  <si>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</si>
  <si>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</si>
  <si>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</si>
  <si>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</si>
  <si>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</si>
  <si>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</si>
  <si>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</si>
  <si>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</si>
  <si>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</si>
  <si>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</si>
  <si>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</si>
  <si>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</si>
  <si>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</si>
  <si>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</si>
  <si>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</si>
  <si>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</si>
  <si>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</si>
  <si>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</si>
  <si>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</si>
  <si>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</si>
  <si>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</si>
  <si>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</si>
  <si>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</si>
  <si>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</si>
  <si>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</si>
  <si>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</si>
  <si>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</si>
  <si>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</si>
  <si>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</si>
  <si>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</si>
  <si>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</si>
  <si>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</si>
  <si>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</si>
  <si>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</si>
  <si>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</si>
  <si>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</si>
  <si>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</si>
  <si>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</si>
  <si>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</si>
  <si>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</si>
  <si>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</si>
  <si>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</si>
  <si>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</si>
  <si>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</si>
  <si>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</si>
  <si>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</si>
  <si>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</si>
  <si>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</si>
  <si>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</si>
  <si>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</si>
  <si>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</si>
  <si>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</si>
  <si>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</si>
  <si>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</si>
  <si>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</si>
  <si>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</si>
  <si>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</si>
  <si>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</si>
  <si>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</si>
  <si>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</si>
  <si>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</si>
  <si>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</si>
  <si>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</si>
  <si>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</si>
  <si>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</si>
  <si>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</si>
  <si>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</si>
  <si>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</si>
  <si>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</si>
  <si>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</si>
  <si>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</si>
  <si>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</si>
  <si>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</si>
  <si>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</si>
  <si>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</si>
  <si>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</si>
  <si>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</si>
  <si>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</si>
  <si>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</si>
  <si>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</si>
  <si>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</si>
  <si>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</si>
  <si>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</si>
  <si>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</si>
  <si>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</si>
  <si>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</si>
  <si>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</si>
  <si>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</si>
  <si>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</si>
  <si>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</si>
  <si>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</si>
  <si>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</si>
  <si>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</si>
  <si>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</si>
  <si>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</si>
  <si>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</si>
  <si>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</si>
  <si>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</si>
  <si>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</si>
  <si>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</si>
  <si>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</si>
  <si>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</si>
  <si>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</si>
  <si>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</si>
  <si>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</si>
  <si>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</si>
  <si>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</si>
  <si>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</si>
  <si>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</si>
  <si>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</si>
  <si>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</si>
  <si>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</si>
  <si>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</si>
  <si>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</si>
  <si>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</si>
  <si>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</si>
  <si>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</si>
  <si>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</si>
  <si>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</si>
  <si>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</si>
  <si>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</si>
  <si>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</si>
  <si>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</si>
  <si>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</si>
  <si>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</si>
  <si>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</si>
  <si>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</si>
  <si>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</si>
  <si>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</si>
  <si>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</si>
  <si>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</si>
  <si>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</si>
  <si>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</si>
  <si>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</si>
  <si>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</si>
  <si>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</si>
  <si>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</si>
  <si>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</si>
  <si>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</si>
  <si>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</si>
  <si>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</si>
  <si>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</si>
  <si>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</si>
  <si>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</si>
  <si>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</si>
  <si>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</si>
  <si>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</si>
  <si>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</si>
  <si>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</si>
  <si>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</si>
  <si>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</si>
  <si>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</si>
  <si>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</si>
  <si>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</si>
  <si>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</si>
  <si>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</si>
  <si>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</si>
  <si>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</si>
  <si>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</si>
  <si>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</si>
  <si>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</si>
  <si>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</si>
  <si>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</si>
  <si>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</si>
  <si>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</si>
  <si>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</si>
  <si>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</si>
  <si>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</si>
  <si>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</si>
  <si>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</si>
  <si>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</si>
  <si>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</si>
  <si>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</si>
  <si>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</si>
  <si>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</si>
  <si>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</si>
  <si>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</si>
  <si>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</si>
  <si>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</si>
  <si>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</si>
  <si>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</si>
  <si>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</si>
  <si>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</si>
  <si>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</si>
  <si>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</si>
  <si>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</si>
  <si>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</si>
  <si>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</si>
  <si>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</si>
  <si>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</si>
  <si>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</si>
  <si>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</si>
  <si>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</si>
  <si>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</si>
  <si>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</si>
  <si>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</si>
  <si>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</si>
  <si>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</si>
  <si>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</si>
  <si>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</si>
  <si>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</si>
  <si>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</si>
  <si>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</si>
  <si>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</si>
  <si>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</si>
  <si>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</si>
  <si>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</si>
  <si>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</si>
  <si>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</si>
  <si>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</si>
  <si>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</si>
  <si>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</si>
  <si>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</si>
  <si>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</si>
  <si>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</si>
  <si>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</si>
  <si>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</si>
  <si>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</si>
  <si>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</si>
  <si>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</si>
  <si>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</si>
  <si>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</si>
  <si>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</si>
  <si>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</si>
  <si>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</si>
  <si>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</si>
  <si>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</si>
  <si>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</si>
  <si>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</si>
  <si>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</si>
  <si>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</si>
  <si>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</si>
  <si>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</si>
  <si>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</si>
  <si>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</si>
  <si>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</si>
  <si>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</si>
  <si>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</si>
  <si>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</si>
  <si>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</si>
  <si>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</si>
  <si>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</si>
  <si>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</si>
  <si>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</si>
  <si>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</si>
  <si>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</si>
  <si>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</si>
  <si>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</si>
  <si>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</si>
  <si>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</si>
  <si>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</si>
  <si>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</si>
  <si>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</si>
  <si>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</si>
  <si>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</si>
  <si>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</si>
  <si>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</si>
  <si>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</si>
  <si>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</si>
  <si>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</si>
  <si>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</si>
  <si>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</si>
  <si>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</si>
  <si>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</si>
  <si>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</si>
  <si>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</si>
  <si>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</si>
  <si>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</si>
  <si>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</si>
  <si>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</si>
  <si>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</si>
  <si>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</si>
  <si>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</si>
  <si>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</si>
  <si>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</si>
  <si>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</si>
  <si>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</si>
  <si>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</si>
  <si>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</si>
  <si>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</si>
  <si>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</si>
  <si>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</si>
  <si>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</si>
  <si>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</si>
  <si>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</si>
  <si>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</si>
  <si>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</si>
  <si>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</si>
  <si>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</si>
  <si>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</si>
  <si>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</si>
  <si>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</si>
  <si>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</si>
  <si>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</si>
  <si>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</si>
  <si>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</si>
  <si>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</si>
  <si>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</si>
  <si>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</si>
  <si>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</si>
  <si>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</si>
  <si>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</si>
  <si>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短期_財務諸表P27</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</si>
  <si>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</si>
  <si>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</si>
  <si>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</si>
  <si>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</si>
  <si>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</si>
  <si>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</si>
  <si>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</si>
  <si>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</si>
  <si>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</si>
  <si>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</si>
  <si>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</si>
  <si>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</si>
  <si>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</si>
  <si>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</si>
  <si>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</si>
  <si>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</si>
  <si>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</si>
  <si>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</si>
  <si>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</si>
  <si>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</si>
  <si>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</si>
  <si>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</si>
  <si>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</si>
  <si>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</si>
  <si>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</si>
  <si>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短期_決算精算表P30</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</si>
  <si>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</si>
  <si>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</si>
  <si>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</si>
  <si>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</si>
  <si>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</si>
  <si>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</si>
  <si>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</si>
  <si>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</si>
  <si>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</si>
  <si>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</si>
  <si>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</si>
  <si>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</si>
  <si>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</si>
  <si>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</si>
  <si>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</si>
  <si>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</si>
  <si>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</si>
  <si>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</si>
  <si>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</si>
  <si>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</si>
  <si>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</si>
  <si>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</si>
  <si>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</si>
  <si>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</si>
  <si>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厚生_預金・立替・未収P32</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</si>
  <si>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</si>
  <si>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</si>
  <si>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</si>
  <si>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</si>
  <si>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</si>
  <si>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</si>
  <si>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</si>
  <si>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厚生_決算精算表P33</t>
  </si>
  <si>
    <t>負担金払込金／借方３月分残高</t>
  </si>
  <si>
    <t>組合員保険料払込金／借方３月分残高</t>
  </si>
  <si>
    <t>退職等_預金・立替・未収P36</t>
  </si>
  <si>
    <t>標準報酬月額掛金／金額</t>
  </si>
  <si>
    <t>標準期末手当等掛金／金額</t>
  </si>
  <si>
    <t>退職等_決算精算表P37</t>
  </si>
  <si>
    <t>未収金／借方３月分残高</t>
  </si>
  <si>
    <t>掛金払込金／借方３月分残高</t>
  </si>
  <si>
    <t>経過的_預金・立替・未収P40</t>
  </si>
  <si>
    <t>経過的_決算精算表P41</t>
  </si>
  <si>
    <t>未収収益／金額</t>
  </si>
  <si>
    <t>連合会預託金／当期減少額</t>
  </si>
  <si>
    <t>預託金_決算精算表P45</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</si>
  <si>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</si>
  <si>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</si>
  <si>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</si>
  <si>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</si>
  <si>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</si>
  <si>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</si>
  <si>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</si>
  <si>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</si>
  <si>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</si>
  <si>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</si>
  <si>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</si>
  <si>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</si>
  <si>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</si>
  <si>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</si>
  <si>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</si>
  <si>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</si>
  <si>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</si>
  <si>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</si>
  <si>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</si>
  <si>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</si>
  <si>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</si>
  <si>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</si>
  <si>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</si>
  <si>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</si>
  <si>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</si>
  <si>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</si>
  <si>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</si>
  <si>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</si>
  <si>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</si>
  <si>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</si>
  <si>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</si>
  <si>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</si>
  <si>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</si>
  <si>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</si>
  <si>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</si>
  <si>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</si>
  <si>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</si>
  <si>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業務_決算精算表P51</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</si>
  <si>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</si>
  <si>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</si>
  <si>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</si>
  <si>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</si>
  <si>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</si>
  <si>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</si>
  <si>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</si>
  <si>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</si>
  <si>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</si>
  <si>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</si>
  <si>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</si>
  <si>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</si>
  <si>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</si>
  <si>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</si>
  <si>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</si>
  <si>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</si>
  <si>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</si>
  <si>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</si>
  <si>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</si>
  <si>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</si>
  <si>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</si>
  <si>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</si>
  <si>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</si>
  <si>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</si>
  <si>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</si>
  <si>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</si>
  <si>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</si>
  <si>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</si>
  <si>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</si>
  <si>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</si>
  <si>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</si>
  <si>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</si>
  <si>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</si>
  <si>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</si>
  <si>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</si>
  <si>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</si>
  <si>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</si>
  <si>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</si>
  <si>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</si>
  <si>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</si>
  <si>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</si>
  <si>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</si>
  <si>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</si>
  <si>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</si>
  <si>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</si>
  <si>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</si>
  <si>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</si>
  <si>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</si>
  <si>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</si>
  <si>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</si>
  <si>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</si>
  <si>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</si>
  <si>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</si>
  <si>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</si>
  <si>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</si>
  <si>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</si>
  <si>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</si>
  <si>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</si>
  <si>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</si>
  <si>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</si>
  <si>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</si>
  <si>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</si>
  <si>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</si>
  <si>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</si>
  <si>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</si>
  <si>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</si>
  <si>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</si>
  <si>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</si>
  <si>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</si>
  <si>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</si>
  <si>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</si>
  <si>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</si>
  <si>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</si>
  <si>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</si>
  <si>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</si>
  <si>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</si>
  <si>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</si>
  <si>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</si>
  <si>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</si>
  <si>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</si>
  <si>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</si>
  <si>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</si>
  <si>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</si>
  <si>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</si>
  <si>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</si>
  <si>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</si>
  <si>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</si>
  <si>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</si>
  <si>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</si>
  <si>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</si>
  <si>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</si>
  <si>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</si>
  <si>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</si>
  <si>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</si>
  <si>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</si>
  <si>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</si>
  <si>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</si>
  <si>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</si>
  <si>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</si>
  <si>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</si>
  <si>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</si>
  <si>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</si>
  <si>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保健_決算精算表P58</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</si>
  <si>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</si>
  <si>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</si>
  <si>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</si>
  <si>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</si>
  <si>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</si>
  <si>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</si>
  <si>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</si>
  <si>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</si>
  <si>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</si>
  <si>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</si>
  <si>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</si>
  <si>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</si>
  <si>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</si>
  <si>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</si>
  <si>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</si>
  <si>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</si>
  <si>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</si>
  <si>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</si>
  <si>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</si>
  <si>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</si>
  <si>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</si>
  <si>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</si>
  <si>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</si>
  <si>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</si>
  <si>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</si>
  <si>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</si>
  <si>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</si>
  <si>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</si>
  <si>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</si>
  <si>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</si>
  <si>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</si>
  <si>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</si>
  <si>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</si>
  <si>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</si>
  <si>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</si>
  <si>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</si>
  <si>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</si>
  <si>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</si>
  <si>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</si>
  <si>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</si>
  <si>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</si>
  <si>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</si>
  <si>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</si>
  <si>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</si>
  <si>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</si>
  <si>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</si>
  <si>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</si>
  <si>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</si>
  <si>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</si>
  <si>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</si>
  <si>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</si>
  <si>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</si>
  <si>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</si>
  <si>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</si>
  <si>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</si>
  <si>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</si>
  <si>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</si>
  <si>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</si>
  <si>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</si>
  <si>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</si>
  <si>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</si>
  <si>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</si>
  <si>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</si>
  <si>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</si>
  <si>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</si>
  <si>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</si>
  <si>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</si>
  <si>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</si>
  <si>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</si>
  <si>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</si>
  <si>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</si>
  <si>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</si>
  <si>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</si>
  <si>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</si>
  <si>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</si>
  <si>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</si>
  <si>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</si>
  <si>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</si>
  <si>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</si>
  <si>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</si>
  <si>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</si>
  <si>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</si>
  <si>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</si>
  <si>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</si>
  <si>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</si>
  <si>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</si>
  <si>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</si>
  <si>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</si>
  <si>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</si>
  <si>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</si>
  <si>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</si>
  <si>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</si>
  <si>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</si>
  <si>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</si>
  <si>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</si>
  <si>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</si>
  <si>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</si>
  <si>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</si>
  <si>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</si>
  <si>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</si>
  <si>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</si>
  <si>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</si>
  <si>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</si>
  <si>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</si>
  <si>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</si>
  <si>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</si>
  <si>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</si>
  <si>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</si>
  <si>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</si>
  <si>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</si>
  <si>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</si>
  <si>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</si>
  <si>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</si>
  <si>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</si>
  <si>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</si>
  <si>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</si>
  <si>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</si>
  <si>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</si>
  <si>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</si>
  <si>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</si>
  <si>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</si>
  <si>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</si>
  <si>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</si>
  <si>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</si>
  <si>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</si>
  <si>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</si>
  <si>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</si>
  <si>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</si>
  <si>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</si>
  <si>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</si>
  <si>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</si>
  <si>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</si>
  <si>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</si>
  <si>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</si>
  <si>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</si>
  <si>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</si>
  <si>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</si>
  <si>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</si>
  <si>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</si>
  <si>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</si>
  <si>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</si>
  <si>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</si>
  <si>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</si>
  <si>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</si>
  <si>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</si>
  <si>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</si>
  <si>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</si>
  <si>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</si>
  <si>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</si>
  <si>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</si>
  <si>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</si>
  <si>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</si>
  <si>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</si>
  <si>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</si>
  <si>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</si>
  <si>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</si>
  <si>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</si>
  <si>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</si>
  <si>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</si>
  <si>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</si>
  <si>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</si>
  <si>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</si>
  <si>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</si>
  <si>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</si>
  <si>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</si>
  <si>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</si>
  <si>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</si>
  <si>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</si>
  <si>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</si>
  <si>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</si>
  <si>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</si>
  <si>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</si>
  <si>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</si>
  <si>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</si>
  <si>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</si>
  <si>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</si>
  <si>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</si>
  <si>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</si>
  <si>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</si>
  <si>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</si>
  <si>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</si>
  <si>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</si>
  <si>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</si>
  <si>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</si>
  <si>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</si>
  <si>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</si>
  <si>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</si>
  <si>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</si>
  <si>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</si>
  <si>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</si>
  <si>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</si>
  <si>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</si>
  <si>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</si>
  <si>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</si>
  <si>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</si>
  <si>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</si>
  <si>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</si>
  <si>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</si>
  <si>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</si>
  <si>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</si>
  <si>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</si>
  <si>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</si>
  <si>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</si>
  <si>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</si>
  <si>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</si>
  <si>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</si>
  <si>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</si>
  <si>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</si>
  <si>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</si>
  <si>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</si>
  <si>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</si>
  <si>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</si>
  <si>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</si>
  <si>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</si>
  <si>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</si>
  <si>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</si>
  <si>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</si>
  <si>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</si>
  <si>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</si>
  <si>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</si>
  <si>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</si>
  <si>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</si>
  <si>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</si>
  <si>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</si>
  <si>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</si>
  <si>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</si>
  <si>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</si>
  <si>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</si>
  <si>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</si>
  <si>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</si>
  <si>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</si>
  <si>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</si>
  <si>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</si>
  <si>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</si>
  <si>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</si>
  <si>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</si>
  <si>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</si>
  <si>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</si>
  <si>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</si>
  <si>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</si>
  <si>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</si>
  <si>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</si>
  <si>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</si>
  <si>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</si>
  <si>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</si>
  <si>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</si>
  <si>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</si>
  <si>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</si>
  <si>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</si>
  <si>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</si>
  <si>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</si>
  <si>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</si>
  <si>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</si>
  <si>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</si>
  <si>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</si>
  <si>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</si>
  <si>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</si>
  <si>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</si>
  <si>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</si>
  <si>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</si>
  <si>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</si>
  <si>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</si>
  <si>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</si>
  <si>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</si>
  <si>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</si>
  <si>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</si>
  <si>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</si>
  <si>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</si>
  <si>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</si>
  <si>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</si>
  <si>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</si>
  <si>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</si>
  <si>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</si>
  <si>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</si>
  <si>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</si>
  <si>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</si>
  <si>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</si>
  <si>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</si>
  <si>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</si>
  <si>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</si>
  <si>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</si>
  <si>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</si>
  <si>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</si>
  <si>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</si>
  <si>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</si>
  <si>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</si>
  <si>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</si>
  <si>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</si>
  <si>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</si>
  <si>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</si>
  <si>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</si>
  <si>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</si>
  <si>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</si>
  <si>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</si>
  <si>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</si>
  <si>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</si>
  <si>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</si>
  <si>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</si>
  <si>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</si>
  <si>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</si>
  <si>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</si>
  <si>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</si>
  <si>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</si>
  <si>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</si>
  <si>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</si>
  <si>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</si>
  <si>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</si>
  <si>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</si>
  <si>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</si>
  <si>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</si>
  <si>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</si>
  <si>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</si>
  <si>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</si>
  <si>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</si>
  <si>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</si>
  <si>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</si>
  <si>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</si>
  <si>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</si>
  <si>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</si>
  <si>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</si>
  <si>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</si>
  <si>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</si>
  <si>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</si>
  <si>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</si>
  <si>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</si>
  <si>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</si>
  <si>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</si>
  <si>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</si>
  <si>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</si>
  <si>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</si>
  <si>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</si>
  <si>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</si>
  <si>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</si>
  <si>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</si>
  <si>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</si>
  <si>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</si>
  <si>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</si>
  <si>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</si>
  <si>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</si>
  <si>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</si>
  <si>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</si>
  <si>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</si>
  <si>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</si>
  <si>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</si>
  <si>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</si>
  <si>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</si>
  <si>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</si>
  <si>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</si>
  <si>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</si>
  <si>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</si>
  <si>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</si>
  <si>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</si>
  <si>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</si>
  <si>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</si>
  <si>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</si>
  <si>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</si>
  <si>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</si>
  <si>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</si>
  <si>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</si>
  <si>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</si>
  <si>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</si>
  <si>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</si>
  <si>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</si>
  <si>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</si>
  <si>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</si>
  <si>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</si>
  <si>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</si>
  <si>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</si>
  <si>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</si>
  <si>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</si>
  <si>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</si>
  <si>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</si>
  <si>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</si>
  <si>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</si>
  <si>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</si>
  <si>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</si>
  <si>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</si>
  <si>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</si>
  <si>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</si>
  <si>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</si>
  <si>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</si>
  <si>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</si>
  <si>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</si>
  <si>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</si>
  <si>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</si>
  <si>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短期_決算精算表P30!G19</t>
  </si>
  <si>
    <t>積立金明細表 前期繰越額／欠損金補てん積立金</t>
  </si>
  <si>
    <t>短期_附属明細表P28-29!Q99</t>
  </si>
  <si>
    <t>積立金明細表 前期繰越額／短期積立金</t>
  </si>
  <si>
    <t>短期_附属明細表P28-29!Q100</t>
  </si>
  <si>
    <t>積立金明細表 前期繰越額／介護積立金</t>
  </si>
  <si>
    <t>短期_附属明細表P28-29!Q101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</si>
  <si>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</si>
  <si>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</si>
  <si>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</si>
  <si>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</si>
  <si>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</si>
  <si>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</si>
  <si>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</si>
  <si>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</si>
  <si>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</si>
  <si>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</si>
  <si>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</si>
  <si>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</si>
  <si>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</si>
  <si>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</si>
  <si>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</si>
  <si>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</si>
  <si>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</si>
  <si>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</si>
  <si>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</si>
  <si>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</si>
  <si>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</si>
  <si>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</si>
  <si>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</si>
  <si>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</si>
  <si>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</si>
  <si>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</si>
  <si>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</si>
  <si>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</si>
  <si>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</si>
  <si>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</si>
  <si>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</si>
  <si>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</si>
  <si>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</si>
  <si>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</si>
  <si>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</si>
  <si>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</si>
  <si>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</si>
  <si>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</si>
  <si>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</si>
  <si>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</si>
  <si>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</si>
  <si>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</si>
  <si>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</si>
  <si>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</si>
  <si>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</si>
  <si>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</si>
  <si>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</si>
  <si>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</si>
  <si>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</si>
  <si>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</si>
  <si>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</si>
  <si>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</si>
  <si>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</si>
  <si>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</si>
  <si>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</si>
  <si>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</si>
  <si>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</si>
  <si>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</si>
  <si>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</si>
  <si>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</si>
  <si>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</si>
  <si>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</si>
  <si>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</si>
  <si>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</si>
  <si>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</si>
  <si>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</si>
  <si>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</si>
  <si>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</si>
  <si>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</si>
  <si>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</si>
  <si>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</si>
  <si>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</si>
  <si>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</si>
  <si>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</si>
  <si>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</si>
  <si>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</si>
  <si>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</si>
  <si>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</si>
  <si>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</si>
  <si>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</si>
  <si>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</si>
  <si>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</si>
  <si>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</si>
  <si>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</si>
  <si>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</si>
  <si>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</si>
  <si>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</si>
  <si>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</si>
  <si>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</si>
  <si>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</si>
  <si>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</si>
  <si>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</si>
  <si>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</si>
  <si>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</si>
  <si>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</si>
  <si>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</si>
  <si>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</si>
  <si>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</si>
  <si>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</si>
  <si>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</si>
  <si>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</si>
  <si>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</si>
  <si>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</si>
  <si>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</si>
  <si>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</si>
  <si>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</si>
  <si>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</si>
  <si>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</si>
  <si>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</si>
  <si>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</si>
  <si>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</si>
  <si>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業務_附属明細表P48-50!Q91</t>
  </si>
  <si>
    <t>固定資産明細表 期首残高／器具及び備品（＝前年度の差引期末残高）</t>
  </si>
  <si>
    <t>業務_附属明細表P48-50!S76</t>
  </si>
  <si>
    <t>減価償却累計額明細表 前期繰越額</t>
  </si>
  <si>
    <t>業務_附属明細表P48-50!Q115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</si>
  <si>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</si>
  <si>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</si>
  <si>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</si>
  <si>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</si>
  <si>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</si>
  <si>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</si>
  <si>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</si>
  <si>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</si>
  <si>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</si>
  <si>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</si>
  <si>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</si>
  <si>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</si>
  <si>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</si>
  <si>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</si>
  <si>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</si>
  <si>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</si>
  <si>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</si>
  <si>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</si>
  <si>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</si>
  <si>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</si>
  <si>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</si>
  <si>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</si>
  <si>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</si>
  <si>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</si>
  <si>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</si>
  <si>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</si>
  <si>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</si>
  <si>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</si>
  <si>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</si>
  <si>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</si>
  <si>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</si>
  <si>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</si>
  <si>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</si>
  <si>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</si>
  <si>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</si>
  <si>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</si>
  <si>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</si>
  <si>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</si>
  <si>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</si>
  <si>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</si>
  <si>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</si>
  <si>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</si>
  <si>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</si>
  <si>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</si>
  <si>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</si>
  <si>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保健_附属明細表P54-57!Q147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</si>
  <si>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</si>
  <si>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</si>
  <si>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</si>
  <si>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</si>
  <si>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</si>
  <si>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</si>
  <si>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</si>
  <si>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</si>
  <si>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</si>
  <si>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</si>
  <si>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</si>
  <si>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</si>
  <si>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</si>
  <si>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</si>
  <si>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</si>
  <si>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</si>
  <si>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</si>
  <si>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</si>
  <si>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</si>
  <si>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</si>
  <si>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</si>
  <si>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</si>
  <si>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</si>
  <si>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</si>
  <si>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</si>
  <si>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</si>
  <si>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</si>
  <si>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</si>
  <si>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</si>
  <si>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</si>
  <si>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</si>
  <si>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</si>
  <si>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</si>
  <si>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</si>
  <si>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</si>
  <si>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</si>
  <si>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</si>
  <si>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</si>
  <si>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</si>
  <si>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</si>
  <si>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</si>
  <si>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</si>
  <si>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</si>
  <si>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</si>
  <si>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</si>
  <si>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</si>
  <si>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</si>
  <si>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</si>
  <si>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</si>
  <si>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</si>
  <si>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</si>
  <si>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</si>
  <si>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</si>
  <si>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</si>
  <si>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</si>
  <si>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</si>
  <si>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</si>
  <si>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</si>
  <si>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</si>
  <si>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</si>
  <si>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</si>
  <si>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</si>
  <si>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</si>
  <si>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</si>
  <si>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</si>
  <si>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</si>
  <si>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</si>
  <si>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</si>
  <si>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</si>
  <si>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</si>
  <si>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</si>
  <si>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</si>
  <si>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</si>
  <si>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</si>
  <si>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</si>
  <si>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</si>
  <si>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貸付_附属明細表P60-62!R20</t>
  </si>
  <si>
    <t>器具及び備品 期首残高（＝前年度の差引期末残高）</t>
  </si>
  <si>
    <t>貸付_附属明細表P60-62!S76</t>
  </si>
  <si>
    <t>貸付_附属明細表P60-62!Q104</t>
  </si>
  <si>
    <t>貸付_附属明細表P60-62!Q90</t>
  </si>
  <si>
    <t>貸付_附属明細表P60-62!Q97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</si>
  <si>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</si>
  <si>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</si>
  <si>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</si>
  <si>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</si>
  <si>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</si>
  <si>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</si>
  <si>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</si>
  <si>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</si>
  <si>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</si>
  <si>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</si>
  <si>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</si>
  <si>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</si>
  <si>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</si>
  <si>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短期_財務諸表P27!D25</t>
  </si>
  <si>
    <t>短期_財務諸表P27!H25</t>
  </si>
  <si>
    <t>借方合計＝貸方合計</t>
  </si>
  <si>
    <t>短期_財務諸表P27!D66</t>
  </si>
  <si>
    <t>短期_財務諸表P27!H66</t>
  </si>
  <si>
    <t>差引残高：借方合計＝貸方合計</t>
  </si>
  <si>
    <t>短期_決算精算表P30!A64</t>
  </si>
  <si>
    <t>短期_決算精算表P30!G64</t>
  </si>
  <si>
    <t>３月分残高：借方合計＝貸方合計</t>
  </si>
  <si>
    <t>短期_決算精算表P30!C64</t>
  </si>
  <si>
    <t>短期_決算精算表P30!E64</t>
  </si>
  <si>
    <t>修正増減：借方合計＝貸方合計</t>
  </si>
  <si>
    <t>短期_決算精算表P30!B64</t>
  </si>
  <si>
    <t>短期_決算精算表P30!F64</t>
  </si>
  <si>
    <t>附属明細表と財務諸表</t>
  </si>
  <si>
    <t>普通預金：預金明細表＝貸借対照表</t>
  </si>
  <si>
    <t>短期_附属明細表P28-29!M9</t>
  </si>
  <si>
    <t>短期_財務諸表P27!C7</t>
  </si>
  <si>
    <t>定期預金：明細表＝貸借対照表</t>
  </si>
  <si>
    <t>短期_附属明細表P28-29!M16</t>
  </si>
  <si>
    <t>短期_財務諸表P27!C8</t>
  </si>
  <si>
    <t>金銭信託：明細表＝貸借対照表</t>
  </si>
  <si>
    <t>短期_附属明細表P28-29!M25</t>
  </si>
  <si>
    <t>短期_財務諸表P27!C9</t>
  </si>
  <si>
    <t>未収金：明細表＝貸借対照表</t>
  </si>
  <si>
    <t>短期_附属明細表P28-29!G49</t>
  </si>
  <si>
    <t>短期_財務諸表P27!C12</t>
  </si>
  <si>
    <t>支払基金委託金：明細表＝貸借対照表</t>
  </si>
  <si>
    <t>短期_附属明細表P28-29!G56</t>
  </si>
  <si>
    <t>短期_財務諸表P27!C13</t>
  </si>
  <si>
    <t>未払金：明細表＝貸借対照表</t>
  </si>
  <si>
    <t>短期_附属明細表P28-29!G75</t>
  </si>
  <si>
    <t>短期_財務諸表P27!G7</t>
  </si>
  <si>
    <t>預り金：明細表＝決算精算表の差引残高</t>
  </si>
  <si>
    <t>短期_附属明細表P28-29!G82</t>
  </si>
  <si>
    <t>短期_決算精算表P30!G17</t>
  </si>
  <si>
    <t>預り金：明細表＝貸借対照表</t>
  </si>
  <si>
    <t>短期_財務諸表P27!G8</t>
  </si>
  <si>
    <t>前受収益：明細表＝貸借対照表</t>
  </si>
  <si>
    <t>短期_附属明細表P28-29!R92</t>
  </si>
  <si>
    <t>短期_財務諸表P27!G9</t>
  </si>
  <si>
    <t>欠損金補てん積立金：積立金明細表＝貸借対照表</t>
  </si>
  <si>
    <t>短期_財務諸表P27!F19</t>
  </si>
  <si>
    <t>短期積立金：積立金明細表＝貸借対照表</t>
  </si>
  <si>
    <t>短期_財務諸表P27!F20</t>
  </si>
  <si>
    <t>介護積立金：積立金明細表＝貸借対照表</t>
  </si>
  <si>
    <t>短期_財務諸表P27!F21</t>
  </si>
  <si>
    <t>利益剰余金計算書：短期積立金の期末額＝積立金明細表</t>
  </si>
  <si>
    <t>短期_附属明細表P28-29!K118</t>
  </si>
  <si>
    <t>利益剰余金計算書：介護積立金の期末額＝積立金明細表</t>
  </si>
  <si>
    <t>短期_附属明細表P28-29!K119</t>
  </si>
  <si>
    <t>支払準備金：決算精算表＝貸借対照表</t>
  </si>
  <si>
    <t>短期_財務諸表P27!G13</t>
  </si>
  <si>
    <t>決算報告書と財務諸表</t>
  </si>
  <si>
    <t>収入合計＝経常収益＋前年度繰越支払準備金＋特別利益</t>
  </si>
  <si>
    <t>'報告_短期P7-10'!CB30</t>
  </si>
  <si>
    <t>短期_財務諸表P27!H37+短期_財務諸表P27!H56+短期_財務諸表P27!H58</t>
  </si>
  <si>
    <t>支出総計＝経常費用＋業務経理へ繰入＋次年度繰越支払準備金＋特別損失</t>
  </si>
  <si>
    <t>'報告_短期P7-10'!CB110</t>
  </si>
  <si>
    <t>短期_財務諸表P27!D37+短期_財務諸表P27!D56+短期_財務諸表P27!D58+短期_財務諸表P27!D60</t>
  </si>
  <si>
    <t>収支差＝当期利益金－当期損失金</t>
  </si>
  <si>
    <t>'報告_短期P7-10'!CB111</t>
  </si>
  <si>
    <t>短期_財務諸表P27!D62-短期_財務諸表P27!H60</t>
  </si>
  <si>
    <t>保健給付：決算報告書＝損益計算書</t>
  </si>
  <si>
    <t>'報告_短期P7-10'!CB66</t>
  </si>
  <si>
    <t>短期_財務諸表P27!B39</t>
  </si>
  <si>
    <t>休業給付：決算報告書＝損益計算書</t>
  </si>
  <si>
    <t>'報告_短期P7-10'!CB74</t>
  </si>
  <si>
    <t>短期_財務諸表P27!B40</t>
  </si>
  <si>
    <t>附加給付：決算報告書＝損益計算書</t>
  </si>
  <si>
    <t>'報告_短期P7-10'!CB89</t>
  </si>
  <si>
    <t>短期_財務諸表P27!B42</t>
  </si>
  <si>
    <t>前期高齢者納付金：決算報告書＝損益計算書</t>
  </si>
  <si>
    <t>'報告_短期P7-10'!CB90</t>
  </si>
  <si>
    <t>短期_財務諸表P27!B43</t>
  </si>
  <si>
    <t>後期高齢者支援金：決算報告書＝損益計算書</t>
  </si>
  <si>
    <t>'報告_短期P7-10'!CB91</t>
  </si>
  <si>
    <t>短期_財務諸表P27!B44</t>
  </si>
  <si>
    <t>介護納付金：決算報告書＝損益計算書</t>
  </si>
  <si>
    <t>'報告_短期P7-10'!CB95</t>
  </si>
  <si>
    <t>短期_財務諸表P27!B48</t>
  </si>
  <si>
    <t>連合会払込金：決算報告書＝損益計算書</t>
  </si>
  <si>
    <t>'報告_短期P7-10'!CB102</t>
  </si>
  <si>
    <t>短期_財務諸表P27!B53</t>
  </si>
  <si>
    <t>連合会拠出金：決算報告書＝損益計算書</t>
  </si>
  <si>
    <t>'報告_短期P7-10'!CB105</t>
  </si>
  <si>
    <t>短期_財務諸表P27!B54</t>
  </si>
  <si>
    <t>短期掛金：決算報告書＝損益計算書</t>
  </si>
  <si>
    <t>'報告_短期P7-10'!CB8</t>
  </si>
  <si>
    <t>短期_財務諸表P27!F41</t>
  </si>
  <si>
    <t>短期負担金＋公的負担金：決算報告書＝損益計算書</t>
  </si>
  <si>
    <t>'報告_短期P7-10'!CB5+'報告_短期P7-10'!CB6</t>
  </si>
  <si>
    <t>短期_財務諸表P27!F39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</si>
  <si>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</si>
  <si>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</si>
  <si>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</si>
  <si>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</si>
  <si>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</si>
  <si>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</si>
  <si>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</si>
  <si>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</si>
  <si>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短期_附属明細表P28-29!E99+短期_附属明細表P28-29!I99-短期_附属明細表P28-29!M99</t>
  </si>
  <si>
    <t>短期積立金：前期繰越＋当期増加－当期減少＝貸借対照表計上額</t>
  </si>
  <si>
    <t>短期_附属明細表P28-29!E100+短期_附属明細表P28-29!I100-短期_附属明細表P28-29!M100</t>
  </si>
  <si>
    <t>介護積立金：前期繰越＋当期増加－当期減少＝貸借対照表計上額</t>
  </si>
  <si>
    <t>短期_附属明細表P28-29!E101+短期_附属明細表P28-29!I101-短期_附属明細表P28-29!M101</t>
  </si>
  <si>
    <t>支払準備金：前年度繰越（精算表）＝損益計算書の前年度繰越支払準備金</t>
  </si>
  <si>
    <t>短期_決算精算表P30!B19</t>
  </si>
  <si>
    <t>短期_財務諸表P27!G57</t>
  </si>
  <si>
    <t>【厚生年金保険経理】</t>
  </si>
  <si>
    <t>厚生_貸借・損益P31!F12</t>
  </si>
  <si>
    <t>厚生_貸借・損益P31!M12</t>
  </si>
  <si>
    <t>厚生_貸借・損益P31!F26</t>
  </si>
  <si>
    <t>厚生_貸借・損益P31!M26</t>
  </si>
  <si>
    <t>厚生_決算精算表P33!A22</t>
  </si>
  <si>
    <t>厚生_決算精算表P33!G22</t>
  </si>
  <si>
    <t>厚生_決算精算表P33!C22</t>
  </si>
  <si>
    <t>厚生_決算精算表P33!E22</t>
  </si>
  <si>
    <t>修正：借方合計＝貸方合計</t>
  </si>
  <si>
    <t>厚生_決算精算表P33!B22</t>
  </si>
  <si>
    <t>厚生_決算精算表P33!F22</t>
  </si>
  <si>
    <t>厚生_預金・立替・未収P32!E11</t>
  </si>
  <si>
    <t>厚生_貸借・損益P31!E8</t>
  </si>
  <si>
    <t>厚生_預金・立替・未収P32!C19</t>
  </si>
  <si>
    <t>厚生_貸借・損益P31!E9</t>
  </si>
  <si>
    <t>厚生_預金・立替・未収P32!C30</t>
  </si>
  <si>
    <t>厚生_貸借・損益P31!L8</t>
  </si>
  <si>
    <t>厚生_預金・立替・未収P32!C38</t>
  </si>
  <si>
    <t>厚生_貸借・損益P31!L9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</si>
  <si>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</si>
  <si>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</si>
  <si>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</si>
  <si>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</si>
  <si>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</si>
  <si>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</si>
  <si>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厚生_貸借・損益P31!D23</t>
  </si>
  <si>
    <t>組合員保険料払込金：決算報告書＝損益計算書</t>
  </si>
  <si>
    <t>報告_厚生年金P14!W56</t>
  </si>
  <si>
    <t>厚生_貸借・損益P31!D24</t>
  </si>
  <si>
    <t>負担金の内訳（４区分）の合計＝負担金</t>
  </si>
  <si>
    <t>報告_厚生年金P14!W33+報告_厚生年金P14!W34+報告_厚生年金P14!W35+報告_厚生年金P14!W36</t>
  </si>
  <si>
    <t>厚生_貸借・損益P31!K23</t>
  </si>
  <si>
    <t>【退職等年金経理】</t>
  </si>
  <si>
    <t>退職等_貸借・損益P35!F12</t>
  </si>
  <si>
    <t>退職等_貸借・損益P35!M12</t>
  </si>
  <si>
    <t>退職等_貸借・損益P35!F26</t>
  </si>
  <si>
    <t>退職等_貸借・損益P35!M26</t>
  </si>
  <si>
    <t>退職等_決算精算表P37!A22</t>
  </si>
  <si>
    <t>退職等_決算精算表P37!G22</t>
  </si>
  <si>
    <t>退職等_決算精算表P37!C22</t>
  </si>
  <si>
    <t>退職等_決算精算表P37!E22</t>
  </si>
  <si>
    <t>退職等_決算精算表P37!B22</t>
  </si>
  <si>
    <t>退職等_決算精算表P37!F22</t>
  </si>
  <si>
    <t>退職等_預金・立替・未収P36!E8</t>
  </si>
  <si>
    <t>退職等_貸借・損益P35!E8</t>
  </si>
  <si>
    <t>退職等_預金・立替・未収P36!C16</t>
  </si>
  <si>
    <t>退職等_貸借・損益P35!E9</t>
  </si>
  <si>
    <t>退職等_預金・立替・未収P36!C26</t>
  </si>
  <si>
    <t>退職等_貸借・損益P35!L8</t>
  </si>
  <si>
    <t>預り金：明細表＝貸借対照表（過払金等返還金0円確認・数式連動済）</t>
  </si>
  <si>
    <t>退職等_預金・立替・未収P36!C34</t>
  </si>
  <si>
    <t>退職等_貸借・損益P35!L9</t>
  </si>
  <si>
    <t>報告_退職等年金P15!W26</t>
  </si>
  <si>
    <t>報告_退職等年金P15!W43</t>
  </si>
  <si>
    <t>報告_退職等年金P15!W40</t>
  </si>
  <si>
    <t>退職等_貸借・損益P35!D23</t>
  </si>
  <si>
    <t>掛金払込金：決算報告書＝損益計算書</t>
  </si>
  <si>
    <t>報告_退職等年金P15!W41</t>
  </si>
  <si>
    <t>退職等_貸借・損益P35!D24</t>
  </si>
  <si>
    <t>【経過的長期経理】</t>
  </si>
  <si>
    <t>経過的_貸借・損益P39!F12</t>
  </si>
  <si>
    <t>経過的_貸借・損益P39!M12</t>
  </si>
  <si>
    <t>経過的_貸借・損益P39!F25</t>
  </si>
  <si>
    <t>経過的_貸借・損益P39!M25</t>
  </si>
  <si>
    <t>経過的_決算精算表P41!A19</t>
  </si>
  <si>
    <t>経過的_決算精算表P41!G19</t>
  </si>
  <si>
    <t>経過的_決算精算表P41!C19</t>
  </si>
  <si>
    <t>経過的_決算精算表P41!E19</t>
  </si>
  <si>
    <t>経過的_決算精算表P41!B19</t>
  </si>
  <si>
    <t>経過的_決算精算表P41!F19</t>
  </si>
  <si>
    <t>経過的_預金・立替・未収P40!E8</t>
  </si>
  <si>
    <t>経過的_貸借・損益P39!E8</t>
  </si>
  <si>
    <t>経過的_預金・立替・未収P40!C16</t>
  </si>
  <si>
    <t>経過的_貸借・損益P39!E9</t>
  </si>
  <si>
    <t>経過的_預金・立替・未収P40!C23</t>
  </si>
  <si>
    <t>経過的_貸借・損益P39!L8</t>
  </si>
  <si>
    <t>報告_経過的長期P16!W31</t>
  </si>
  <si>
    <t>報告_経過的長期P16!W45</t>
  </si>
  <si>
    <t>【退職等年金預託金管理経理】</t>
  </si>
  <si>
    <t>預託金_貸借・損益P43!F15</t>
  </si>
  <si>
    <t>預託金_貸借・損益P43!M15</t>
  </si>
  <si>
    <t>預託金_貸借・損益P43!F30</t>
  </si>
  <si>
    <t>預託金_貸借・損益P43!M30</t>
  </si>
  <si>
    <t>預託金_決算精算表P45!A20</t>
  </si>
  <si>
    <t>預託金_決算精算表P45!G20</t>
  </si>
  <si>
    <t>預託金_決算精算表P45!C20</t>
  </si>
  <si>
    <t>預託金_決算精算表P45!E20</t>
  </si>
  <si>
    <t>預託金_決算精算表P45!B20</t>
  </si>
  <si>
    <t>預託金_決算精算表P45!F20</t>
  </si>
  <si>
    <t>預託金_預金・未収・貸付・預託金P44!F8</t>
  </si>
  <si>
    <t>預託金_貸借・損益P43!E8</t>
  </si>
  <si>
    <t>未収収益：明細表＝貸借対照表</t>
  </si>
  <si>
    <t>預託金_預金・未収・貸付・預託金P44!C15</t>
  </si>
  <si>
    <t>預託金_貸借・損益P43!E9</t>
  </si>
  <si>
    <t>長期貸付金：貸付金明細表＝貸借対照表</t>
  </si>
  <si>
    <t>預託金_預金・未収・貸付・預託金P44!M22</t>
  </si>
  <si>
    <t>預託金_貸借・損益P43!E13</t>
  </si>
  <si>
    <t>連合会預託金：明細表＝貸借対照表</t>
  </si>
  <si>
    <t>預託金_預金・未収・貸付・預託金P44!M29</t>
  </si>
  <si>
    <t>預託金_貸借・損益P43!L8</t>
  </si>
  <si>
    <t>報告_預託金P17!G10</t>
  </si>
  <si>
    <t>報告_預託金P17!G19</t>
  </si>
  <si>
    <t>資産の構成割合：決算額合計＝貸借対照表の資産合計</t>
  </si>
  <si>
    <t>報告_預託金のカメラ!F12</t>
  </si>
  <si>
    <t>貸付金：前期繰越＋増加－減少＝期末残高</t>
  </si>
  <si>
    <t>預託金_預金・未収・貸付・預託金P44!C21+預託金_預金・未収・貸付・預託金P44!F21-預託金_預金・未収・貸付・預託金P44!I21</t>
  </si>
  <si>
    <t>預託金_預金・未収・貸付・預託金P44!M21</t>
  </si>
  <si>
    <t>貸付金（期末）＝貸付経理の借入金（期末）</t>
  </si>
  <si>
    <t>連合会預託金：前期繰越＋増加－減少＝期末残高</t>
  </si>
  <si>
    <t>預託金_預金・未収・貸付・預託金P44!C28+預託金_預金・未収・貸付・預託金P44!F28-預託金_預金・未収・貸付・預託金P44!I28</t>
  </si>
  <si>
    <t>預託金_預金・未収・貸付・預託金P44!M28</t>
  </si>
  <si>
    <t>【業務経理】</t>
  </si>
  <si>
    <t>業務_財務諸表P47!D25</t>
  </si>
  <si>
    <t>業務_財務諸表P47!H25</t>
  </si>
  <si>
    <t>業務_財務諸表P47!D59</t>
  </si>
  <si>
    <t>業務_財務諸表P47!H59</t>
  </si>
  <si>
    <t>業務_決算精算表P51!A48</t>
  </si>
  <si>
    <t>業務_決算精算表P51!G48</t>
  </si>
  <si>
    <t>業務_決算精算表P51!C48</t>
  </si>
  <si>
    <t>業務_決算精算表P51!E48</t>
  </si>
  <si>
    <t>業務_決算精算表P51!B48</t>
  </si>
  <si>
    <t>業務_決算精算表P51!F48</t>
  </si>
  <si>
    <t>業務_附属明細表P48-50!M6</t>
  </si>
  <si>
    <t>業務_財務諸表P47!C7</t>
  </si>
  <si>
    <t>立替金：明細表＝貸借対照表</t>
  </si>
  <si>
    <t>業務_附属明細表P48-50!G14</t>
  </si>
  <si>
    <t>業務_財務諸表P47!C8</t>
  </si>
  <si>
    <t>業務_附属明細表P48-50!G32</t>
  </si>
  <si>
    <t>業務_財務諸表P47!C9</t>
  </si>
  <si>
    <t>業務_附属明細表P48-50!G46</t>
  </si>
  <si>
    <t>業務_財務諸表P47!G7</t>
  </si>
  <si>
    <t>未払費用：明細表＝貸借対照表</t>
  </si>
  <si>
    <t>業務_附属明細表P48-50!G54</t>
  </si>
  <si>
    <t>業務_財務諸表P47!G8</t>
  </si>
  <si>
    <t>業務_附属明細表P48-50!G62</t>
  </si>
  <si>
    <t>業務_財務諸表P47!G9</t>
  </si>
  <si>
    <t>受入保証金：明細表＝貸借対照表</t>
  </si>
  <si>
    <t>業務_附属明細表P48-50!G69</t>
  </si>
  <si>
    <t>業務_財務諸表P47!G10</t>
  </si>
  <si>
    <t>器具及び備品：固定資産明細表＝貸借対照表</t>
  </si>
  <si>
    <t>業務_附属明細表P48-50!S77</t>
  </si>
  <si>
    <t>業務_財務諸表P47!B14</t>
  </si>
  <si>
    <t>積立金：積立金明細表＝貸借対照表</t>
  </si>
  <si>
    <t>業務_附属明細表P48-50!Q92</t>
  </si>
  <si>
    <t>業務_財務諸表P47!F16</t>
  </si>
  <si>
    <t>減価償却累計額：累計額明細表＝減価償却費明細表の償却累計額</t>
  </si>
  <si>
    <t>業務_附属明細表P48-50!Q116</t>
  </si>
  <si>
    <t>業務_附属明細表P48-50!K85</t>
  </si>
  <si>
    <t>減価償却費：固定資産明細表＝損益計算書</t>
  </si>
  <si>
    <t>業務_附属明細表P48-50!P77</t>
  </si>
  <si>
    <t>業務_財務諸表P47!B52</t>
  </si>
  <si>
    <t>収入合計：決算報告書＝経常収益＋繰入金＋特別利益</t>
  </si>
  <si>
    <t>報告_業務P18!V32</t>
  </si>
  <si>
    <t>業務_財務諸表P47!H36+業務_財務諸表P47!H46+業務_財務諸表P47!H49</t>
  </si>
  <si>
    <t>支出合計：決算報告書＝経常費用＋特別損失</t>
  </si>
  <si>
    <t>報告_業務P19!V26</t>
  </si>
  <si>
    <t>業務_財務諸表P47!D36+業務_財務諸表P47!D53</t>
  </si>
  <si>
    <t>短期経理より繰入：業務経理の収益＝短期経理の費用</t>
  </si>
  <si>
    <t>業務_財務諸表P47!G47</t>
  </si>
  <si>
    <t>短期_財務諸表P27!C57</t>
  </si>
  <si>
    <t>積立金：前期繰越＋当期増加－当期減少＝貸借対照表計上額</t>
  </si>
  <si>
    <t>業務_附属明細表P48-50!E91+業務_附属明細表P48-50!I91-業務_附属明細表P48-50!M91</t>
  </si>
  <si>
    <t>器具及び備品：期首残高＋増加－減少＝取得原価－前期繰越減価償却累計額</t>
  </si>
  <si>
    <t>業務_附属明細表P48-50!M77</t>
  </si>
  <si>
    <t>業務_附属明細表P48-50!F85-業務_附属明細表P48-50!E115</t>
  </si>
  <si>
    <t>【保健経理】</t>
  </si>
  <si>
    <t>保健_財務諸表P53!D27</t>
  </si>
  <si>
    <t>保健_財務諸表P53!H27</t>
  </si>
  <si>
    <t>保健_財務諸表P53!D62</t>
  </si>
  <si>
    <t>保健_財務諸表P53!H62</t>
  </si>
  <si>
    <t>保健_決算精算表P58!A54</t>
  </si>
  <si>
    <t>保健_決算精算表P58!G54</t>
  </si>
  <si>
    <t>保健_決算精算表P58!C54</t>
  </si>
  <si>
    <t>保健_決算精算表P58!E54</t>
  </si>
  <si>
    <t>保健_決算精算表P58!B54</t>
  </si>
  <si>
    <t>保健_決算精算表P58!F54</t>
  </si>
  <si>
    <t>保健_附属明細表P54-57!M6</t>
  </si>
  <si>
    <t>保健_財務諸表P53!C7</t>
  </si>
  <si>
    <t>保健_附属明細表P54-57!M13</t>
  </si>
  <si>
    <t>保健_財務諸表P53!C8</t>
  </si>
  <si>
    <t>保健_附属明細表P54-57!M20</t>
  </si>
  <si>
    <t>保健_財務諸表P53!C9</t>
  </si>
  <si>
    <t>保健_附属明細表P54-57!G43</t>
  </si>
  <si>
    <t>保健_財務諸表P53!C12</t>
  </si>
  <si>
    <t>保健_附属明細表P54-57!G61</t>
  </si>
  <si>
    <t>保健_財務諸表P53!G7</t>
  </si>
  <si>
    <t>保健_附属明細表P54-57!G70</t>
  </si>
  <si>
    <t>保健_財務諸表P53!G8</t>
  </si>
  <si>
    <t>保健_附属明細表P54-57!G79</t>
  </si>
  <si>
    <t>保健_財務諸表P53!G9</t>
  </si>
  <si>
    <t>積立金等：積立金明細表の合計＝貸借対照表の剰余金</t>
  </si>
  <si>
    <t>保健_附属明細表P54-57!Q148</t>
  </si>
  <si>
    <t>保健_財務諸表P53!H14</t>
  </si>
  <si>
    <t>収入合計：決算報告書＝経常収益＋特別利益</t>
  </si>
  <si>
    <t>'報告_保健P20-22'!V33</t>
  </si>
  <si>
    <t>保健_財務諸表P53!H37+保健_財務諸表P53!H46</t>
  </si>
  <si>
    <t>'報告_保健P20-22'!V65</t>
  </si>
  <si>
    <t>保健_財務諸表P53!D37+保健_財務諸表P53!D55</t>
  </si>
  <si>
    <t>事業の概要：決算額の合計＝支出の決算額合計</t>
  </si>
  <si>
    <t>'報告_保健P20-22'!X98</t>
  </si>
  <si>
    <t>事業の概要：事業計画額の合計＝支出の事業計画額合計</t>
  </si>
  <si>
    <t>'報告_保健P20-22'!P98</t>
  </si>
  <si>
    <t>'報告_保健P20-22'!M65</t>
  </si>
  <si>
    <t>保健_附属明細表P54-57!E147+保健_附属明細表P54-57!I147-保健_附属明細表P54-57!M147</t>
  </si>
  <si>
    <t>減価償却費：減価償却費明細表の当期償却額＝損益計算書</t>
  </si>
  <si>
    <t>保健_附属明細表P54-57!I116</t>
  </si>
  <si>
    <t>N(保健_財務諸表P53!B54)</t>
  </si>
  <si>
    <t>有形固定資産：固定資産明細表の差引期末残高＝貸借対照表</t>
  </si>
  <si>
    <t>保健_附属明細表P54-57!S95</t>
  </si>
  <si>
    <t>保健_財務諸表P53!C15</t>
  </si>
  <si>
    <t>【貸付経理】</t>
  </si>
  <si>
    <t>貸付_財務諸表P59!D25</t>
  </si>
  <si>
    <t>貸付_財務諸表P59!H25</t>
  </si>
  <si>
    <t>貸付_財務諸表P59!D58</t>
  </si>
  <si>
    <t>貸付_財務諸表P59!H58</t>
  </si>
  <si>
    <t>差引残高：借方合計＝貸方合計（前受収益は精算表に行がないため貸方に加算）</t>
  </si>
  <si>
    <t>貸付_決算精算表P63!A39</t>
  </si>
  <si>
    <t>貸付_決算精算表P63!G39+貸付_附属明細表P60-62!G70</t>
  </si>
  <si>
    <t>貸付_決算精算表P63!C39</t>
  </si>
  <si>
    <t>貸付_決算精算表P63!E39</t>
  </si>
  <si>
    <t>修正増減：借方合計＝貸方合計（前受収益分を貸方に加算）</t>
  </si>
  <si>
    <t>貸付_決算精算表P63!B39</t>
  </si>
  <si>
    <t>貸付_決算精算表P63!F39+貸付_附属明細表P60-62!G70</t>
  </si>
  <si>
    <t>貸付_附属明細表P60-62!M6</t>
  </si>
  <si>
    <t>貸付_財務諸表P59!C7</t>
  </si>
  <si>
    <t>貸付_附属明細表P60-62!G29</t>
  </si>
  <si>
    <t>貸付_財務諸表P59!C8</t>
  </si>
  <si>
    <t>貸付_附属明細表P60-62!G37</t>
  </si>
  <si>
    <t>貸付_財務諸表P59!C9</t>
  </si>
  <si>
    <t>貸付_附属明細表P60-62!G47</t>
  </si>
  <si>
    <t>貸付_財務諸表P59!G7</t>
  </si>
  <si>
    <t>貸付_附属明細表P60-62!G55</t>
  </si>
  <si>
    <t>貸付_財務諸表P59!G8</t>
  </si>
  <si>
    <t>貸付_附属明細表P60-62!G62</t>
  </si>
  <si>
    <t>貸付_財務諸表P59!G9</t>
  </si>
  <si>
    <t>貸付_附属明細表P60-62!G70</t>
  </si>
  <si>
    <t>貸付_財務諸表P59!G10</t>
  </si>
  <si>
    <t>長期借入金：借入金明細表＝貸借対照表</t>
  </si>
  <si>
    <t>貸付_財務諸表P59!G13</t>
  </si>
  <si>
    <t>貸付_附属明細表P60-62!S77</t>
  </si>
  <si>
    <t>貸付_財務諸表P59!B14</t>
  </si>
  <si>
    <t>組合員貸付金：明細表の期末残高±未収・前受＝貸借対照表</t>
  </si>
  <si>
    <t>貸付_附属明細表P60-62!R13-貸付_附属明細表P60-62!G28-貸付_附属明細表P60-62!G35+貸付_附属明細表P60-62!G68</t>
  </si>
  <si>
    <t>貸付_財務諸表P59!B19</t>
  </si>
  <si>
    <t>利益剰余金：積立金明細表＝貸借対照表</t>
  </si>
  <si>
    <t>貸付_附属明細表P60-62!Q91</t>
  </si>
  <si>
    <t>貸付_財務諸表P59!H18</t>
  </si>
  <si>
    <t>欠損金補てん積立金：積立金明細表の計上額＝貸借対照表の欠損金補てん積立金＋下段の積立金</t>
  </si>
  <si>
    <t>貸付_財務諸表P59!F20+F22</t>
  </si>
  <si>
    <t>収入合計：決算報告書＝経常収益</t>
  </si>
  <si>
    <t>'報告_貸付P23-25'!Y9</t>
  </si>
  <si>
    <t>貸付_財務諸表P59!H35</t>
  </si>
  <si>
    <t>'報告_貸付P23-25'!Y32</t>
  </si>
  <si>
    <t>貸付_財務諸表P59!D35+貸付_財務諸表P59!D49</t>
  </si>
  <si>
    <t>貸付金総額（本年度末）：決算報告書＝貸借対照表</t>
  </si>
  <si>
    <t>'報告_貸付P23-25'!AL40</t>
  </si>
  <si>
    <t>組合員貸付金の種類別内訳（本年度末）の合計＝貸付金明細表の期末残高</t>
  </si>
  <si>
    <t>'報告_貸付P23-25'!AG92</t>
  </si>
  <si>
    <t>貸付_附属明細表P60-62!R13</t>
  </si>
  <si>
    <t>組合員貸付金の種類別内訳（前年度末）の合計＝貸付金明細表の前期繰越高</t>
  </si>
  <si>
    <t>'報告_貸付P23-25'!Q92</t>
  </si>
  <si>
    <t>貸付_附属明細表P60-62!F13</t>
  </si>
  <si>
    <t>組合員貸付金：前期繰越＋当期増加－当期減少＝期末残高</t>
  </si>
  <si>
    <t>貸付_附属明細表P60-62!F13+貸付_附属明細表P60-62!J13-貸付_附属明細表P60-62!N13</t>
  </si>
  <si>
    <t>借入金：前期繰越＋当期増加－当期減少＝期末残高</t>
  </si>
  <si>
    <t>貸付_附属明細表P60-62!F20+貸付_附属明細表P60-62!J20-貸付_附属明細表P60-62!N20</t>
  </si>
  <si>
    <t>欠損金補てん積立金：前期繰越＋当期増加－当期減少＝計上額</t>
  </si>
  <si>
    <t>貸付_附属明細表P60-62!E91+貸付_附属明細表P60-62!I91-貸付_附属明細表P60-62!M91</t>
  </si>
  <si>
    <t>器具及び備品：期末残高（償却前）＝取得原価－前期繰越減価償却累計額</t>
  </si>
  <si>
    <t>貸付_附属明細表P60-62!M77</t>
  </si>
  <si>
    <t>貸付_附属明細表P60-62!F84-貸付_附属明細表P60-62!E105</t>
  </si>
  <si>
    <t>貸付_附属明細表P60-62!H84</t>
  </si>
  <si>
    <t>N(貸付_財務諸表P59!B47)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</si>
  <si>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</si>
  <si>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</si>
  <si>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</si>
  <si>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</si>
  <si>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</si>
  <si>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</si>
  <si>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</si>
  <si>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</si>
  <si>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</si>
  <si>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</si>
  <si>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</si>
  <si>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</si>
  <si>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</si>
  <si>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</si>
  <si>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</si>
  <si>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</si>
  <si>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業務_附属明細表P48-50!J126+O126</t>
  </si>
  <si>
    <t>業務_決算精算表P51!A21+A22+A24+A25</t>
  </si>
  <si>
    <t>支出実績表：支出済額＋支出未済額＝決算精算表（職員給与・旅費・事務費）</t>
  </si>
  <si>
    <t>保健_附属明細表P54-57!J139+O139</t>
  </si>
  <si>
    <t>保健_決算精算表P58!A27+旅費+A30</t>
  </si>
  <si>
    <t>貸付_附属明細表P60-62!J115+O115</t>
  </si>
  <si>
    <t>貸付_決算精算表P63!A21+A23+A24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</si>
  <si>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</si>
  <si>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</si>
  <si>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</si>
  <si>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</si>
  <si>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</si>
  <si>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</si>
  <si>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</si>
  <si>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</si>
  <si>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</si>
  <si>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</si>
  <si>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</si>
  <si>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</si>
  <si>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</si>
  <si>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</si>
  <si>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</si>
  <si>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</si>
  <si>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</si>
  <si>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</si>
  <si>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</si>
  <si>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</si>
  <si>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</si>
  <si>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</si>
  <si>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</si>
  <si>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</si>
  <si>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</si>
  <si>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</si>
  <si>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</si>
  <si>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</si>
  <si>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</si>
  <si>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</si>
  <si>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</si>
  <si>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</si>
  <si>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</si>
  <si>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</si>
  <si>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</si>
  <si>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</si>
  <si>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</si>
  <si>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</si>
  <si>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厚生_貸借・損益P31</t>
  </si>
  <si>
    <t>A1:M26</t>
  </si>
  <si>
    <t>A1:I38</t>
  </si>
  <si>
    <t>A1:G26</t>
  </si>
  <si>
    <t>厚生_白紙P34</t>
  </si>
  <si>
    <t>A1:I34</t>
  </si>
  <si>
    <t>退職等_白紙P38</t>
  </si>
  <si>
    <t>経過的_貸借・損益P39</t>
  </si>
  <si>
    <t>A1:M25</t>
  </si>
  <si>
    <t>A1:I23</t>
  </si>
  <si>
    <t>A1:G23</t>
  </si>
  <si>
    <t>経過的_白紙P42</t>
  </si>
  <si>
    <t>預託金_貸借・損益P43</t>
  </si>
  <si>
    <t>A1:M30</t>
  </si>
  <si>
    <t>A1:O29</t>
  </si>
  <si>
    <t>A1:G24</t>
  </si>
  <si>
    <t>預託金_白紙P46</t>
  </si>
  <si>
    <t>業務_財務諸表P47</t>
  </si>
  <si>
    <t>A1:H59</t>
  </si>
  <si>
    <t>A1:Y150</t>
  </si>
  <si>
    <t>A1:G54</t>
  </si>
  <si>
    <t>業務_白紙P52</t>
  </si>
  <si>
    <t>保健_財務諸表P53</t>
  </si>
  <si>
    <t>A1:K62</t>
  </si>
  <si>
    <t>A1:AA167</t>
  </si>
  <si>
    <t>A1:G59</t>
  </si>
  <si>
    <t>A1:D86</t>
  </si>
  <si>
    <t>A1:H58</t>
  </si>
  <si>
    <t>貸付_附属明細表P60-62</t>
  </si>
  <si>
    <t>A1:V125</t>
  </si>
  <si>
    <t>A1:G45</t>
  </si>
  <si>
    <t>貸付_白紙P64</t>
  </si>
  <si>
    <t>貸付経理 入力シート ― 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</si>
  <si>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</si>
  <si>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</si>
  <si>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</si>
  <si>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</si>
  <si>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</si>
  <si>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</si>
  <si>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</si>
  <si>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</si>
  <si>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</si>
  <si>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</si>
  <si>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貸借対照表の欠損金補てん積立金（元の決算書の額。貸借対照表F20に直接入力）</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</si>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</sst>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0">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179">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2" borderId="174" xfId="0" applyNumberFormat="1" applyFont="1" applyFill="1" applyBorder="1" applyAlignment="1">
      <alignment horizontal="right" vertical="center"/>
    </xf>
    <xf numFmtId="225" fontId="167" fillId="2" borderId="174" xfId="0" applyNumberFormat="1" applyFont="1" applyFill="1" applyBorder="1" applyAlignment="1">
      <alignment horizontal="right" vertical="center"/>
    </xf>
    <xf numFmtId="226" fontId="167" fillId="2" borderId="174" xfId="0" applyNumberFormat="1" applyFont="1" applyFill="1" applyBorder="1" applyAlignment="1">
      <alignment horizontal="right" vertical="center"/>
    </xf>
    <xf numFmtId="227" fontId="167" fillId="2"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2"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2"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xf numFmtId="180" fontId="49" fillId="0" borderId="7" xfId="0" applyNumberFormat="1" applyFont="1" applyFill="1" applyBorder="1" applyAlignment="1" applyProtection="1">
      <alignment horizontal="right" vertical="center"/>
      <protection locked="0"/>
    </xf>
    <xf numFmtId="180" fontId="49" fillId="0" borderId="7" xfId="0" applyNumberFormat="1" applyFont="1" applyFill="1" applyBorder="1" applyAlignment="1">
      <alignment horizontal="right" vertical="center"/>
    </xf>
    <xf numFmtId="181" fontId="49" fillId="0" borderId="7" xfId="0" applyNumberFormat="1" applyFont="1" applyFill="1" applyBorder="1" applyAlignment="1" applyProtection="1">
      <alignment horizontal="right" vertical="center"/>
      <protection locked="0"/>
    </xf>
    <xf numFmtId="181" fontId="49" fillId="0" borderId="7" xfId="0" applyNumberFormat="1" applyFont="1" applyFill="1" applyBorder="1" applyAlignment="1">
      <alignment horizontal="right" vertical="center"/>
    </xf>
    <xf numFmtId="0" fontId="51" fillId="0" borderId="2" xfId="0" applyFont="1" applyFill="1" applyBorder="1" applyAlignment="1">
      <alignment horizontal="center" vertical="center"/>
    </xf>
    <xf numFmtId="182" fontId="49" fillId="0" borderId="7" xfId="0" applyNumberFormat="1" applyFont="1" applyFill="1" applyBorder="1" applyAlignment="1">
      <alignment horizontal="right" vertical="center"/>
    </xf>
    <xf numFmtId="182" fontId="49" fillId="0" borderId="7" xfId="0" applyNumberFormat="1" applyFont="1" applyFill="1" applyBorder="1" applyAlignment="1" applyProtection="1">
      <alignment horizontal="right" vertical="center"/>
      <protection locked="0"/>
    </xf>
    <xf numFmtId="176" fontId="49" fillId="0" borderId="2" xfId="1" applyFont="1" applyFill="1" applyBorder="1" applyAlignment="1" applyProtection="1">
      <alignment vertical="center"/>
      <protection locked="0"/>
    </xf>
    <xf numFmtId="176" fontId="49" fillId="0" borderId="2" xfId="1" applyFont="1" applyFill="1" applyBorder="1" applyAlignment="1" applyProtection="1">
      <alignment vertical="center"/>
    </xf>
    <xf numFmtId="0" fontId="36" fillId="0" borderId="12" xfId="0" applyFont="1" applyFill="1" applyBorder="1" applyAlignment="1">
      <alignment horizontal="distributed" vertical="center"/>
    </xf>
    <xf numFmtId="176" fontId="45" fillId="0" borderId="2" xfId="1" applyFont="1" applyFill="1" applyBorder="1" applyAlignment="1" applyProtection="1">
      <alignment vertical="center"/>
      <protection locked="0"/>
    </xf>
    <xf numFmtId="176" fontId="45" fillId="0" borderId="2" xfId="1" applyFont="1" applyFill="1" applyBorder="1" applyAlignment="1" applyProtection="1">
      <alignment vertical="center"/>
    </xf>
    <xf numFmtId="183" fontId="49" fillId="0" borderId="2" xfId="1" applyNumberFormat="1" applyFont="1" applyFill="1" applyBorder="1" applyAlignment="1" applyProtection="1">
      <alignment vertical="center"/>
    </xf>
    <xf numFmtId="183" fontId="49" fillId="0" borderId="2" xfId="0" applyNumberFormat="1" applyFont="1" applyFill="1" applyBorder="1" applyAlignment="1">
      <alignment vertical="center"/>
    </xf>
    <xf numFmtId="176" fontId="68" fillId="0" borderId="22" xfId="0" applyNumberFormat="1" applyFont="1" applyFill="1" applyBorder="1"/>
    <xf numFmtId="176" fontId="69" fillId="0" borderId="22" xfId="0" applyNumberFormat="1" applyFont="1" applyFill="1" applyBorder="1"/>
    <xf numFmtId="0" fontId="40" fillId="0" borderId="0" xfId="0" applyFont="1" applyFill="1" applyAlignment="1">
      <alignment vertical="center"/>
    </xf>
    <xf numFmtId="0" fontId="32" fillId="0" borderId="0" xfId="0" applyFont="1" applyFill="1" applyAlignment="1">
      <alignment vertical="center"/>
    </xf>
    <xf numFmtId="196" fontId="49" fillId="0" borderId="12" xfId="0" applyNumberFormat="1" applyFont="1" applyFill="1" applyBorder="1" applyAlignment="1" applyProtection="1">
      <alignment horizontal="right" vertical="center"/>
      <protection locked="0"/>
    </xf>
    <xf numFmtId="196" fontId="49" fillId="0" borderId="12" xfId="0" applyNumberFormat="1" applyFont="1" applyFill="1" applyBorder="1" applyAlignment="1">
      <alignment horizontal="right" vertical="center"/>
    </xf>
    <xf numFmtId="196" fontId="49" fillId="0" borderId="9" xfId="0" applyNumberFormat="1" applyFont="1" applyFill="1" applyBorder="1" applyAlignment="1" applyProtection="1">
      <alignment horizontal="right" vertical="center"/>
      <protection locked="0"/>
    </xf>
    <xf numFmtId="196" fontId="49" fillId="0" borderId="9" xfId="0" applyNumberFormat="1" applyFont="1" applyFill="1" applyBorder="1" applyAlignment="1">
      <alignment horizontal="right" vertical="center"/>
    </xf>
    <xf numFmtId="178" fontId="49" fillId="0" borderId="11" xfId="1" applyNumberFormat="1" applyFont="1" applyFill="1" applyBorder="1" applyAlignment="1" applyProtection="1">
      <alignment horizontal="right" vertical="center"/>
      <protection locked="0"/>
    </xf>
    <xf numFmtId="178" fontId="49" fillId="0" borderId="11" xfId="1" applyNumberFormat="1" applyFont="1" applyFill="1" applyBorder="1" applyAlignment="1" applyProtection="1">
      <alignment horizontal="right" vertical="center"/>
    </xf>
    <xf numFmtId="178" fontId="49" fillId="0" borderId="10" xfId="1" applyNumberFormat="1" applyFont="1" applyFill="1" applyBorder="1" applyAlignment="1" applyProtection="1">
      <alignment horizontal="right" vertical="center"/>
      <protection locked="0"/>
    </xf>
    <xf numFmtId="178" fontId="49" fillId="0" borderId="10" xfId="1" applyNumberFormat="1" applyFont="1" applyFill="1" applyBorder="1" applyAlignment="1" applyProtection="1">
      <alignment horizontal="right" vertical="center"/>
    </xf>
    <xf numFmtId="178" fontId="49" fillId="0" borderId="28" xfId="1" applyNumberFormat="1" applyFont="1" applyFill="1" applyBorder="1" applyAlignment="1" applyProtection="1">
      <alignment horizontal="right" vertical="center"/>
      <protection locked="0"/>
    </xf>
    <xf numFmtId="178" fontId="49" fillId="0" borderId="28" xfId="1" applyNumberFormat="1" applyFont="1" applyFill="1" applyBorder="1" applyAlignment="1" applyProtection="1">
      <alignment horizontal="right" vertical="center"/>
    </xf>
    <xf numFmtId="178" fontId="49" fillId="0" borderId="14" xfId="1" applyNumberFormat="1" applyFont="1" applyFill="1" applyBorder="1" applyAlignment="1" applyProtection="1">
      <alignment horizontal="right" vertical="center"/>
      <protection locked="0"/>
    </xf>
    <xf numFmtId="178" fontId="49" fillId="0" borderId="14" xfId="1" applyNumberFormat="1" applyFont="1" applyFill="1" applyBorder="1" applyAlignment="1" applyProtection="1">
      <alignment horizontal="right" vertical="center"/>
    </xf>
    <xf numFmtId="178" fontId="49" fillId="0" borderId="31" xfId="1" applyNumberFormat="1" applyFont="1" applyFill="1" applyBorder="1" applyAlignment="1" applyProtection="1">
      <alignment horizontal="right" vertical="center"/>
      <protection locked="0"/>
    </xf>
    <xf numFmtId="178" fontId="49" fillId="0" borderId="31" xfId="1" applyNumberFormat="1" applyFont="1" applyFill="1" applyBorder="1" applyAlignment="1" applyProtection="1">
      <alignment horizontal="right" vertical="center"/>
    </xf>
    <xf numFmtId="178" fontId="49" fillId="0" borderId="7" xfId="1" applyNumberFormat="1" applyFont="1" applyFill="1" applyBorder="1" applyAlignment="1" applyProtection="1">
      <alignment horizontal="right" vertical="center"/>
      <protection locked="0"/>
    </xf>
    <xf numFmtId="178" fontId="49" fillId="0" borderId="7" xfId="1" applyNumberFormat="1" applyFont="1" applyFill="1" applyBorder="1" applyAlignment="1" applyProtection="1">
      <alignment horizontal="right" vertical="center"/>
    </xf>
    <xf numFmtId="178" fontId="49" fillId="0" borderId="12" xfId="1" applyNumberFormat="1" applyFont="1" applyFill="1" applyBorder="1" applyAlignment="1" applyProtection="1">
      <alignment horizontal="right" vertical="center"/>
      <protection locked="0"/>
    </xf>
    <xf numFmtId="178" fontId="49" fillId="0" borderId="12" xfId="1" applyNumberFormat="1" applyFont="1" applyFill="1" applyBorder="1" applyAlignment="1" applyProtection="1">
      <alignment horizontal="right" vertical="center"/>
    </xf>
    <xf numFmtId="178" fontId="49" fillId="0" borderId="9" xfId="1" applyNumberFormat="1" applyFont="1" applyFill="1" applyBorder="1" applyAlignment="1" applyProtection="1">
      <alignment horizontal="right" vertical="center"/>
    </xf>
    <xf numFmtId="176" fontId="49" fillId="0" borderId="4" xfId="1" applyFont="1" applyFill="1" applyBorder="1" applyAlignment="1" applyProtection="1">
      <alignment horizontal="right" vertical="center"/>
      <protection locked="0"/>
    </xf>
    <xf numFmtId="176" fontId="49" fillId="0" borderId="4" xfId="1" applyFont="1" applyFill="1" applyBorder="1" applyAlignment="1" applyProtection="1">
      <alignment horizontal="right" vertical="center"/>
    </xf>
    <xf numFmtId="176" fontId="49" fillId="0" borderId="11" xfId="1" applyFont="1" applyFill="1" applyBorder="1" applyAlignment="1" applyProtection="1">
      <alignment horizontal="right" vertical="center"/>
    </xf>
    <xf numFmtId="176" fontId="49" fillId="0" borderId="11"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xf>
    <xf numFmtId="176" fontId="49" fillId="0" borderId="14" xfId="1" applyFont="1" applyFill="1" applyBorder="1" applyAlignment="1" applyProtection="1">
      <alignment horizontal="right" vertical="center"/>
      <protection locked="0"/>
    </xf>
    <xf numFmtId="176" fontId="49" fillId="0" borderId="14" xfId="1" applyFont="1" applyFill="1" applyBorder="1" applyAlignment="1" applyProtection="1">
      <alignment horizontal="right" vertical="center"/>
    </xf>
    <xf numFmtId="176" fontId="49" fillId="0" borderId="12" xfId="1" applyFont="1" applyFill="1" applyBorder="1" applyAlignment="1" applyProtection="1">
      <alignment horizontal="right" vertical="center"/>
      <protection locked="0"/>
    </xf>
    <xf numFmtId="176" fontId="49" fillId="0" borderId="12" xfId="1" applyFont="1" applyFill="1" applyBorder="1" applyAlignment="1" applyProtection="1">
      <alignment horizontal="right" vertical="center"/>
    </xf>
    <xf numFmtId="176" fontId="49" fillId="0" borderId="7" xfId="1" applyFont="1" applyFill="1" applyBorder="1" applyAlignment="1" applyProtection="1">
      <alignment vertical="center"/>
      <protection locked="0"/>
    </xf>
    <xf numFmtId="176" fontId="49" fillId="0" borderId="7" xfId="1" applyFont="1" applyFill="1" applyBorder="1" applyAlignment="1" applyProtection="1">
      <alignment vertical="center"/>
    </xf>
    <xf numFmtId="176" fontId="49" fillId="0" borderId="2" xfId="1" applyFont="1" applyFill="1" applyBorder="1" applyAlignment="1" applyProtection="1">
      <alignment horizontal="right" vertical="center"/>
      <protection locked="0"/>
    </xf>
    <xf numFmtId="176" fontId="49" fillId="0" borderId="2" xfId="1" applyFont="1" applyFill="1" applyBorder="1" applyAlignment="1" applyProtection="1">
      <alignment horizontal="right" vertical="center"/>
    </xf>
    <xf numFmtId="0" fontId="51" fillId="0" borderId="0" xfId="0" applyFont="1" applyFill="1" applyAlignment="1"/>
    <xf numFmtId="0" fontId="59" fillId="0" borderId="0" xfId="0" applyFont="1" applyFill="1" applyAlignment="1">
      <alignment horizontal="distributed"/>
    </xf>
    <xf numFmtId="0" fontId="52" fillId="0" borderId="0" xfId="0" applyFont="1" applyFill="1" applyAlignment="1">
      <alignment horizontal="distributed"/>
    </xf>
    <xf numFmtId="0" fontId="32" fillId="0" borderId="0" xfId="5" applyFont="1" applyFill="1" applyBorder="1" applyAlignment="1">
      <alignment vertical="center"/>
    </xf>
    <xf numFmtId="0" fontId="32" fillId="0" borderId="0" xfId="5" applyFont="1" applyFill="1" applyAlignment="1">
      <alignment vertical="center"/>
    </xf>
    <xf numFmtId="0" fontId="22" fillId="0" borderId="0" xfId="0" applyFont="1" applyFill="1" applyAlignment="1"/>
    <xf numFmtId="0" fontId="44" fillId="0" borderId="0" xfId="0" applyFont="1" applyFill="1" applyAlignment="1">
      <alignment horizontal="distributed"/>
    </xf>
    <xf numFmtId="0" fontId="0" fillId="0" borderId="0" xfId="0" applyFont="1" applyFill="1" applyAlignment="1"/>
    <xf numFmtId="178" fontId="59" fillId="0" borderId="14" xfId="0" applyNumberFormat="1" applyFont="1" applyFill="1" applyBorder="1" applyAlignment="1" applyProtection="1">
      <alignment horizontal="right" vertical="center"/>
      <protection locked="0"/>
    </xf>
    <xf numFmtId="178" fontId="59" fillId="0" borderId="14" xfId="0" applyNumberFormat="1" applyFont="1" applyFill="1" applyBorder="1" applyAlignment="1">
      <alignment horizontal="right" vertical="center"/>
    </xf>
    <xf numFmtId="178" fontId="59" fillId="0" borderId="10" xfId="0" applyNumberFormat="1" applyFont="1" applyFill="1" applyBorder="1" applyAlignment="1" applyProtection="1">
      <alignment horizontal="right" vertical="center"/>
      <protection locked="0"/>
    </xf>
    <xf numFmtId="178" fontId="59" fillId="0" borderId="10" xfId="0" applyNumberFormat="1" applyFont="1" applyFill="1" applyBorder="1" applyAlignment="1">
      <alignment horizontal="right" vertical="center"/>
    </xf>
    <xf numFmtId="176" fontId="59" fillId="0" borderId="14" xfId="1" applyFont="1" applyFill="1" applyBorder="1" applyAlignment="1" applyProtection="1">
      <alignment horizontal="right" vertical="center"/>
      <protection locked="0"/>
    </xf>
    <xf numFmtId="176" fontId="59" fillId="0" borderId="14" xfId="1" applyFont="1" applyFill="1" applyBorder="1" applyAlignment="1" applyProtection="1">
      <alignment horizontal="right" vertical="center"/>
    </xf>
    <xf numFmtId="0" fontId="66" fillId="0" borderId="6" xfId="0" applyFont="1" applyFill="1" applyBorder="1" applyAlignment="1">
      <alignment horizontal="distributed" vertical="center" wrapText="1"/>
    </xf>
    <xf numFmtId="0" fontId="59" fillId="0" borderId="6" xfId="0" applyFont="1" applyFill="1" applyBorder="1" applyAlignment="1">
      <alignment horizontal="center" vertical="center"/>
    </xf>
    <xf numFmtId="176" fontId="59" fillId="0" borderId="6" xfId="1" applyFont="1" applyFill="1" applyBorder="1" applyAlignment="1" applyProtection="1">
      <alignment horizontal="right" vertical="center"/>
      <protection locked="0"/>
    </xf>
    <xf numFmtId="176" fontId="59" fillId="0" borderId="6" xfId="1" applyFont="1" applyFill="1" applyBorder="1" applyAlignment="1" applyProtection="1">
      <alignment horizontal="right" vertical="center"/>
    </xf>
    <xf numFmtId="0" fontId="66" fillId="0" borderId="2" xfId="0" applyFont="1" applyFill="1" applyBorder="1" applyAlignment="1">
      <alignment horizontal="distributed" vertical="center" wrapText="1"/>
    </xf>
    <xf numFmtId="176" fontId="59" fillId="0" borderId="6" xfId="1" applyFont="1" applyFill="1" applyBorder="1" applyAlignment="1" applyProtection="1">
      <alignment vertical="center"/>
    </xf>
    <xf numFmtId="198" fontId="59" fillId="0" borderId="6" xfId="1" applyNumberFormat="1" applyFont="1" applyFill="1" applyBorder="1" applyAlignment="1" applyProtection="1">
      <alignment vertical="center"/>
      <protection locked="0"/>
    </xf>
    <xf numFmtId="198" fontId="59" fillId="0" borderId="6" xfId="1" applyNumberFormat="1" applyFont="1" applyFill="1" applyBorder="1" applyAlignment="1" applyProtection="1">
      <alignment vertical="center"/>
    </xf>
    <xf numFmtId="178" fontId="59" fillId="0" borderId="6" xfId="1" applyNumberFormat="1" applyFont="1" applyFill="1" applyBorder="1" applyAlignment="1" applyProtection="1">
      <alignment vertical="center"/>
    </xf>
    <xf numFmtId="0" fontId="51" fillId="0" borderId="0" xfId="0" applyFont="1" applyFill="1" applyBorder="1" applyAlignment="1">
      <alignment horizontal="center" vertical="center"/>
    </xf>
    <xf numFmtId="178" fontId="54" fillId="0" borderId="40" xfId="0" applyNumberFormat="1" applyFont="1" applyFill="1" applyBorder="1" applyAlignment="1">
      <alignment horizontal="distributed"/>
    </xf>
    <xf numFmtId="178" fontId="64" fillId="0" borderId="2" xfId="0" applyNumberFormat="1" applyFont="1" applyFill="1" applyBorder="1" applyAlignment="1">
      <alignment vertical="center"/>
    </xf>
    <xf numFmtId="178" fontId="64" fillId="0" borderId="3" xfId="0" applyNumberFormat="1" applyFont="1" applyFill="1" applyBorder="1" applyAlignment="1" applyProtection="1">
      <alignment vertical="center"/>
      <protection locked="0"/>
    </xf>
    <xf numFmtId="178" fontId="64" fillId="0" borderId="3" xfId="0" applyNumberFormat="1" applyFont="1" applyFill="1" applyBorder="1" applyAlignment="1">
      <alignment vertical="center"/>
    </xf>
    <xf numFmtId="178" fontId="64" fillId="0" borderId="14" xfId="0" applyNumberFormat="1" applyFont="1" applyFill="1" applyBorder="1" applyAlignment="1">
      <alignment vertical="center"/>
    </xf>
    <xf numFmtId="178" fontId="64" fillId="0" borderId="6" xfId="0" applyNumberFormat="1" applyFont="1" applyFill="1" applyBorder="1" applyAlignment="1" applyProtection="1">
      <alignment vertical="center"/>
      <protection locked="0"/>
    </xf>
    <xf numFmtId="178" fontId="64" fillId="0" borderId="14" xfId="0" applyNumberFormat="1" applyFont="1" applyFill="1" applyBorder="1" applyAlignment="1" applyProtection="1">
      <alignment vertical="center"/>
      <protection locked="0"/>
    </xf>
    <xf numFmtId="178" fontId="64" fillId="0" borderId="6" xfId="0" applyNumberFormat="1" applyFont="1" applyFill="1" applyBorder="1" applyAlignment="1">
      <alignment vertical="center"/>
    </xf>
    <xf numFmtId="178" fontId="64" fillId="0" borderId="5" xfId="0" applyNumberFormat="1" applyFont="1" applyFill="1" applyBorder="1" applyAlignment="1">
      <alignment vertical="center"/>
    </xf>
    <xf numFmtId="199" fontId="52" fillId="0" borderId="0" xfId="0" applyNumberFormat="1" applyFont="1" applyFill="1" applyProtection="1">
      <protection locked="0"/>
    </xf>
    <xf numFmtId="178" fontId="110" fillId="0" borderId="103" xfId="0" applyNumberFormat="1" applyFont="1" applyFill="1" applyBorder="1" applyAlignment="1">
      <alignment horizontal="distributed" vertical="center" wrapText="1"/>
    </xf>
    <xf numFmtId="0" fontId="43" fillId="0" borderId="0" xfId="0" applyFont="1" applyFill="1" applyBorder="1" applyAlignment="1"/>
    <xf numFmtId="0" fontId="135" fillId="0" borderId="75" xfId="0" applyFont="1" applyFill="1" applyBorder="1" applyAlignment="1">
      <alignment horizontal="distributed"/>
    </xf>
    <xf numFmtId="0" fontId="136" fillId="0" borderId="0" xfId="0" applyFont="1" applyFill="1" applyBorder="1" applyAlignment="1">
      <alignment horizontal="distributed"/>
    </xf>
    <xf numFmtId="0" fontId="43" fillId="0" borderId="0" xfId="0" applyFont="1" applyFill="1" applyBorder="1" applyAlignment="1">
      <alignment horizontal="right" vertical="center"/>
    </xf>
    <xf numFmtId="0" fontId="25" fillId="0" borderId="76" xfId="0" applyFont="1" applyFill="1" applyBorder="1" applyAlignment="1">
      <alignment horizontal="distributed" vertical="center"/>
    </xf>
    <xf numFmtId="178" fontId="25" fillId="0" borderId="77" xfId="0" applyNumberFormat="1" applyFont="1" applyFill="1" applyBorder="1" applyAlignment="1">
      <alignment horizontal="distributed" vertical="center"/>
    </xf>
    <xf numFmtId="0" fontId="25" fillId="0" borderId="77" xfId="0" applyFont="1" applyFill="1" applyBorder="1" applyAlignment="1">
      <alignment horizontal="distributed" vertical="center"/>
    </xf>
    <xf numFmtId="0" fontId="25" fillId="0" borderId="78" xfId="0" applyFont="1" applyFill="1" applyBorder="1" applyAlignment="1">
      <alignment horizontal="center" vertical="center"/>
    </xf>
    <xf numFmtId="0" fontId="72" fillId="0" borderId="98" xfId="0" applyFont="1" applyFill="1" applyBorder="1" applyAlignment="1">
      <alignment horizontal="center" vertical="center"/>
    </xf>
    <xf numFmtId="178" fontId="28" fillId="0" borderId="5" xfId="0" applyNumberFormat="1" applyFont="1" applyFill="1" applyBorder="1" applyAlignment="1">
      <alignment horizontal="right" vertical="center"/>
    </xf>
    <xf numFmtId="0" fontId="28" fillId="0" borderId="5" xfId="0" applyFont="1" applyFill="1" applyBorder="1" applyAlignment="1">
      <alignment horizontal="right" vertical="center"/>
    </xf>
    <xf numFmtId="0" fontId="28" fillId="0" borderId="91" xfId="0" applyFont="1" applyFill="1" applyBorder="1" applyAlignment="1">
      <alignment horizontal="left" vertical="center" wrapText="1"/>
    </xf>
    <xf numFmtId="0" fontId="28" fillId="0" borderId="81" xfId="0" applyFont="1" applyFill="1" applyBorder="1" applyAlignment="1">
      <alignment horizontal="distributed" vertical="top"/>
    </xf>
    <xf numFmtId="49" fontId="28" fillId="0" borderId="6" xfId="0" applyNumberFormat="1" applyFont="1" applyFill="1" applyBorder="1" applyAlignment="1">
      <alignment horizontal="center" vertical="top"/>
    </xf>
    <xf numFmtId="178" fontId="72" fillId="0" borderId="6" xfId="0" applyNumberFormat="1" applyFont="1" applyFill="1" applyBorder="1" applyAlignment="1" applyProtection="1">
      <alignment vertical="top"/>
      <protection locked="0"/>
    </xf>
    <xf numFmtId="178" fontId="72" fillId="0" borderId="6" xfId="0" applyNumberFormat="1" applyFont="1" applyFill="1" applyBorder="1" applyAlignment="1">
      <alignment vertical="top"/>
    </xf>
    <xf numFmtId="197" fontId="72" fillId="0" borderId="6" xfId="0" applyNumberFormat="1" applyFont="1" applyFill="1" applyBorder="1" applyAlignment="1">
      <alignment vertical="top"/>
    </xf>
    <xf numFmtId="0" fontId="28" fillId="0" borderId="83" xfId="0" applyFont="1" applyFill="1" applyBorder="1" applyAlignment="1">
      <alignment horizontal="distributed" vertical="center"/>
    </xf>
    <xf numFmtId="178" fontId="72" fillId="0" borderId="2" xfId="0" applyNumberFormat="1" applyFont="1" applyFill="1" applyBorder="1" applyAlignment="1" applyProtection="1">
      <alignment horizontal="center" vertical="center"/>
      <protection locked="0"/>
    </xf>
    <xf numFmtId="178" fontId="72" fillId="0" borderId="2" xfId="0" applyNumberFormat="1" applyFont="1" applyFill="1" applyBorder="1" applyAlignment="1">
      <alignment horizontal="center" vertical="center"/>
    </xf>
    <xf numFmtId="178" fontId="72" fillId="0" borderId="2" xfId="0" applyNumberFormat="1" applyFont="1" applyFill="1" applyBorder="1" applyAlignment="1" applyProtection="1">
      <alignment vertical="center"/>
      <protection locked="0"/>
    </xf>
    <xf numFmtId="178" fontId="72" fillId="0" borderId="2" xfId="0" applyNumberFormat="1" applyFont="1" applyFill="1" applyBorder="1" applyAlignment="1">
      <alignment vertical="center"/>
    </xf>
    <xf numFmtId="49" fontId="28" fillId="0" borderId="2" xfId="0" applyNumberFormat="1" applyFont="1" applyFill="1" applyBorder="1" applyAlignment="1">
      <alignment horizontal="right" vertical="center"/>
    </xf>
    <xf numFmtId="0" fontId="28" fillId="0" borderId="86" xfId="0" applyFont="1" applyFill="1" applyBorder="1" applyAlignment="1">
      <alignment horizontal="center" vertical="center"/>
    </xf>
    <xf numFmtId="178" fontId="72" fillId="0" borderId="87" xfId="0" applyNumberFormat="1" applyFont="1" applyFill="1" applyBorder="1" applyAlignment="1">
      <alignment horizontal="center" vertical="center"/>
    </xf>
    <xf numFmtId="178" fontId="72" fillId="0" borderId="97" xfId="0" applyNumberFormat="1" applyFont="1" applyFill="1" applyBorder="1" applyAlignment="1">
      <alignment vertical="center"/>
    </xf>
    <xf numFmtId="178" fontId="72" fillId="0" borderId="87" xfId="0" applyNumberFormat="1" applyFont="1" applyFill="1" applyBorder="1" applyAlignment="1">
      <alignment vertical="center"/>
    </xf>
    <xf numFmtId="0" fontId="72" fillId="0" borderId="90" xfId="0" applyFont="1" applyFill="1" applyBorder="1" applyAlignment="1">
      <alignment horizontal="left" vertical="center" wrapText="1"/>
    </xf>
    <xf numFmtId="0" fontId="148" fillId="0" borderId="75" xfId="0" applyFont="1" applyFill="1" applyBorder="1" applyAlignment="1">
      <alignment horizontal="distributed"/>
    </xf>
    <xf numFmtId="0" fontId="22" fillId="0" borderId="76" xfId="0" applyFont="1" applyFill="1" applyBorder="1" applyAlignment="1">
      <alignment horizontal="center" vertical="center"/>
    </xf>
    <xf numFmtId="0" fontId="22" fillId="0" borderId="77" xfId="0" applyFont="1" applyFill="1" applyBorder="1" applyAlignment="1">
      <alignment horizontal="distributed" vertical="center"/>
    </xf>
    <xf numFmtId="0" fontId="27" fillId="0" borderId="77" xfId="0" applyFont="1" applyFill="1" applyBorder="1" applyAlignment="1">
      <alignment horizontal="distributed" vertical="center"/>
    </xf>
    <xf numFmtId="0" fontId="22" fillId="0" borderId="78" xfId="0" applyFont="1" applyFill="1" applyBorder="1" applyAlignment="1">
      <alignment horizontal="center" vertical="center"/>
    </xf>
    <xf numFmtId="0" fontId="72" fillId="0" borderId="99" xfId="0" applyFont="1" applyFill="1" applyBorder="1" applyAlignment="1">
      <alignment horizontal="distributed" vertical="center"/>
    </xf>
    <xf numFmtId="0" fontId="22" fillId="0" borderId="81" xfId="0" applyFont="1" applyFill="1" applyBorder="1" applyAlignment="1">
      <alignment horizontal="distributed" vertical="top"/>
    </xf>
    <xf numFmtId="178" fontId="44" fillId="0" borderId="6" xfId="0" applyNumberFormat="1" applyFont="1" applyFill="1" applyBorder="1" applyAlignment="1" applyProtection="1">
      <alignment horizontal="right" vertical="top"/>
      <protection locked="0"/>
    </xf>
    <xf numFmtId="178" fontId="44" fillId="0" borderId="6" xfId="0" applyNumberFormat="1" applyFont="1" applyFill="1" applyBorder="1" applyAlignment="1">
      <alignment horizontal="right" vertical="top"/>
    </xf>
    <xf numFmtId="0" fontId="44" fillId="0" borderId="82" xfId="0" applyFont="1" applyFill="1" applyBorder="1" applyAlignment="1">
      <alignment horizontal="left" vertical="top" wrapText="1"/>
    </xf>
    <xf numFmtId="0" fontId="22" fillId="0" borderId="86" xfId="0" applyFont="1" applyFill="1" applyBorder="1" applyAlignment="1">
      <alignment horizontal="center" vertical="center"/>
    </xf>
    <xf numFmtId="178" fontId="44" fillId="0" borderId="97" xfId="0" applyNumberFormat="1" applyFont="1" applyFill="1" applyBorder="1" applyAlignment="1">
      <alignment horizontal="right" vertical="center"/>
    </xf>
    <xf numFmtId="0" fontId="44" fillId="0" borderId="90" xfId="0" applyFont="1" applyFill="1" applyBorder="1" applyAlignment="1">
      <alignment horizontal="left" vertical="center" wrapText="1"/>
    </xf>
    <xf numFmtId="0" fontId="46" fillId="0" borderId="82" xfId="0" applyFont="1" applyFill="1" applyBorder="1" applyAlignment="1">
      <alignment horizontal="left" vertical="center" wrapText="1"/>
    </xf>
    <xf numFmtId="0" fontId="66" fillId="0" borderId="82" xfId="0" applyFont="1" applyFill="1" applyBorder="1" applyAlignment="1">
      <alignment horizontal="left" vertical="center" wrapText="1"/>
    </xf>
    <xf numFmtId="178" fontId="59" fillId="0" borderId="6" xfId="0" applyNumberFormat="1" applyFont="1" applyFill="1" applyBorder="1" applyAlignment="1">
      <alignment horizontal="right" vertical="center"/>
    </xf>
    <xf numFmtId="178" fontId="59" fillId="0" borderId="6" xfId="0" applyNumberFormat="1" applyFont="1" applyFill="1" applyBorder="1" applyAlignment="1" applyProtection="1">
      <alignment horizontal="right" vertical="center"/>
      <protection locked="0"/>
    </xf>
    <xf numFmtId="178" fontId="59" fillId="0" borderId="2" xfId="0" applyNumberFormat="1" applyFont="1" applyFill="1" applyBorder="1" applyAlignment="1">
      <alignment horizontal="right" vertical="center"/>
    </xf>
    <xf numFmtId="0" fontId="167" fillId="2" borderId="174" xfId="0" applyNumberFormat="1" applyFont="1" applyFill="1" applyBorder="1" applyAlignment="1">
      <alignment horizontal="center" vertical="center"/>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8">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
      <fill>
        <patternFill patternType="solid">
          <fgColor rgb="FFFFFF00"/>
          <bgColor rgb="FFFFFF00"/>
        </patternFill>
      </fill>
    </dxf>
    <dxf>
      <fill>
        <patternFill patternType="solid">
          <fgColor rgb="FFFFC000"/>
          <bgColor rgb="FFFFC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outlinePr summaryBelow="0"/>
    <pageSetUpPr fitToPage="1"/>
  </sheetPr>
  <dimension ref="A1:H137"/>
  <sheetViews>
    <sheetView tabSelected="1" zoomScaleNormal="100" workbookViewId="0">
      <pane ySplit="4" topLeftCell="A112" activePane="bottomLeft" state="frozen"/>
      <selection pane="bottomLeft" activeCell="C119" sqref="C119"/>
    </sheetView>
  </sheetViews>
  <sheetFormatPr defaultRowHeight="13.2" outlineLevelRow="1"/>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5.05" customHeight="1">
      <c r="A5" s="1790" t="inlineStr">
        <is>
          <t>1. 入力欄 ― 入力ガイドで手入力するのは、この欄（黄色のセル）だけです</t>
        </is>
      </c>
      <c r="B5" s="1790"/>
      <c r="C5" s="1790"/>
      <c r="D5" s="1790"/>
      <c r="E5" s="1790"/>
      <c r="F5" s="1790"/>
      <c r="G5" s="1790"/>
      <c r="H5" s="1790"/>
    </row>
    <row r="6" spans="1:8" ht="22.05" customHeight="1">
      <c r="A6" s="1701" t="s">
        <v>1294</v>
      </c>
      <c r="B6" s="1702" t="s">
        <v>1295</v>
      </c>
      <c r="C6" s="1703">
        <v>7</v>
      </c>
      <c r="D6" s="1702" t="inlineStr">
        <is>
          <t>出納主任（姓／名）</t>
        </is>
      </c>
      <c r="E6" s="3178" t="inlineStr">
        <is>
          <t>村井</t>
        </is>
      </c>
      <c r="F6" s="3178" t="inlineStr">
        <is>
          <t>慶子</t>
        </is>
      </c>
      <c r="G6" s="1782"/>
      <c r="H6" s="1708" t="inlineStr">
        <is>
          <t>姓と名を分けて入力</t>
        </is>
      </c>
    </row>
    <row r="7" spans="1:8" ht="22.05" customHeight="1">
      <c r="A7" s="1701" t="s">
        <v>1294</v>
      </c>
      <c r="B7" s="1702" t="s">
        <v>1296</v>
      </c>
      <c r="C7" s="1704">
        <v>8</v>
      </c>
      <c r="D7" s="1702" t="inlineStr">
        <is>
          <t>出納役（姓／名）</t>
        </is>
      </c>
      <c r="E7" s="3178" t="inlineStr">
        <is>
          <t>榎本</t>
        </is>
      </c>
      <c r="F7" s="3178" t="inlineStr">
        <is>
          <t>聡子</t>
        </is>
      </c>
      <c r="G7" s="1782"/>
      <c r="H7" s="1708" t="inlineStr">
        <is>
          <t>決算精算表の署名欄に反映</t>
        </is>
      </c>
    </row>
    <row r="8" spans="1:8" ht="22.05" customHeight="1">
      <c r="A8" s="1701" t="s">
        <v>1294</v>
      </c>
      <c r="B8" s="1702" t="s">
        <v>1297</v>
      </c>
      <c r="C8" s="1705">
        <v>4</v>
      </c>
      <c r="D8" s="1702" t="inlineStr">
        <is>
          <t>審査日（年／月／日）</t>
        </is>
      </c>
      <c r="E8" s="3178"/>
      <c r="F8" s="3178"/>
      <c r="G8" s="3178"/>
      <c r="H8" s="1708" t="inlineStr">
        <is>
          <t>空欄＝作成日と同じ</t>
        </is>
      </c>
    </row>
    <row r="9" spans="1:8" ht="22.05" customHeight="1">
      <c r="A9" s="1701" t="s">
        <v>1294</v>
      </c>
      <c r="B9" s="1702" t="s">
        <v>1300</v>
      </c>
      <c r="C9" s="1706">
        <v>22</v>
      </c>
      <c r="D9" s="1702" t="inlineStr">
        <is>
          <t>黄色表示（1/0）</t>
        </is>
      </c>
      <c r="E9" s="3178">
        <v>1</v>
      </c>
      <c r="F9" s="1702" t="inlineStr">
        <is>
          <t>Enterで次の手入力セルへ（1/0）</t>
        </is>
      </c>
      <c r="G9" s="3178">
        <v>1</v>
      </c>
      <c r="H9" s="1708" t="inlineStr">
        <is>
          <t>1＝する・表示、0＝しない</t>
        </is>
      </c>
    </row>
    <row r="10" spans="1:8" ht="12" customHeight="1"/>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12" customHeight="1"/>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HYPERLINK("#'短期_財務諸表P27'!A1","[財務諸表]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HYPERLINK("#'厚生_貸借・損益P31'!A1","[財務諸表]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HYPERLINK("#'退職等_貸借・損益P35'!A1","[財務諸表]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HYPERLINK("#'経過的_貸借・損益P39'!A1","[財務諸表]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HYPERLINK("#'預託金_貸借・損益P43'!A1","[財務諸表]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HYPERLINK("#'業務_財務諸表P47'!A1","[財務諸表]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HYPERLINK("#'保健_財務諸表P53'!A1","[財務諸表]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collapsed="1" r="33" spans="1:8" ht="25.05" customHeight="1">
      <c r="A33" s="1790" t="s">
        <v>1331</v>
      </c>
      <c r="B33" s="1790"/>
      <c r="C33" s="1790"/>
      <c r="D33" s="1790"/>
      <c r="E33" s="1790"/>
      <c r="F33" s="1790"/>
      <c r="G33" s="1790"/>
      <c r="H33" s="1790"/>
    </row>
    <row outlineLevel="1" hidden="1" r="34" spans="1:8" ht="19.95" customHeight="1">
      <c r="A34" s="1726" t="s">
        <v>1332</v>
      </c>
      <c r="B34" s="1727" t="str">
        <f>HYPERLINK("#'入力ガイド'!A1","入力ガイド")</f>
        <v>入力ガイド</v>
      </c>
      <c r="C34" s="1781" t="s">
        <v>1333</v>
      </c>
      <c r="D34" s="1781"/>
      <c r="E34" s="1781"/>
      <c r="F34" s="1726" t="s">
        <v>1334</v>
      </c>
      <c r="G34" s="1788" t="s">
        <v>1335</v>
      </c>
      <c r="H34" s="1788"/>
    </row>
    <row outlineLevel="1" hidden="1" r="35" spans="1:8" ht="19.95" customHeight="1">
      <c r="A35" s="1726" t="s">
        <v>1332</v>
      </c>
      <c r="B35" s="1730" t="str">
        <f>HYPERLINK("#'入力セル一覧'!A1","入力セル一覧")</f>
        <v>入力セル一覧</v>
      </c>
      <c r="C35" s="1785" t="s">
        <v>1336</v>
      </c>
      <c r="D35" s="1785"/>
      <c r="E35" s="1785"/>
      <c r="F35" s="1726" t="s">
        <v>1334</v>
      </c>
      <c r="G35" s="1780" t="s">
        <v>1337</v>
      </c>
      <c r="H35" s="1780"/>
    </row>
    <row outlineLevel="1" hidden="1" r="36" spans="1:8" ht="19.95" customHeight="1">
      <c r="A36" s="1726" t="s">
        <v>1332</v>
      </c>
      <c r="B36" s="1727" t="str">
        <f>HYPERLINK("#'前年度貼付'!A1","前年度貼付")</f>
        <v>前年度貼付</v>
      </c>
      <c r="C36" s="1781" t="s">
        <v>1338</v>
      </c>
      <c r="D36" s="1781"/>
      <c r="E36" s="1781"/>
      <c r="F36" s="1726" t="s">
        <v>1334</v>
      </c>
      <c r="G36" s="1788" t="s">
        <v>1339</v>
      </c>
      <c r="H36" s="1788"/>
    </row>
    <row outlineLevel="1" hidden="1" r="37" spans="1:8" ht="19.95" customHeight="1">
      <c r="A37" s="1732" t="s">
        <v>1332</v>
      </c>
      <c r="B37" s="1730" t="str">
        <f>HYPERLINK("#'チェック'!A1","チェック")</f>
        <v>チェック</v>
      </c>
      <c r="C37" s="1785" t="s">
        <v>1340</v>
      </c>
      <c r="D37" s="1785"/>
      <c r="E37" s="1785"/>
      <c r="F37" s="1726" t="s">
        <v>1334</v>
      </c>
      <c r="G37" s="1780" t="s">
        <v>1341</v>
      </c>
      <c r="H37" s="1780"/>
    </row>
    <row outlineLevel="1" hidden="1" r="38" spans="1:8" ht="19.95" customHeight="1">
      <c r="A38" s="1733" t="s">
        <v>1342</v>
      </c>
      <c r="B38" s="1727" t="str">
        <f>HYPERLINK("#'表紙等'!A1","表紙等")</f>
        <v>表紙等</v>
      </c>
      <c r="C38" s="1781" t="s">
        <v>1343</v>
      </c>
      <c r="D38" s="1781"/>
      <c r="E38" s="1781"/>
      <c r="F38" s="1732" t="s">
        <v>1344</v>
      </c>
      <c r="G38" s="1788" t="s">
        <v>1345</v>
      </c>
      <c r="H38" s="1788"/>
    </row>
    <row outlineLevel="1" hidden="1" r="39" spans="1:8" ht="19.95" customHeight="1">
      <c r="A39" s="1733" t="s">
        <v>1342</v>
      </c>
      <c r="B39" s="1730" t="str">
        <f>HYPERLINK("#'目次'!A1","目次")</f>
        <v>目次</v>
      </c>
      <c r="C39" s="1785" t="s">
        <v>1346</v>
      </c>
      <c r="D39" s="1785"/>
      <c r="E39" s="1785"/>
      <c r="F39" s="1732" t="s">
        <v>1344</v>
      </c>
      <c r="G39" s="1780" t="s">
        <v>1347</v>
      </c>
      <c r="H39" s="1780"/>
    </row>
    <row outlineLevel="1" hidden="1" r="40" spans="1:8" ht="19.95" customHeight="1">
      <c r="A40" s="1733" t="s">
        <v>1348</v>
      </c>
      <c r="B40" s="1727" t="str">
        <f>HYPERLINK("#'報告_概況P1-2'!A1","報告_概況P1-2")</f>
        <v>報告_概況P1-2</v>
      </c>
      <c r="C40" s="1781" t="s">
        <v>1349</v>
      </c>
      <c r="D40" s="1781"/>
      <c r="E40" s="1781"/>
      <c r="F40" s="1732" t="s">
        <v>1344</v>
      </c>
      <c r="G40" s="1788" t="s">
        <v>1350</v>
      </c>
      <c r="H40" s="1788"/>
    </row>
    <row outlineLevel="1" hidden="1" r="41" spans="1:8" ht="19.95" customHeight="1">
      <c r="A41" s="1733" t="s">
        <v>1351</v>
      </c>
      <c r="B41" s="1730" t="str">
        <f>HYPERLINK("#'報告_総括P3-5'!A1","報告_総括P3-5")</f>
        <v>報告_総括P3-5</v>
      </c>
      <c r="C41" s="1785" t="s">
        <v>1352</v>
      </c>
      <c r="D41" s="1785"/>
      <c r="E41" s="1785"/>
      <c r="F41" s="1732" t="s">
        <v>1344</v>
      </c>
      <c r="G41" s="1780" t="s">
        <v>1353</v>
      </c>
      <c r="H41" s="1780"/>
    </row>
    <row outlineLevel="1" hidden="1" r="42" spans="1:8" ht="19.95" customHeight="1">
      <c r="A42" s="1734" t="s">
        <v>1354</v>
      </c>
      <c r="B42" s="1727" t="str">
        <f>HYPERLINK("#'報告_短期P6'!A1","報告_短期P6")</f>
        <v>報告_短期P6</v>
      </c>
      <c r="C42" s="1781" t="s">
        <v>1355</v>
      </c>
      <c r="D42" s="1781"/>
      <c r="E42" s="1781"/>
      <c r="F42" s="1732" t="s">
        <v>1344</v>
      </c>
      <c r="G42" s="1788" t="s">
        <v>1356</v>
      </c>
      <c r="H42" s="1788"/>
    </row>
    <row outlineLevel="1" hidden="1" r="43" spans="1:8" ht="19.95" customHeight="1">
      <c r="A43" s="1734" t="s">
        <v>1354</v>
      </c>
      <c r="B43" s="1730" t="str">
        <f>HYPERLINK("#'報告_短期P7-10'!A1","報告_短期P7-10")</f>
        <v>報告_短期P7-10</v>
      </c>
      <c r="C43" s="1785" t="s">
        <v>1357</v>
      </c>
      <c r="D43" s="1785"/>
      <c r="E43" s="1785"/>
      <c r="F43" s="1732" t="s">
        <v>1358</v>
      </c>
      <c r="G43" s="1780" t="s">
        <v>1359</v>
      </c>
      <c r="H43" s="1780"/>
    </row>
    <row outlineLevel="1" hidden="1" r="44" spans="1:8" ht="19.95" customHeight="1">
      <c r="A44" s="1734" t="s">
        <v>1354</v>
      </c>
      <c r="B44" s="1727" t="str">
        <f>HYPERLINK("#'報告_短期P11-13'!A1","報告_短期P11-13")</f>
        <v>報告_短期P11-13</v>
      </c>
      <c r="C44" s="1781" t="s">
        <v>1360</v>
      </c>
      <c r="D44" s="1781"/>
      <c r="E44" s="1781"/>
      <c r="F44" s="1732" t="s">
        <v>1361</v>
      </c>
      <c r="G44" s="1788" t="s">
        <v>1362</v>
      </c>
      <c r="H44" s="1788"/>
    </row>
    <row outlineLevel="1" hidden="1"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outlineLevel="1" hidden="1"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outlineLevel="1" hidden="1"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outlineLevel="1" hidden="1"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outlineLevel="1" hidden="1" r="49" spans="1:8" ht="19.95" customHeight="1">
      <c r="A49" s="1736" t="s">
        <v>1367</v>
      </c>
      <c r="B49" s="1730" t="str">
        <f>HYPERLINK("#'報告_預託金P17'!A1","報告_預託金P17")</f>
        <v>報告_預託金P17</v>
      </c>
      <c r="C49" s="1785" t="s">
        <v>1374</v>
      </c>
      <c r="D49" s="1785"/>
      <c r="E49" s="1785"/>
      <c r="F49" s="1732" t="s">
        <v>1344</v>
      </c>
      <c r="G49" s="1780" t="s">
        <v>1375</v>
      </c>
      <c r="H49" s="1780"/>
    </row>
    <row outlineLevel="1" hidden="1"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outlineLevel="1" hidden="1" r="51" spans="1:8" ht="19.95" customHeight="1">
      <c r="A51" s="1732" t="s">
        <v>1379</v>
      </c>
      <c r="B51" s="1730" t="str">
        <f>HYPERLINK("#'報告_業務P18'!A1","報告_業務P18")</f>
        <v>報告_業務P18</v>
      </c>
      <c r="C51" s="1785" t="s">
        <v>1380</v>
      </c>
      <c r="D51" s="1785"/>
      <c r="E51" s="1785"/>
      <c r="F51" s="1732" t="s">
        <v>1344</v>
      </c>
      <c r="G51" s="1780" t="s">
        <v>1381</v>
      </c>
      <c r="H51" s="1780"/>
    </row>
    <row outlineLevel="1" hidden="1" r="52" spans="1:8" ht="19.95" customHeight="1">
      <c r="A52" s="1732" t="s">
        <v>1379</v>
      </c>
      <c r="B52" s="1727" t="str">
        <f>HYPERLINK("#'報告_業務P19'!A1","報告_業務P19")</f>
        <v>報告_業務P19</v>
      </c>
      <c r="C52" s="1781" t="s">
        <v>1382</v>
      </c>
      <c r="D52" s="1781"/>
      <c r="E52" s="1781"/>
      <c r="F52" s="1732" t="s">
        <v>1344</v>
      </c>
      <c r="G52" s="1788" t="s">
        <v>1383</v>
      </c>
      <c r="H52" s="1788"/>
    </row>
    <row outlineLevel="1" hidden="1" r="53" spans="1:8" ht="19.95" customHeight="1">
      <c r="A53" s="1732" t="s">
        <v>1384</v>
      </c>
      <c r="B53" s="1730" t="str">
        <f>HYPERLINK("#'報告_保健P20-22'!A1","報告_保健P20-22")</f>
        <v>報告_保健P20-22</v>
      </c>
      <c r="C53" s="1785" t="s">
        <v>1385</v>
      </c>
      <c r="D53" s="1785"/>
      <c r="E53" s="1785"/>
      <c r="F53" s="1732" t="s">
        <v>1344</v>
      </c>
      <c r="G53" s="1780" t="s">
        <v>1386</v>
      </c>
      <c r="H53" s="1780"/>
    </row>
    <row outlineLevel="1" hidden="1" r="54" spans="1:8" ht="19.95" customHeight="1">
      <c r="A54" s="1726" t="s">
        <v>1387</v>
      </c>
      <c r="B54" s="1727" t="str">
        <f>HYPERLINK("#'報告_貸付P23-25'!A1","報告_貸付P23-25")</f>
        <v>報告_貸付P23-25</v>
      </c>
      <c r="C54" s="1781" t="s">
        <v>1388</v>
      </c>
      <c r="D54" s="1781"/>
      <c r="E54" s="1781"/>
      <c r="F54" s="1732" t="s">
        <v>1344</v>
      </c>
      <c r="G54" s="1788" t="s">
        <v>1389</v>
      </c>
      <c r="H54" s="1788"/>
    </row>
    <row outlineLevel="1" hidden="1" r="55" spans="1:8" ht="19.95" customHeight="1">
      <c r="A55" s="1735" t="s">
        <v>1390</v>
      </c>
      <c r="B55" s="1730" t="str">
        <f>HYPERLINK("#'報告_白紙P26'!A1","報告_白紙P26")</f>
        <v>報告_白紙P26</v>
      </c>
      <c r="C55" s="1785" t="s">
        <v>1391</v>
      </c>
      <c r="D55" s="1785"/>
      <c r="E55" s="1785"/>
      <c r="F55" s="1735" t="s">
        <v>1392</v>
      </c>
      <c r="G55" s="1780" t="s">
        <v>1393</v>
      </c>
      <c r="H55" s="1780"/>
    </row>
    <row outlineLevel="1" hidden="1" r="56" spans="1:8" ht="19.95" customHeight="1">
      <c r="A56" s="1737" t="s">
        <v>1394</v>
      </c>
      <c r="B56" s="1727" t="str">
        <f>HYPERLINK("#'短期_財務諸表P27'!A1","短期_財務諸表P27")</f>
        <v>短期_財務諸表P27</v>
      </c>
      <c r="C56" s="1781" t="s">
        <v>1395</v>
      </c>
      <c r="D56" s="1781"/>
      <c r="E56" s="1781"/>
      <c r="F56" s="1732" t="s">
        <v>1344</v>
      </c>
      <c r="G56" s="1788" t="s">
        <v>1396</v>
      </c>
      <c r="H56" s="1788"/>
    </row>
    <row outlineLevel="1" hidden="1" r="57" spans="1:8" ht="19.95" customHeight="1">
      <c r="A57" s="1737" t="s">
        <v>1394</v>
      </c>
      <c r="B57" s="1730" t="str">
        <f>HYPERLINK("#'短期_附属明細表P28-29'!A1","短期_附属明細表P28-29")</f>
        <v>短期_附属明細表P28-29</v>
      </c>
      <c r="C57" s="1785" t="s">
        <v>1397</v>
      </c>
      <c r="D57" s="1785"/>
      <c r="E57" s="1785"/>
      <c r="F57" s="1732" t="s">
        <v>1344</v>
      </c>
      <c r="G57" s="1780" t="s">
        <v>1398</v>
      </c>
      <c r="H57" s="1780"/>
    </row>
    <row outlineLevel="1" hidden="1" r="58" spans="1:8" ht="19.95" customHeight="1">
      <c r="A58" s="1737" t="s">
        <v>1394</v>
      </c>
      <c r="B58" s="1727" t="str">
        <f>HYPERLINK("#'短期_決算精算表P30'!A1","短期_決算精算表P30")</f>
        <v>短期_決算精算表P30</v>
      </c>
      <c r="C58" s="1781" t="s">
        <v>1399</v>
      </c>
      <c r="D58" s="1781"/>
      <c r="E58" s="1781"/>
      <c r="F58" s="1732" t="s">
        <v>1344</v>
      </c>
      <c r="G58" s="1788" t="s">
        <v>1400</v>
      </c>
      <c r="H58" s="1788"/>
    </row>
    <row outlineLevel="1" hidden="1" r="59" spans="1:8" ht="19.95" customHeight="1">
      <c r="A59" s="1736" t="s">
        <v>1401</v>
      </c>
      <c r="B59" s="1730" t="str">
        <f>HYPERLINK("#'厚生_貸借・損益P31'!A1","厚生_貸借・損益P31")</f>
        <v>厚生_貸借・損益P31</v>
      </c>
      <c r="C59" s="1785" t="s">
        <v>1402</v>
      </c>
      <c r="D59" s="1785"/>
      <c r="E59" s="1785"/>
      <c r="F59" s="1732" t="s">
        <v>1344</v>
      </c>
      <c r="G59" s="1780" t="s">
        <v>1403</v>
      </c>
      <c r="H59" s="1780"/>
    </row>
    <row outlineLevel="1" hidden="1" r="60" spans="1:8" ht="19.95" customHeight="1">
      <c r="A60" s="1736" t="s">
        <v>1401</v>
      </c>
      <c r="B60" s="1727" t="str">
        <f>HYPERLINK("#'厚生_預金・立替・未収P32'!A1","厚生_預金・立替・未収P32")</f>
        <v>厚生_預金・立替・未収P32</v>
      </c>
      <c r="C60" s="1781" t="s">
        <v>1404</v>
      </c>
      <c r="D60" s="1781"/>
      <c r="E60" s="1781"/>
      <c r="F60" s="1732" t="s">
        <v>1344</v>
      </c>
      <c r="G60" s="1788" t="s">
        <v>1405</v>
      </c>
      <c r="H60" s="1788"/>
    </row>
    <row outlineLevel="1" hidden="1" r="61" spans="1:8" ht="19.95" customHeight="1">
      <c r="A61" s="1736" t="s">
        <v>1401</v>
      </c>
      <c r="B61" s="1730" t="str">
        <f>HYPERLINK("#'厚生_決算精算表P33'!A1","厚生_決算精算表P33")</f>
        <v>厚生_決算精算表P33</v>
      </c>
      <c r="C61" s="1785" t="s">
        <v>1406</v>
      </c>
      <c r="D61" s="1785"/>
      <c r="E61" s="1785"/>
      <c r="F61" s="1732" t="s">
        <v>1344</v>
      </c>
      <c r="G61" s="1780" t="s">
        <v>1407</v>
      </c>
      <c r="H61" s="1780"/>
    </row>
    <row outlineLevel="1" hidden="1" r="62" spans="1:8" ht="19.95" customHeight="1">
      <c r="A62" s="1735" t="s">
        <v>1390</v>
      </c>
      <c r="B62" s="1727" t="str">
        <f>HYPERLINK("#'厚生_白紙P34'!A1","厚生_白紙P34")</f>
        <v>厚生_白紙P34</v>
      </c>
      <c r="C62" s="1781" t="s">
        <v>1408</v>
      </c>
      <c r="D62" s="1781"/>
      <c r="E62" s="1781"/>
      <c r="F62" s="1735" t="s">
        <v>1392</v>
      </c>
      <c r="G62" s="1788" t="s">
        <v>1393</v>
      </c>
      <c r="H62" s="1788"/>
    </row>
    <row outlineLevel="1" hidden="1" r="63" spans="1:8" ht="19.95" customHeight="1">
      <c r="A63" s="1736" t="s">
        <v>1409</v>
      </c>
      <c r="B63" s="1730" t="str">
        <f>HYPERLINK("#'退職等_貸借・損益P35'!A1","退職等_貸借・損益P35")</f>
        <v>退職等_貸借・損益P35</v>
      </c>
      <c r="C63" s="1785" t="s">
        <v>1410</v>
      </c>
      <c r="D63" s="1785"/>
      <c r="E63" s="1785"/>
      <c r="F63" s="1732" t="s">
        <v>1344</v>
      </c>
      <c r="G63" s="1780" t="s">
        <v>1403</v>
      </c>
      <c r="H63" s="1780"/>
    </row>
    <row outlineLevel="1" hidden="1" r="64" spans="1:8" ht="19.95" customHeight="1">
      <c r="A64" s="1736" t="s">
        <v>1409</v>
      </c>
      <c r="B64" s="1727" t="str">
        <f>HYPERLINK("#'退職等_預金・立替・未収P36'!A1","退職等_預金・立替・未収P36")</f>
        <v>退職等_預金・立替・未収P36</v>
      </c>
      <c r="C64" s="1781" t="s">
        <v>1411</v>
      </c>
      <c r="D64" s="1781"/>
      <c r="E64" s="1781"/>
      <c r="F64" s="1732" t="s">
        <v>1344</v>
      </c>
      <c r="G64" s="1788" t="s">
        <v>1412</v>
      </c>
      <c r="H64" s="1788"/>
    </row>
    <row outlineLevel="1" hidden="1" r="65" spans="1:8" ht="19.95" customHeight="1">
      <c r="A65" s="1736" t="s">
        <v>1409</v>
      </c>
      <c r="B65" s="1730" t="str">
        <f>HYPERLINK("#'退職等_決算精算表P37'!A1","退職等_決算精算表P37")</f>
        <v>退職等_決算精算表P37</v>
      </c>
      <c r="C65" s="1785" t="s">
        <v>1413</v>
      </c>
      <c r="D65" s="1785"/>
      <c r="E65" s="1785"/>
      <c r="F65" s="1732" t="s">
        <v>1344</v>
      </c>
      <c r="G65" s="1780" t="s">
        <v>1407</v>
      </c>
      <c r="H65" s="1780"/>
    </row>
    <row outlineLevel="1" hidden="1" r="66" spans="1:8" ht="19.95" customHeight="1">
      <c r="A66" s="1735" t="s">
        <v>1390</v>
      </c>
      <c r="B66" s="1727" t="str">
        <f>HYPERLINK("#'退職等_白紙P38'!A1","退職等_白紙P38")</f>
        <v>退職等_白紙P38</v>
      </c>
      <c r="C66" s="1781" t="s">
        <v>1414</v>
      </c>
      <c r="D66" s="1781"/>
      <c r="E66" s="1781"/>
      <c r="F66" s="1735" t="s">
        <v>1392</v>
      </c>
      <c r="G66" s="1788" t="s">
        <v>1393</v>
      </c>
      <c r="H66" s="1788"/>
    </row>
    <row outlineLevel="1" hidden="1" r="67" spans="1:8" ht="19.95" customHeight="1">
      <c r="A67" s="1736" t="s">
        <v>1415</v>
      </c>
      <c r="B67" s="1730" t="str">
        <f>HYPERLINK("#'経過的_貸借・損益P39'!A1","経過的_貸借・損益P39")</f>
        <v>経過的_貸借・損益P39</v>
      </c>
      <c r="C67" s="1785" t="s">
        <v>1416</v>
      </c>
      <c r="D67" s="1785"/>
      <c r="E67" s="1785"/>
      <c r="F67" s="1732" t="s">
        <v>1344</v>
      </c>
      <c r="G67" s="1780" t="s">
        <v>1403</v>
      </c>
      <c r="H67" s="1780"/>
    </row>
    <row outlineLevel="1" hidden="1" r="68" spans="1:8" ht="19.95" customHeight="1">
      <c r="A68" s="1736" t="s">
        <v>1415</v>
      </c>
      <c r="B68" s="1727" t="str">
        <f>HYPERLINK("#'経過的_預金・立替・未収P40'!A1","経過的_預金・立替・未収P40")</f>
        <v>経過的_預金・立替・未収P40</v>
      </c>
      <c r="C68" s="1781" t="s">
        <v>1417</v>
      </c>
      <c r="D68" s="1781"/>
      <c r="E68" s="1781"/>
      <c r="F68" s="1732" t="s">
        <v>1344</v>
      </c>
      <c r="G68" s="1788" t="s">
        <v>1412</v>
      </c>
      <c r="H68" s="1788"/>
    </row>
    <row outlineLevel="1" hidden="1" r="69" spans="1:8" ht="19.95" customHeight="1">
      <c r="A69" s="1736" t="s">
        <v>1415</v>
      </c>
      <c r="B69" s="1730" t="str">
        <f>HYPERLINK("#'経過的_決算精算表P41'!A1","経過的_決算精算表P41")</f>
        <v>経過的_決算精算表P41</v>
      </c>
      <c r="C69" s="1785" t="s">
        <v>1418</v>
      </c>
      <c r="D69" s="1785"/>
      <c r="E69" s="1785"/>
      <c r="F69" s="1732" t="s">
        <v>1344</v>
      </c>
      <c r="G69" s="1780" t="s">
        <v>1419</v>
      </c>
      <c r="H69" s="1780"/>
    </row>
    <row outlineLevel="1" hidden="1" r="70" spans="1:8" ht="19.95" customHeight="1">
      <c r="A70" s="1735" t="s">
        <v>1390</v>
      </c>
      <c r="B70" s="1727" t="str">
        <f>HYPERLINK("#'経過的_白紙P42'!A1","経過的_白紙P42")</f>
        <v>経過的_白紙P42</v>
      </c>
      <c r="C70" s="1781" t="s">
        <v>1420</v>
      </c>
      <c r="D70" s="1781"/>
      <c r="E70" s="1781"/>
      <c r="F70" s="1735" t="s">
        <v>1392</v>
      </c>
      <c r="G70" s="1788" t="s">
        <v>1393</v>
      </c>
      <c r="H70" s="1788"/>
    </row>
    <row outlineLevel="1" hidden="1" r="71" spans="1:8" ht="19.95" customHeight="1">
      <c r="A71" s="1736" t="s">
        <v>1421</v>
      </c>
      <c r="B71" s="1730" t="str">
        <f>HYPERLINK("#'預託金_貸借・損益P43'!A1","預託金_貸借・損益P43")</f>
        <v>預託金_貸借・損益P43</v>
      </c>
      <c r="C71" s="1785" t="s">
        <v>1422</v>
      </c>
      <c r="D71" s="1785"/>
      <c r="E71" s="1785"/>
      <c r="F71" s="1732" t="s">
        <v>1344</v>
      </c>
      <c r="G71" s="1780" t="s">
        <v>1403</v>
      </c>
      <c r="H71" s="1780"/>
    </row>
    <row outlineLevel="1" hidden="1" r="72" spans="1:8" ht="19.95" customHeight="1">
      <c r="A72" s="1736" t="s">
        <v>1421</v>
      </c>
      <c r="B72" s="1727" t="str">
        <f>HYPERLINK("#'預託金_預金・未収・貸付・預託金P44'!A1","預託金_預金・未収・貸付・預託金P44")</f>
        <v>預託金_預金・未収・貸付・預託金P44</v>
      </c>
      <c r="C72" s="1781" t="s">
        <v>1423</v>
      </c>
      <c r="D72" s="1781"/>
      <c r="E72" s="1781"/>
      <c r="F72" s="1732" t="s">
        <v>1344</v>
      </c>
      <c r="G72" s="1788" t="s">
        <v>1424</v>
      </c>
      <c r="H72" s="1788"/>
    </row>
    <row outlineLevel="1" hidden="1" r="73" spans="1:8" ht="19.95" customHeight="1">
      <c r="A73" s="1736" t="s">
        <v>1421</v>
      </c>
      <c r="B73" s="1730" t="str">
        <f>HYPERLINK("#'預託金_決算精算表P45'!A1","預託金_決算精算表P45")</f>
        <v>預託金_決算精算表P45</v>
      </c>
      <c r="C73" s="1785" t="s">
        <v>1425</v>
      </c>
      <c r="D73" s="1785"/>
      <c r="E73" s="1785"/>
      <c r="F73" s="1732" t="s">
        <v>1344</v>
      </c>
      <c r="G73" s="1780" t="s">
        <v>1426</v>
      </c>
      <c r="H73" s="1780"/>
    </row>
    <row outlineLevel="1" hidden="1" r="74" spans="1:8" ht="19.95" customHeight="1">
      <c r="A74" s="1735" t="s">
        <v>1390</v>
      </c>
      <c r="B74" s="1727" t="str">
        <f>HYPERLINK("#'預託金_白紙P46'!A1","預託金_白紙P46")</f>
        <v>預託金_白紙P46</v>
      </c>
      <c r="C74" s="1781" t="s">
        <v>1427</v>
      </c>
      <c r="D74" s="1781"/>
      <c r="E74" s="1781"/>
      <c r="F74" s="1735" t="s">
        <v>1392</v>
      </c>
      <c r="G74" s="1788" t="s">
        <v>1393</v>
      </c>
      <c r="H74" s="1788"/>
    </row>
    <row outlineLevel="1" hidden="1" r="75" spans="1:8" ht="19.95" customHeight="1">
      <c r="A75" s="1732" t="s">
        <v>1428</v>
      </c>
      <c r="B75" s="1730" t="str">
        <f>HYPERLINK("#'業務_財務諸表P47'!A1","業務_財務諸表P47")</f>
        <v>業務_財務諸表P47</v>
      </c>
      <c r="C75" s="1785" t="s">
        <v>1429</v>
      </c>
      <c r="D75" s="1785"/>
      <c r="E75" s="1785"/>
      <c r="F75" s="1732" t="s">
        <v>1344</v>
      </c>
      <c r="G75" s="1780" t="s">
        <v>1403</v>
      </c>
      <c r="H75" s="1780"/>
    </row>
    <row outlineLevel="1" hidden="1" r="76" spans="1:8" ht="19.95" customHeight="1">
      <c r="A76" s="1732" t="s">
        <v>1428</v>
      </c>
      <c r="B76" s="1727" t="str">
        <f>HYPERLINK("#'業務_附属明細表P48-50'!A1","業務_附属明細表P48-50")</f>
        <v>業務_附属明細表P48-50</v>
      </c>
      <c r="C76" s="1781" t="s">
        <v>1430</v>
      </c>
      <c r="D76" s="1781"/>
      <c r="E76" s="1781"/>
      <c r="F76" s="1732" t="s">
        <v>1344</v>
      </c>
      <c r="G76" s="1788" t="s">
        <v>1431</v>
      </c>
      <c r="H76" s="1788"/>
    </row>
    <row outlineLevel="1" hidden="1" r="77" spans="1:8" ht="19.95" customHeight="1">
      <c r="A77" s="1732" t="s">
        <v>1428</v>
      </c>
      <c r="B77" s="1730" t="str">
        <f>HYPERLINK("#'業務_決算精算表P51'!A1","業務_決算精算表P51")</f>
        <v>業務_決算精算表P51</v>
      </c>
      <c r="C77" s="1785" t="s">
        <v>1432</v>
      </c>
      <c r="D77" s="1785"/>
      <c r="E77" s="1785"/>
      <c r="F77" s="1732" t="s">
        <v>1344</v>
      </c>
      <c r="G77" s="1780" t="s">
        <v>1433</v>
      </c>
      <c r="H77" s="1780"/>
    </row>
    <row outlineLevel="1" hidden="1" r="78" spans="1:8" ht="19.95" customHeight="1">
      <c r="A78" s="1735" t="s">
        <v>1390</v>
      </c>
      <c r="B78" s="1727" t="str">
        <f>HYPERLINK("#'業務_白紙P52'!A1","業務_白紙P52")</f>
        <v>業務_白紙P52</v>
      </c>
      <c r="C78" s="1781" t="s">
        <v>1434</v>
      </c>
      <c r="D78" s="1781"/>
      <c r="E78" s="1781"/>
      <c r="F78" s="1735" t="s">
        <v>1392</v>
      </c>
      <c r="G78" s="1788" t="s">
        <v>1393</v>
      </c>
      <c r="H78" s="1788"/>
    </row>
    <row outlineLevel="1" hidden="1" r="79" spans="1:8" ht="19.95" customHeight="1">
      <c r="A79" s="1732" t="s">
        <v>1435</v>
      </c>
      <c r="B79" s="1730" t="str">
        <f>HYPERLINK("#'保健_財務諸表P53'!A1","保健_財務諸表P53")</f>
        <v>保健_財務諸表P53</v>
      </c>
      <c r="C79" s="1785" t="s">
        <v>1436</v>
      </c>
      <c r="D79" s="1785"/>
      <c r="E79" s="1785"/>
      <c r="F79" s="1732" t="s">
        <v>1344</v>
      </c>
      <c r="G79" s="1780" t="s">
        <v>1403</v>
      </c>
      <c r="H79" s="1780"/>
    </row>
    <row outlineLevel="1" hidden="1" r="80" spans="1:8" ht="19.95" customHeight="1">
      <c r="A80" s="1732" t="s">
        <v>1435</v>
      </c>
      <c r="B80" s="1727" t="str">
        <f>HYPERLINK("#'保健_附属明細表P54-57'!A1","保健_附属明細表P54-57")</f>
        <v>保健_附属明細表P54-57</v>
      </c>
      <c r="C80" s="1781" t="s">
        <v>1437</v>
      </c>
      <c r="D80" s="1781"/>
      <c r="E80" s="1781"/>
      <c r="F80" s="1732" t="s">
        <v>1344</v>
      </c>
      <c r="G80" s="1788" t="s">
        <v>1438</v>
      </c>
      <c r="H80" s="1788"/>
    </row>
    <row outlineLevel="1" hidden="1" r="81" spans="1:8" ht="19.95" customHeight="1">
      <c r="A81" s="1732" t="s">
        <v>1435</v>
      </c>
      <c r="B81" s="1730" t="str">
        <f>HYPERLINK("#'保健_決算精算表P58'!A1","保健_決算精算表P58")</f>
        <v>保健_決算精算表P58</v>
      </c>
      <c r="C81" s="1785" t="s">
        <v>1439</v>
      </c>
      <c r="D81" s="1785"/>
      <c r="E81" s="1785"/>
      <c r="F81" s="1732" t="s">
        <v>1344</v>
      </c>
      <c r="G81" s="1780" t="s">
        <v>1433</v>
      </c>
      <c r="H81" s="1780"/>
    </row>
    <row outlineLevel="1" hidden="1" r="82" spans="1:8" ht="19.95" customHeight="1">
      <c r="A82" s="1726" t="s">
        <v>1440</v>
      </c>
      <c r="B82" s="1727" t="str">
        <f>HYPERLINK("#'貸付_入力'!A1","貸付_入力")</f>
        <v>貸付_入力</v>
      </c>
      <c r="C82" s="1781" t="s">
        <v>1441</v>
      </c>
      <c r="D82" s="1781"/>
      <c r="E82" s="1781"/>
      <c r="F82" s="1726" t="s">
        <v>1334</v>
      </c>
      <c r="G82" s="1788" t="s">
        <v>1442</v>
      </c>
      <c r="H82" s="1788"/>
    </row>
    <row outlineLevel="1" hidden="1" r="83" spans="1:8" ht="19.95" customHeight="1">
      <c r="A83" s="1738" t="s">
        <v>1443</v>
      </c>
      <c r="B83" s="1730" t="str">
        <f>HYPERLINK("#'貸付_財務諸表P59'!A1","貸付_財務諸表P59")</f>
        <v>貸付_財務諸表P59</v>
      </c>
      <c r="C83" s="1785" t="s">
        <v>1444</v>
      </c>
      <c r="D83" s="1785"/>
      <c r="E83" s="1785"/>
      <c r="F83" s="1732" t="s">
        <v>1344</v>
      </c>
      <c r="G83" s="1780" t="s">
        <v>1445</v>
      </c>
      <c r="H83" s="1780"/>
    </row>
    <row outlineLevel="1" hidden="1" r="84" spans="1:8" ht="19.95" customHeight="1">
      <c r="A84" s="1738" t="s">
        <v>1443</v>
      </c>
      <c r="B84" s="1727" t="str">
        <f>HYPERLINK("#'貸付_附属明細表P60-62'!A1","貸付_附属明細表P60-62")</f>
        <v>貸付_附属明細表P60-62</v>
      </c>
      <c r="C84" s="1781" t="s">
        <v>1446</v>
      </c>
      <c r="D84" s="1781"/>
      <c r="E84" s="1781"/>
      <c r="F84" s="1732" t="s">
        <v>1344</v>
      </c>
      <c r="G84" s="1788" t="s">
        <v>1445</v>
      </c>
      <c r="H84" s="1788"/>
    </row>
    <row outlineLevel="1" hidden="1" r="85" spans="1:8" ht="19.95" customHeight="1">
      <c r="A85" s="1738" t="s">
        <v>1443</v>
      </c>
      <c r="B85" s="1730" t="str">
        <f>HYPERLINK("#'貸付_決算精算表P63'!A1","貸付_決算精算表P63")</f>
        <v>貸付_決算精算表P63</v>
      </c>
      <c r="C85" s="1785" t="s">
        <v>1447</v>
      </c>
      <c r="D85" s="1785"/>
      <c r="E85" s="1785"/>
      <c r="F85" s="1732" t="s">
        <v>1344</v>
      </c>
      <c r="G85" s="1780" t="s">
        <v>1445</v>
      </c>
      <c r="H85" s="1780"/>
    </row>
    <row outlineLevel="1" hidden="1" r="86" spans="1:8" ht="19.95" customHeight="1">
      <c r="A86" s="1735" t="s">
        <v>1390</v>
      </c>
      <c r="B86" s="1727" t="str">
        <f>HYPERLINK("#'貸付_白紙P64'!A1","貸付_白紙P64")</f>
        <v>貸付_白紙P64</v>
      </c>
      <c r="C86" s="1781" t="s">
        <v>1448</v>
      </c>
      <c r="D86" s="1781"/>
      <c r="E86" s="1781"/>
      <c r="F86" s="1735" t="s">
        <v>1392</v>
      </c>
      <c r="G86" s="1788" t="s">
        <v>1393</v>
      </c>
      <c r="H86" s="1788"/>
    </row>
    <row outlineLevel="1" hidden="1" r="87" spans="1:8" ht="19.95" customHeight="1">
      <c r="A87" s="1806" t="s">
        <v>1449</v>
      </c>
      <c r="B87" s="1806"/>
      <c r="C87" s="1806"/>
      <c r="D87" s="1806"/>
      <c r="E87" s="1806"/>
      <c r="F87" s="1806"/>
      <c r="G87" s="1806"/>
      <c r="H87" s="1806"/>
    </row>
    <row r="88" spans="1:8" ht="12" customHeight="1"/>
    <row collapsed="1" r="89" spans="1:8" ht="25.05" customHeight="1">
      <c r="A89" s="1790" t="s">
        <v>1450</v>
      </c>
      <c r="B89" s="1790"/>
      <c r="C89" s="1790"/>
      <c r="D89" s="1790"/>
      <c r="E89" s="1790"/>
      <c r="F89" s="1790"/>
      <c r="G89" s="1790"/>
      <c r="H89" s="1790"/>
    </row>
    <row outlineLevel="1" hidden="1" r="90" spans="1:8" ht="22.05" customHeight="1">
      <c r="A90" s="1700" t="s">
        <v>1451</v>
      </c>
      <c r="B90" s="1700" t="s">
        <v>1452</v>
      </c>
      <c r="C90" s="1700" t="s">
        <v>1453</v>
      </c>
      <c r="D90" s="1793" t="s">
        <v>1454</v>
      </c>
      <c r="E90" s="1793"/>
      <c r="F90" s="1793"/>
      <c r="G90" s="1793" t="s">
        <v>1455</v>
      </c>
      <c r="H90" s="1793"/>
    </row>
    <row outlineLevel="1" hidden="1" r="91" spans="1:8" ht="22.05" customHeight="1">
      <c r="A91" s="1739">
        <v>1</v>
      </c>
      <c r="B91" s="1740" t="s">
        <v>1456</v>
      </c>
      <c r="C91" s="1741" t="str">
        <f>HYPERLINK("#'報告_短期P7-10'!DD38","DD38、DD40、DD41")</f>
        <v>DD38、DD40、DD41</v>
      </c>
      <c r="D91" s="1791" t="s">
        <v>1457</v>
      </c>
      <c r="E91" s="1791"/>
      <c r="F91" s="1791"/>
      <c r="G91" s="1784" t="s">
        <v>1458</v>
      </c>
      <c r="H91" s="1784"/>
    </row>
    <row outlineLevel="1" hidden="1" r="92" spans="1:8" ht="22.05" customHeight="1">
      <c r="A92" s="1742">
        <v>2</v>
      </c>
      <c r="B92" s="1743" t="s">
        <v>1459</v>
      </c>
      <c r="C92" s="1744" t="str">
        <f>HYPERLINK("#'報告_貸付P23-25'!AD38","AD38")</f>
        <v>AD38</v>
      </c>
      <c r="D92" s="1787" t="s">
        <v>1460</v>
      </c>
      <c r="E92" s="1787"/>
      <c r="F92" s="1787"/>
      <c r="G92" s="1792" t="s">
        <v>1461</v>
      </c>
      <c r="H92" s="1792"/>
    </row>
    <row outlineLevel="1" hidden="1" r="93" spans="1:8" ht="22.05" customHeight="1">
      <c r="A93" s="1739">
        <v>3</v>
      </c>
      <c r="B93" s="1740" t="s">
        <v>1462</v>
      </c>
      <c r="C93" s="1741" t="str">
        <f>HYPERLINK("#'預託金_預金・未収・貸付・預託金P44'!C21","C21")</f>
        <v>C21</v>
      </c>
      <c r="D93" s="1791" t="s">
        <v>1463</v>
      </c>
      <c r="E93" s="1791"/>
      <c r="F93" s="1791"/>
      <c r="G93" s="1784" t="s">
        <v>1464</v>
      </c>
      <c r="H93" s="1784"/>
    </row>
    <row outlineLevel="1" hidden="1" r="94" spans="1:8" ht="22.05" customHeight="1">
      <c r="A94" s="1742">
        <v>4</v>
      </c>
      <c r="B94" s="1743" t="s">
        <v>1462</v>
      </c>
      <c r="C94" s="1744" t="str">
        <f>HYPERLINK("#'預託金_預金・未収・貸付・預託金P44'!F21","F21")</f>
        <v>F21</v>
      </c>
      <c r="D94" s="1787" t="s">
        <v>1465</v>
      </c>
      <c r="E94" s="1787"/>
      <c r="F94" s="1787"/>
      <c r="G94" s="1792" t="s">
        <v>1464</v>
      </c>
      <c r="H94" s="1792"/>
    </row>
    <row outlineLevel="1" hidden="1" r="95" spans="1:8" ht="22.05" customHeight="1">
      <c r="A95" s="1739">
        <v>5</v>
      </c>
      <c r="B95" s="1740" t="s">
        <v>1462</v>
      </c>
      <c r="C95" s="1741" t="str">
        <f>HYPERLINK("#'預託金_預金・未収・貸付・預託金P44'!I21","I21")</f>
        <v>I21</v>
      </c>
      <c r="D95" s="1791" t="s">
        <v>1466</v>
      </c>
      <c r="E95" s="1791"/>
      <c r="F95" s="1791"/>
      <c r="G95" s="1784" t="s">
        <v>1464</v>
      </c>
      <c r="H95" s="1784"/>
    </row>
    <row outlineLevel="1" hidden="1" r="96" spans="1:8" ht="22.05" customHeight="1">
      <c r="A96" s="1742">
        <v>6</v>
      </c>
      <c r="B96" s="1743" t="s">
        <v>1467</v>
      </c>
      <c r="C96" s="1744" t="str">
        <f>HYPERLINK("#'業務_附属明細表P48-50'!G31","G31")</f>
        <v>G31</v>
      </c>
      <c r="D96" s="1787" t="s">
        <v>1468</v>
      </c>
      <c r="E96" s="1787"/>
      <c r="F96" s="1787"/>
      <c r="G96" s="1792" t="s">
        <v>1464</v>
      </c>
      <c r="H96" s="1792"/>
    </row>
    <row outlineLevel="1" hidden="1" r="97" spans="1:8" ht="28.05" customHeight="1">
      <c r="A97" s="1739">
        <v>7</v>
      </c>
      <c r="B97" s="1740" t="s">
        <v>1469</v>
      </c>
      <c r="C97" s="1741" t="str">
        <f>HYPERLINK("#'報告_P8グラフデータ'!C5","C5、C6 ほか12個")</f>
        <v>C5、C6 ほか12個</v>
      </c>
      <c r="D97" s="1791" t="s">
        <v>1470</v>
      </c>
      <c r="E97" s="1791"/>
      <c r="F97" s="1791"/>
      <c r="G97" s="1784" t="s">
        <v>1458</v>
      </c>
      <c r="H97" s="1784"/>
    </row>
    <row outlineLevel="1" hidden="1" r="98" spans="1:8" ht="22.05" customHeight="1">
      <c r="A98" s="1742">
        <v>8</v>
      </c>
      <c r="B98" s="1743" t="s">
        <v>1471</v>
      </c>
      <c r="C98" s="1744" t="str">
        <f>HYPERLINK("#'貸付_入力'!C42","C42")</f>
        <v>C42</v>
      </c>
      <c r="D98" s="1787" t="s">
        <v>1472</v>
      </c>
      <c r="E98" s="1787"/>
      <c r="F98" s="1787"/>
      <c r="G98" s="1792" t="s">
        <v>1473</v>
      </c>
      <c r="H98" s="1792"/>
    </row>
    <row outlineLevel="1" hidden="1" r="99" spans="1:8" ht="22.05" customHeight="1">
      <c r="A99" s="1739">
        <v>9</v>
      </c>
      <c r="B99" s="1740" t="s">
        <v>1467</v>
      </c>
      <c r="C99" s="1741" t="str">
        <f>HYPERLINK("#'業務_附属明細表P48-50'!M91","M91")</f>
        <v>M91</v>
      </c>
      <c r="D99" s="1791" t="s">
        <v>1474</v>
      </c>
      <c r="E99" s="1791"/>
      <c r="F99" s="1791"/>
      <c r="G99" s="1784" t="s">
        <v>1473</v>
      </c>
      <c r="H99" s="1784"/>
    </row>
    <row outlineLevel="1" hidden="1" r="100" spans="1:8" ht="22.05" customHeight="1">
      <c r="A100" s="1742">
        <v>10</v>
      </c>
      <c r="B100" s="1743" t="s">
        <v>1475</v>
      </c>
      <c r="C100" s="1744" t="str">
        <f>HYPERLINK("#'保健_附属明細表P54-57'!M147","M147")</f>
        <v>M147</v>
      </c>
      <c r="D100" s="1787" t="s">
        <v>1476</v>
      </c>
      <c r="E100" s="1787"/>
      <c r="F100" s="1787"/>
      <c r="G100" s="1792" t="s">
        <v>1473</v>
      </c>
      <c r="H100" s="1792"/>
    </row>
    <row outlineLevel="1" hidden="1" r="101" spans="1:8" ht="22.05" customHeight="1">
      <c r="A101" s="1739">
        <v>11</v>
      </c>
      <c r="B101" s="1740" t="s">
        <v>1477</v>
      </c>
      <c r="C101" s="1741" t="str">
        <f>HYPERLINK("#'貸付_決算精算表P63'!D31","D31")</f>
        <v>D31</v>
      </c>
      <c r="D101" s="1791" t="s">
        <v>1478</v>
      </c>
      <c r="E101" s="1791"/>
      <c r="F101" s="1791"/>
      <c r="G101" s="1784" t="s">
        <v>1479</v>
      </c>
      <c r="H101" s="1784"/>
    </row>
    <row outlineLevel="1" hidden="1" r="102" spans="1:8" ht="22.05" customHeight="1">
      <c r="A102" s="1742">
        <v>12</v>
      </c>
      <c r="B102" s="1743" t="s">
        <v>1480</v>
      </c>
      <c r="C102" s="1744" t="s">
        <v>1481</v>
      </c>
      <c r="D102" s="1787" t="s">
        <v>1482</v>
      </c>
      <c r="E102" s="1787"/>
      <c r="F102" s="1787"/>
      <c r="G102" s="1792" t="s">
        <v>1483</v>
      </c>
      <c r="H102" s="1792"/>
    </row>
    <row r="103" spans="1:8" ht="12" customHeight="1"/>
    <row collapsed="1" r="104" spans="1:8" ht="25.05" customHeight="1">
      <c r="A104" s="1790" t="s">
        <v>1484</v>
      </c>
      <c r="B104" s="1790"/>
      <c r="C104" s="1790"/>
      <c r="D104" s="1790"/>
      <c r="E104" s="1790"/>
      <c r="F104" s="1790"/>
      <c r="G104" s="1790"/>
      <c r="H104" s="1790"/>
    </row>
    <row outlineLevel="1" hidden="1" r="105" spans="1:8" ht="22.05" customHeight="1">
      <c r="A105" s="1700" t="s">
        <v>1451</v>
      </c>
      <c r="B105" s="1700" t="s">
        <v>1452</v>
      </c>
      <c r="C105" s="1700" t="s">
        <v>1453</v>
      </c>
      <c r="D105" s="1793" t="s">
        <v>1485</v>
      </c>
      <c r="E105" s="1793"/>
      <c r="F105" s="1793"/>
      <c r="G105" s="1793" t="s">
        <v>1486</v>
      </c>
      <c r="H105" s="1793"/>
    </row>
    <row outlineLevel="1" hidden="1" r="106" spans="1:8" ht="28.05" customHeight="1">
      <c r="A106" s="1742">
        <v>1</v>
      </c>
      <c r="B106" s="1743" t="s">
        <v>1487</v>
      </c>
      <c r="C106" s="1744" t="str">
        <f>HYPERLINK("#'退職等_貸借・損益P35'!L9","L9")</f>
        <v>L9</v>
      </c>
      <c r="D106" s="1787" t="s">
        <v>1488</v>
      </c>
      <c r="E106" s="1787"/>
      <c r="F106" s="1787"/>
      <c r="G106" s="1789" t="s">
        <v>1489</v>
      </c>
      <c r="H106" s="1789"/>
    </row>
    <row outlineLevel="1" hidden="1" r="107" spans="1:8" ht="28.05" customHeight="1">
      <c r="A107" s="1739">
        <v>2</v>
      </c>
      <c r="B107" s="1740" t="s">
        <v>1490</v>
      </c>
      <c r="C107" s="1741" t="str">
        <f>HYPERLINK("#'貸付_財務諸表P59'!F20","F20")</f>
        <v>F20</v>
      </c>
      <c r="D107" s="1791" t="s">
        <v>1491</v>
      </c>
      <c r="E107" s="1791"/>
      <c r="F107" s="1791"/>
      <c r="G107" s="1789" t="s">
        <v>1492</v>
      </c>
      <c r="H107" s="1789"/>
    </row>
    <row outlineLevel="1" hidden="1" r="108" spans="1:8" ht="28.05" customHeight="1">
      <c r="A108" s="1742">
        <v>3</v>
      </c>
      <c r="B108" s="1743" t="s">
        <v>1475</v>
      </c>
      <c r="C108" s="1744" t="str">
        <f>HYPERLINK("#'保健_附属明細表P54-57'!J138","J138")</f>
        <v>J138</v>
      </c>
      <c r="D108" s="1787" t="s">
        <v>1493</v>
      </c>
      <c r="E108" s="1787"/>
      <c r="F108" s="1787"/>
      <c r="G108" s="1789" t="s">
        <v>1494</v>
      </c>
      <c r="H108" s="1789"/>
    </row>
    <row outlineLevel="1" hidden="1" r="109" spans="1:8" ht="28.05" customHeight="1">
      <c r="A109" s="1739">
        <v>4</v>
      </c>
      <c r="B109" s="1740" t="s">
        <v>1495</v>
      </c>
      <c r="C109" s="1741" t="str">
        <f>HYPERLINK("#'短期_附属明細表P28-29'!E110","E110")</f>
        <v>E110</v>
      </c>
      <c r="D109" s="1791" t="s">
        <v>1496</v>
      </c>
      <c r="E109" s="1791"/>
      <c r="F109" s="1791"/>
      <c r="G109" s="1789" t="s">
        <v>1497</v>
      </c>
      <c r="H109" s="1789"/>
    </row>
    <row outlineLevel="1" hidden="1" r="110" spans="1:8" ht="28.05" customHeight="1">
      <c r="A110" s="1742">
        <v>5</v>
      </c>
      <c r="B110" s="1743" t="s">
        <v>1498</v>
      </c>
      <c r="C110" s="1744" t="str">
        <f>HYPERLINK("#'報告_業務P19'!AN23","AN23")</f>
        <v>AN23</v>
      </c>
      <c r="D110" s="1787" t="s">
        <v>1499</v>
      </c>
      <c r="E110" s="1787"/>
      <c r="F110" s="1787"/>
      <c r="G110" s="1789" t="s">
        <v>1500</v>
      </c>
      <c r="H110" s="1789"/>
    </row>
    <row outlineLevel="1" hidden="1" r="111" spans="1:8" ht="28.05" customHeight="1">
      <c r="A111" s="1739">
        <v>6</v>
      </c>
      <c r="B111" s="1740" t="s">
        <v>1501</v>
      </c>
      <c r="C111" s="1741" t="str">
        <f>HYPERLINK("#'報告_短期P11-13'!AD18","AD18")</f>
        <v>AD18</v>
      </c>
      <c r="D111" s="1791" t="s">
        <v>1502</v>
      </c>
      <c r="E111" s="1791"/>
      <c r="F111" s="1791"/>
      <c r="G111" s="1789" t="s">
        <v>1503</v>
      </c>
      <c r="H111" s="1789"/>
    </row>
    <row outlineLevel="1" hidden="1" r="112" spans="1:8" ht="28.05" customHeight="1">
      <c r="A112" s="1742">
        <v>7</v>
      </c>
      <c r="B112" s="1743" t="s">
        <v>1501</v>
      </c>
      <c r="C112" s="1744" t="str">
        <f>HYPERLINK("#'報告_短期P11-13'!AA49","AA49")</f>
        <v>AA49</v>
      </c>
      <c r="D112" s="1787" t="s">
        <v>1504</v>
      </c>
      <c r="E112" s="1787"/>
      <c r="F112" s="1787"/>
      <c r="G112" s="1789" t="s">
        <v>1505</v>
      </c>
      <c r="H112" s="1789"/>
    </row>
    <row outlineLevel="1" hidden="1" r="113" spans="1:8" ht="28.05" customHeight="1">
      <c r="A113" s="1739">
        <v>8</v>
      </c>
      <c r="B113" s="1740" t="s">
        <v>1506</v>
      </c>
      <c r="C113" s="1741" t="str">
        <f>HYPERLINK("#'報告_総括P3-5'!V28","V28")</f>
        <v>V28</v>
      </c>
      <c r="D113" s="1791" t="s">
        <v>1507</v>
      </c>
      <c r="E113" s="1791"/>
      <c r="F113" s="1791"/>
      <c r="G113" s="1789" t="s">
        <v>1508</v>
      </c>
      <c r="H113" s="1789"/>
    </row>
    <row outlineLevel="1" hidden="1"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collapsed="1" r="116" spans="1:8" ht="25.95" customHeight="1">
      <c r="A116" s="1802" t="s">
        <v>1511</v>
      </c>
      <c r="B116" s="1802"/>
      <c r="C116" s="1802"/>
      <c r="D116" s="1802"/>
      <c r="E116" s="1802"/>
      <c r="F116" s="1802"/>
      <c r="G116" s="1802"/>
      <c r="H116" s="1802"/>
    </row>
    <row outlineLevel="1" hidden="1" r="117" spans="1:8" ht="28.05" customHeight="1">
      <c r="A117" s="1803" t="s">
        <v>1512</v>
      </c>
      <c r="B117" s="1803"/>
      <c r="C117" s="1803"/>
      <c r="D117" s="1803"/>
      <c r="E117" s="1803"/>
      <c r="F117" s="1803"/>
      <c r="G117" s="1803"/>
      <c r="H117" s="1803"/>
    </row>
    <row outlineLevel="1" hidden="1" r="118" spans="1:8" ht="22.05" customHeight="1">
      <c r="A118" s="1745" t="s">
        <v>1513</v>
      </c>
      <c r="B118" s="1745" t="s">
        <v>1514</v>
      </c>
      <c r="C118" s="1745" t="s">
        <v>1515</v>
      </c>
      <c r="D118" s="1801" t="s">
        <v>1516</v>
      </c>
      <c r="E118" s="1801"/>
      <c r="F118" s="1801"/>
      <c r="G118" s="1801" t="s">
        <v>1517</v>
      </c>
      <c r="H118" s="1801"/>
    </row>
    <row outlineLevel="1" hidden="1" r="119" spans="1:8" ht="25.95" customHeight="1">
      <c r="A119" s="1746">
        <v>1</v>
      </c>
      <c r="B119" s="1747" t="s">
        <v>1518</v>
      </c>
      <c r="C119" s="1748" t="s">
        <v>1519</v>
      </c>
      <c r="D119" s="1791" t="s">
        <v>1520</v>
      </c>
      <c r="E119" s="1791"/>
      <c r="F119" s="1791"/>
      <c r="G119" s="1784" t="s">
        <v>1521</v>
      </c>
      <c r="H119" s="1784"/>
    </row>
    <row outlineLevel="1" hidden="1" r="120" spans="1:8" ht="25.95" customHeight="1">
      <c r="A120" s="1746">
        <v>2</v>
      </c>
      <c r="B120" s="1749" t="s">
        <v>1522</v>
      </c>
      <c r="C120" s="1748" t="s">
        <v>1523</v>
      </c>
      <c r="D120" s="1787" t="s">
        <v>1524</v>
      </c>
      <c r="E120" s="1787"/>
      <c r="F120" s="1787"/>
      <c r="G120" s="1792" t="s">
        <v>1525</v>
      </c>
      <c r="H120" s="1792"/>
    </row>
    <row outlineLevel="1" hidden="1" r="121" spans="1:8" ht="25.95" customHeight="1">
      <c r="A121" s="1746">
        <v>3</v>
      </c>
      <c r="B121" s="1747" t="s">
        <v>1526</v>
      </c>
      <c r="C121" s="1748" t="s">
        <v>1527</v>
      </c>
      <c r="D121" s="1791" t="s">
        <v>1528</v>
      </c>
      <c r="E121" s="1791"/>
      <c r="F121" s="1791"/>
      <c r="G121" s="1784" t="s">
        <v>1529</v>
      </c>
      <c r="H121" s="1784"/>
    </row>
    <row outlineLevel="1" hidden="1" r="122" spans="1:8" ht="25.95" customHeight="1">
      <c r="A122" s="1746">
        <v>4</v>
      </c>
      <c r="B122" s="1749" t="s">
        <v>1530</v>
      </c>
      <c r="C122" s="1748" t="s">
        <v>1531</v>
      </c>
      <c r="D122" s="1787" t="s">
        <v>1532</v>
      </c>
      <c r="E122" s="1787"/>
      <c r="F122" s="1787"/>
      <c r="G122" s="1792" t="s">
        <v>1533</v>
      </c>
      <c r="H122" s="1792"/>
    </row>
    <row outlineLevel="1" hidden="1" r="123" spans="1:8" ht="25.95" customHeight="1">
      <c r="A123" s="1746">
        <v>5</v>
      </c>
      <c r="B123" s="1747" t="s">
        <v>1534</v>
      </c>
      <c r="C123" s="1748" t="s">
        <v>1535</v>
      </c>
      <c r="D123" s="1791" t="s">
        <v>1536</v>
      </c>
      <c r="E123" s="1791"/>
      <c r="F123" s="1791"/>
      <c r="G123" s="1784" t="s">
        <v>1537</v>
      </c>
      <c r="H123" s="1784"/>
    </row>
    <row outlineLevel="1" hidden="1" r="124" spans="1:8" ht="25.95" customHeight="1">
      <c r="A124" s="1746">
        <v>6</v>
      </c>
      <c r="B124" s="1749" t="s">
        <v>1538</v>
      </c>
      <c r="C124" s="1748" t="s">
        <v>1539</v>
      </c>
      <c r="D124" s="1787" t="s">
        <v>1540</v>
      </c>
      <c r="E124" s="1787"/>
      <c r="F124" s="1787"/>
      <c r="G124" s="1792" t="s">
        <v>1541</v>
      </c>
      <c r="H124" s="1792"/>
    </row>
    <row outlineLevel="1" hidden="1" r="125" spans="1:8" ht="25.95" customHeight="1">
      <c r="A125" s="1746">
        <v>7</v>
      </c>
      <c r="B125" s="1747" t="s">
        <v>1542</v>
      </c>
      <c r="C125" s="1748" t="s">
        <v>1543</v>
      </c>
      <c r="D125" s="1791" t="s">
        <v>1544</v>
      </c>
      <c r="E125" s="1791"/>
      <c r="F125" s="1791"/>
      <c r="G125" s="1784" t="s">
        <v>1545</v>
      </c>
      <c r="H125" s="1784"/>
    </row>
    <row outlineLevel="1" hidden="1" r="126" spans="1:8" ht="25.95" customHeight="1">
      <c r="A126" s="1746">
        <v>8</v>
      </c>
      <c r="B126" s="1749" t="s">
        <v>1546</v>
      </c>
      <c r="C126" s="1748" t="s">
        <v>1547</v>
      </c>
      <c r="D126" s="1787" t="s">
        <v>1548</v>
      </c>
      <c r="E126" s="1787"/>
      <c r="F126" s="1787"/>
      <c r="G126" s="1792" t="s">
        <v>1549</v>
      </c>
      <c r="H126" s="1792"/>
    </row>
    <row r="128" spans="1:8" ht="25.05" customHeight="1">
      <c r="A128" s="1790" t="inlineStr">
        <is>
          <t>8. 元ファイルとの相違（要確認）</t>
        </is>
      </c>
      <c r="B128" s="1790"/>
      <c r="C128" s="1790"/>
      <c r="D128" s="1790"/>
      <c r="E128" s="1790"/>
      <c r="F128" s="1790"/>
      <c r="G128" s="1790"/>
      <c r="H128" s="1790"/>
    </row>
    <row r="129" spans="1:8" ht="42" customHeight="1">
      <c r="A129" s="1803" t="inlineStr">
        <is>
          <t>元の決算書（.xls 21本）と照合した結果、7,677セル中7,661セルが一致しました。下の箇所は元と異なるため、正しい額・表記かを確認してください。セル番地をクリックすると該当セルへ移動します。画面では該当セルが橙色で表示されます（印刷には出ません）。全件は「元ファイルとの照合結果.xlsx」にあります。</t>
        </is>
      </c>
      <c r="B129" s="1803"/>
      <c r="C129" s="1803"/>
      <c r="D129" s="1803"/>
      <c r="E129" s="1803"/>
      <c r="F129" s="1803"/>
      <c r="G129" s="1803"/>
      <c r="H129" s="1803"/>
    </row>
    <row r="130" spans="1:8" ht="22.05" customHeight="1">
      <c r="A130" s="1700" t="inlineStr">
        <is>
          <t>No</t>
        </is>
      </c>
      <c r="B130" s="1700" t="inlineStr">
        <is>
          <t>対象シート</t>
        </is>
      </c>
      <c r="C130" s="1700" t="inlineStr">
        <is>
          <t>セル番地</t>
        </is>
      </c>
      <c r="D130" s="1793" t="inlineStr">
        <is>
          <t>相違の内容（元ファイル → 統合ブック）</t>
        </is>
      </c>
      <c r="E130" s="1793"/>
      <c r="F130" s="1793"/>
      <c r="G130" s="1793" t="inlineStr">
        <is>
          <t>確認のしかた</t>
        </is>
      </c>
      <c r="H130" s="1793"/>
    </row>
    <row r="131" spans="1:8" ht="52" customHeight="1">
      <c r="A131" s="1739">
        <v>1</v>
      </c>
      <c r="B131" s="1740" t="inlineStr">
        <is>
          <t>退職等_預金・立替・未収P36P36</t>
        </is>
      </c>
      <c r="C131" s="1741" t="str">
        <f>HYPERLINK("#'退職等_預金・立替・未収P36'!C33","C33、C34")</f>
        <v>C33、C34</v>
      </c>
      <c r="D131" s="1791" t="inlineStr">
        <is>
          <t>預り金明細（過払金等返還金・組合員1名分）
元 4,050円 → 統合ブック 0円</t>
        </is>
      </c>
      <c r="E131" s="1791"/>
      <c r="F131" s="1791"/>
      <c r="G131" s="1784" t="inlineStr">
        <is>
          <t>預り金が実際に残っているか確認。残っていればC33に4,050を入力（C34と貸借対照表の預り金に連動）。</t>
        </is>
      </c>
      <c r="H131" s="1784"/>
    </row>
    <row r="132" spans="1:8" ht="52" customHeight="1">
      <c r="A132" s="1742">
        <v>2</v>
      </c>
      <c r="B132" s="1743" t="inlineStr">
        <is>
          <t>保健_附属明細表P54-57P54-57</t>
        </is>
      </c>
      <c r="C132" s="1744" t="str">
        <f>HYPERLINK("#'保健_附属明細表P54-57'!J138","J138、T138、J139、T139")</f>
        <v>J138、T138、J139、T139</v>
      </c>
      <c r="D132" s="1787" t="inlineStr">
        <is>
          <t>支出実績表 事務費
支出済額 元 543,780円 → 513,236円、不用額 元 125,676円 → 156,220円</t>
        </is>
      </c>
      <c r="E132" s="1787"/>
      <c r="F132" s="1787"/>
      <c r="G132" s="1792" t="inlineStr">
        <is>
          <t>未払金30,544円の二重控除を直した値。決算報告書P21の不用額（-156,220円）と一致。参照先（決算精算表C30）でよいか確認。</t>
        </is>
      </c>
      <c r="H132" s="1792"/>
    </row>
    <row r="133" spans="1:8" ht="52" customHeight="1">
      <c r="A133" s="1739">
        <v>3</v>
      </c>
      <c r="B133" s="1740" t="inlineStr">
        <is>
          <t>報告_短期P11-13</t>
        </is>
      </c>
      <c r="C133" s="1741" t="str">
        <f>HYPERLINK("#'報告_短期P11-13'!AD18","AD18、AA49、AP49")</f>
        <v>AD18、AA49、AP49</v>
      </c>
      <c r="D133" s="1791" t="inlineStr">
        <is>
          <t>家族・移送費 前年度1件当たり金額 元 0円 → 70,824円
本人・訪問看護 前年度対比 元 0.00 → 件数100.00%、日数85.71%</t>
        </is>
      </c>
      <c r="E133" s="1791"/>
      <c r="F133" s="1791"/>
      <c r="G133" s="1784" t="inlineStr">
        <is>
          <t>元は0の固定値。同じ表の元データ（70,824円÷1件）から算出した値。前年度に実績があれば統合後が正しい。</t>
        </is>
      </c>
      <c r="H133" s="1784"/>
    </row>
    <row r="134" spans="1:8" ht="52" customHeight="1">
      <c r="A134" s="1742">
        <v>4</v>
      </c>
      <c r="B134" s="1743" t="inlineStr">
        <is>
          <t>報告_P8グラフデータ</t>
        </is>
      </c>
      <c r="C134" s="1744" t="str">
        <f>HYPERLINK("#'報告_P8グラフデータ'!B8","B8、B11")</f>
        <v>B8、B11</v>
      </c>
      <c r="D134" s="1787" t="inlineStr">
        <is>
          <t>交付金の1人当たり金額 元 36,502円 → 36,503円
収入の合計 元 674,925円 → 674,926円</t>
        </is>
      </c>
      <c r="E134" s="1787"/>
      <c r="F134" s="1787"/>
      <c r="G134" s="1792" t="inlineStr">
        <is>
          <t>G8=36,502.9の四捨五入。元のP8吹き出し図形も36,503円。P8の円グラフの数値と合っているか確認。</t>
        </is>
      </c>
      <c r="H134" s="1792"/>
    </row>
    <row r="135" spans="1:8" ht="52" customHeight="1">
      <c r="A135" s="1739">
        <v>5</v>
      </c>
      <c r="B135" s="1740" t="inlineStr">
        <is>
          <t>短期_附属明細表P28-29P28-29</t>
        </is>
      </c>
      <c r="C135" s="1741" t="str">
        <f>HYPERLINK("#'短期_附属明細表P28-29'!E110","E110")</f>
        <v>E110</v>
      </c>
      <c r="D135" s="1791" t="inlineStr">
        <is>
          <t>利益剰余金計算書の見出し
元「介護欠損金」 → 「介護積立金」</t>
        </is>
      </c>
      <c r="E135" s="1791"/>
      <c r="F135" s="1791"/>
      <c r="G135" s="1784" t="inlineStr">
        <is>
          <t>金額が+111,039,759円（プラス）のため自動で切替。見出しが正しいか確認。</t>
        </is>
      </c>
      <c r="H135" s="1784"/>
    </row>
    <row r="136" spans="1:8" ht="52" customHeight="1">
      <c r="A136" s="1742">
        <v>6</v>
      </c>
      <c r="B136" s="1743" t="inlineStr">
        <is>
          <t>短期_決算精算表P30P30</t>
        </is>
      </c>
      <c r="C136" s="1744" t="str">
        <f>HYPERLINK("#'短期_決算精算表P30'!I48","I48")</f>
        <v>I48</v>
      </c>
      <c r="D136" s="1787" t="inlineStr">
        <is>
          <t>「●6年度決算上の次年度繰越支払準備金」 → 「●7年度…」</t>
        </is>
      </c>
      <c r="E136" s="1787"/>
      <c r="F136" s="1787"/>
      <c r="G136" s="1792" t="inlineStr">
        <is>
          <t>入力ガイドの対象年度（C6）に連動。元の表記が前年度のままだった可能性。</t>
        </is>
      </c>
      <c r="H136" s="1792"/>
    </row>
    <row r="137" spans="1:8" ht="52" customHeight="1">
      <c r="A137" s="1739">
        <v>7</v>
      </c>
      <c r="B137" s="1740" t="inlineStr">
        <is>
          <t>厚生_決算精算表P33P33</t>
        </is>
      </c>
      <c r="C137" s="1741" t="str">
        <f>HYPERLINK("#'厚生_決算精算表P33'!A25","A25")</f>
        <v>A25</v>
      </c>
      <c r="D137" s="1791" t="inlineStr">
        <is>
          <t>作成日の数字の全角・半角のみ（令和 8年 → 令和 ８年）</t>
        </is>
      </c>
      <c r="E137" s="1791"/>
      <c r="F137" s="1791"/>
      <c r="G137" s="1784" t="inlineStr">
        <is>
          <t>数式で作成した日付。体裁のみの違い。</t>
        </is>
      </c>
      <c r="H137" s="1784"/>
    </row>
  </sheetData>
  <sheetProtection formatCells="0" formatColumns="0" formatRows="0" insertColumns="0" insertRows="0" insertHyperlinks="0" deleteColumns="0" deleteRows="0" selectLockedCells="1"/>
  <mergeCells count="212">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G93:H93"/>
    <mergeCell ref="C82:E82"/>
    <mergeCell ref="D114:F114"/>
    <mergeCell ref="A89:H89"/>
    <mergeCell ref="G74:H74"/>
    <mergeCell ref="G83:H83"/>
    <mergeCell ref="G106:H106"/>
    <mergeCell ref="D101:F101"/>
    <mergeCell ref="A117:H117"/>
    <mergeCell ref="D124:F124"/>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C80:E80"/>
    <mergeCell ref="H3"/>
    <mergeCell ref="C40:E40"/>
    <mergeCell ref="G71:H71"/>
    <mergeCell ref="G97:H97"/>
    <mergeCell ref="C51:E51"/>
    <mergeCell ref="C13:F13"/>
    <mergeCell ref="C60:E60"/>
    <mergeCell ref="C71:E71"/>
    <mergeCell ref="C3:D3"/>
    <mergeCell ref="E3:F3"/>
    <mergeCell ref="C46:E46"/>
    <mergeCell ref="C12:F12"/>
    <mergeCell ref="G63:H63"/>
    <mergeCell ref="G41:H41"/>
    <mergeCell ref="G50:H50"/>
    <mergeCell ref="C64:E64"/>
    <mergeCell ref="A128:H128"/>
    <mergeCell ref="A129:H129"/>
    <mergeCell ref="D130:F130"/>
    <mergeCell ref="G130:H130"/>
    <mergeCell ref="D131:F131"/>
    <mergeCell ref="G131:H131"/>
    <mergeCell ref="D132:F132"/>
    <mergeCell ref="G132:H132"/>
    <mergeCell ref="D133:F133"/>
    <mergeCell ref="G133:H133"/>
    <mergeCell ref="D134:F134"/>
    <mergeCell ref="G134:H134"/>
    <mergeCell ref="D135:F135"/>
    <mergeCell ref="G135:H135"/>
    <mergeCell ref="D136:F136"/>
    <mergeCell ref="G136:H136"/>
    <mergeCell ref="D137:F137"/>
    <mergeCell ref="G137:H137"/>
    <mergeCell ref="A5:H5"/>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tabColor rgb="FFA6A6A6"/>
    <pageSetUpPr fitToPage="1"/>
  </sheetPr>
  <dimension ref="A1:I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 min="8" max="8" width="52" style="1698" customWidth="1"/>
    <col min="9" max="9" width="36"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9" ht="25.05" customHeight="1">
      <c r="A5" s="1751" t="s">
        <v>1323</v>
      </c>
      <c r="B5" s="1751" t="s">
        <v>1552</v>
      </c>
      <c r="C5" s="1751" t="s">
        <v>1553</v>
      </c>
      <c r="D5" s="1751" t="s">
        <v>1554</v>
      </c>
      <c r="E5" s="1751" t="s">
        <v>1555</v>
      </c>
      <c r="F5" s="1751" t="s">
        <v>1556</v>
      </c>
      <c r="G5" s="1751" t="s">
        <v>1557</v>
      </c>
      <c r="H5" s="1751" t="inlineStr">
        <is>
          <t>反映先（直接）</t>
        </is>
      </c>
      <c r="I5" s="1751" t="inlineStr">
        <is>
          <t>影響する他の帳票</t>
        </is>
      </c>
    </row>
    <row r="6" spans="1:9"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c r="H6" s="1708" t="inlineStr">
        <is>
          <t>なし（このセルのみ）</t>
        </is>
      </c>
      <c r="I6" s="1708" t="inlineStr">
        <is>
          <t>―</t>
        </is>
      </c>
    </row>
    <row r="7" spans="1:9" ht="19.95" customHeight="1">
      <c r="A7" s="1755" t="s">
        <v>2</v>
      </c>
      <c r="B7" s="1711" t="s">
        <v>3</v>
      </c>
      <c r="C7" s="1756" t="str">
        <f>HYPERLINK("#'目次'!O9","O9")</f>
        <v>O9</v>
      </c>
      <c r="D7" s="1711" t="s">
        <v>1560</v>
      </c>
      <c r="E7" s="1757">
        <f>IF(目次!O9="","",目次!O9)</f>
        <v>1</v>
      </c>
      <c r="F7" s="1711" t="s">
        <v>1559</v>
      </c>
      <c r="G7" s="1709" t="str">
        <f t="shared" si="0"/>
        <v>入力済</v>
      </c>
      <c r="H7" s="1708" t="inlineStr">
        <is>
          <t>なし（このセルのみ）</t>
        </is>
      </c>
      <c r="I7" s="1708" t="inlineStr">
        <is>
          <t>―</t>
        </is>
      </c>
    </row>
    <row r="8" spans="1:9" ht="19.95" customHeight="1">
      <c r="A8" s="1752" t="s">
        <v>2</v>
      </c>
      <c r="B8" s="1708" t="s">
        <v>3</v>
      </c>
      <c r="C8" s="1753" t="str">
        <f>HYPERLINK("#'目次'!B15","B15")</f>
        <v>B15</v>
      </c>
      <c r="D8" s="1708" t="s">
        <v>1561</v>
      </c>
      <c r="E8" s="1754">
        <f>IF(目次!B15="","",目次!B15)</f>
        <v>2</v>
      </c>
      <c r="F8" s="1708" t="s">
        <v>1559</v>
      </c>
      <c r="G8" s="1709" t="str">
        <f t="shared" si="0"/>
        <v>入力済</v>
      </c>
      <c r="H8" s="1708" t="inlineStr">
        <is>
          <t>なし（このセルのみ）</t>
        </is>
      </c>
      <c r="I8" s="1708" t="inlineStr">
        <is>
          <t>―</t>
        </is>
      </c>
    </row>
    <row r="9" spans="1:9" ht="19.95" customHeight="1">
      <c r="A9" s="1755" t="s">
        <v>2</v>
      </c>
      <c r="B9" s="1711" t="s">
        <v>3</v>
      </c>
      <c r="C9" s="1756" t="str">
        <f>HYPERLINK("#'目次'!O15","O15")</f>
        <v>O15</v>
      </c>
      <c r="D9" s="1711" t="s">
        <v>1562</v>
      </c>
      <c r="E9" s="1757">
        <f>IF(目次!O15="","",目次!O15)</f>
        <v>3</v>
      </c>
      <c r="F9" s="1711" t="s">
        <v>1559</v>
      </c>
      <c r="G9" s="1709" t="str">
        <f t="shared" si="0"/>
        <v>入力済</v>
      </c>
      <c r="H9" s="1708" t="inlineStr">
        <is>
          <t>なし（このセルのみ）</t>
        </is>
      </c>
      <c r="I9" s="1708" t="inlineStr">
        <is>
          <t>―</t>
        </is>
      </c>
    </row>
    <row r="10" spans="1:9" ht="19.95" customHeight="1">
      <c r="A10" s="1752" t="s">
        <v>2</v>
      </c>
      <c r="B10" s="1708" t="s">
        <v>3</v>
      </c>
      <c r="C10" s="1753" t="str">
        <f>HYPERLINK("#'目次'!B21","B21")</f>
        <v>B21</v>
      </c>
      <c r="D10" s="1708" t="s">
        <v>1563</v>
      </c>
      <c r="E10" s="1754">
        <f>IF(目次!B21="","",目次!B21)</f>
        <v>3</v>
      </c>
      <c r="F10" s="1708" t="s">
        <v>1559</v>
      </c>
      <c r="G10" s="1709" t="str">
        <f t="shared" si="0"/>
        <v>入力済</v>
      </c>
      <c r="H10" s="1708" t="inlineStr">
        <is>
          <t>なし（このセルのみ）</t>
        </is>
      </c>
      <c r="I10" s="1708" t="inlineStr">
        <is>
          <t>―</t>
        </is>
      </c>
    </row>
    <row r="11" spans="1:9" ht="19.95" customHeight="1">
      <c r="A11" s="1755" t="s">
        <v>2</v>
      </c>
      <c r="B11" s="1711" t="s">
        <v>3</v>
      </c>
      <c r="C11" s="1756" t="str">
        <f>HYPERLINK("#'目次'!O25","O25")</f>
        <v>O25</v>
      </c>
      <c r="D11" s="1711" t="s">
        <v>1564</v>
      </c>
      <c r="E11" s="1757">
        <f>IF(目次!O25="","",目次!O25)</f>
        <v>27</v>
      </c>
      <c r="F11" s="1711" t="s">
        <v>1559</v>
      </c>
      <c r="G11" s="1709" t="str">
        <f t="shared" si="0"/>
        <v>入力済</v>
      </c>
      <c r="H11" s="1708" t="inlineStr">
        <is>
          <t>なし（このセルのみ）</t>
        </is>
      </c>
      <c r="I11" s="1708" t="inlineStr">
        <is>
          <t>―</t>
        </is>
      </c>
    </row>
    <row r="12" spans="1:9" ht="19.95" customHeight="1">
      <c r="A12" s="1752" t="s">
        <v>2</v>
      </c>
      <c r="B12" s="1708" t="s">
        <v>3</v>
      </c>
      <c r="C12" s="1753" t="str">
        <f>HYPERLINK("#'目次'!O28","O28")</f>
        <v>O28</v>
      </c>
      <c r="D12" s="1708" t="s">
        <v>1565</v>
      </c>
      <c r="E12" s="1754">
        <f>IF(目次!O28="","",目次!O28)</f>
        <v>31</v>
      </c>
      <c r="F12" s="1708" t="s">
        <v>1559</v>
      </c>
      <c r="G12" s="1709" t="str">
        <f t="shared" si="0"/>
        <v>入力済</v>
      </c>
      <c r="H12" s="1708" t="inlineStr">
        <is>
          <t>なし（このセルのみ）</t>
        </is>
      </c>
      <c r="I12" s="1708" t="inlineStr">
        <is>
          <t>―</t>
        </is>
      </c>
    </row>
    <row r="13" spans="1:9" ht="19.95" customHeight="1">
      <c r="A13" s="1755" t="s">
        <v>2</v>
      </c>
      <c r="B13" s="1711" t="s">
        <v>3</v>
      </c>
      <c r="C13" s="1756" t="str">
        <f>HYPERLINK("#'目次'!O31","O31")</f>
        <v>O31</v>
      </c>
      <c r="D13" s="1711" t="s">
        <v>1566</v>
      </c>
      <c r="E13" s="1757">
        <f>IF(目次!O31="","",目次!O31)</f>
        <v>35</v>
      </c>
      <c r="F13" s="1711" t="s">
        <v>1559</v>
      </c>
      <c r="G13" s="1709" t="str">
        <f t="shared" si="0"/>
        <v>入力済</v>
      </c>
      <c r="H13" s="1708" t="inlineStr">
        <is>
          <t>なし（このセルのみ）</t>
        </is>
      </c>
      <c r="I13" s="1708" t="inlineStr">
        <is>
          <t>―</t>
        </is>
      </c>
    </row>
    <row r="14" spans="1:9" ht="19.95" customHeight="1">
      <c r="A14" s="1752" t="s">
        <v>2</v>
      </c>
      <c r="B14" s="1708" t="s">
        <v>3</v>
      </c>
      <c r="C14" s="1753" t="str">
        <f>HYPERLINK("#'目次'!O34","O34")</f>
        <v>O34</v>
      </c>
      <c r="D14" s="1708" t="s">
        <v>1567</v>
      </c>
      <c r="E14" s="1754">
        <f>IF(目次!O34="","",目次!O34)</f>
        <v>39</v>
      </c>
      <c r="F14" s="1708" t="s">
        <v>1559</v>
      </c>
      <c r="G14" s="1709" t="str">
        <f t="shared" si="0"/>
        <v>入力済</v>
      </c>
      <c r="H14" s="1708" t="inlineStr">
        <is>
          <t>なし（このセルのみ）</t>
        </is>
      </c>
      <c r="I14" s="1708" t="inlineStr">
        <is>
          <t>―</t>
        </is>
      </c>
    </row>
    <row r="15" spans="1:9" ht="19.95" customHeight="1">
      <c r="A15" s="1755" t="s">
        <v>2</v>
      </c>
      <c r="B15" s="1711" t="s">
        <v>3</v>
      </c>
      <c r="C15" s="1756" t="str">
        <f>HYPERLINK("#'目次'!O37","O37")</f>
        <v>O37</v>
      </c>
      <c r="D15" s="1711" t="s">
        <v>1568</v>
      </c>
      <c r="E15" s="1757">
        <f>IF(目次!O37="","",目次!O37)</f>
        <v>43</v>
      </c>
      <c r="F15" s="1711" t="s">
        <v>1559</v>
      </c>
      <c r="G15" s="1709" t="str">
        <f t="shared" si="0"/>
        <v>入力済</v>
      </c>
      <c r="H15" s="1708" t="inlineStr">
        <is>
          <t>なし（このセルのみ）</t>
        </is>
      </c>
      <c r="I15" s="1708" t="inlineStr">
        <is>
          <t>―</t>
        </is>
      </c>
    </row>
    <row r="16" spans="1:9" ht="19.95" customHeight="1">
      <c r="A16" s="1752" t="s">
        <v>2</v>
      </c>
      <c r="B16" s="1708" t="s">
        <v>3</v>
      </c>
      <c r="C16" s="1753" t="str">
        <f>HYPERLINK("#'目次'!O40","O40")</f>
        <v>O40</v>
      </c>
      <c r="D16" s="1708" t="s">
        <v>1569</v>
      </c>
      <c r="E16" s="1754">
        <f>IF(目次!O40="","",目次!O40)</f>
        <v>47</v>
      </c>
      <c r="F16" s="1708" t="s">
        <v>1559</v>
      </c>
      <c r="G16" s="1709" t="str">
        <f t="shared" si="0"/>
        <v>入力済</v>
      </c>
      <c r="H16" s="1708" t="inlineStr">
        <is>
          <t>なし（このセルのみ）</t>
        </is>
      </c>
      <c r="I16" s="1708" t="inlineStr">
        <is>
          <t>―</t>
        </is>
      </c>
    </row>
    <row r="17" spans="1:9" ht="19.95" customHeight="1">
      <c r="A17" s="1755" t="s">
        <v>2</v>
      </c>
      <c r="B17" s="1711" t="s">
        <v>3</v>
      </c>
      <c r="C17" s="1756" t="str">
        <f>HYPERLINK("#'目次'!O43","O43")</f>
        <v>O43</v>
      </c>
      <c r="D17" s="1711" t="s">
        <v>1570</v>
      </c>
      <c r="E17" s="1757">
        <f>IF(目次!O43="","",目次!O43)</f>
        <v>53</v>
      </c>
      <c r="F17" s="1711" t="s">
        <v>1559</v>
      </c>
      <c r="G17" s="1709" t="str">
        <f t="shared" si="0"/>
        <v>入力済</v>
      </c>
      <c r="H17" s="1708" t="inlineStr">
        <is>
          <t>なし（このセルのみ）</t>
        </is>
      </c>
      <c r="I17" s="1708" t="inlineStr">
        <is>
          <t>―</t>
        </is>
      </c>
    </row>
    <row r="18" spans="1:9" ht="19.95" customHeight="1">
      <c r="A18" s="1752" t="s">
        <v>2</v>
      </c>
      <c r="B18" s="1708" t="s">
        <v>3</v>
      </c>
      <c r="C18" s="1753" t="str">
        <f>HYPERLINK("#'目次'!O46","O46")</f>
        <v>O46</v>
      </c>
      <c r="D18" s="1708" t="s">
        <v>1571</v>
      </c>
      <c r="E18" s="1754">
        <f>IF(目次!O46="","",目次!O46)</f>
        <v>59</v>
      </c>
      <c r="F18" s="1708" t="s">
        <v>1559</v>
      </c>
      <c r="G18" s="1709" t="str">
        <f t="shared" si="0"/>
        <v>入力済</v>
      </c>
      <c r="H18" s="1708" t="inlineStr">
        <is>
          <t>なし（このセルのみ）</t>
        </is>
      </c>
      <c r="I18" s="1708" t="inlineStr">
        <is>
          <t>―</t>
        </is>
      </c>
    </row>
    <row r="19" spans="1:9"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c r="H19" s="1708" t="inlineStr">
        <is>
          <t>報告_概況P1-2 G57,W55</t>
        </is>
      </c>
      <c r="I19" s="1708" t="inlineStr">
        <is>
          <t>同じシート内のみ</t>
        </is>
      </c>
    </row>
    <row r="20" spans="1:9"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c r="H20" s="1708" t="inlineStr">
        <is>
          <t>報告_概況P1-2 I57,W55</t>
        </is>
      </c>
      <c r="I20" s="1708" t="inlineStr">
        <is>
          <t>同じシート内のみ</t>
        </is>
      </c>
    </row>
    <row r="21" spans="1:9"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c r="H21" s="1708" t="inlineStr">
        <is>
          <t>報告_概況P1-2 K57,W55</t>
        </is>
      </c>
      <c r="I21" s="1708" t="inlineStr">
        <is>
          <t>同じシート内のみ</t>
        </is>
      </c>
    </row>
    <row r="22" spans="1:9"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c r="H22" s="1708" t="inlineStr">
        <is>
          <t>報告_概況P1-2 M57,W55</t>
        </is>
      </c>
      <c r="I22" s="1708" t="inlineStr">
        <is>
          <t>同じシート内のみ</t>
        </is>
      </c>
    </row>
    <row r="23" spans="1:9"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c r="H23" s="1708" t="inlineStr">
        <is>
          <t>報告_概況P1-2 O57,W55</t>
        </is>
      </c>
      <c r="I23" s="1708" t="inlineStr">
        <is>
          <t>同じシート内のみ</t>
        </is>
      </c>
    </row>
    <row r="24" spans="1:9"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c r="H24" s="1708" t="inlineStr">
        <is>
          <t>報告_概況P1-2 Q57,W55</t>
        </is>
      </c>
      <c r="I24" s="1708" t="inlineStr">
        <is>
          <t>同じシート内のみ</t>
        </is>
      </c>
    </row>
    <row r="25" spans="1:9"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c r="H25" s="1708" t="inlineStr">
        <is>
          <t>報告_概況P1-2 S57,W55</t>
        </is>
      </c>
      <c r="I25" s="1708" t="inlineStr">
        <is>
          <t>同じシート内のみ</t>
        </is>
      </c>
    </row>
    <row r="26" spans="1:9"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c r="H26" s="1708" t="inlineStr">
        <is>
          <t>報告_概況P1-2 U57,W55</t>
        </is>
      </c>
      <c r="I26" s="1708" t="inlineStr">
        <is>
          <t>同じシート内のみ</t>
        </is>
      </c>
    </row>
    <row r="27" spans="1:9"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c r="H27" s="1708" t="inlineStr">
        <is>
          <t>報告_総括P3-5 U10</t>
        </is>
      </c>
      <c r="I27" s="1708" t="inlineStr">
        <is>
          <t>同じシート内のみ</t>
        </is>
      </c>
    </row>
    <row r="28" spans="1:9"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c r="H28" s="1708" t="inlineStr">
        <is>
          <t>報告_総括P3-5 N25,AD17</t>
        </is>
      </c>
      <c r="I28" s="1708" t="inlineStr">
        <is>
          <t>同じシート内のみ</t>
        </is>
      </c>
    </row>
    <row r="29" spans="1:9"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c r="H29" s="1708" t="inlineStr">
        <is>
          <t>報告_総括P3-5 V25,AA37,AA39…</t>
        </is>
      </c>
      <c r="I29" s="1708" t="inlineStr">
        <is>
          <t>同じシート内のみ</t>
        </is>
      </c>
    </row>
    <row r="30" spans="1:9"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c r="H30" s="1708" t="inlineStr">
        <is>
          <t>報告_総括P3-5 AG18</t>
        </is>
      </c>
      <c r="I30" s="1708" t="inlineStr">
        <is>
          <t>同じシート内のみ</t>
        </is>
      </c>
    </row>
    <row r="31" spans="1:9"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c r="H31" s="1708" t="inlineStr">
        <is>
          <t>報告_総括P3-5 AA38,AA40,AG18…</t>
        </is>
      </c>
      <c r="I31" s="1708" t="inlineStr">
        <is>
          <t>同じシート内のみ</t>
        </is>
      </c>
    </row>
    <row r="32" spans="1:9"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c r="H32" s="1708" t="inlineStr">
        <is>
          <t>報告_総括P3-5 N25,N28,AD19</t>
        </is>
      </c>
      <c r="I32" s="1708" t="inlineStr">
        <is>
          <t>同じシート内のみ</t>
        </is>
      </c>
    </row>
    <row r="33" spans="1:9"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c r="H33" s="1708" t="inlineStr">
        <is>
          <t>報告_総括P3-5 V25,V28,AA41…</t>
        </is>
      </c>
      <c r="I33" s="1708" t="inlineStr">
        <is>
          <t>同じシート内のみ</t>
        </is>
      </c>
    </row>
    <row r="34" spans="1:9"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c r="H34" s="1708" t="inlineStr">
        <is>
          <t>報告_総括P3-5 N25,AD20</t>
        </is>
      </c>
      <c r="I34" s="1708" t="inlineStr">
        <is>
          <t>同じシート内のみ</t>
        </is>
      </c>
    </row>
    <row r="35" spans="1:9"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c r="H35" s="1708" t="inlineStr">
        <is>
          <t>報告_総括P3-5 V25,AA42,AA43…</t>
        </is>
      </c>
      <c r="I35" s="1708" t="inlineStr">
        <is>
          <t>同じシート内のみ</t>
        </is>
      </c>
    </row>
    <row r="36" spans="1:9"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c r="H36" s="1708" t="inlineStr">
        <is>
          <t>報告_総括P3-5 N25,AD21</t>
        </is>
      </c>
      <c r="I36" s="1708" t="inlineStr">
        <is>
          <t>同じシート内のみ</t>
        </is>
      </c>
    </row>
    <row r="37" spans="1:9"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c r="H37" s="1708" t="inlineStr">
        <is>
          <t>報告_総括P3-5 V25,AA44,AA45…</t>
        </is>
      </c>
      <c r="I37" s="1708" t="inlineStr">
        <is>
          <t>同じシート内のみ</t>
        </is>
      </c>
    </row>
    <row r="38" spans="1:9"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c r="H38" s="1708" t="inlineStr">
        <is>
          <t>報告_総括P3-5 N25,N28,AD22</t>
        </is>
      </c>
      <c r="I38" s="1708" t="inlineStr">
        <is>
          <t>同じシート内のみ</t>
        </is>
      </c>
    </row>
    <row r="39" spans="1:9"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c r="H39" s="1708" t="inlineStr">
        <is>
          <t>報告_総括P3-5 V25,V28,AA46…</t>
        </is>
      </c>
      <c r="I39" s="1708" t="inlineStr">
        <is>
          <t>同じシート内のみ</t>
        </is>
      </c>
    </row>
    <row r="40" spans="1:9"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c r="H40" s="1708" t="inlineStr">
        <is>
          <t>報告_総括P3-5 N25,AD23</t>
        </is>
      </c>
      <c r="I40" s="1708" t="inlineStr">
        <is>
          <t>同じシート内のみ</t>
        </is>
      </c>
    </row>
    <row r="41" spans="1:9"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c r="H41" s="1708" t="inlineStr">
        <is>
          <t>報告_総括P3-5 V25,AA47,AA50…</t>
        </is>
      </c>
      <c r="I41" s="1708" t="inlineStr">
        <is>
          <t>同じシート内のみ</t>
        </is>
      </c>
    </row>
    <row r="42" spans="1:9"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c r="H42" s="1708" t="inlineStr">
        <is>
          <t>報告_総括P3-5 AG24</t>
        </is>
      </c>
      <c r="I42" s="1708" t="inlineStr">
        <is>
          <t>同じシート内のみ</t>
        </is>
      </c>
    </row>
    <row r="43" spans="1:9"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c r="H43" s="1708" t="inlineStr">
        <is>
          <t>報告_総括P3-5 AG24,AW24</t>
        </is>
      </c>
      <c r="I43" s="1708" t="inlineStr">
        <is>
          <t>同じシート内のみ</t>
        </is>
      </c>
    </row>
    <row r="44" spans="1:9"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c r="H44" s="1708" t="inlineStr">
        <is>
          <t>報告_総括P3-5 N27,AD26</t>
        </is>
      </c>
      <c r="I44" s="1708" t="inlineStr">
        <is>
          <t>同じシート内のみ</t>
        </is>
      </c>
    </row>
    <row r="45" spans="1:9"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c r="H45" s="1708" t="inlineStr">
        <is>
          <t>報告_総括P3-5 V27,AA51,AD26…</t>
        </is>
      </c>
      <c r="I45" s="1708" t="inlineStr">
        <is>
          <t>同じシート内のみ</t>
        </is>
      </c>
    </row>
    <row r="46" spans="1:9"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c r="H46" s="1708" t="inlineStr">
        <is>
          <t>報告_総括P3-5 M49,AF37</t>
        </is>
      </c>
      <c r="I46" s="1708" t="inlineStr">
        <is>
          <t>同じシート内のみ</t>
        </is>
      </c>
    </row>
    <row r="47" spans="1:9"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c r="H47" s="1708" t="inlineStr">
        <is>
          <t>報告_総括P3-5 T49,AA37,AF37…</t>
        </is>
      </c>
      <c r="I47" s="1708" t="inlineStr">
        <is>
          <t>同じシート内のみ</t>
        </is>
      </c>
    </row>
    <row r="48" spans="1:9"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c r="H48" s="1708" t="inlineStr">
        <is>
          <t>報告_総括P3-5 AF38</t>
        </is>
      </c>
      <c r="I48" s="1708" t="inlineStr">
        <is>
          <t>同じシート内のみ</t>
        </is>
      </c>
    </row>
    <row r="49" spans="1:9"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c r="H49" s="1708" t="inlineStr">
        <is>
          <t>報告_総括P3-5 AA38,AF38,AU38</t>
        </is>
      </c>
      <c r="I49" s="1708" t="inlineStr">
        <is>
          <t>同じシート内のみ</t>
        </is>
      </c>
    </row>
    <row r="50" spans="1:9"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c r="H50" s="1708" t="inlineStr">
        <is>
          <t>報告_総括P3-5 M50,AF39</t>
        </is>
      </c>
      <c r="I50" s="1708" t="inlineStr">
        <is>
          <t>同じシート内のみ</t>
        </is>
      </c>
    </row>
    <row r="51" spans="1:9"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c r="H51" s="1708" t="inlineStr">
        <is>
          <t>報告_総括P3-5 T50,AA39,AF39…</t>
        </is>
      </c>
      <c r="I51" s="1708" t="inlineStr">
        <is>
          <t>同じシート内のみ</t>
        </is>
      </c>
    </row>
    <row r="52" spans="1:9"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c r="H52" s="1708" t="inlineStr">
        <is>
          <t>報告_総括P3-5 AF40</t>
        </is>
      </c>
      <c r="I52" s="1708" t="inlineStr">
        <is>
          <t>同じシート内のみ</t>
        </is>
      </c>
    </row>
    <row r="53" spans="1:9"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c r="H53" s="1708" t="inlineStr">
        <is>
          <t>報告_総括P3-5 AA40,AF40,AU40</t>
        </is>
      </c>
      <c r="I53" s="1708" t="inlineStr">
        <is>
          <t>同じシート内のみ</t>
        </is>
      </c>
    </row>
    <row r="54" spans="1:9"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c r="H54" s="1708" t="inlineStr">
        <is>
          <t>報告_総括P3-5 M50,AF41</t>
        </is>
      </c>
      <c r="I54" s="1708" t="inlineStr">
        <is>
          <t>同じシート内のみ</t>
        </is>
      </c>
    </row>
    <row r="55" spans="1:9"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c r="H55" s="1708" t="inlineStr">
        <is>
          <t>報告_総括P3-5 T50,AA41,AF41…</t>
        </is>
      </c>
      <c r="I55" s="1708" t="inlineStr">
        <is>
          <t>同じシート内のみ</t>
        </is>
      </c>
    </row>
    <row r="56" spans="1:9"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c r="H56" s="1708" t="inlineStr">
        <is>
          <t>報告_総括P3-5 M49,AF42</t>
        </is>
      </c>
      <c r="I56" s="1708" t="inlineStr">
        <is>
          <t>同じシート内のみ</t>
        </is>
      </c>
    </row>
    <row r="57" spans="1:9"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c r="H57" s="1708" t="inlineStr">
        <is>
          <t>報告_総括P3-5 T49,AA42,AF42…</t>
        </is>
      </c>
      <c r="I57" s="1708" t="inlineStr">
        <is>
          <t>同じシート内のみ</t>
        </is>
      </c>
    </row>
    <row r="58" spans="1:9"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c r="H58" s="1708" t="inlineStr">
        <is>
          <t>報告_総括P3-5 M50,AF43</t>
        </is>
      </c>
      <c r="I58" s="1708" t="inlineStr">
        <is>
          <t>同じシート内のみ</t>
        </is>
      </c>
    </row>
    <row r="59" spans="1:9"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c r="H59" s="1708" t="inlineStr">
        <is>
          <t>報告_総括P3-5 T50,AA43,AF43…</t>
        </is>
      </c>
      <c r="I59" s="1708" t="inlineStr">
        <is>
          <t>同じシート内のみ</t>
        </is>
      </c>
    </row>
    <row r="60" spans="1:9"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c r="H60" s="1708" t="inlineStr">
        <is>
          <t>報告_総括P3-5 M49,AF44</t>
        </is>
      </c>
      <c r="I60" s="1708" t="inlineStr">
        <is>
          <t>同じシート内のみ</t>
        </is>
      </c>
    </row>
    <row r="61" spans="1:9"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c r="H61" s="1708" t="inlineStr">
        <is>
          <t>報告_総括P3-5 T49,AA44,AF44…</t>
        </is>
      </c>
      <c r="I61" s="1708" t="inlineStr">
        <is>
          <t>同じシート内のみ</t>
        </is>
      </c>
    </row>
    <row r="62" spans="1:9"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c r="H62" s="1708" t="inlineStr">
        <is>
          <t>報告_総括P3-5 M50,AF45</t>
        </is>
      </c>
      <c r="I62" s="1708" t="inlineStr">
        <is>
          <t>同じシート内のみ</t>
        </is>
      </c>
    </row>
    <row r="63" spans="1:9"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c r="H63" s="1708" t="inlineStr">
        <is>
          <t>報告_総括P3-5 T50,AA45,AF45…</t>
        </is>
      </c>
      <c r="I63" s="1708" t="inlineStr">
        <is>
          <t>同じシート内のみ</t>
        </is>
      </c>
    </row>
    <row r="64" spans="1:9"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c r="H64" s="1708" t="inlineStr">
        <is>
          <t>報告_総括P3-5 M50,AF46</t>
        </is>
      </c>
      <c r="I64" s="1708" t="inlineStr">
        <is>
          <t>同じシート内のみ</t>
        </is>
      </c>
    </row>
    <row r="65" spans="1:9"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c r="H65" s="1708" t="inlineStr">
        <is>
          <t>報告_総括P3-5 T50,AA46,AF46…</t>
        </is>
      </c>
      <c r="I65" s="1708" t="inlineStr">
        <is>
          <t>同じシート内のみ</t>
        </is>
      </c>
    </row>
    <row r="66" spans="1:9"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c r="H66" s="1708" t="inlineStr">
        <is>
          <t>報告_総括P3-5 M48,M49,AF47</t>
        </is>
      </c>
      <c r="I66" s="1708" t="inlineStr">
        <is>
          <t>同じシート内のみ</t>
        </is>
      </c>
    </row>
    <row r="67" spans="1:9"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c r="H67" s="1708" t="inlineStr">
        <is>
          <t>報告_総括P3-5 T48,T49,AA47…</t>
        </is>
      </c>
      <c r="I67" s="1708" t="inlineStr">
        <is>
          <t>同じシート内のみ</t>
        </is>
      </c>
    </row>
    <row r="68" spans="1:9"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c r="H68" s="1708" t="inlineStr">
        <is>
          <t>報告_総括P3-5 M53,AF51</t>
        </is>
      </c>
      <c r="I68" s="1708" t="inlineStr">
        <is>
          <t>同じシート内のみ</t>
        </is>
      </c>
    </row>
    <row r="69" spans="1:9"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c r="H69" s="1708" t="inlineStr">
        <is>
          <t>報告_総括P3-5 T53,AA51,AF51…</t>
        </is>
      </c>
      <c r="I69" s="1708" t="inlineStr">
        <is>
          <t>同じシート内のみ</t>
        </is>
      </c>
    </row>
    <row r="70" spans="1:9"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c r="H70" s="1708" t="inlineStr">
        <is>
          <t>報告_総括P3-5 M77,AC65</t>
        </is>
      </c>
      <c r="I70" s="1708" t="inlineStr">
        <is>
          <t>同じシート内のみ</t>
        </is>
      </c>
    </row>
    <row r="71" spans="1:9"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c r="H71" s="1708" t="inlineStr">
        <is>
          <t>報告_総括P3-5 U77,AC65,AT65</t>
        </is>
      </c>
      <c r="I71" s="1708" t="inlineStr">
        <is>
          <t>同じシート内のみ</t>
        </is>
      </c>
    </row>
    <row r="72" spans="1:9"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c r="H72" s="1708" t="inlineStr">
        <is>
          <t>報告_総括P3-5 AC66</t>
        </is>
      </c>
      <c r="I72" s="1708" t="inlineStr">
        <is>
          <t>同じシート内のみ</t>
        </is>
      </c>
    </row>
    <row r="73" spans="1:9"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c r="H73" s="1708" t="inlineStr">
        <is>
          <t>報告_総括P3-5 AC66,AT66</t>
        </is>
      </c>
      <c r="I73" s="1708" t="inlineStr">
        <is>
          <t>同じシート内のみ</t>
        </is>
      </c>
    </row>
    <row r="74" spans="1:9"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c r="H74" s="1708" t="inlineStr">
        <is>
          <t>報告_総括P3-5 M78,AC67</t>
        </is>
      </c>
      <c r="I74" s="1708" t="inlineStr">
        <is>
          <t>同じシート内のみ</t>
        </is>
      </c>
    </row>
    <row r="75" spans="1:9"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c r="H75" s="1708" t="inlineStr">
        <is>
          <t>報告_総括P3-5 U78,AC67,AT67</t>
        </is>
      </c>
      <c r="I75" s="1708" t="inlineStr">
        <is>
          <t>同じシート内のみ</t>
        </is>
      </c>
    </row>
    <row r="76" spans="1:9"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c r="H76" s="1708" t="inlineStr">
        <is>
          <t>報告_総括P3-5 AC68</t>
        </is>
      </c>
      <c r="I76" s="1708" t="inlineStr">
        <is>
          <t>同じシート内のみ</t>
        </is>
      </c>
    </row>
    <row r="77" spans="1:9"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c r="H77" s="1708" t="inlineStr">
        <is>
          <t>報告_総括P3-5 AC68,AT68</t>
        </is>
      </c>
      <c r="I77" s="1708" t="inlineStr">
        <is>
          <t>同じシート内のみ</t>
        </is>
      </c>
    </row>
    <row r="78" spans="1:9"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c r="H78" s="1708" t="inlineStr">
        <is>
          <t>報告_総括P3-5 M78,AC69</t>
        </is>
      </c>
      <c r="I78" s="1708" t="inlineStr">
        <is>
          <t>同じシート内のみ</t>
        </is>
      </c>
    </row>
    <row r="79" spans="1:9"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c r="H79" s="1708" t="inlineStr">
        <is>
          <t>報告_総括P3-5 U78,AC69,AT69</t>
        </is>
      </c>
      <c r="I79" s="1708" t="inlineStr">
        <is>
          <t>同じシート内のみ</t>
        </is>
      </c>
    </row>
    <row r="80" spans="1:9"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c r="H80" s="1708" t="inlineStr">
        <is>
          <t>報告_総括P3-5 M77,AC70</t>
        </is>
      </c>
      <c r="I80" s="1708" t="inlineStr">
        <is>
          <t>同じシート内のみ</t>
        </is>
      </c>
    </row>
    <row r="81" spans="1:9"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c r="H81" s="1708" t="inlineStr">
        <is>
          <t>報告_総括P3-5 U77,AC70,AT70</t>
        </is>
      </c>
      <c r="I81" s="1708" t="inlineStr">
        <is>
          <t>同じシート内のみ</t>
        </is>
      </c>
    </row>
    <row r="82" spans="1:9"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c r="H82" s="1708" t="inlineStr">
        <is>
          <t>報告_総括P3-5 M78,AC71</t>
        </is>
      </c>
      <c r="I82" s="1708" t="inlineStr">
        <is>
          <t>同じシート内のみ</t>
        </is>
      </c>
    </row>
    <row r="83" spans="1:9"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c r="H83" s="1708" t="inlineStr">
        <is>
          <t>報告_総括P3-5 U78,AC71,AT71</t>
        </is>
      </c>
      <c r="I83" s="1708" t="inlineStr">
        <is>
          <t>同じシート内のみ</t>
        </is>
      </c>
    </row>
    <row r="84" spans="1:9"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c r="H84" s="1708" t="inlineStr">
        <is>
          <t>報告_総括P3-5 M77,AC72</t>
        </is>
      </c>
      <c r="I84" s="1708" t="inlineStr">
        <is>
          <t>同じシート内のみ</t>
        </is>
      </c>
    </row>
    <row r="85" spans="1:9"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c r="H85" s="1708" t="inlineStr">
        <is>
          <t>報告_総括P3-5 U77,AC72,AT72</t>
        </is>
      </c>
      <c r="I85" s="1708" t="inlineStr">
        <is>
          <t>同じシート内のみ</t>
        </is>
      </c>
    </row>
    <row r="86" spans="1:9"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c r="H86" s="1708" t="inlineStr">
        <is>
          <t>報告_総括P3-5 M78,AC73</t>
        </is>
      </c>
      <c r="I86" s="1708" t="inlineStr">
        <is>
          <t>同じシート内のみ</t>
        </is>
      </c>
    </row>
    <row r="87" spans="1:9"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c r="H87" s="1708" t="inlineStr">
        <is>
          <t>報告_総括P3-5 U78,AC73,AT73</t>
        </is>
      </c>
      <c r="I87" s="1708" t="inlineStr">
        <is>
          <t>同じシート内のみ</t>
        </is>
      </c>
    </row>
    <row r="88" spans="1:9"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c r="H88" s="1708" t="inlineStr">
        <is>
          <t>報告_総括P3-5 M78,AC74</t>
        </is>
      </c>
      <c r="I88" s="1708" t="inlineStr">
        <is>
          <t>同じシート内のみ</t>
        </is>
      </c>
    </row>
    <row r="89" spans="1:9"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c r="H89" s="1708" t="inlineStr">
        <is>
          <t>報告_総括P3-5 U78,AC74,AT74</t>
        </is>
      </c>
      <c r="I89" s="1708" t="inlineStr">
        <is>
          <t>同じシート内のみ</t>
        </is>
      </c>
    </row>
    <row r="90" spans="1:9"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c r="H90" s="1708" t="inlineStr">
        <is>
          <t>報告_総括P3-5 M76,M77,AC75</t>
        </is>
      </c>
      <c r="I90" s="1708" t="inlineStr">
        <is>
          <t>同じシート内のみ</t>
        </is>
      </c>
    </row>
    <row r="91" spans="1:9"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c r="H91" s="1708" t="inlineStr">
        <is>
          <t>報告_総括P3-5 U76,U77,AC75…</t>
        </is>
      </c>
      <c r="I91" s="1708" t="inlineStr">
        <is>
          <t>同じシート内のみ</t>
        </is>
      </c>
    </row>
    <row r="92" spans="1:9"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c r="H92" s="1708" t="inlineStr">
        <is>
          <t>報告_総括P3-5 M93,AA88</t>
        </is>
      </c>
      <c r="I92" s="1708" t="inlineStr">
        <is>
          <t>同じシート内のみ</t>
        </is>
      </c>
    </row>
    <row r="93" spans="1:9"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c r="H93" s="1708" t="inlineStr">
        <is>
          <t>報告_総括P3-5 T93,AA88,AO88…</t>
        </is>
      </c>
      <c r="I93" s="1708" t="inlineStr">
        <is>
          <t>同じシート内のみ</t>
        </is>
      </c>
    </row>
    <row r="94" spans="1:9"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c r="H94" s="1708" t="inlineStr">
        <is>
          <t>報告_総括P3-5 M93,AA89</t>
        </is>
      </c>
      <c r="I94" s="1708" t="inlineStr">
        <is>
          <t>同じシート内のみ</t>
        </is>
      </c>
    </row>
    <row r="95" spans="1:9"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c r="H95" s="1708" t="inlineStr">
        <is>
          <t>報告_総括P3-5 T93,AA89,AO89…</t>
        </is>
      </c>
      <c r="I95" s="1708" t="inlineStr">
        <is>
          <t>同じシート内のみ</t>
        </is>
      </c>
    </row>
    <row r="96" spans="1:9"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c r="H96" s="1708" t="inlineStr">
        <is>
          <t>報告_総括P3-5 M93,AA90</t>
        </is>
      </c>
      <c r="I96" s="1708" t="inlineStr">
        <is>
          <t>同じシート内のみ</t>
        </is>
      </c>
    </row>
    <row r="97" spans="1:9"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c r="H97" s="1708" t="inlineStr">
        <is>
          <t>報告_総括P3-5 T93,AA90,AO90…</t>
        </is>
      </c>
      <c r="I97" s="1708" t="inlineStr">
        <is>
          <t>同じシート内のみ</t>
        </is>
      </c>
    </row>
    <row r="98" spans="1:9"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c r="H98" s="1708" t="inlineStr">
        <is>
          <t>報告_総括P3-5 M93,AA91</t>
        </is>
      </c>
      <c r="I98" s="1708" t="inlineStr">
        <is>
          <t>同じシート内のみ</t>
        </is>
      </c>
    </row>
    <row r="99" spans="1:9"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c r="H99" s="1708" t="inlineStr">
        <is>
          <t>報告_総括P3-5 T93,AA91,AO91…</t>
        </is>
      </c>
      <c r="I99" s="1708" t="inlineStr">
        <is>
          <t>同じシート内のみ</t>
        </is>
      </c>
    </row>
    <row r="100" spans="1:9"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c r="H100" s="1708" t="inlineStr">
        <is>
          <t>報告_総括P3-5 AA92</t>
        </is>
      </c>
      <c r="I100" s="1708" t="inlineStr">
        <is>
          <t>同じシート内のみ</t>
        </is>
      </c>
    </row>
    <row r="101" spans="1:9"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c r="H101" s="1708" t="inlineStr">
        <is>
          <t>報告_総括P3-5 AA92,AO92,AV92</t>
        </is>
      </c>
      <c r="I101" s="1708" t="inlineStr">
        <is>
          <t>同じシート内のみ</t>
        </is>
      </c>
    </row>
    <row r="102" spans="1:9"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c r="H102" s="1708" t="inlineStr">
        <is>
          <t>報告_総括P3-5 M95,AA94</t>
        </is>
      </c>
      <c r="I102" s="1708" t="inlineStr">
        <is>
          <t>同じシート内のみ</t>
        </is>
      </c>
    </row>
    <row r="103" spans="1:9"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c r="H103" s="1708" t="inlineStr">
        <is>
          <t>報告_総括P3-5 T95,AA94,AO94…</t>
        </is>
      </c>
      <c r="I103" s="1708" t="inlineStr">
        <is>
          <t>同じシート内のみ</t>
        </is>
      </c>
    </row>
    <row r="104" spans="1:9"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c r="H104" s="1708" t="inlineStr">
        <is>
          <t>報告_短期P6 AF7</t>
        </is>
      </c>
      <c r="I104" s="1708" t="inlineStr">
        <is>
          <t>同じシート内のみ</t>
        </is>
      </c>
    </row>
    <row r="105" spans="1:9"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c r="H105" s="1708" t="inlineStr">
        <is>
          <t>報告_短期P6 AF7</t>
        </is>
      </c>
      <c r="I105" s="1708" t="inlineStr">
        <is>
          <t>同じシート内のみ</t>
        </is>
      </c>
    </row>
    <row r="106" spans="1:9"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c r="H106" s="1708" t="inlineStr">
        <is>
          <t>報告_短期P6 AF8</t>
        </is>
      </c>
      <c r="I106" s="1708" t="inlineStr">
        <is>
          <t>同じシート内のみ</t>
        </is>
      </c>
    </row>
    <row r="107" spans="1:9"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c r="H107" s="1708" t="inlineStr">
        <is>
          <t>報告_短期P6 AF8</t>
        </is>
      </c>
      <c r="I107" s="1708" t="inlineStr">
        <is>
          <t>同じシート内のみ</t>
        </is>
      </c>
    </row>
    <row r="108" spans="1:9"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c r="H108" s="1708" t="inlineStr">
        <is>
          <t>報告_短期P6 AF9</t>
        </is>
      </c>
      <c r="I108" s="1708" t="inlineStr">
        <is>
          <t>同じシート内のみ</t>
        </is>
      </c>
    </row>
    <row r="109" spans="1:9"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c r="H109" s="1708" t="inlineStr">
        <is>
          <t>報告_短期P6 AF9</t>
        </is>
      </c>
      <c r="I109" s="1708" t="inlineStr">
        <is>
          <t>同じシート内のみ</t>
        </is>
      </c>
    </row>
    <row r="110" spans="1:9"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c r="H110" s="1708" t="inlineStr">
        <is>
          <t>報告_短期P6 AF10</t>
        </is>
      </c>
      <c r="I110" s="1708" t="inlineStr">
        <is>
          <t>同じシート内のみ</t>
        </is>
      </c>
    </row>
    <row r="111" spans="1:9"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c r="H111" s="1708" t="inlineStr">
        <is>
          <t>報告_短期P6 AF10</t>
        </is>
      </c>
      <c r="I111" s="1708" t="inlineStr">
        <is>
          <t>同じシート内のみ</t>
        </is>
      </c>
    </row>
    <row r="112" spans="1:9"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c r="H112" s="1708" t="inlineStr">
        <is>
          <t>報告_短期P6 AF11</t>
        </is>
      </c>
      <c r="I112" s="1708" t="inlineStr">
        <is>
          <t>同じシート内のみ</t>
        </is>
      </c>
    </row>
    <row r="113" spans="1:9"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c r="H113" s="1708" t="inlineStr">
        <is>
          <t>報告_短期P6 AF11</t>
        </is>
      </c>
      <c r="I113" s="1708" t="inlineStr">
        <is>
          <t>同じシート内のみ</t>
        </is>
      </c>
    </row>
    <row r="114" spans="1:9"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c r="H114" s="1708" t="inlineStr">
        <is>
          <t>報告_短期P6 AF12</t>
        </is>
      </c>
      <c r="I114" s="1708" t="inlineStr">
        <is>
          <t>同じシート内のみ</t>
        </is>
      </c>
    </row>
    <row r="115" spans="1:9"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c r="H115" s="1708" t="inlineStr">
        <is>
          <t>報告_短期P6 AF19</t>
        </is>
      </c>
      <c r="I115" s="1708" t="inlineStr">
        <is>
          <t>同じシート内のみ</t>
        </is>
      </c>
    </row>
    <row r="116" spans="1:9"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c r="H116" s="1708" t="inlineStr">
        <is>
          <t>報告_短期P6 AF19</t>
        </is>
      </c>
      <c r="I116" s="1708" t="inlineStr">
        <is>
          <t>同じシート内のみ</t>
        </is>
      </c>
    </row>
    <row r="117" spans="1:9"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c r="H117" s="1708" t="inlineStr">
        <is>
          <t>報告_短期P6 AF20</t>
        </is>
      </c>
      <c r="I117" s="1708" t="inlineStr">
        <is>
          <t>同じシート内のみ</t>
        </is>
      </c>
    </row>
    <row r="118" spans="1:9"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c r="H118" s="1708" t="inlineStr">
        <is>
          <t>報告_短期P6 AF20</t>
        </is>
      </c>
      <c r="I118" s="1708" t="inlineStr">
        <is>
          <t>同じシート内のみ</t>
        </is>
      </c>
    </row>
    <row r="119" spans="1:9"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c r="H119" s="1708" t="inlineStr">
        <is>
          <t>報告_短期P6 AF21</t>
        </is>
      </c>
      <c r="I119" s="1708" t="inlineStr">
        <is>
          <t>同じシート内のみ</t>
        </is>
      </c>
    </row>
    <row r="120" spans="1:9"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c r="H120" s="1708" t="inlineStr">
        <is>
          <t>報告_短期P6 AF21</t>
        </is>
      </c>
      <c r="I120" s="1708" t="inlineStr">
        <is>
          <t>同じシート内のみ</t>
        </is>
      </c>
    </row>
    <row r="121" spans="1:9"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c r="H121" s="1708" t="inlineStr">
        <is>
          <t>報告_短期P6 AF22</t>
        </is>
      </c>
      <c r="I121" s="1708" t="inlineStr">
        <is>
          <t>同じシート内のみ</t>
        </is>
      </c>
    </row>
    <row r="122" spans="1:9"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c r="H122" s="1708" t="inlineStr">
        <is>
          <t>報告_短期P6 AF22</t>
        </is>
      </c>
      <c r="I122" s="1708" t="inlineStr">
        <is>
          <t>同じシート内のみ</t>
        </is>
      </c>
    </row>
    <row r="123" spans="1:9"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c r="H123" s="1708" t="inlineStr">
        <is>
          <t>報告_短期P6 AF23</t>
        </is>
      </c>
      <c r="I123" s="1708" t="inlineStr">
        <is>
          <t>同じシート内のみ</t>
        </is>
      </c>
    </row>
    <row r="124" spans="1:9"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c r="H124" s="1708" t="inlineStr">
        <is>
          <t>なし（このセルのみ）</t>
        </is>
      </c>
      <c r="I124" s="1708" t="inlineStr">
        <is>
          <t>―</t>
        </is>
      </c>
    </row>
    <row r="125" spans="1:9"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c r="H125" s="1708" t="inlineStr">
        <is>
          <t>なし（このセルのみ）</t>
        </is>
      </c>
      <c r="I125" s="1708" t="inlineStr">
        <is>
          <t>―</t>
        </is>
      </c>
    </row>
    <row r="126" spans="1:9"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c r="H126" s="1708" t="inlineStr">
        <is>
          <t>報告_短期P7-10 AZ30,DD5</t>
        </is>
      </c>
      <c r="I126" s="1708" t="inlineStr">
        <is>
          <t>同じシート内のみ</t>
        </is>
      </c>
    </row>
    <row r="127" spans="1:9"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c r="H127" s="1708" t="inlineStr">
        <is>
          <t>報告_短期P7-10 AZ30,DD6</t>
        </is>
      </c>
      <c r="I127" s="1708" t="inlineStr">
        <is>
          <t>同じシート内のみ</t>
        </is>
      </c>
    </row>
    <row r="128" spans="1:9"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c r="H128" s="1708" t="inlineStr">
        <is>
          <t>報告_短期P7-10 AZ36,CB5,CB30…、報告_P8グラフデータ F5</t>
        </is>
      </c>
      <c r="I128" s="1708" t="inlineStr">
        <is>
          <t>報告_P8グラフデータ</t>
        </is>
      </c>
    </row>
    <row r="129" spans="1:9"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c r="H129" s="1708" t="inlineStr">
        <is>
          <t>報告_短期P7-10 AZ30,DD7</t>
        </is>
      </c>
      <c r="I129" s="1708" t="inlineStr">
        <is>
          <t>同じシート内のみ</t>
        </is>
      </c>
    </row>
    <row r="130" spans="1:9"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c r="H130" s="1708" t="inlineStr">
        <is>
          <t>報告_短期P7-10 AZ30,DD8</t>
        </is>
      </c>
      <c r="I130" s="1708" t="inlineStr">
        <is>
          <t>同じシート内のみ</t>
        </is>
      </c>
    </row>
    <row r="131" spans="1:9"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c r="H131" s="1708" t="inlineStr">
        <is>
          <t>報告_短期P7-10 AZ30,DD9</t>
        </is>
      </c>
      <c r="I131" s="1708" t="inlineStr">
        <is>
          <t>同じシート内のみ</t>
        </is>
      </c>
    </row>
    <row r="132" spans="1:9"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c r="H132" s="1708" t="inlineStr">
        <is>
          <t>報告_短期P7-10 AZ30,DD10</t>
        </is>
      </c>
      <c r="I132" s="1708" t="inlineStr">
        <is>
          <t>同じシート内のみ</t>
        </is>
      </c>
    </row>
    <row r="133" spans="1:9"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c r="H133" s="1708" t="inlineStr">
        <is>
          <t>報告_短期P7-10 AZ30,DD11</t>
        </is>
      </c>
      <c r="I133" s="1708" t="inlineStr">
        <is>
          <t>同じシート内のみ</t>
        </is>
      </c>
    </row>
    <row r="134" spans="1:9"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c r="H134" s="1708" t="inlineStr">
        <is>
          <t>報告_短期P7-10 AZ30,DD12</t>
        </is>
      </c>
      <c r="I134" s="1708" t="inlineStr">
        <is>
          <t>同じシート内のみ</t>
        </is>
      </c>
    </row>
    <row r="135" spans="1:9"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c r="H135" s="1708" t="inlineStr">
        <is>
          <t>報告_短期P7-10 AZ30,DD13</t>
        </is>
      </c>
      <c r="I135" s="1708" t="inlineStr">
        <is>
          <t>同じシート内のみ</t>
        </is>
      </c>
    </row>
    <row r="136" spans="1:9"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c r="H136" s="1708" t="inlineStr">
        <is>
          <t>報告_短期P7-10 AZ30,DD14</t>
        </is>
      </c>
      <c r="I136" s="1708" t="inlineStr">
        <is>
          <t>同じシート内のみ</t>
        </is>
      </c>
    </row>
    <row r="137" spans="1:9"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c r="H137" s="1708" t="inlineStr">
        <is>
          <t>報告_短期P7-10 CB30,DD14,FH14</t>
        </is>
      </c>
      <c r="I137" s="1708" t="inlineStr">
        <is>
          <t>同じシート内のみ</t>
        </is>
      </c>
    </row>
    <row r="138" spans="1:9"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c r="H138" s="1708" t="inlineStr">
        <is>
          <t>報告_短期P7-10 AZ30,DD15</t>
        </is>
      </c>
      <c r="I138" s="1708" t="inlineStr">
        <is>
          <t>同じシート内のみ</t>
        </is>
      </c>
    </row>
    <row r="139" spans="1:9"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c r="H139" s="1708" t="inlineStr">
        <is>
          <t>報告_短期P7-10 CB30,DD15,FH15</t>
        </is>
      </c>
      <c r="I139" s="1708" t="inlineStr">
        <is>
          <t>同じシート内のみ</t>
        </is>
      </c>
    </row>
    <row r="140" spans="1:9"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c r="H140" s="1708" t="inlineStr">
        <is>
          <t>報告_短期P7-10 AZ30,DD16</t>
        </is>
      </c>
      <c r="I140" s="1708" t="inlineStr">
        <is>
          <t>同じシート内のみ</t>
        </is>
      </c>
    </row>
    <row r="141" spans="1:9"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c r="H141" s="1708" t="inlineStr">
        <is>
          <t>報告_短期P7-10 CB30,DD16,FH16</t>
        </is>
      </c>
      <c r="I141" s="1708" t="inlineStr">
        <is>
          <t>同じシート内のみ</t>
        </is>
      </c>
    </row>
    <row r="142" spans="1:9"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c r="H142" s="1708" t="inlineStr">
        <is>
          <t>報告_短期P7-10 AZ30,DD17</t>
        </is>
      </c>
      <c r="I142" s="1708" t="inlineStr">
        <is>
          <t>同じシート内のみ</t>
        </is>
      </c>
    </row>
    <row r="143" spans="1:9"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c r="H143" s="1708" t="inlineStr">
        <is>
          <t>報告_短期P7-10 AZ30,DD18</t>
        </is>
      </c>
      <c r="I143" s="1708" t="inlineStr">
        <is>
          <t>同じシート内のみ</t>
        </is>
      </c>
    </row>
    <row r="144" spans="1:9"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c r="H144" s="1708" t="inlineStr">
        <is>
          <t>報告_短期P7-10 AZ30,DD20</t>
        </is>
      </c>
      <c r="I144" s="1708" t="inlineStr">
        <is>
          <t>同じシート内のみ</t>
        </is>
      </c>
    </row>
    <row r="145" spans="1:9"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c r="H145" s="1708" t="inlineStr">
        <is>
          <t>報告_短期P7-10 AZ30,DD22</t>
        </is>
      </c>
      <c r="I145" s="1708" t="inlineStr">
        <is>
          <t>同じシート内のみ</t>
        </is>
      </c>
    </row>
    <row r="146" spans="1:9"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c r="H146" s="1708" t="inlineStr">
        <is>
          <t>報告_短期P7-10 AZ30,DD23</t>
        </is>
      </c>
      <c r="I146" s="1708" t="inlineStr">
        <is>
          <t>同じシート内のみ</t>
        </is>
      </c>
    </row>
    <row r="147" spans="1:9"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c r="H147" s="1708" t="inlineStr">
        <is>
          <t>報告_短期P7-10 AZ30,DD24</t>
        </is>
      </c>
      <c r="I147" s="1708" t="inlineStr">
        <is>
          <t>同じシート内のみ</t>
        </is>
      </c>
    </row>
    <row r="148" spans="1:9"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c r="H148" s="1708" t="inlineStr">
        <is>
          <t>報告_短期P7-10 AZ30,DD25</t>
        </is>
      </c>
      <c r="I148" s="1708" t="inlineStr">
        <is>
          <t>同じシート内のみ</t>
        </is>
      </c>
    </row>
    <row r="149" spans="1:9"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c r="H149" s="1708" t="inlineStr">
        <is>
          <t>報告_短期P7-10 AZ30,DD26</t>
        </is>
      </c>
      <c r="I149" s="1708" t="inlineStr">
        <is>
          <t>同じシート内のみ</t>
        </is>
      </c>
    </row>
    <row r="150" spans="1:9"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c r="H150" s="1708" t="inlineStr">
        <is>
          <t>報告_短期P7-10 CB30,DD26,FH26</t>
        </is>
      </c>
      <c r="I150" s="1708" t="inlineStr">
        <is>
          <t>同じシート内のみ</t>
        </is>
      </c>
    </row>
    <row r="151" spans="1:9"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c r="H151" s="1708" t="inlineStr">
        <is>
          <t>報告_短期P7-10 AZ30,DD27</t>
        </is>
      </c>
      <c r="I151" s="1708" t="inlineStr">
        <is>
          <t>同じシート内のみ</t>
        </is>
      </c>
    </row>
    <row r="152" spans="1:9"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c r="H152" s="1708" t="inlineStr">
        <is>
          <t>報告_短期P7-10 AZ30,DD28</t>
        </is>
      </c>
      <c r="I152" s="1708" t="inlineStr">
        <is>
          <t>同じシート内のみ</t>
        </is>
      </c>
    </row>
    <row r="153" spans="1:9"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c r="H153" s="1708" t="inlineStr">
        <is>
          <t>報告_短期P7-10 AZ30,DD29</t>
        </is>
      </c>
      <c r="I153" s="1708" t="inlineStr">
        <is>
          <t>同じシート内のみ</t>
        </is>
      </c>
    </row>
    <row r="154" spans="1:9"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c r="H154" s="1708" t="inlineStr">
        <is>
          <t>報告_短期P7-10 AZ66,DD49</t>
        </is>
      </c>
      <c r="I154" s="1708" t="inlineStr">
        <is>
          <t>同じシート内のみ</t>
        </is>
      </c>
    </row>
    <row r="155" spans="1:9"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c r="H155" s="1708" t="inlineStr">
        <is>
          <t>報告_短期P7-10 CB66,DD49,FH49</t>
        </is>
      </c>
      <c r="I155" s="1708" t="inlineStr">
        <is>
          <t>報告_短期P11-13、報告_P8グラフデータ、短期_財務諸表P27、短期_附属明細表P28-29 ほか1シート</t>
        </is>
      </c>
    </row>
    <row r="156" spans="1:9"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c r="H156" s="1708" t="inlineStr">
        <is>
          <t>報告_短期P7-10 AZ66,DD50</t>
        </is>
      </c>
      <c r="I156" s="1708" t="inlineStr">
        <is>
          <t>同じシート内のみ</t>
        </is>
      </c>
    </row>
    <row r="157" spans="1:9"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c r="H157" s="1708" t="inlineStr">
        <is>
          <t>報告_短期P7-10 CB66,DD50,FH50</t>
        </is>
      </c>
      <c r="I157" s="1708" t="inlineStr">
        <is>
          <t>報告_短期P11-13、報告_P8グラフデータ、短期_財務諸表P27、短期_附属明細表P28-29 ほか1シート</t>
        </is>
      </c>
    </row>
    <row r="158" spans="1:9"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c r="H158" s="1708" t="inlineStr">
        <is>
          <t>報告_短期P7-10 AZ66,DD51</t>
        </is>
      </c>
      <c r="I158" s="1708" t="inlineStr">
        <is>
          <t>同じシート内のみ</t>
        </is>
      </c>
    </row>
    <row r="159" spans="1:9"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c r="H159" s="1708" t="inlineStr">
        <is>
          <t>報告_短期P7-10 CB66,CP142,DD51…</t>
        </is>
      </c>
      <c r="I159" s="1708" t="inlineStr">
        <is>
          <t>報告_短期P11-13、報告_P8グラフデータ、短期_財務諸表P27、短期_附属明細表P28-29 ほか1シート</t>
        </is>
      </c>
    </row>
    <row r="160" spans="1:9"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c r="H160" s="1708" t="inlineStr">
        <is>
          <t>報告_短期P7-10 AZ66,DD52</t>
        </is>
      </c>
      <c r="I160" s="1708" t="inlineStr">
        <is>
          <t>同じシート内のみ</t>
        </is>
      </c>
    </row>
    <row r="161" spans="1:9"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c r="H161" s="1708" t="inlineStr">
        <is>
          <t>報告_短期P7-10 CB66,DD52,FH52</t>
        </is>
      </c>
      <c r="I161" s="1708" t="inlineStr">
        <is>
          <t>報告_短期P11-13、報告_P8グラフデータ、短期_財務諸表P27、短期_附属明細表P28-29 ほか1シート</t>
        </is>
      </c>
    </row>
    <row r="162" spans="1:9"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c r="H162" s="1708" t="inlineStr">
        <is>
          <t>報告_短期P7-10 AZ66,DD53</t>
        </is>
      </c>
      <c r="I162" s="1708" t="inlineStr">
        <is>
          <t>同じシート内のみ</t>
        </is>
      </c>
    </row>
    <row r="163" spans="1:9"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c r="H163" s="1708" t="inlineStr">
        <is>
          <t>報告_短期P7-10 CB66,CP151,DD53…</t>
        </is>
      </c>
      <c r="I163" s="1708" t="inlineStr">
        <is>
          <t>報告_短期P11-13、報告_P8グラフデータ、短期_財務諸表P27、短期_附属明細表P28-29 ほか1シート</t>
        </is>
      </c>
    </row>
    <row r="164" spans="1:9"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c r="H164" s="1708" t="inlineStr">
        <is>
          <t>報告_短期P7-10 AZ66,DD54</t>
        </is>
      </c>
      <c r="I164" s="1708" t="inlineStr">
        <is>
          <t>同じシート内のみ</t>
        </is>
      </c>
    </row>
    <row r="165" spans="1:9"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c r="H165" s="1708" t="inlineStr">
        <is>
          <t>報告_短期P7-10 CB66,CP154,DD54…</t>
        </is>
      </c>
      <c r="I165" s="1708" t="inlineStr">
        <is>
          <t>報告_短期P11-13、報告_P8グラフデータ、短期_財務諸表P27、短期_附属明細表P28-29 ほか1シート</t>
        </is>
      </c>
    </row>
    <row r="166" spans="1:9"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c r="H166" s="1708" t="inlineStr">
        <is>
          <t>報告_短期P7-10 AZ66,DD55</t>
        </is>
      </c>
      <c r="I166" s="1708" t="inlineStr">
        <is>
          <t>同じシート内のみ</t>
        </is>
      </c>
    </row>
    <row r="167" spans="1:9"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c r="H167" s="1708" t="inlineStr">
        <is>
          <t>報告_短期P7-10 CB66,DD55,FH55</t>
        </is>
      </c>
      <c r="I167" s="1708" t="inlineStr">
        <is>
          <t>報告_短期P11-13、報告_P8グラフデータ、短期_財務諸表P27、短期_附属明細表P28-29 ほか1シート</t>
        </is>
      </c>
    </row>
    <row r="168" spans="1:9"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c r="H168" s="1708" t="inlineStr">
        <is>
          <t>報告_短期P7-10 AZ66,DD56</t>
        </is>
      </c>
      <c r="I168" s="1708" t="inlineStr">
        <is>
          <t>同じシート内のみ</t>
        </is>
      </c>
    </row>
    <row r="169" spans="1:9"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c r="H169" s="1708" t="inlineStr">
        <is>
          <t>報告_短期P7-10 CB66,DD56,FH56</t>
        </is>
      </c>
      <c r="I169" s="1708" t="inlineStr">
        <is>
          <t>報告_短期P11-13、報告_P8グラフデータ、短期_財務諸表P27、短期_附属明細表P28-29 ほか1シート</t>
        </is>
      </c>
    </row>
    <row r="170" spans="1:9"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c r="H170" s="1708" t="inlineStr">
        <is>
          <t>報告_短期P7-10 AZ66,DD57</t>
        </is>
      </c>
      <c r="I170" s="1708" t="inlineStr">
        <is>
          <t>同じシート内のみ</t>
        </is>
      </c>
    </row>
    <row r="171" spans="1:9"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c r="H171" s="1708" t="inlineStr">
        <is>
          <t>報告_短期P7-10 CB66,CP154,DD57…</t>
        </is>
      </c>
      <c r="I171" s="1708" t="inlineStr">
        <is>
          <t>報告_短期P11-13、報告_P8グラフデータ、短期_財務諸表P27、短期_附属明細表P28-29 ほか1シート</t>
        </is>
      </c>
    </row>
    <row r="172" spans="1:9"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c r="H172" s="1708" t="inlineStr">
        <is>
          <t>報告_短期P7-10 AZ66,DD58</t>
        </is>
      </c>
      <c r="I172" s="1708" t="inlineStr">
        <is>
          <t>同じシート内のみ</t>
        </is>
      </c>
    </row>
    <row r="173" spans="1:9"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c r="H173" s="1708" t="inlineStr">
        <is>
          <t>報告_短期P7-10 CB66,DD58,FH58</t>
        </is>
      </c>
      <c r="I173" s="1708" t="inlineStr">
        <is>
          <t>報告_短期P11-13、報告_P8グラフデータ、短期_財務諸表P27、短期_附属明細表P28-29 ほか1シート</t>
        </is>
      </c>
    </row>
    <row r="174" spans="1:9"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c r="H174" s="1708" t="inlineStr">
        <is>
          <t>報告_短期P7-10 AZ66,DD59</t>
        </is>
      </c>
      <c r="I174" s="1708" t="inlineStr">
        <is>
          <t>同じシート内のみ</t>
        </is>
      </c>
    </row>
    <row r="175" spans="1:9"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c r="H175" s="1708" t="inlineStr">
        <is>
          <t>報告_短期P7-10 CB66,DD59,FH59</t>
        </is>
      </c>
      <c r="I175" s="1708" t="inlineStr">
        <is>
          <t>報告_短期P11-13、報告_P8グラフデータ、短期_財務諸表P27、短期_附属明細表P28-29 ほか1シート</t>
        </is>
      </c>
    </row>
    <row r="176" spans="1:9"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c r="H176" s="1708" t="inlineStr">
        <is>
          <t>報告_短期P7-10 AZ66,DD60</t>
        </is>
      </c>
      <c r="I176" s="1708" t="inlineStr">
        <is>
          <t>同じシート内のみ</t>
        </is>
      </c>
    </row>
    <row r="177" spans="1:9"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c r="H177" s="1708" t="inlineStr">
        <is>
          <t>報告_短期P7-10 CB66,DD60,FH60</t>
        </is>
      </c>
      <c r="I177" s="1708" t="inlineStr">
        <is>
          <t>報告_短期P11-13、報告_P8グラフデータ、短期_財務諸表P27、短期_附属明細表P28-29 ほか1シート</t>
        </is>
      </c>
    </row>
    <row r="178" spans="1:9"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c r="H178" s="1708" t="inlineStr">
        <is>
          <t>報告_短期P7-10 AZ66,DD61</t>
        </is>
      </c>
      <c r="I178" s="1708" t="inlineStr">
        <is>
          <t>同じシート内のみ</t>
        </is>
      </c>
    </row>
    <row r="179" spans="1:9"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c r="H179" s="1708" t="inlineStr">
        <is>
          <t>報告_短期P7-10 CB66,DD61,FH61</t>
        </is>
      </c>
      <c r="I179" s="1708" t="inlineStr">
        <is>
          <t>報告_短期P11-13、報告_P8グラフデータ、短期_財務諸表P27、短期_附属明細表P28-29 ほか1シート</t>
        </is>
      </c>
    </row>
    <row r="180" spans="1:9"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c r="H180" s="1708" t="inlineStr">
        <is>
          <t>報告_短期P7-10 AZ66,DD62</t>
        </is>
      </c>
      <c r="I180" s="1708" t="inlineStr">
        <is>
          <t>同じシート内のみ</t>
        </is>
      </c>
    </row>
    <row r="181" spans="1:9"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c r="H181" s="1708" t="inlineStr">
        <is>
          <t>報告_短期P7-10 CB66,DD62,FH62</t>
        </is>
      </c>
      <c r="I181" s="1708" t="inlineStr">
        <is>
          <t>報告_短期P11-13、報告_P8グラフデータ、短期_財務諸表P27、短期_附属明細表P28-29 ほか1シート</t>
        </is>
      </c>
    </row>
    <row r="182" spans="1:9"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c r="H182" s="1708" t="inlineStr">
        <is>
          <t>報告_短期P7-10 AZ66,DD63</t>
        </is>
      </c>
      <c r="I182" s="1708" t="inlineStr">
        <is>
          <t>同じシート内のみ</t>
        </is>
      </c>
    </row>
    <row r="183" spans="1:9"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c r="H183" s="1708" t="inlineStr">
        <is>
          <t>報告_短期P7-10 CB66,DD63,FH63</t>
        </is>
      </c>
      <c r="I183" s="1708" t="inlineStr">
        <is>
          <t>報告_短期P11-13、報告_P8グラフデータ、短期_財務諸表P27、短期_附属明細表P28-29 ほか1シート</t>
        </is>
      </c>
    </row>
    <row r="184" spans="1:9"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c r="H184" s="1708" t="inlineStr">
        <is>
          <t>報告_短期P7-10 AZ66,DD64</t>
        </is>
      </c>
      <c r="I184" s="1708" t="inlineStr">
        <is>
          <t>同じシート内のみ</t>
        </is>
      </c>
    </row>
    <row r="185" spans="1:9"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c r="H185" s="1708" t="inlineStr">
        <is>
          <t>報告_短期P7-10 CB66,DD64,FH64</t>
        </is>
      </c>
      <c r="I185" s="1708" t="inlineStr">
        <is>
          <t>報告_短期P11-13、報告_P8グラフデータ、短期_財務諸表P27、短期_附属明細表P28-29 ほか1シート</t>
        </is>
      </c>
    </row>
    <row r="186" spans="1:9"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c r="H186" s="1708" t="inlineStr">
        <is>
          <t>報告_短期P7-10 AZ66,DD65</t>
        </is>
      </c>
      <c r="I186" s="1708" t="inlineStr">
        <is>
          <t>同じシート内のみ</t>
        </is>
      </c>
    </row>
    <row r="187" spans="1:9"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c r="H187" s="1708" t="inlineStr">
        <is>
          <t>報告_短期P7-10 CB66,DD65,FH65</t>
        </is>
      </c>
      <c r="I187" s="1708" t="inlineStr">
        <is>
          <t>報告_短期P11-13、報告_P8グラフデータ、短期_財務諸表P27、短期_附属明細表P28-29 ほか1シート</t>
        </is>
      </c>
    </row>
    <row r="188" spans="1:9"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c r="H188" s="1708" t="inlineStr">
        <is>
          <t>報告_短期P7-10 AZ74,DD67</t>
        </is>
      </c>
      <c r="I188" s="1708" t="inlineStr">
        <is>
          <t>同じシート内のみ</t>
        </is>
      </c>
    </row>
    <row r="189" spans="1:9"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c r="H189" s="1708" t="inlineStr">
        <is>
          <t>報告_短期P7-10 CB74,DD67,FH67</t>
        </is>
      </c>
      <c r="I189" s="1708" t="inlineStr">
        <is>
          <t>報告_短期P11-13、報告_P8グラフデータ、短期_財務諸表P27、短期_附属明細表P28-29 ほか1シート</t>
        </is>
      </c>
    </row>
    <row r="190" spans="1:9"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c r="H190" s="1708" t="inlineStr">
        <is>
          <t>報告_短期P7-10 AZ74,DD68</t>
        </is>
      </c>
      <c r="I190" s="1708" t="inlineStr">
        <is>
          <t>同じシート内のみ</t>
        </is>
      </c>
    </row>
    <row r="191" spans="1:9"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c r="H191" s="1708" t="inlineStr">
        <is>
          <t>報告_短期P7-10 CB74,DD68,FH68</t>
        </is>
      </c>
      <c r="I191" s="1708" t="inlineStr">
        <is>
          <t>報告_短期P11-13、報告_P8グラフデータ、短期_財務諸表P27、短期_附属明細表P28-29 ほか1シート</t>
        </is>
      </c>
    </row>
    <row r="192" spans="1:9"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c r="H192" s="1708" t="inlineStr">
        <is>
          <t>報告_短期P7-10 AZ74,DD69</t>
        </is>
      </c>
      <c r="I192" s="1708" t="inlineStr">
        <is>
          <t>同じシート内のみ</t>
        </is>
      </c>
    </row>
    <row r="193" spans="1:9"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c r="H193" s="1708" t="inlineStr">
        <is>
          <t>報告_短期P7-10 CB74,DD69,FH69</t>
        </is>
      </c>
      <c r="I193" s="1708" t="inlineStr">
        <is>
          <t>報告_短期P11-13、報告_P8グラフデータ、短期_財務諸表P27、短期_附属明細表P28-29 ほか1シート</t>
        </is>
      </c>
    </row>
    <row r="194" spans="1:9"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c r="H194" s="1708" t="inlineStr">
        <is>
          <t>報告_短期P7-10 AZ19,AZ74,DD70</t>
        </is>
      </c>
      <c r="I194" s="1708" t="inlineStr">
        <is>
          <t>同じシート内のみ</t>
        </is>
      </c>
    </row>
    <row r="195" spans="1:9"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c r="H195" s="1708" t="inlineStr">
        <is>
          <t>報告_短期P7-10 CB74,DD70,FH70</t>
        </is>
      </c>
      <c r="I195" s="1708" t="inlineStr">
        <is>
          <t>報告_短期P11-13、報告_P8グラフデータ、短期_財務諸表P27、短期_附属明細表P28-29 ほか1シート</t>
        </is>
      </c>
    </row>
    <row r="196" spans="1:9"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c r="H196" s="1708" t="inlineStr">
        <is>
          <t>報告_短期P7-10 AZ19,AZ74,DD71</t>
        </is>
      </c>
      <c r="I196" s="1708" t="inlineStr">
        <is>
          <t>同じシート内のみ</t>
        </is>
      </c>
    </row>
    <row r="197" spans="1:9"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c r="H197" s="1708" t="inlineStr">
        <is>
          <t>報告_短期P7-10 CB74,DD71,FH71</t>
        </is>
      </c>
      <c r="I197" s="1708" t="inlineStr">
        <is>
          <t>報告_短期P11-13、報告_P8グラフデータ、短期_財務諸表P27、短期_附属明細表P28-29 ほか1シート</t>
        </is>
      </c>
    </row>
    <row r="198" spans="1:9"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c r="H198" s="1708" t="inlineStr">
        <is>
          <t>報告_短期P7-10 AZ19,AZ74,DD72</t>
        </is>
      </c>
      <c r="I198" s="1708" t="inlineStr">
        <is>
          <t>同じシート内のみ</t>
        </is>
      </c>
    </row>
    <row r="199" spans="1:9"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c r="H199" s="1708" t="inlineStr">
        <is>
          <t>報告_短期P7-10 CB74,DD72,FH72</t>
        </is>
      </c>
      <c r="I199" s="1708" t="inlineStr">
        <is>
          <t>報告_短期P11-13、報告_P8グラフデータ、短期_財務諸表P27、短期_附属明細表P28-29 ほか1シート</t>
        </is>
      </c>
    </row>
    <row r="200" spans="1:9"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c r="H200" s="1708" t="inlineStr">
        <is>
          <t>報告_短期P7-10 AZ19,AZ74,DD73</t>
        </is>
      </c>
      <c r="I200" s="1708" t="inlineStr">
        <is>
          <t>同じシート内のみ</t>
        </is>
      </c>
    </row>
    <row r="201" spans="1:9"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c r="H201" s="1708" t="inlineStr">
        <is>
          <t>報告_短期P7-10 CB74,DD73,FH73</t>
        </is>
      </c>
      <c r="I201" s="1708" t="inlineStr">
        <is>
          <t>報告_短期P11-13、報告_P8グラフデータ、短期_財務諸表P27、短期_附属明細表P28-29 ほか1シート</t>
        </is>
      </c>
    </row>
    <row r="202" spans="1:9"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c r="H202" s="1708" t="inlineStr">
        <is>
          <t>報告_短期P7-10 AZ78,DD75</t>
        </is>
      </c>
      <c r="I202" s="1708" t="inlineStr">
        <is>
          <t>同じシート内のみ</t>
        </is>
      </c>
    </row>
    <row r="203" spans="1:9"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c r="H203" s="1708" t="inlineStr">
        <is>
          <t>報告_短期P7-10 CB78,DD75,FH75</t>
        </is>
      </c>
      <c r="I203" s="1708" t="inlineStr">
        <is>
          <t>報告_P8グラフデータ</t>
        </is>
      </c>
    </row>
    <row r="204" spans="1:9"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c r="H204" s="1708" t="inlineStr">
        <is>
          <t>報告_短期P7-10 AZ78,DD76</t>
        </is>
      </c>
      <c r="I204" s="1708" t="inlineStr">
        <is>
          <t>同じシート内のみ</t>
        </is>
      </c>
    </row>
    <row r="205" spans="1:9"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c r="H205" s="1708" t="inlineStr">
        <is>
          <t>報告_短期P7-10 CB78,DD76,FH76</t>
        </is>
      </c>
      <c r="I205" s="1708" t="inlineStr">
        <is>
          <t>報告_P8グラフデータ</t>
        </is>
      </c>
    </row>
    <row r="206" spans="1:9"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c r="H206" s="1708" t="inlineStr">
        <is>
          <t>報告_短期P7-10 AZ78,DD77</t>
        </is>
      </c>
      <c r="I206" s="1708" t="inlineStr">
        <is>
          <t>同じシート内のみ</t>
        </is>
      </c>
    </row>
    <row r="207" spans="1:9"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c r="H207" s="1708" t="inlineStr">
        <is>
          <t>報告_短期P7-10 CB78,DD77,FH77</t>
        </is>
      </c>
      <c r="I207" s="1708" t="inlineStr">
        <is>
          <t>報告_P8グラフデータ</t>
        </is>
      </c>
    </row>
    <row r="208" spans="1:9"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c r="H208" s="1708" t="inlineStr">
        <is>
          <t>報告_短期P7-10 AZ89,DD82</t>
        </is>
      </c>
      <c r="I208" s="1708" t="inlineStr">
        <is>
          <t>同じシート内のみ</t>
        </is>
      </c>
    </row>
    <row r="209" spans="1:9"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c r="H209" s="1708" t="inlineStr">
        <is>
          <t>報告_短期P7-10 CB89,DD82,FH82</t>
        </is>
      </c>
      <c r="I209" s="1708" t="inlineStr">
        <is>
          <t>報告_短期P11-13、報告_P8グラフデータ、短期_財務諸表P27、短期_附属明細表P28-29 ほか1シート</t>
        </is>
      </c>
    </row>
    <row r="210" spans="1:9"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c r="H210" s="1708" t="inlineStr">
        <is>
          <t>報告_短期P7-10 AZ89,DD83</t>
        </is>
      </c>
      <c r="I210" s="1708" t="inlineStr">
        <is>
          <t>同じシート内のみ</t>
        </is>
      </c>
    </row>
    <row r="211" spans="1:9"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c r="H211" s="1708" t="inlineStr">
        <is>
          <t>報告_短期P7-10 CB89,DD83,FH83</t>
        </is>
      </c>
      <c r="I211" s="1708" t="inlineStr">
        <is>
          <t>報告_短期P11-13、報告_P8グラフデータ、短期_財務諸表P27、短期_附属明細表P28-29 ほか1シート</t>
        </is>
      </c>
    </row>
    <row r="212" spans="1:9"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c r="H212" s="1708" t="inlineStr">
        <is>
          <t>報告_短期P7-10 AZ89,DD84</t>
        </is>
      </c>
      <c r="I212" s="1708" t="inlineStr">
        <is>
          <t>同じシート内のみ</t>
        </is>
      </c>
    </row>
    <row r="213" spans="1:9"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c r="H213" s="1708" t="inlineStr">
        <is>
          <t>報告_短期P7-10 CB89,DD84,FH84</t>
        </is>
      </c>
      <c r="I213" s="1708" t="inlineStr">
        <is>
          <t>報告_短期P11-13、報告_P8グラフデータ、短期_財務諸表P27、短期_附属明細表P28-29 ほか1シート</t>
        </is>
      </c>
    </row>
    <row r="214" spans="1:9"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c r="H214" s="1708" t="inlineStr">
        <is>
          <t>報告_短期P7-10 AZ89,DD85</t>
        </is>
      </c>
      <c r="I214" s="1708" t="inlineStr">
        <is>
          <t>同じシート内のみ</t>
        </is>
      </c>
    </row>
    <row r="215" spans="1:9"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c r="H215" s="1708" t="inlineStr">
        <is>
          <t>報告_短期P7-10 CB89,DD85,FH85</t>
        </is>
      </c>
      <c r="I215" s="1708" t="inlineStr">
        <is>
          <t>報告_短期P11-13、報告_P8グラフデータ、短期_財務諸表P27、短期_附属明細表P28-29 ほか1シート</t>
        </is>
      </c>
    </row>
    <row r="216" spans="1:9"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c r="H216" s="1708" t="inlineStr">
        <is>
          <t>報告_短期P7-10 AZ89,DD86</t>
        </is>
      </c>
      <c r="I216" s="1708" t="inlineStr">
        <is>
          <t>同じシート内のみ</t>
        </is>
      </c>
    </row>
    <row r="217" spans="1:9"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c r="H217" s="1708" t="inlineStr">
        <is>
          <t>報告_短期P7-10 CB89,DD86,FH86</t>
        </is>
      </c>
      <c r="I217" s="1708" t="inlineStr">
        <is>
          <t>報告_短期P11-13、報告_P8グラフデータ、短期_財務諸表P27、短期_附属明細表P28-29 ほか1シート</t>
        </is>
      </c>
    </row>
    <row r="218" spans="1:9"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c r="H218" s="1708" t="inlineStr">
        <is>
          <t>報告_短期P7-10 AZ89,DD87</t>
        </is>
      </c>
      <c r="I218" s="1708" t="inlineStr">
        <is>
          <t>同じシート内のみ</t>
        </is>
      </c>
    </row>
    <row r="219" spans="1:9"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c r="H219" s="1708" t="inlineStr">
        <is>
          <t>報告_短期P7-10 CB89,DD87,FH87</t>
        </is>
      </c>
      <c r="I219" s="1708" t="inlineStr">
        <is>
          <t>報告_短期P11-13、報告_P8グラフデータ、短期_財務諸表P27、短期_附属明細表P28-29 ほか1シート</t>
        </is>
      </c>
    </row>
    <row r="220" spans="1:9"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c r="H220" s="1708" t="inlineStr">
        <is>
          <t>報告_短期P7-10 AZ89,DD88</t>
        </is>
      </c>
      <c r="I220" s="1708" t="inlineStr">
        <is>
          <t>同じシート内のみ</t>
        </is>
      </c>
    </row>
    <row r="221" spans="1:9"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c r="H221" s="1708" t="inlineStr">
        <is>
          <t>報告_短期P7-10 CB89,DD88,FH88</t>
        </is>
      </c>
      <c r="I221" s="1708" t="inlineStr">
        <is>
          <t>報告_短期P11-13、報告_P8グラフデータ、短期_財務諸表P27、短期_附属明細表P28-29 ほか1シート</t>
        </is>
      </c>
    </row>
    <row r="222" spans="1:9"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c r="H222" s="1708" t="inlineStr">
        <is>
          <t>報告_短期P7-10 AZ107,DD90</t>
        </is>
      </c>
      <c r="I222" s="1708" t="inlineStr">
        <is>
          <t>同じシート内のみ</t>
        </is>
      </c>
    </row>
    <row r="223" spans="1:9"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c r="H223" s="1708" t="inlineStr">
        <is>
          <t>報告_短期P7-10 AZ107,DD91</t>
        </is>
      </c>
      <c r="I223" s="1708" t="inlineStr">
        <is>
          <t>同じシート内のみ</t>
        </is>
      </c>
    </row>
    <row r="224" spans="1:9"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c r="H224" s="1708" t="inlineStr">
        <is>
          <t>報告_短期P7-10 AZ107,DD92</t>
        </is>
      </c>
      <c r="I224" s="1708" t="inlineStr">
        <is>
          <t>同じシート内のみ</t>
        </is>
      </c>
    </row>
    <row r="225" spans="1:9"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c r="H225" s="1708" t="inlineStr">
        <is>
          <t>報告_短期P7-10 AZ107,DD93</t>
        </is>
      </c>
      <c r="I225" s="1708" t="inlineStr">
        <is>
          <t>同じシート内のみ</t>
        </is>
      </c>
    </row>
    <row r="226" spans="1:9"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c r="H226" s="1708" t="inlineStr">
        <is>
          <t>報告_短期P7-10 AZ107,DD94</t>
        </is>
      </c>
      <c r="I226" s="1708" t="inlineStr">
        <is>
          <t>同じシート内のみ</t>
        </is>
      </c>
    </row>
    <row r="227" spans="1:9"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c r="H227" s="1708" t="inlineStr">
        <is>
          <t>報告_短期P7-10 AZ107,DD95</t>
        </is>
      </c>
      <c r="I227" s="1708" t="inlineStr">
        <is>
          <t>同じシート内のみ</t>
        </is>
      </c>
    </row>
    <row r="228" spans="1:9"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c r="H228" s="1708" t="inlineStr">
        <is>
          <t>報告_短期P7-10 AZ107,DD96</t>
        </is>
      </c>
      <c r="I228" s="1708" t="inlineStr">
        <is>
          <t>同じシート内のみ</t>
        </is>
      </c>
    </row>
    <row r="229" spans="1:9"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c r="H229" s="1708" t="inlineStr">
        <is>
          <t>報告_短期P7-10 AZ107,DD97</t>
        </is>
      </c>
      <c r="I229" s="1708" t="inlineStr">
        <is>
          <t>同じシート内のみ</t>
        </is>
      </c>
    </row>
    <row r="230" spans="1:9"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c r="H230" s="1708" t="inlineStr">
        <is>
          <t>報告_短期P7-10 AZ107,DD98</t>
        </is>
      </c>
      <c r="I230" s="1708" t="inlineStr">
        <is>
          <t>同じシート内のみ</t>
        </is>
      </c>
    </row>
    <row r="231" spans="1:9"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c r="H231" s="1708" t="inlineStr">
        <is>
          <t>報告_短期P7-10 AZ107,DD99</t>
        </is>
      </c>
      <c r="I231" s="1708" t="inlineStr">
        <is>
          <t>同じシート内のみ</t>
        </is>
      </c>
    </row>
    <row r="232" spans="1:9"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c r="H232" s="1708" t="inlineStr">
        <is>
          <t>報告_短期P7-10 AZ102,DD100</t>
        </is>
      </c>
      <c r="I232" s="1708" t="inlineStr">
        <is>
          <t>同じシート内のみ</t>
        </is>
      </c>
    </row>
    <row r="233" spans="1:9"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c r="H233" s="1708" t="inlineStr">
        <is>
          <t>報告_短期P7-10 CB102,DD100,FH100</t>
        </is>
      </c>
      <c r="I233" s="1708" t="inlineStr">
        <is>
          <t>報告_短期P11-13、報告_P8グラフデータ、短期_財務諸表P27、短期_附属明細表P28-29 ほか1シート</t>
        </is>
      </c>
    </row>
    <row r="234" spans="1:9"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c r="H234" s="1708" t="inlineStr">
        <is>
          <t>報告_短期P7-10 AZ102,DD101</t>
        </is>
      </c>
      <c r="I234" s="1708" t="inlineStr">
        <is>
          <t>同じシート内のみ</t>
        </is>
      </c>
    </row>
    <row r="235" spans="1:9"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c r="H235" s="1708" t="inlineStr">
        <is>
          <t>報告_短期P7-10 CB102,DD101,FH101</t>
        </is>
      </c>
      <c r="I235" s="1708" t="inlineStr">
        <is>
          <t>報告_短期P11-13、報告_P8グラフデータ、短期_財務諸表P27、短期_附属明細表P28-29 ほか1シート</t>
        </is>
      </c>
    </row>
    <row r="236" spans="1:9"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c r="H236" s="1708" t="inlineStr">
        <is>
          <t>報告_短期P7-10 AZ105,DD103</t>
        </is>
      </c>
      <c r="I236" s="1708" t="inlineStr">
        <is>
          <t>同じシート内のみ</t>
        </is>
      </c>
    </row>
    <row r="237" spans="1:9"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c r="H237" s="1708" t="inlineStr">
        <is>
          <t>報告_短期P7-10 CB105,DD103,FH103</t>
        </is>
      </c>
      <c r="I237" s="1708" t="inlineStr">
        <is>
          <t>報告_短期P11-13、報告_P8グラフデータ、短期_財務諸表P27、短期_附属明細表P28-29 ほか1シート</t>
        </is>
      </c>
    </row>
    <row r="238" spans="1:9"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c r="H238" s="1708" t="inlineStr">
        <is>
          <t>報告_短期P7-10 AZ105,DD104</t>
        </is>
      </c>
      <c r="I238" s="1708" t="inlineStr">
        <is>
          <t>同じシート内のみ</t>
        </is>
      </c>
    </row>
    <row r="239" spans="1:9"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c r="H239" s="1708" t="inlineStr">
        <is>
          <t>報告_短期P7-10 CB105,DD104,FH104</t>
        </is>
      </c>
      <c r="I239" s="1708" t="inlineStr">
        <is>
          <t>報告_短期P11-13、報告_P8グラフデータ、短期_財務諸表P27、短期_附属明細表P28-29 ほか1シート</t>
        </is>
      </c>
    </row>
    <row r="240" spans="1:9"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c r="H240" s="1708" t="inlineStr">
        <is>
          <t>報告_短期P7-10 AZ107,DD106</t>
        </is>
      </c>
      <c r="I240" s="1708" t="inlineStr">
        <is>
          <t>同じシート内のみ</t>
        </is>
      </c>
    </row>
    <row r="241" spans="1:9"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c r="H241" s="1708" t="inlineStr">
        <is>
          <t>報告_短期P7-10 AZ110,DD108</t>
        </is>
      </c>
      <c r="I241" s="1708" t="inlineStr">
        <is>
          <t>同じシート内のみ</t>
        </is>
      </c>
    </row>
    <row r="242" spans="1:9"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c r="H242" s="1708" t="inlineStr">
        <is>
          <t>報告_短期P7-10 AZ110,DD109</t>
        </is>
      </c>
      <c r="I242" s="1708" t="inlineStr">
        <is>
          <t>同じシート内のみ</t>
        </is>
      </c>
    </row>
    <row r="243" spans="1:9"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c r="H243" s="1708" t="inlineStr">
        <is>
          <t>報告_短期P7-10 AZ144、報告_短期P11-13 DL4,DL43</t>
        </is>
      </c>
      <c r="I243" s="1708" t="inlineStr">
        <is>
          <t>報告_短期P11-13</t>
        </is>
      </c>
    </row>
    <row r="244" spans="1:9"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c r="H244" s="1708" t="inlineStr">
        <is>
          <t>報告_短期P7-10 BW144、報告_短期P11-13 EI4,EI43</t>
        </is>
      </c>
      <c r="I244" s="1708" t="inlineStr">
        <is>
          <t>報告_短期P11-13</t>
        </is>
      </c>
    </row>
    <row r="245" spans="1:9"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c r="H245" s="1708" t="inlineStr">
        <is>
          <t>報告_短期P7-10 CP144、報告_短期P11-13 FB4,FB43</t>
        </is>
      </c>
      <c r="I245" s="1708" t="inlineStr">
        <is>
          <t>報告_短期P11-13</t>
        </is>
      </c>
    </row>
    <row r="246" spans="1:9"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c r="H246" s="1708" t="inlineStr">
        <is>
          <t>報告_短期P7-10 AZ144、報告_短期P11-13 DL5,DL44</t>
        </is>
      </c>
      <c r="I246" s="1708" t="inlineStr">
        <is>
          <t>報告_短期P11-13</t>
        </is>
      </c>
    </row>
    <row r="247" spans="1:9"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c r="H247" s="1708" t="inlineStr">
        <is>
          <t>報告_短期P7-10 BW144、報告_短期P11-13 EI5,EI44</t>
        </is>
      </c>
      <c r="I247" s="1708" t="inlineStr">
        <is>
          <t>報告_短期P11-13</t>
        </is>
      </c>
    </row>
    <row r="248" spans="1:9"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c r="H248" s="1708" t="inlineStr">
        <is>
          <t>報告_短期P7-10 CP144、報告_短期P11-13 FB5,FB44</t>
        </is>
      </c>
      <c r="I248" s="1708" t="inlineStr">
        <is>
          <t>報告_短期P11-13</t>
        </is>
      </c>
    </row>
    <row r="249" spans="1:9"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c r="H249" s="1708" t="inlineStr">
        <is>
          <t>報告_短期P7-10 AZ144、報告_短期P11-13 DL6,DL45</t>
        </is>
      </c>
      <c r="I249" s="1708" t="inlineStr">
        <is>
          <t>報告_短期P11-13</t>
        </is>
      </c>
    </row>
    <row r="250" spans="1:9"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c r="H250" s="1708" t="inlineStr">
        <is>
          <t>報告_短期P7-10 BW144、報告_短期P11-13 EI6,EI45</t>
        </is>
      </c>
      <c r="I250" s="1708" t="inlineStr">
        <is>
          <t>報告_短期P11-13</t>
        </is>
      </c>
    </row>
    <row r="251" spans="1:9"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c r="H251" s="1708" t="inlineStr">
        <is>
          <t>報告_短期P7-10 CP144、報告_短期P11-13 FB6,FB45</t>
        </is>
      </c>
      <c r="I251" s="1708" t="inlineStr">
        <is>
          <t>報告_短期P11-13</t>
        </is>
      </c>
    </row>
    <row r="252" spans="1:9"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c r="H252" s="1708" t="inlineStr">
        <is>
          <t>報告_短期P11-13 DL7,DL46</t>
        </is>
      </c>
      <c r="I252" s="1708" t="inlineStr">
        <is>
          <t>報告_短期P11-13</t>
        </is>
      </c>
    </row>
    <row r="253" spans="1:9"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c r="H253" s="1708" t="inlineStr">
        <is>
          <t>報告_短期P11-13 EI7,EI46</t>
        </is>
      </c>
      <c r="I253" s="1708" t="inlineStr">
        <is>
          <t>報告_短期P11-13</t>
        </is>
      </c>
    </row>
    <row r="254" spans="1:9"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c r="H254" s="1708" t="inlineStr">
        <is>
          <t>報告_短期P7-10 CP144、報告_短期P11-13 FB7,FB46</t>
        </is>
      </c>
      <c r="I254" s="1708" t="inlineStr">
        <is>
          <t>報告_短期P11-13</t>
        </is>
      </c>
    </row>
    <row r="255" spans="1:9"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c r="H255" s="1708" t="inlineStr">
        <is>
          <t>報告_短期P11-13 DL9,DL48</t>
        </is>
      </c>
      <c r="I255" s="1708" t="inlineStr">
        <is>
          <t>報告_短期P11-13</t>
        </is>
      </c>
    </row>
    <row r="256" spans="1:9"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c r="H256" s="1708" t="inlineStr">
        <is>
          <t>報告_短期P11-13 EI9,EI48</t>
        </is>
      </c>
      <c r="I256" s="1708" t="inlineStr">
        <is>
          <t>報告_短期P11-13</t>
        </is>
      </c>
    </row>
    <row r="257" spans="1:9"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c r="H257" s="1708" t="inlineStr">
        <is>
          <t>報告_短期P7-10 CP144、報告_短期P11-13 FB9,FB48</t>
        </is>
      </c>
      <c r="I257" s="1708" t="inlineStr">
        <is>
          <t>報告_短期P11-13</t>
        </is>
      </c>
    </row>
    <row r="258" spans="1:9"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c r="H258" s="1708" t="inlineStr">
        <is>
          <t>報告_短期P11-13 DL10,DL49</t>
        </is>
      </c>
      <c r="I258" s="1708" t="inlineStr">
        <is>
          <t>報告_短期P11-13</t>
        </is>
      </c>
    </row>
    <row r="259" spans="1:9"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c r="H259" s="1708" t="inlineStr">
        <is>
          <t>報告_短期P7-10 BW144、報告_短期P11-13 EI10,EI49</t>
        </is>
      </c>
      <c r="I259" s="1708" t="inlineStr">
        <is>
          <t>報告_短期P11-13</t>
        </is>
      </c>
    </row>
    <row r="260" spans="1:9"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c r="H260" s="1708" t="inlineStr">
        <is>
          <t>報告_短期P7-10 AZ144、報告_短期P11-13 DL11,DL50</t>
        </is>
      </c>
      <c r="I260" s="1708" t="inlineStr">
        <is>
          <t>報告_短期P11-13</t>
        </is>
      </c>
    </row>
    <row r="261" spans="1:9"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c r="H261" s="1708" t="inlineStr">
        <is>
          <t>報告_短期P7-10 CP144、報告_短期P11-13 FB11,FB50</t>
        </is>
      </c>
      <c r="I261" s="1708" t="inlineStr">
        <is>
          <t>報告_短期P11-13</t>
        </is>
      </c>
    </row>
    <row r="262" spans="1:9"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c r="H262" s="1708" t="inlineStr">
        <is>
          <t>報告_短期P7-10 AZ153、報告_短期P11-13 DL13,DL52</t>
        </is>
      </c>
      <c r="I262" s="1708" t="inlineStr">
        <is>
          <t>報告_短期P11-13</t>
        </is>
      </c>
    </row>
    <row r="263" spans="1:9"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c r="H263" s="1708" t="inlineStr">
        <is>
          <t>報告_短期P7-10 BW153、報告_短期P11-13 EI13,EI52</t>
        </is>
      </c>
      <c r="I263" s="1708" t="inlineStr">
        <is>
          <t>報告_短期P11-13</t>
        </is>
      </c>
    </row>
    <row r="264" spans="1:9"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c r="H264" s="1708" t="inlineStr">
        <is>
          <t>報告_短期P7-10 CP153、報告_短期P11-13 FB13,FB52</t>
        </is>
      </c>
      <c r="I264" s="1708" t="inlineStr">
        <is>
          <t>報告_短期P11-13</t>
        </is>
      </c>
    </row>
    <row r="265" spans="1:9"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c r="H265" s="1708" t="inlineStr">
        <is>
          <t>報告_短期P7-10 AZ153、報告_短期P11-13 DL14,DL53</t>
        </is>
      </c>
      <c r="I265" s="1708" t="inlineStr">
        <is>
          <t>報告_短期P11-13</t>
        </is>
      </c>
    </row>
    <row r="266" spans="1:9"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c r="H266" s="1708" t="inlineStr">
        <is>
          <t>報告_短期P7-10 BW153、報告_短期P11-13 EI14,EI53</t>
        </is>
      </c>
      <c r="I266" s="1708" t="inlineStr">
        <is>
          <t>報告_短期P11-13</t>
        </is>
      </c>
    </row>
    <row r="267" spans="1:9"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c r="H267" s="1708" t="inlineStr">
        <is>
          <t>報告_短期P7-10 CP153、報告_短期P11-13 FB14,FB53</t>
        </is>
      </c>
      <c r="I267" s="1708" t="inlineStr">
        <is>
          <t>報告_短期P11-13</t>
        </is>
      </c>
    </row>
    <row r="268" spans="1:9"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c r="H268" s="1708" t="inlineStr">
        <is>
          <t>報告_短期P7-10 AZ153、報告_短期P11-13 DL15,DL54</t>
        </is>
      </c>
      <c r="I268" s="1708" t="inlineStr">
        <is>
          <t>報告_短期P11-13</t>
        </is>
      </c>
    </row>
    <row r="269" spans="1:9"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c r="H269" s="1708" t="inlineStr">
        <is>
          <t>報告_短期P7-10 BW153、報告_短期P11-13 EI15,EI54</t>
        </is>
      </c>
      <c r="I269" s="1708" t="inlineStr">
        <is>
          <t>報告_短期P11-13</t>
        </is>
      </c>
    </row>
    <row r="270" spans="1:9"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c r="H270" s="1708" t="inlineStr">
        <is>
          <t>報告_短期P7-10 CP153、報告_短期P11-13 FB15,FB54</t>
        </is>
      </c>
      <c r="I270" s="1708" t="inlineStr">
        <is>
          <t>報告_短期P11-13</t>
        </is>
      </c>
    </row>
    <row r="271" spans="1:9"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c r="H271" s="1708" t="inlineStr">
        <is>
          <t>報告_短期P11-13 DL16,DL55</t>
        </is>
      </c>
      <c r="I271" s="1708" t="inlineStr">
        <is>
          <t>報告_短期P11-13</t>
        </is>
      </c>
    </row>
    <row r="272" spans="1:9"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c r="H272" s="1708" t="inlineStr">
        <is>
          <t>報告_短期P11-13 EI16,EI55</t>
        </is>
      </c>
      <c r="I272" s="1708" t="inlineStr">
        <is>
          <t>報告_短期P11-13</t>
        </is>
      </c>
    </row>
    <row r="273" spans="1:9"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c r="H273" s="1708" t="inlineStr">
        <is>
          <t>報告_短期P7-10 CP153、報告_短期P11-13 FB16,FB55</t>
        </is>
      </c>
      <c r="I273" s="1708" t="inlineStr">
        <is>
          <t>報告_短期P11-13</t>
        </is>
      </c>
    </row>
    <row r="274" spans="1:9"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c r="H274" s="1708" t="inlineStr">
        <is>
          <t>報告_短期P11-13 DL18,DL57</t>
        </is>
      </c>
      <c r="I274" s="1708" t="inlineStr">
        <is>
          <t>報告_短期P11-13</t>
        </is>
      </c>
    </row>
    <row r="275" spans="1:9"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c r="H275" s="1708" t="inlineStr">
        <is>
          <t>報告_短期P11-13 EI18,EI57</t>
        </is>
      </c>
      <c r="I275" s="1708" t="inlineStr">
        <is>
          <t>報告_短期P11-13</t>
        </is>
      </c>
    </row>
    <row r="276" spans="1:9"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c r="H276" s="1708" t="inlineStr">
        <is>
          <t>報告_短期P7-10 CP153、報告_短期P11-13 FB18,FB57</t>
        </is>
      </c>
      <c r="I276" s="1708" t="inlineStr">
        <is>
          <t>報告_短期P11-13</t>
        </is>
      </c>
    </row>
    <row r="277" spans="1:9"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c r="H277" s="1708" t="inlineStr">
        <is>
          <t>報告_短期P11-13 DL19,DL58</t>
        </is>
      </c>
      <c r="I277" s="1708" t="inlineStr">
        <is>
          <t>報告_短期P11-13</t>
        </is>
      </c>
    </row>
    <row r="278" spans="1:9"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c r="H278" s="1708" t="inlineStr">
        <is>
          <t>報告_短期P7-10 BW153、報告_短期P11-13 EI19,EI58</t>
        </is>
      </c>
      <c r="I278" s="1708" t="inlineStr">
        <is>
          <t>報告_短期P11-13</t>
        </is>
      </c>
    </row>
    <row r="279" spans="1:9"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c r="H279" s="1708" t="inlineStr">
        <is>
          <t>報告_短期P7-10 AZ153、報告_短期P11-13 DL20,DL59</t>
        </is>
      </c>
      <c r="I279" s="1708" t="inlineStr">
        <is>
          <t>報告_短期P11-13</t>
        </is>
      </c>
    </row>
    <row r="280" spans="1:9"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c r="H280" s="1708" t="inlineStr">
        <is>
          <t>報告_短期P7-10 CP153、報告_短期P11-13 FB20,FB59</t>
        </is>
      </c>
      <c r="I280" s="1708" t="inlineStr">
        <is>
          <t>報告_短期P11-13</t>
        </is>
      </c>
    </row>
    <row r="281" spans="1:9"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c r="H281" s="1708" t="inlineStr">
        <is>
          <t>報告_短期P7-10 AZ155、報告_短期P11-13 DL22,DL61</t>
        </is>
      </c>
      <c r="I281" s="1708" t="inlineStr">
        <is>
          <t>報告_短期P11-13</t>
        </is>
      </c>
    </row>
    <row r="282" spans="1:9"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c r="H282" s="1708" t="inlineStr">
        <is>
          <t>報告_短期P11-13 AX4,AX5,AX6…</t>
        </is>
      </c>
      <c r="I282" s="1708" t="inlineStr">
        <is>
          <t>同じシート内のみ</t>
        </is>
      </c>
    </row>
    <row r="283" spans="1:9"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c r="H283" s="1708" t="inlineStr">
        <is>
          <t>報告_短期P11-13 AX12,AX13,AX14…</t>
        </is>
      </c>
      <c r="I283" s="1708" t="inlineStr">
        <is>
          <t>同じシート内のみ</t>
        </is>
      </c>
    </row>
    <row r="284" spans="1:9"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c r="H284" s="1708" t="inlineStr">
        <is>
          <t>報告_短期P11-13 L80,Q61,V58…</t>
        </is>
      </c>
      <c r="I284" s="1708" t="inlineStr">
        <is>
          <t>報告_P8グラフデータ</t>
        </is>
      </c>
    </row>
    <row r="285" spans="1:9"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c r="H285" s="1708" t="inlineStr">
        <is>
          <t>報告_短期P11-13 Z80,EY66</t>
        </is>
      </c>
      <c r="I285" s="1708" t="inlineStr">
        <is>
          <t>同じシート内のみ</t>
        </is>
      </c>
    </row>
    <row r="286" spans="1:9"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c r="H286" s="1708" t="inlineStr">
        <is>
          <t>報告_短期P11-13 AO85</t>
        </is>
      </c>
      <c r="I286" s="1708" t="inlineStr">
        <is>
          <t>同じシート内のみ</t>
        </is>
      </c>
    </row>
    <row r="287" spans="1:9"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c r="H287" s="1708" t="inlineStr">
        <is>
          <t>報告_短期P11-13 AO85</t>
        </is>
      </c>
      <c r="I287" s="1708" t="inlineStr">
        <is>
          <t>同じシート内のみ</t>
        </is>
      </c>
    </row>
    <row r="288" spans="1:9"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c r="H288" s="1708" t="inlineStr">
        <is>
          <t>報告_短期P11-13 AO85</t>
        </is>
      </c>
      <c r="I288" s="1708" t="inlineStr">
        <is>
          <t>同じシート内のみ</t>
        </is>
      </c>
    </row>
    <row r="289" spans="1:9"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c r="H289" s="1708" t="inlineStr">
        <is>
          <t>なし（このセルのみ）</t>
        </is>
      </c>
      <c r="I289" s="1708" t="inlineStr">
        <is>
          <t>―</t>
        </is>
      </c>
    </row>
    <row r="290" spans="1:9"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c r="H290" s="1708" t="inlineStr">
        <is>
          <t>なし（このセルのみ）</t>
        </is>
      </c>
      <c r="I290" s="1708" t="inlineStr">
        <is>
          <t>―</t>
        </is>
      </c>
    </row>
    <row r="291" spans="1:9"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c r="H291" s="1708" t="inlineStr">
        <is>
          <t>なし（このセルのみ）</t>
        </is>
      </c>
      <c r="I291" s="1708" t="inlineStr">
        <is>
          <t>―</t>
        </is>
      </c>
    </row>
    <row r="292" spans="1:9"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c r="H292" s="1708" t="inlineStr">
        <is>
          <t>報告_厚生年金P14 M32,AG33</t>
        </is>
      </c>
      <c r="I292" s="1708" t="inlineStr">
        <is>
          <t>同じシート内のみ</t>
        </is>
      </c>
    </row>
    <row r="293" spans="1:9"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c r="H293" s="1708" t="inlineStr">
        <is>
          <t>報告_厚生年金P14 W32,AG33,BA33</t>
        </is>
      </c>
      <c r="I293" s="1708" t="inlineStr">
        <is>
          <t>厚生_貸借・損益P31、厚生_決算精算表P33</t>
        </is>
      </c>
    </row>
    <row r="294" spans="1:9"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c r="H294" s="1708" t="inlineStr">
        <is>
          <t>報告_厚生年金P14 M32,AG34</t>
        </is>
      </c>
      <c r="I294" s="1708" t="inlineStr">
        <is>
          <t>同じシート内のみ</t>
        </is>
      </c>
    </row>
    <row r="295" spans="1:9"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c r="H295" s="1708" t="inlineStr">
        <is>
          <t>報告_厚生年金P14 W32,AG34,BA34</t>
        </is>
      </c>
      <c r="I295" s="1708" t="inlineStr">
        <is>
          <t>厚生_貸借・損益P31、厚生_決算精算表P33</t>
        </is>
      </c>
    </row>
    <row r="296" spans="1:9"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c r="H296" s="1708" t="inlineStr">
        <is>
          <t>報告_厚生年金P14 M32,AG35</t>
        </is>
      </c>
      <c r="I296" s="1708" t="inlineStr">
        <is>
          <t>同じシート内のみ</t>
        </is>
      </c>
    </row>
    <row r="297" spans="1:9"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c r="H297" s="1708" t="inlineStr">
        <is>
          <t>報告_厚生年金P14 W32,AG35,BA35</t>
        </is>
      </c>
      <c r="I297" s="1708" t="inlineStr">
        <is>
          <t>厚生_貸借・損益P31、厚生_決算精算表P33</t>
        </is>
      </c>
    </row>
    <row r="298" spans="1:9"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c r="H298" s="1708" t="inlineStr">
        <is>
          <t>報告_厚生年金P14 M32,AG36</t>
        </is>
      </c>
      <c r="I298" s="1708" t="inlineStr">
        <is>
          <t>同じシート内のみ</t>
        </is>
      </c>
    </row>
    <row r="299" spans="1:9"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c r="H299" s="1708" t="inlineStr">
        <is>
          <t>報告_厚生年金P14 W32,AG36,BA36</t>
        </is>
      </c>
      <c r="I299" s="1708" t="inlineStr">
        <is>
          <t>厚生_貸借・損益P31、厚生_決算精算表P33</t>
        </is>
      </c>
    </row>
    <row r="300" spans="1:9"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c r="H300" s="1708" t="inlineStr">
        <is>
          <t>報告_厚生年金P14 M37,AG38</t>
        </is>
      </c>
      <c r="I300" s="1708" t="inlineStr">
        <is>
          <t>同じシート内のみ</t>
        </is>
      </c>
    </row>
    <row r="301" spans="1:9"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c r="H301" s="1708" t="inlineStr">
        <is>
          <t>報告_厚生年金P14 W37,AG38,BA38</t>
        </is>
      </c>
      <c r="I301" s="1708" t="inlineStr">
        <is>
          <t>厚生_貸借・損益P31、厚生_決算精算表P33</t>
        </is>
      </c>
    </row>
    <row r="302" spans="1:9"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c r="H302" s="1708" t="inlineStr">
        <is>
          <t>報告_厚生年金P14 M37,AG39</t>
        </is>
      </c>
      <c r="I302" s="1708" t="inlineStr">
        <is>
          <t>同じシート内のみ</t>
        </is>
      </c>
    </row>
    <row r="303" spans="1:9"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c r="H303" s="1708" t="inlineStr">
        <is>
          <t>報告_厚生年金P14 W37,AG39,BA39</t>
        </is>
      </c>
      <c r="I303" s="1708" t="inlineStr">
        <is>
          <t>厚生_貸借・損益P31、厚生_決算精算表P33</t>
        </is>
      </c>
    </row>
    <row r="304" spans="1:9"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c r="H304" s="1708" t="inlineStr">
        <is>
          <t>報告_厚生年金P14 AG40</t>
        </is>
      </c>
      <c r="I304" s="1708" t="inlineStr">
        <is>
          <t>同じシート内のみ</t>
        </is>
      </c>
    </row>
    <row r="305" spans="1:9"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c r="H305" s="1708" t="inlineStr">
        <is>
          <t>報告_厚生年金P14 AG40,BA40</t>
        </is>
      </c>
      <c r="I305" s="1708" t="inlineStr">
        <is>
          <t>同じシート内のみ</t>
        </is>
      </c>
    </row>
    <row r="306" spans="1:9"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c r="H306" s="1708" t="inlineStr">
        <is>
          <t>報告_厚生年金P14 M58,AG57</t>
        </is>
      </c>
      <c r="I306" s="1708" t="inlineStr">
        <is>
          <t>同じシート内のみ</t>
        </is>
      </c>
    </row>
    <row r="307" spans="1:9"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c r="H307" s="1708" t="inlineStr">
        <is>
          <t>報告_厚生年金P14 W58,AG57,BA57</t>
        </is>
      </c>
      <c r="I307" s="1708" t="inlineStr">
        <is>
          <t>同じシート内のみ</t>
        </is>
      </c>
    </row>
    <row r="308" spans="1:9"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c r="H308" s="1708" t="inlineStr">
        <is>
          <t>なし（このセルのみ）</t>
        </is>
      </c>
      <c r="I308" s="1708" t="inlineStr">
        <is>
          <t>―</t>
        </is>
      </c>
    </row>
    <row r="309" spans="1:9"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c r="H309" s="1708" t="inlineStr">
        <is>
          <t>なし（このセルのみ）</t>
        </is>
      </c>
      <c r="I309" s="1708" t="inlineStr">
        <is>
          <t>―</t>
        </is>
      </c>
    </row>
    <row r="310" spans="1:9"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c r="H310" s="1708" t="inlineStr">
        <is>
          <t>報告_退職等年金P15 M19,AG20</t>
        </is>
      </c>
      <c r="I310" s="1708" t="inlineStr">
        <is>
          <t>同じシート内のみ</t>
        </is>
      </c>
    </row>
    <row r="311" spans="1:9"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c r="H311" s="1708" t="inlineStr">
        <is>
          <t>報告_退職等年金P15 W19,AG20,BA20</t>
        </is>
      </c>
      <c r="I311" s="1708" t="inlineStr">
        <is>
          <t>退職等_貸借・損益P35、退職等_決算精算表P37</t>
        </is>
      </c>
    </row>
    <row r="312" spans="1:9"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c r="H312" s="1708" t="inlineStr">
        <is>
          <t>報告_退職等年金P15 M19,AG21</t>
        </is>
      </c>
      <c r="I312" s="1708" t="inlineStr">
        <is>
          <t>同じシート内のみ</t>
        </is>
      </c>
    </row>
    <row r="313" spans="1:9"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c r="H313" s="1708" t="inlineStr">
        <is>
          <t>報告_退職等年金P15 W19,AG21,BA21</t>
        </is>
      </c>
      <c r="I313" s="1708" t="inlineStr">
        <is>
          <t>退職等_貸借・損益P35、退職等_決算精算表P37</t>
        </is>
      </c>
    </row>
    <row r="314" spans="1:9"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c r="H314" s="1708" t="inlineStr">
        <is>
          <t>報告_退職等年金P15 M22,AG23</t>
        </is>
      </c>
      <c r="I314" s="1708" t="inlineStr">
        <is>
          <t>同じシート内のみ</t>
        </is>
      </c>
    </row>
    <row r="315" spans="1:9"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c r="H315" s="1708" t="inlineStr">
        <is>
          <t>報告_退職等年金P15 W22,AG23,BA23</t>
        </is>
      </c>
      <c r="I315" s="1708" t="inlineStr">
        <is>
          <t>退職等_貸借・損益P35、退職等_決算精算表P37</t>
        </is>
      </c>
    </row>
    <row r="316" spans="1:9"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c r="H316" s="1708" t="inlineStr">
        <is>
          <t>報告_退職等年金P15 M22,AG24</t>
        </is>
      </c>
      <c r="I316" s="1708" t="inlineStr">
        <is>
          <t>同じシート内のみ</t>
        </is>
      </c>
    </row>
    <row r="317" spans="1:9"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c r="H317" s="1708" t="inlineStr">
        <is>
          <t>報告_退職等年金P15 W22,AG24,BA24</t>
        </is>
      </c>
      <c r="I317" s="1708" t="inlineStr">
        <is>
          <t>退職等_貸借・損益P35、退職等_決算精算表P37</t>
        </is>
      </c>
    </row>
    <row r="318" spans="1:9"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c r="H318" s="1708" t="inlineStr">
        <is>
          <t>報告_退職等年金P15 AG25</t>
        </is>
      </c>
      <c r="I318" s="1708" t="inlineStr">
        <is>
          <t>同じシート内のみ</t>
        </is>
      </c>
    </row>
    <row r="319" spans="1:9"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c r="H319" s="1708" t="inlineStr">
        <is>
          <t>報告_退職等年金P15 AG25,BA25</t>
        </is>
      </c>
      <c r="I319" s="1708" t="inlineStr">
        <is>
          <t>同じシート内のみ</t>
        </is>
      </c>
    </row>
    <row r="320" spans="1:9"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c r="H320" s="1708" t="inlineStr">
        <is>
          <t>報告_退職等年金P15 M43,AG42</t>
        </is>
      </c>
      <c r="I320" s="1708" t="inlineStr">
        <is>
          <t>同じシート内のみ</t>
        </is>
      </c>
    </row>
    <row r="321" spans="1:9"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c r="H321" s="1708" t="inlineStr">
        <is>
          <t>報告_退職等年金P15 W43,AG42,BA42</t>
        </is>
      </c>
      <c r="I321" s="1708" t="inlineStr">
        <is>
          <t>同じシート内のみ</t>
        </is>
      </c>
    </row>
    <row r="322" spans="1:9"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c r="H322" s="1708" t="inlineStr">
        <is>
          <t>なし（このセルのみ）</t>
        </is>
      </c>
      <c r="I322" s="1708" t="inlineStr">
        <is>
          <t>―</t>
        </is>
      </c>
    </row>
    <row r="323" spans="1:9"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c r="H323" s="1708" t="inlineStr">
        <is>
          <t>なし（このセルのみ）</t>
        </is>
      </c>
      <c r="I323" s="1708" t="inlineStr">
        <is>
          <t>―</t>
        </is>
      </c>
    </row>
    <row r="324" spans="1:9"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c r="H324" s="1708" t="inlineStr">
        <is>
          <t>報告_経過的長期P16 M25,AG26</t>
        </is>
      </c>
      <c r="I324" s="1708" t="inlineStr">
        <is>
          <t>同じシート内のみ</t>
        </is>
      </c>
    </row>
    <row r="325" spans="1:9"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c r="H325" s="1708" t="inlineStr">
        <is>
          <t>報告_経過的長期P16 W25,AG26,BA26</t>
        </is>
      </c>
      <c r="I325" s="1708" t="inlineStr">
        <is>
          <t>経過的_貸借・損益P39、経過的_決算精算表P41</t>
        </is>
      </c>
    </row>
    <row r="326" spans="1:9"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c r="H326" s="1708" t="inlineStr">
        <is>
          <t>報告_経過的長期P16 M25,AG27</t>
        </is>
      </c>
      <c r="I326" s="1708" t="inlineStr">
        <is>
          <t>同じシート内のみ</t>
        </is>
      </c>
    </row>
    <row r="327" spans="1:9"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c r="H327" s="1708" t="inlineStr">
        <is>
          <t>報告_経過的長期P16 W25,AG27,BA27</t>
        </is>
      </c>
      <c r="I327" s="1708" t="inlineStr">
        <is>
          <t>経過的_貸借・損益P39、経過的_決算精算表P41</t>
        </is>
      </c>
    </row>
    <row r="328" spans="1:9"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c r="H328" s="1708" t="inlineStr">
        <is>
          <t>報告_経過的長期P16 M25,AG28</t>
        </is>
      </c>
      <c r="I328" s="1708" t="inlineStr">
        <is>
          <t>同じシート内のみ</t>
        </is>
      </c>
    </row>
    <row r="329" spans="1:9"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c r="H329" s="1708" t="inlineStr">
        <is>
          <t>報告_経過的長期P16 W25,AG28,BA28</t>
        </is>
      </c>
      <c r="I329" s="1708" t="inlineStr">
        <is>
          <t>経過的_貸借・損益P39、経過的_決算精算表P41</t>
        </is>
      </c>
    </row>
    <row r="330" spans="1:9"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c r="H330" s="1708" t="inlineStr">
        <is>
          <t>報告_経過的長期P16 M25,AG29</t>
        </is>
      </c>
      <c r="I330" s="1708" t="inlineStr">
        <is>
          <t>同じシート内のみ</t>
        </is>
      </c>
    </row>
    <row r="331" spans="1:9"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c r="H331" s="1708" t="inlineStr">
        <is>
          <t>報告_経過的長期P16 W25,AG29,BA29</t>
        </is>
      </c>
      <c r="I331" s="1708" t="inlineStr">
        <is>
          <t>経過的_貸借・損益P39、経過的_決算精算表P41</t>
        </is>
      </c>
    </row>
    <row r="332" spans="1:9"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c r="H332" s="1708" t="inlineStr">
        <is>
          <t>報告_経過的長期P16 AG30</t>
        </is>
      </c>
      <c r="I332" s="1708" t="inlineStr">
        <is>
          <t>同じシート内のみ</t>
        </is>
      </c>
    </row>
    <row r="333" spans="1:9"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c r="H333" s="1708" t="inlineStr">
        <is>
          <t>報告_経過的長期P16 AG30,BA30</t>
        </is>
      </c>
      <c r="I333" s="1708" t="inlineStr">
        <is>
          <t>同じシート内のみ</t>
        </is>
      </c>
    </row>
    <row r="334" spans="1:9"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c r="H334" s="1708" t="inlineStr">
        <is>
          <t>報告_経過的長期P16 M45,AG44</t>
        </is>
      </c>
      <c r="I334" s="1708" t="inlineStr">
        <is>
          <t>同じシート内のみ</t>
        </is>
      </c>
    </row>
    <row r="335" spans="1:9"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c r="H335" s="1708" t="inlineStr">
        <is>
          <t>報告_預託金P17 F10,F17,H8</t>
        </is>
      </c>
      <c r="I335" s="1708" t="inlineStr">
        <is>
          <t>同じシート内のみ</t>
        </is>
      </c>
    </row>
    <row r="336" spans="1:9"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c r="H336" s="1708" t="inlineStr">
        <is>
          <t>報告_預託金P17 F10,H9</t>
        </is>
      </c>
      <c r="I336" s="1708" t="inlineStr">
        <is>
          <t>同じシート内のみ</t>
        </is>
      </c>
    </row>
    <row r="337" spans="1:9"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c r="H337" s="1708" t="inlineStr">
        <is>
          <t>報告_預託金P17 G10,H9,J9</t>
        </is>
      </c>
      <c r="I337" s="1708" t="inlineStr">
        <is>
          <t>同じシート内のみ</t>
        </is>
      </c>
    </row>
    <row r="338" spans="1:9"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c r="H338" s="1708" t="inlineStr">
        <is>
          <t>報告_預託金P17 F19,H18</t>
        </is>
      </c>
      <c r="I338" s="1708" t="inlineStr">
        <is>
          <t>同じシート内のみ</t>
        </is>
      </c>
    </row>
    <row r="339" spans="1:9"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c r="H339" s="1708" t="inlineStr">
        <is>
          <t>報告_預託金P17 G19,H18,J18</t>
        </is>
      </c>
      <c r="I339" s="1708" t="inlineStr">
        <is>
          <t>同じシート内のみ</t>
        </is>
      </c>
    </row>
    <row r="340" spans="1:9"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c r="H340" s="1708" t="inlineStr">
        <is>
          <t>報告_預託金のカメラ D8,E6,H6</t>
        </is>
      </c>
      <c r="I340" s="1708" t="inlineStr">
        <is>
          <t>同じシート内のみ</t>
        </is>
      </c>
    </row>
    <row r="341" spans="1:9"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c r="H341" s="1708" t="inlineStr">
        <is>
          <t>報告_預託金のカメラ D8,E7,H7</t>
        </is>
      </c>
      <c r="I341" s="1708" t="inlineStr">
        <is>
          <t>同じシート内のみ</t>
        </is>
      </c>
    </row>
    <row r="342" spans="1:9"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c r="H342" s="1708" t="inlineStr">
        <is>
          <t>報告_預託金のカメラ D11,E9,H9</t>
        </is>
      </c>
      <c r="I342" s="1708" t="inlineStr">
        <is>
          <t>同じシート内のみ</t>
        </is>
      </c>
    </row>
    <row r="343" spans="1:9"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c r="H343" s="1708" t="inlineStr">
        <is>
          <t>報告_預託金のカメラ D11,E10,H10</t>
        </is>
      </c>
      <c r="I343" s="1708" t="inlineStr">
        <is>
          <t>同じシート内のみ</t>
        </is>
      </c>
    </row>
    <row r="344" spans="1:9"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c r="H344" s="1708" t="inlineStr">
        <is>
          <t>報告_預託金のカメラ F11,G10,H10…</t>
        </is>
      </c>
      <c r="I344" s="1708" t="inlineStr">
        <is>
          <t>同じシート内のみ</t>
        </is>
      </c>
    </row>
    <row r="345" spans="1:9"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c r="H345" s="1708" t="inlineStr">
        <is>
          <t>報告_業務P18 AU7</t>
        </is>
      </c>
      <c r="I345" s="1708" t="inlineStr">
        <is>
          <t>同じシート内のみ</t>
        </is>
      </c>
    </row>
    <row r="346" spans="1:9"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c r="H346" s="1708" t="inlineStr">
        <is>
          <t>報告_業務P18 AJ6,AU8</t>
        </is>
      </c>
      <c r="I346" s="1708" t="inlineStr">
        <is>
          <t>同じシート内のみ</t>
        </is>
      </c>
    </row>
    <row r="347" spans="1:9"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c r="H347" s="1708" t="inlineStr">
        <is>
          <t>報告_業務P18 AJ6,AU9</t>
        </is>
      </c>
      <c r="I347" s="1708" t="inlineStr">
        <is>
          <t>同じシート内のみ</t>
        </is>
      </c>
    </row>
    <row r="348" spans="1:9"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c r="H348" s="1708" t="inlineStr">
        <is>
          <t>報告_業務P18 AJ6,AU10</t>
        </is>
      </c>
      <c r="I348" s="1708" t="inlineStr">
        <is>
          <t>同じシート内のみ</t>
        </is>
      </c>
    </row>
    <row r="349" spans="1:9"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c r="H349" s="1708" t="inlineStr">
        <is>
          <t>報告_業務P18 AJ6,AU11</t>
        </is>
      </c>
      <c r="I349" s="1708" t="inlineStr">
        <is>
          <t>同じシート内のみ</t>
        </is>
      </c>
    </row>
    <row r="350" spans="1:9"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c r="H350" s="1708" t="inlineStr">
        <is>
          <t>報告_業務P18 AU21</t>
        </is>
      </c>
      <c r="I350" s="1708" t="inlineStr">
        <is>
          <t>同じシート内のみ</t>
        </is>
      </c>
    </row>
    <row r="351" spans="1:9"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c r="H351" s="1708" t="inlineStr">
        <is>
          <t>報告_業務P18 M32,AE27</t>
        </is>
      </c>
      <c r="I351" s="1708" t="inlineStr">
        <is>
          <t>同じシート内のみ</t>
        </is>
      </c>
    </row>
    <row r="352" spans="1:9"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c r="H352" s="1708" t="inlineStr">
        <is>
          <t>報告_業務P18 M32,AE28</t>
        </is>
      </c>
      <c r="I352" s="1708" t="inlineStr">
        <is>
          <t>同じシート内のみ</t>
        </is>
      </c>
    </row>
    <row r="353" spans="1:9"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c r="H353" s="1708" t="inlineStr">
        <is>
          <t>報告_業務P18 M32,AE29</t>
        </is>
      </c>
      <c r="I353" s="1708" t="inlineStr">
        <is>
          <t>同じシート内のみ</t>
        </is>
      </c>
    </row>
    <row r="354" spans="1:9"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c r="H354" s="1708" t="inlineStr">
        <is>
          <t>報告_業務P18 M32,AE30</t>
        </is>
      </c>
      <c r="I354" s="1708" t="inlineStr">
        <is>
          <t>同じシート内のみ</t>
        </is>
      </c>
    </row>
    <row r="355" spans="1:9"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c r="H355" s="1708" t="inlineStr">
        <is>
          <t>報告_業務P18 M32,AE31</t>
        </is>
      </c>
      <c r="I355" s="1708" t="inlineStr">
        <is>
          <t>同じシート内のみ</t>
        </is>
      </c>
    </row>
    <row r="356" spans="1:9"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c r="H356" s="1708" t="inlineStr">
        <is>
          <t>報告_業務P19 M26,AE5、業務_附属明細表P48-50 E122</t>
        </is>
      </c>
      <c r="I356" s="1708" t="inlineStr">
        <is>
          <t>業務_附属明細表P48-50P48-50</t>
        </is>
      </c>
    </row>
    <row r="357" spans="1:9"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c r="H357" s="1708" t="inlineStr">
        <is>
          <t>報告_業務P19 M26,AE6、業務_附属明細表P48-50 E123</t>
        </is>
      </c>
      <c r="I357" s="1708" t="inlineStr">
        <is>
          <t>業務_附属明細表P48-50P48-50</t>
        </is>
      </c>
    </row>
    <row r="358" spans="1:9"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c r="H358" s="1708" t="inlineStr">
        <is>
          <t>報告_業務P19 M26,AE7</t>
        </is>
      </c>
      <c r="I358" s="1708" t="inlineStr">
        <is>
          <t>同じシート内のみ</t>
        </is>
      </c>
    </row>
    <row r="359" spans="1:9"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c r="H359" s="1708" t="inlineStr">
        <is>
          <t>報告_業務P19 M26,AE8、業務_附属明細表P48-50 E124</t>
        </is>
      </c>
      <c r="I359" s="1708" t="inlineStr">
        <is>
          <t>業務_附属明細表P48-50P48-50</t>
        </is>
      </c>
    </row>
    <row r="360" spans="1:9"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c r="H360" s="1708" t="inlineStr">
        <is>
          <t>報告_業務P19 M26,AE9</t>
        </is>
      </c>
      <c r="I360" s="1708" t="inlineStr">
        <is>
          <t>同じシート内のみ</t>
        </is>
      </c>
    </row>
    <row r="361" spans="1:9"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c r="H361" s="1708" t="inlineStr">
        <is>
          <t>報告_業務P19 M26,AE10</t>
        </is>
      </c>
      <c r="I361" s="1708" t="inlineStr">
        <is>
          <t>同じシート内のみ</t>
        </is>
      </c>
    </row>
    <row r="362" spans="1:9"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c r="H362" s="1708" t="inlineStr">
        <is>
          <t>報告_業務P19 M26,AE11</t>
        </is>
      </c>
      <c r="I362" s="1708" t="inlineStr">
        <is>
          <t>同じシート内のみ</t>
        </is>
      </c>
    </row>
    <row r="363" spans="1:9"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c r="H363" s="1708" t="inlineStr">
        <is>
          <t>報告_業務P19 M26,AE12</t>
        </is>
      </c>
      <c r="I363" s="1708" t="inlineStr">
        <is>
          <t>同じシート内のみ</t>
        </is>
      </c>
    </row>
    <row r="364" spans="1:9"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c r="H364" s="1708" t="inlineStr">
        <is>
          <t>報告_業務P19 V26,AE12,AW12</t>
        </is>
      </c>
      <c r="I364" s="1708" t="inlineStr">
        <is>
          <t>同じシート内のみ</t>
        </is>
      </c>
    </row>
    <row r="365" spans="1:9"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c r="H365" s="1708" t="inlineStr">
        <is>
          <t>報告_業務P19 M26,AE13</t>
        </is>
      </c>
      <c r="I365" s="1708" t="inlineStr">
        <is>
          <t>同じシート内のみ</t>
        </is>
      </c>
    </row>
    <row r="366" spans="1:9"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c r="H366" s="1708" t="inlineStr">
        <is>
          <t>報告_業務P19 M26,AE14</t>
        </is>
      </c>
      <c r="I366" s="1708" t="inlineStr">
        <is>
          <t>同じシート内のみ</t>
        </is>
      </c>
    </row>
    <row r="367" spans="1:9"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c r="H367" s="1708" t="inlineStr">
        <is>
          <t>報告_業務P19 M26,AE15</t>
        </is>
      </c>
      <c r="I367" s="1708" t="inlineStr">
        <is>
          <t>同じシート内のみ</t>
        </is>
      </c>
    </row>
    <row r="368" spans="1:9"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c r="H368" s="1708" t="inlineStr">
        <is>
          <t>報告_業務P19 M26,AE16</t>
        </is>
      </c>
      <c r="I368" s="1708" t="inlineStr">
        <is>
          <t>同じシート内のみ</t>
        </is>
      </c>
    </row>
    <row r="369" spans="1:9"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c r="H369" s="1708" t="inlineStr">
        <is>
          <t>報告_業務P19 M26,AE17</t>
        </is>
      </c>
      <c r="I369" s="1708" t="inlineStr">
        <is>
          <t>同じシート内のみ</t>
        </is>
      </c>
    </row>
    <row r="370" spans="1:9"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c r="H370" s="1708" t="inlineStr">
        <is>
          <t>報告_業務P19 V26,AE17,AW17</t>
        </is>
      </c>
      <c r="I370" s="1708" t="inlineStr">
        <is>
          <t>同じシート内のみ</t>
        </is>
      </c>
    </row>
    <row r="371" spans="1:9"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c r="H371" s="1708" t="inlineStr">
        <is>
          <t>報告_業務P19 M26,AE19</t>
        </is>
      </c>
      <c r="I371" s="1708" t="inlineStr">
        <is>
          <t>同じシート内のみ</t>
        </is>
      </c>
    </row>
    <row r="372" spans="1:9"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c r="H372" s="1708" t="inlineStr">
        <is>
          <t>報告_業務P19 M26,AE20</t>
        </is>
      </c>
      <c r="I372" s="1708" t="inlineStr">
        <is>
          <t>同じシート内のみ</t>
        </is>
      </c>
    </row>
    <row r="373" spans="1:9"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c r="H373" s="1708" t="inlineStr">
        <is>
          <t>報告_業務P19 M26,AE21</t>
        </is>
      </c>
      <c r="I373" s="1708" t="inlineStr">
        <is>
          <t>同じシート内のみ</t>
        </is>
      </c>
    </row>
    <row r="374" spans="1:9"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c r="H374" s="1708" t="inlineStr">
        <is>
          <t>報告_業務P19 M26,AE23</t>
        </is>
      </c>
      <c r="I374" s="1708" t="inlineStr">
        <is>
          <t>同じシート内のみ</t>
        </is>
      </c>
    </row>
    <row r="375" spans="1:9"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c r="H375" s="1708" t="inlineStr">
        <is>
          <t>報告_業務P19 M26,AE24</t>
        </is>
      </c>
      <c r="I375" s="1708" t="inlineStr">
        <is>
          <t>同じシート内のみ</t>
        </is>
      </c>
    </row>
    <row r="376" spans="1:9"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c r="H376" s="1708" t="inlineStr">
        <is>
          <t>報告_業務P19 M26,AE25</t>
        </is>
      </c>
      <c r="I376" s="1708" t="inlineStr">
        <is>
          <t>同じシート内のみ</t>
        </is>
      </c>
    </row>
    <row r="377" spans="1:9"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c r="H377" s="1708" t="inlineStr">
        <is>
          <t>報告_保健P20-22 AE9</t>
        </is>
      </c>
      <c r="I377" s="1708" t="inlineStr">
        <is>
          <t>同じシート内のみ</t>
        </is>
      </c>
    </row>
    <row r="378" spans="1:9"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c r="H378" s="1708" t="inlineStr">
        <is>
          <t>報告_保健P20-22 AE9</t>
        </is>
      </c>
      <c r="I378" s="1708" t="inlineStr">
        <is>
          <t>同じシート内のみ</t>
        </is>
      </c>
    </row>
    <row r="379" spans="1:9"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c r="H379" s="1708" t="inlineStr">
        <is>
          <t>報告_保健P20-22 AE10</t>
        </is>
      </c>
      <c r="I379" s="1708" t="inlineStr">
        <is>
          <t>同じシート内のみ</t>
        </is>
      </c>
    </row>
    <row r="380" spans="1:9"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c r="H380" s="1708" t="inlineStr">
        <is>
          <t>報告_保健P20-22 AE10</t>
        </is>
      </c>
      <c r="I380" s="1708" t="inlineStr">
        <is>
          <t>同じシート内のみ</t>
        </is>
      </c>
    </row>
    <row r="381" spans="1:9"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c r="H381" s="1708" t="inlineStr">
        <is>
          <t>報告_保健P20-22 AE11</t>
        </is>
      </c>
      <c r="I381" s="1708" t="inlineStr">
        <is>
          <t>同じシート内のみ</t>
        </is>
      </c>
    </row>
    <row r="382" spans="1:9"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c r="H382" s="1708" t="inlineStr">
        <is>
          <t>報告_保健P20-22 AE11</t>
        </is>
      </c>
      <c r="I382" s="1708" t="inlineStr">
        <is>
          <t>同じシート内のみ</t>
        </is>
      </c>
    </row>
    <row r="383" spans="1:9"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c r="H383" s="1708" t="inlineStr">
        <is>
          <t>報告_保健P20-22 AE12</t>
        </is>
      </c>
      <c r="I383" s="1708" t="inlineStr">
        <is>
          <t>同じシート内のみ</t>
        </is>
      </c>
    </row>
    <row r="384" spans="1:9"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c r="H384" s="1708" t="inlineStr">
        <is>
          <t>報告_保健P20-22 AE12</t>
        </is>
      </c>
      <c r="I384" s="1708" t="inlineStr">
        <is>
          <t>同じシート内のみ</t>
        </is>
      </c>
    </row>
    <row r="385" spans="1:9"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c r="H385" s="1708" t="inlineStr">
        <is>
          <t>報告_保健P20-22 AE13</t>
        </is>
      </c>
      <c r="I385" s="1708" t="inlineStr">
        <is>
          <t>同じシート内のみ</t>
        </is>
      </c>
    </row>
    <row r="386" spans="1:9"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c r="H386" s="1708" t="inlineStr">
        <is>
          <t>報告_保健P20-22 M20,AE21</t>
        </is>
      </c>
      <c r="I386" s="1708" t="inlineStr">
        <is>
          <t>同じシート内のみ</t>
        </is>
      </c>
    </row>
    <row r="387" spans="1:9"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c r="H387" s="1708" t="inlineStr">
        <is>
          <t>報告_保健P20-22 V20,AE21,AW21</t>
        </is>
      </c>
      <c r="I387" s="1708" t="inlineStr">
        <is>
          <t>保健_財務諸表P53、保健_附属明細表P54-57、保健_決算精算表P58</t>
        </is>
      </c>
    </row>
    <row r="388" spans="1:9"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c r="H388" s="1708" t="inlineStr">
        <is>
          <t>報告_保健P20-22 M20,AE22</t>
        </is>
      </c>
      <c r="I388" s="1708" t="inlineStr">
        <is>
          <t>同じシート内のみ</t>
        </is>
      </c>
    </row>
    <row r="389" spans="1:9"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c r="H389" s="1708" t="inlineStr">
        <is>
          <t>報告_保健P20-22 V20,AE22,AW22</t>
        </is>
      </c>
      <c r="I389" s="1708" t="inlineStr">
        <is>
          <t>保健_財務諸表P53、保健_附属明細表P54-57、保健_決算精算表P58</t>
        </is>
      </c>
    </row>
    <row r="390" spans="1:9"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c r="H390" s="1708" t="inlineStr">
        <is>
          <t>報告_保健P20-22 M20,AE23</t>
        </is>
      </c>
      <c r="I390" s="1708" t="inlineStr">
        <is>
          <t>同じシート内のみ</t>
        </is>
      </c>
    </row>
    <row r="391" spans="1:9"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c r="H391" s="1708" t="inlineStr">
        <is>
          <t>報告_保健P20-22 V20,AE23,AW23</t>
        </is>
      </c>
      <c r="I391" s="1708" t="inlineStr">
        <is>
          <t>保健_財務諸表P53、保健_附属明細表P54-57、保健_決算精算表P58</t>
        </is>
      </c>
    </row>
    <row r="392" spans="1:9"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c r="H392" s="1708" t="inlineStr">
        <is>
          <t>報告_保健P20-22 M24,AE25</t>
        </is>
      </c>
      <c r="I392" s="1708" t="inlineStr">
        <is>
          <t>同じシート内のみ</t>
        </is>
      </c>
    </row>
    <row r="393" spans="1:9"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c r="H393" s="1708" t="inlineStr">
        <is>
          <t>報告_保健P20-22 V24,AE25,AW25</t>
        </is>
      </c>
      <c r="I393" s="1708" t="inlineStr">
        <is>
          <t>保健_財務諸表P53、保健_附属明細表P54-57、保健_決算精算表P58</t>
        </is>
      </c>
    </row>
    <row r="394" spans="1:9"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c r="H394" s="1708" t="inlineStr">
        <is>
          <t>報告_保健P20-22 M24,AE26</t>
        </is>
      </c>
      <c r="I394" s="1708" t="inlineStr">
        <is>
          <t>同じシート内のみ</t>
        </is>
      </c>
    </row>
    <row r="395" spans="1:9"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c r="H395" s="1708" t="inlineStr">
        <is>
          <t>報告_保健P20-22 V24,AE26,AW26</t>
        </is>
      </c>
      <c r="I395" s="1708" t="inlineStr">
        <is>
          <t>保健_財務諸表P53、保健_附属明細表P54-57、保健_決算精算表P58</t>
        </is>
      </c>
    </row>
    <row r="396" spans="1:9"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c r="H396" s="1708" t="inlineStr">
        <is>
          <t>報告_保健P20-22 M33,AE27</t>
        </is>
      </c>
      <c r="I396" s="1708" t="inlineStr">
        <is>
          <t>同じシート内のみ</t>
        </is>
      </c>
    </row>
    <row r="397" spans="1:9"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c r="H397" s="1708" t="inlineStr">
        <is>
          <t>報告_保健P20-22 V33,AE27,AW27</t>
        </is>
      </c>
      <c r="I397" s="1708" t="inlineStr">
        <is>
          <t>同じシート内のみ</t>
        </is>
      </c>
    </row>
    <row r="398" spans="1:9"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c r="H398" s="1708" t="inlineStr">
        <is>
          <t>報告_保健P20-22 M33,AE28</t>
        </is>
      </c>
      <c r="I398" s="1708" t="inlineStr">
        <is>
          <t>同じシート内のみ</t>
        </is>
      </c>
    </row>
    <row r="399" spans="1:9"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c r="H399" s="1708" t="inlineStr">
        <is>
          <t>報告_保健P20-22 V33,AE28,AW28</t>
        </is>
      </c>
      <c r="I399" s="1708" t="inlineStr">
        <is>
          <t>同じシート内のみ</t>
        </is>
      </c>
    </row>
    <row r="400" spans="1:9"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c r="H400" s="1708" t="inlineStr">
        <is>
          <t>報告_保健P20-22 M33,AE29</t>
        </is>
      </c>
      <c r="I400" s="1708" t="inlineStr">
        <is>
          <t>同じシート内のみ</t>
        </is>
      </c>
    </row>
    <row r="401" spans="1:9"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c r="H401" s="1708" t="inlineStr">
        <is>
          <t>報告_保健P20-22 AE30</t>
        </is>
      </c>
      <c r="I401" s="1708" t="inlineStr">
        <is>
          <t>同じシート内のみ</t>
        </is>
      </c>
    </row>
    <row r="402" spans="1:9"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c r="H402" s="1708" t="inlineStr">
        <is>
          <t>報告_保健P20-22 V33,AE30,AW30</t>
        </is>
      </c>
      <c r="I402" s="1708" t="inlineStr">
        <is>
          <t>同じシート内のみ</t>
        </is>
      </c>
    </row>
    <row r="403" spans="1:9"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c r="H403" s="1708" t="inlineStr">
        <is>
          <t>報告_保健P20-22 M33,AE31</t>
        </is>
      </c>
      <c r="I403" s="1708" t="inlineStr">
        <is>
          <t>同じシート内のみ</t>
        </is>
      </c>
    </row>
    <row r="404" spans="1:9"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c r="H404" s="1708" t="inlineStr">
        <is>
          <t>報告_保健P20-22 M33,AE32</t>
        </is>
      </c>
      <c r="I404" s="1708" t="inlineStr">
        <is>
          <t>同じシート内のみ</t>
        </is>
      </c>
    </row>
    <row r="405" spans="1:9"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c r="H405" s="1708" t="inlineStr">
        <is>
          <t>報告_保健P20-22 M65,AE46、保健_附属明細表P54-57 E136</t>
        </is>
      </c>
      <c r="I405" s="1708" t="inlineStr">
        <is>
          <t>保健_附属明細表P54-57P54-57</t>
        </is>
      </c>
    </row>
    <row r="406" spans="1:9"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c r="H406" s="1708" t="inlineStr">
        <is>
          <t>報告_保健P20-22 M65,AE47</t>
        </is>
      </c>
      <c r="I406" s="1708" t="inlineStr">
        <is>
          <t>同じシート内のみ</t>
        </is>
      </c>
    </row>
    <row r="407" spans="1:9"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c r="H407" s="1708" t="inlineStr">
        <is>
          <t>報告_保健P20-22 M65,AE48</t>
        </is>
      </c>
      <c r="I407" s="1708" t="inlineStr">
        <is>
          <t>同じシート内のみ</t>
        </is>
      </c>
    </row>
    <row r="408" spans="1:9"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c r="H408" s="1708" t="inlineStr">
        <is>
          <t>報告_保健P20-22 M65,AE49、保健_附属明細表P54-57 E137</t>
        </is>
      </c>
      <c r="I408" s="1708" t="inlineStr">
        <is>
          <t>保健_附属明細表P54-57P54-57</t>
        </is>
      </c>
    </row>
    <row r="409" spans="1:9"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c r="H409" s="1708" t="inlineStr">
        <is>
          <t>報告_保健P20-22 V65,AE49,AW49</t>
        </is>
      </c>
      <c r="I409" s="1708" t="inlineStr">
        <is>
          <t>同じシート内のみ</t>
        </is>
      </c>
    </row>
    <row r="410" spans="1:9"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c r="H410" s="1708" t="inlineStr">
        <is>
          <t>報告_保健P20-22 M65,AE50、保健_附属明細表P54-57 E138</t>
        </is>
      </c>
      <c r="I410" s="1708" t="inlineStr">
        <is>
          <t>保健_附属明細表P54-57P54-57</t>
        </is>
      </c>
    </row>
    <row r="411" spans="1:9"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c r="H411" s="1708" t="inlineStr">
        <is>
          <t>報告_保健P20-22 M65,AE51</t>
        </is>
      </c>
      <c r="I411" s="1708" t="inlineStr">
        <is>
          <t>同じシート内のみ</t>
        </is>
      </c>
    </row>
    <row r="412" spans="1:9"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c r="H412" s="1708" t="inlineStr">
        <is>
          <t>報告_保健P20-22 M65,AE52</t>
        </is>
      </c>
      <c r="I412" s="1708" t="inlineStr">
        <is>
          <t>同じシート内のみ</t>
        </is>
      </c>
    </row>
    <row r="413" spans="1:9"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c r="H413" s="1708" t="inlineStr">
        <is>
          <t>報告_保健P20-22 M65,AE53</t>
        </is>
      </c>
      <c r="I413" s="1708" t="inlineStr">
        <is>
          <t>同じシート内のみ</t>
        </is>
      </c>
    </row>
    <row r="414" spans="1:9"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c r="H414" s="1708" t="inlineStr">
        <is>
          <t>報告_保健P20-22 M65,AE54</t>
        </is>
      </c>
      <c r="I414" s="1708" t="inlineStr">
        <is>
          <t>同じシート内のみ</t>
        </is>
      </c>
    </row>
    <row r="415" spans="1:9"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c r="H415" s="1708" t="inlineStr">
        <is>
          <t>報告_保健P20-22 M65,AE55</t>
        </is>
      </c>
      <c r="I415" s="1708" t="inlineStr">
        <is>
          <t>同じシート内のみ</t>
        </is>
      </c>
    </row>
    <row r="416" spans="1:9"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c r="H416" s="1708" t="inlineStr">
        <is>
          <t>報告_保健P20-22 M65,AE56</t>
        </is>
      </c>
      <c r="I416" s="1708" t="inlineStr">
        <is>
          <t>同じシート内のみ</t>
        </is>
      </c>
    </row>
    <row r="417" spans="1:9"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c r="H417" s="1708" t="inlineStr">
        <is>
          <t>報告_保健P20-22 M65,AE57</t>
        </is>
      </c>
      <c r="I417" s="1708" t="inlineStr">
        <is>
          <t>同じシート内のみ</t>
        </is>
      </c>
    </row>
    <row r="418" spans="1:9"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c r="H418" s="1708" t="inlineStr">
        <is>
          <t>報告_保健P20-22 M65,AE58</t>
        </is>
      </c>
      <c r="I418" s="1708" t="inlineStr">
        <is>
          <t>同じシート内のみ</t>
        </is>
      </c>
    </row>
    <row r="419" spans="1:9"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c r="H419" s="1708" t="inlineStr">
        <is>
          <t>報告_保健P20-22 M65,AE59</t>
        </is>
      </c>
      <c r="I419" s="1708" t="inlineStr">
        <is>
          <t>同じシート内のみ</t>
        </is>
      </c>
    </row>
    <row r="420" spans="1:9"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c r="H420" s="1708" t="inlineStr">
        <is>
          <t>報告_保健P20-22 M65,AE60</t>
        </is>
      </c>
      <c r="I420" s="1708" t="inlineStr">
        <is>
          <t>同じシート内のみ</t>
        </is>
      </c>
    </row>
    <row r="421" spans="1:9"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c r="H421" s="1708" t="inlineStr">
        <is>
          <t>報告_保健P20-22 M65,AE61</t>
        </is>
      </c>
      <c r="I421" s="1708" t="inlineStr">
        <is>
          <t>同じシート内のみ</t>
        </is>
      </c>
    </row>
    <row r="422" spans="1:9"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c r="H422" s="1708" t="inlineStr">
        <is>
          <t>報告_保健P20-22 M65,AE62</t>
        </is>
      </c>
      <c r="I422" s="1708" t="inlineStr">
        <is>
          <t>同じシート内のみ</t>
        </is>
      </c>
    </row>
    <row r="423" spans="1:9"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c r="H423" s="1708" t="inlineStr">
        <is>
          <t>報告_保健P20-22 M65,AE63</t>
        </is>
      </c>
      <c r="I423" s="1708" t="inlineStr">
        <is>
          <t>同じシート内のみ</t>
        </is>
      </c>
    </row>
    <row r="424" spans="1:9"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c r="H424" s="1708" t="inlineStr">
        <is>
          <t>報告_保健P20-22 M65,AE64</t>
        </is>
      </c>
      <c r="I424" s="1708" t="inlineStr">
        <is>
          <t>同じシート内のみ</t>
        </is>
      </c>
    </row>
    <row r="425" spans="1:9"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c r="H425" s="1708" t="inlineStr">
        <is>
          <t>報告_保健P20-22 P81</t>
        </is>
      </c>
      <c r="I425" s="1708" t="inlineStr">
        <is>
          <t>同じシート内のみ</t>
        </is>
      </c>
    </row>
    <row r="426" spans="1:9"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c r="H426" s="1708" t="inlineStr">
        <is>
          <t>報告_保健P20-22 X81</t>
        </is>
      </c>
      <c r="I426" s="1708" t="inlineStr">
        <is>
          <t>同じシート内のみ</t>
        </is>
      </c>
    </row>
    <row r="427" spans="1:9"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c r="H427" s="1708" t="inlineStr">
        <is>
          <t>報告_保健P20-22 P72</t>
        </is>
      </c>
      <c r="I427" s="1708" t="inlineStr">
        <is>
          <t>同じシート内のみ</t>
        </is>
      </c>
    </row>
    <row r="428" spans="1:9"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c r="H428" s="1708" t="inlineStr">
        <is>
          <t>報告_保健P20-22 X72</t>
        </is>
      </c>
      <c r="I428" s="1708" t="inlineStr">
        <is>
          <t>同じシート内のみ</t>
        </is>
      </c>
    </row>
    <row r="429" spans="1:9"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c r="H429" s="1708" t="inlineStr">
        <is>
          <t>報告_保健P20-22 P72</t>
        </is>
      </c>
      <c r="I429" s="1708" t="inlineStr">
        <is>
          <t>同じシート内のみ</t>
        </is>
      </c>
    </row>
    <row r="430" spans="1:9"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c r="H430" s="1708" t="inlineStr">
        <is>
          <t>報告_保健P20-22 X72</t>
        </is>
      </c>
      <c r="I430" s="1708" t="inlineStr">
        <is>
          <t>同じシート内のみ</t>
        </is>
      </c>
    </row>
    <row r="431" spans="1:9"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c r="H431" s="1708" t="inlineStr">
        <is>
          <t>報告_保健P20-22 P72</t>
        </is>
      </c>
      <c r="I431" s="1708" t="inlineStr">
        <is>
          <t>同じシート内のみ</t>
        </is>
      </c>
    </row>
    <row r="432" spans="1:9"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c r="H432" s="1708" t="inlineStr">
        <is>
          <t>報告_保健P20-22 X72</t>
        </is>
      </c>
      <c r="I432" s="1708" t="inlineStr">
        <is>
          <t>同じシート内のみ</t>
        </is>
      </c>
    </row>
    <row r="433" spans="1:9"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c r="H433" s="1708" t="inlineStr">
        <is>
          <t>報告_保健P20-22 P81</t>
        </is>
      </c>
      <c r="I433" s="1708" t="inlineStr">
        <is>
          <t>同じシート内のみ</t>
        </is>
      </c>
    </row>
    <row r="434" spans="1:9"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c r="H434" s="1708" t="inlineStr">
        <is>
          <t>報告_保健P20-22 X81</t>
        </is>
      </c>
      <c r="I434" s="1708" t="inlineStr">
        <is>
          <t>同じシート内のみ</t>
        </is>
      </c>
    </row>
    <row r="435" spans="1:9"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c r="H435" s="1708" t="inlineStr">
        <is>
          <t>報告_保健P20-22 P81</t>
        </is>
      </c>
      <c r="I435" s="1708" t="inlineStr">
        <is>
          <t>同じシート内のみ</t>
        </is>
      </c>
    </row>
    <row r="436" spans="1:9"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c r="H436" s="1708" t="inlineStr">
        <is>
          <t>報告_保健P20-22 X81</t>
        </is>
      </c>
      <c r="I436" s="1708" t="inlineStr">
        <is>
          <t>同じシート内のみ</t>
        </is>
      </c>
    </row>
    <row r="437" spans="1:9"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c r="H437" s="1708" t="inlineStr">
        <is>
          <t>報告_保健P20-22 P81</t>
        </is>
      </c>
      <c r="I437" s="1708" t="inlineStr">
        <is>
          <t>同じシート内のみ</t>
        </is>
      </c>
    </row>
    <row r="438" spans="1:9"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c r="H438" s="1708" t="inlineStr">
        <is>
          <t>報告_保健P20-22 X81</t>
        </is>
      </c>
      <c r="I438" s="1708" t="inlineStr">
        <is>
          <t>同じシート内のみ</t>
        </is>
      </c>
    </row>
    <row r="439" spans="1:9"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c r="H439" s="1708" t="inlineStr">
        <is>
          <t>報告_保健P20-22 P81</t>
        </is>
      </c>
      <c r="I439" s="1708" t="inlineStr">
        <is>
          <t>同じシート内のみ</t>
        </is>
      </c>
    </row>
    <row r="440" spans="1:9"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c r="H440" s="1708" t="inlineStr">
        <is>
          <t>報告_保健P20-22 X81</t>
        </is>
      </c>
      <c r="I440" s="1708" t="inlineStr">
        <is>
          <t>同じシート内のみ</t>
        </is>
      </c>
    </row>
    <row r="441" spans="1:9"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c r="H441" s="1708" t="inlineStr">
        <is>
          <t>報告_保健P20-22 P81</t>
        </is>
      </c>
      <c r="I441" s="1708" t="inlineStr">
        <is>
          <t>同じシート内のみ</t>
        </is>
      </c>
    </row>
    <row r="442" spans="1:9"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c r="H442" s="1708" t="inlineStr">
        <is>
          <t>報告_保健P20-22 X81</t>
        </is>
      </c>
      <c r="I442" s="1708" t="inlineStr">
        <is>
          <t>同じシート内のみ</t>
        </is>
      </c>
    </row>
    <row r="443" spans="1:9"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c r="H443" s="1708" t="inlineStr">
        <is>
          <t>報告_保健P20-22 P83</t>
        </is>
      </c>
      <c r="I443" s="1708" t="inlineStr">
        <is>
          <t>同じシート内のみ</t>
        </is>
      </c>
    </row>
    <row r="444" spans="1:9"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c r="H444" s="1708" t="inlineStr">
        <is>
          <t>報告_保健P20-22 X83</t>
        </is>
      </c>
      <c r="I444" s="1708" t="inlineStr">
        <is>
          <t>同じシート内のみ</t>
        </is>
      </c>
    </row>
    <row r="445" spans="1:9"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c r="H445" s="1708" t="inlineStr">
        <is>
          <t>報告_保健P20-22 P85</t>
        </is>
      </c>
      <c r="I445" s="1708" t="inlineStr">
        <is>
          <t>同じシート内のみ</t>
        </is>
      </c>
    </row>
    <row r="446" spans="1:9"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c r="H446" s="1708" t="inlineStr">
        <is>
          <t>報告_保健P20-22 X85</t>
        </is>
      </c>
      <c r="I446" s="1708" t="inlineStr">
        <is>
          <t>同じシート内のみ</t>
        </is>
      </c>
    </row>
    <row r="447" spans="1:9"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c r="H447" s="1708" t="inlineStr">
        <is>
          <t>報告_保健P20-22 P89</t>
        </is>
      </c>
      <c r="I447" s="1708" t="inlineStr">
        <is>
          <t>同じシート内のみ</t>
        </is>
      </c>
    </row>
    <row r="448" spans="1:9"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c r="H448" s="1708" t="inlineStr">
        <is>
          <t>報告_保健P20-22 X89</t>
        </is>
      </c>
      <c r="I448" s="1708" t="inlineStr">
        <is>
          <t>同じシート内のみ</t>
        </is>
      </c>
    </row>
    <row r="449" spans="1:9"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c r="H449" s="1708" t="inlineStr">
        <is>
          <t>報告_保健P20-22 P89</t>
        </is>
      </c>
      <c r="I449" s="1708" t="inlineStr">
        <is>
          <t>同じシート内のみ</t>
        </is>
      </c>
    </row>
    <row r="450" spans="1:9"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c r="H450" s="1708" t="inlineStr">
        <is>
          <t>報告_保健P20-22 X89</t>
        </is>
      </c>
      <c r="I450" s="1708" t="inlineStr">
        <is>
          <t>同じシート内のみ</t>
        </is>
      </c>
    </row>
    <row r="451" spans="1:9"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c r="H451" s="1708" t="inlineStr">
        <is>
          <t>報告_保健P20-22 P89</t>
        </is>
      </c>
      <c r="I451" s="1708" t="inlineStr">
        <is>
          <t>同じシート内のみ</t>
        </is>
      </c>
    </row>
    <row r="452" spans="1:9"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c r="H452" s="1708" t="inlineStr">
        <is>
          <t>報告_保健P20-22 X89</t>
        </is>
      </c>
      <c r="I452" s="1708" t="inlineStr">
        <is>
          <t>同じシート内のみ</t>
        </is>
      </c>
    </row>
    <row r="453" spans="1:9"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c r="H453" s="1708" t="inlineStr">
        <is>
          <t>報告_保健P20-22 P92</t>
        </is>
      </c>
      <c r="I453" s="1708" t="inlineStr">
        <is>
          <t>同じシート内のみ</t>
        </is>
      </c>
    </row>
    <row r="454" spans="1:9"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c r="H454" s="1708" t="inlineStr">
        <is>
          <t>報告_保健P20-22 X92</t>
        </is>
      </c>
      <c r="I454" s="1708" t="inlineStr">
        <is>
          <t>同じシート内のみ</t>
        </is>
      </c>
    </row>
    <row r="455" spans="1:9"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c r="H455" s="1708" t="inlineStr">
        <is>
          <t>報告_保健P20-22 P92</t>
        </is>
      </c>
      <c r="I455" s="1708" t="inlineStr">
        <is>
          <t>同じシート内のみ</t>
        </is>
      </c>
    </row>
    <row r="456" spans="1:9"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c r="H456" s="1708" t="inlineStr">
        <is>
          <t>報告_保健P20-22 X92</t>
        </is>
      </c>
      <c r="I456" s="1708" t="inlineStr">
        <is>
          <t>同じシート内のみ</t>
        </is>
      </c>
    </row>
    <row r="457" spans="1:9"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c r="H457" s="1708" t="inlineStr">
        <is>
          <t>報告_保健P20-22 P97</t>
        </is>
      </c>
      <c r="I457" s="1708" t="inlineStr">
        <is>
          <t>同じシート内のみ</t>
        </is>
      </c>
    </row>
    <row r="458" spans="1:9"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c r="H458" s="1708" t="inlineStr">
        <is>
          <t>報告_保健P20-22 X97</t>
        </is>
      </c>
      <c r="I458" s="1708" t="inlineStr">
        <is>
          <t>同じシート内のみ</t>
        </is>
      </c>
    </row>
    <row r="459" spans="1:9"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c r="H459" s="1708" t="inlineStr">
        <is>
          <t>報告_保健P20-22 P97</t>
        </is>
      </c>
      <c r="I459" s="1708" t="inlineStr">
        <is>
          <t>同じシート内のみ</t>
        </is>
      </c>
    </row>
    <row r="460" spans="1:9"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c r="H460" s="1708" t="inlineStr">
        <is>
          <t>報告_保健P20-22 X97</t>
        </is>
      </c>
      <c r="I460" s="1708" t="inlineStr">
        <is>
          <t>同じシート内のみ</t>
        </is>
      </c>
    </row>
    <row r="461" spans="1:9"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c r="H461" s="1708" t="inlineStr">
        <is>
          <t>報告_保健P20-22 P97</t>
        </is>
      </c>
      <c r="I461" s="1708" t="inlineStr">
        <is>
          <t>同じシート内のみ</t>
        </is>
      </c>
    </row>
    <row r="462" spans="1:9"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c r="H462" s="1708" t="inlineStr">
        <is>
          <t>報告_保健P20-22 X97</t>
        </is>
      </c>
      <c r="I462" s="1708" t="inlineStr">
        <is>
          <t>同じシート内のみ</t>
        </is>
      </c>
    </row>
    <row r="463" spans="1:9"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c r="H463" s="1708" t="inlineStr">
        <is>
          <t>報告_保健P20-22 P97</t>
        </is>
      </c>
      <c r="I463" s="1708" t="inlineStr">
        <is>
          <t>同じシート内のみ</t>
        </is>
      </c>
    </row>
    <row r="464" spans="1:9"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c r="H464" s="1708" t="inlineStr">
        <is>
          <t>報告_保健P20-22 X97</t>
        </is>
      </c>
      <c r="I464" s="1708" t="inlineStr">
        <is>
          <t>同じシート内のみ</t>
        </is>
      </c>
    </row>
    <row r="465" spans="1:9"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c r="H465" s="1708" t="inlineStr">
        <is>
          <t>報告_貸付P23-25 P9,AH6</t>
        </is>
      </c>
      <c r="I465" s="1708" t="inlineStr">
        <is>
          <t>同じシート内のみ</t>
        </is>
      </c>
    </row>
    <row r="466" spans="1:9"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c r="H466" s="1708" t="inlineStr">
        <is>
          <t>報告_貸付P23-25 P9,AH7</t>
        </is>
      </c>
      <c r="I466" s="1708" t="inlineStr">
        <is>
          <t>同じシート内のみ</t>
        </is>
      </c>
    </row>
    <row r="467" spans="1:9"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c r="H467" s="1708" t="inlineStr">
        <is>
          <t>報告_貸付P23-25 P9,AH8</t>
        </is>
      </c>
      <c r="I467" s="1708" t="inlineStr">
        <is>
          <t>同じシート内のみ</t>
        </is>
      </c>
    </row>
    <row r="468" spans="1:9"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c r="H468" s="1708" t="inlineStr">
        <is>
          <t>報告_貸付P23-25 P32,AH16</t>
        </is>
      </c>
      <c r="I468" s="1708" t="inlineStr">
        <is>
          <t>同じシート内のみ</t>
        </is>
      </c>
    </row>
    <row r="469" spans="1:9"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c r="H469" s="1708" t="inlineStr">
        <is>
          <t>報告_貸付P23-25 P32,AH19</t>
        </is>
      </c>
      <c r="I469" s="1708" t="inlineStr">
        <is>
          <t>同じシート内のみ</t>
        </is>
      </c>
    </row>
    <row r="470" spans="1:9"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c r="H470" s="1708" t="inlineStr">
        <is>
          <t>報告_貸付P23-25 P32,AH20</t>
        </is>
      </c>
      <c r="I470" s="1708" t="inlineStr">
        <is>
          <t>同じシート内のみ</t>
        </is>
      </c>
    </row>
    <row r="471" spans="1:9"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c r="H471" s="1708" t="inlineStr">
        <is>
          <t>報告_貸付P23-25 P32,AH21</t>
        </is>
      </c>
      <c r="I471" s="1708" t="inlineStr">
        <is>
          <t>同じシート内のみ</t>
        </is>
      </c>
    </row>
    <row r="472" spans="1:9"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c r="H472" s="1708" t="inlineStr">
        <is>
          <t>報告_貸付P23-25 Y32,AH21,AZ21</t>
        </is>
      </c>
      <c r="I472" s="1708" t="inlineStr">
        <is>
          <t>同じシート内のみ</t>
        </is>
      </c>
    </row>
    <row r="473" spans="1:9"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c r="H473" s="1708" t="inlineStr">
        <is>
          <t>報告_貸付P23-25 P32,AH22</t>
        </is>
      </c>
      <c r="I473" s="1708" t="inlineStr">
        <is>
          <t>同じシート内のみ</t>
        </is>
      </c>
    </row>
    <row r="474" spans="1:9"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c r="H474" s="1708" t="inlineStr">
        <is>
          <t>報告_貸付P23-25 P32,AH23</t>
        </is>
      </c>
      <c r="I474" s="1708" t="inlineStr">
        <is>
          <t>同じシート内のみ</t>
        </is>
      </c>
    </row>
    <row r="475" spans="1:9"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c r="H475" s="1708" t="inlineStr">
        <is>
          <t>報告_貸付P23-25 Y32,AH23,AZ23</t>
        </is>
      </c>
      <c r="I475" s="1708" t="inlineStr">
        <is>
          <t>同じシート内のみ</t>
        </is>
      </c>
    </row>
    <row r="476" spans="1:9"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c r="H476" s="1708" t="inlineStr">
        <is>
          <t>報告_貸付P23-25 P32,AH24</t>
        </is>
      </c>
      <c r="I476" s="1708" t="inlineStr">
        <is>
          <t>同じシート内のみ</t>
        </is>
      </c>
    </row>
    <row r="477" spans="1:9"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c r="H477" s="1708" t="inlineStr">
        <is>
          <t>報告_貸付P23-25 P32,AH25</t>
        </is>
      </c>
      <c r="I477" s="1708" t="inlineStr">
        <is>
          <t>同じシート内のみ</t>
        </is>
      </c>
    </row>
    <row r="478" spans="1:9"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c r="H478" s="1708" t="inlineStr">
        <is>
          <t>報告_貸付P23-25 Y32,AH25,AZ25</t>
        </is>
      </c>
      <c r="I478" s="1708" t="inlineStr">
        <is>
          <t>同じシート内のみ</t>
        </is>
      </c>
    </row>
    <row r="479" spans="1:9"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c r="H479" s="1708" t="inlineStr">
        <is>
          <t>報告_貸付P23-25 P32,AH26</t>
        </is>
      </c>
      <c r="I479" s="1708" t="inlineStr">
        <is>
          <t>同じシート内のみ</t>
        </is>
      </c>
    </row>
    <row r="480" spans="1:9"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c r="H480" s="1708" t="inlineStr">
        <is>
          <t>報告_貸付P23-25 P32,AH27</t>
        </is>
      </c>
      <c r="I480" s="1708" t="inlineStr">
        <is>
          <t>同じシート内のみ</t>
        </is>
      </c>
    </row>
    <row r="481" spans="1:9"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c r="H481" s="1708" t="inlineStr">
        <is>
          <t>報告_貸付P23-25 P32,AH28</t>
        </is>
      </c>
      <c r="I481" s="1708" t="inlineStr">
        <is>
          <t>同じシート内のみ</t>
        </is>
      </c>
    </row>
    <row r="482" spans="1:9"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c r="H482" s="1708" t="inlineStr">
        <is>
          <t>報告_貸付P23-25 Y32,AH28,AZ28</t>
        </is>
      </c>
      <c r="I482" s="1708" t="inlineStr">
        <is>
          <t>同じシート内のみ</t>
        </is>
      </c>
    </row>
    <row r="483" spans="1:9"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c r="H483" s="1708" t="inlineStr">
        <is>
          <t>報告_貸付P23-25 P32,AH29</t>
        </is>
      </c>
      <c r="I483" s="1708" t="inlineStr">
        <is>
          <t>同じシート内のみ</t>
        </is>
      </c>
    </row>
    <row r="484" spans="1:9"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c r="H484" s="1708" t="inlineStr">
        <is>
          <t>報告_貸付P23-25 Y32,AH29,AZ29</t>
        </is>
      </c>
      <c r="I484" s="1708" t="inlineStr">
        <is>
          <t>同じシート内のみ</t>
        </is>
      </c>
    </row>
    <row r="485" spans="1:9"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c r="H485" s="1708" t="inlineStr">
        <is>
          <t>報告_貸付P23-25 P32,AH30</t>
        </is>
      </c>
      <c r="I485" s="1708" t="inlineStr">
        <is>
          <t>同じシート内のみ</t>
        </is>
      </c>
    </row>
    <row r="486" spans="1:9"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c r="H486" s="1708" t="inlineStr">
        <is>
          <t>報告_貸付P23-25 P32,AH31</t>
        </is>
      </c>
      <c r="I486" s="1708" t="inlineStr">
        <is>
          <t>同じシート内のみ</t>
        </is>
      </c>
    </row>
    <row r="487" spans="1:9"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c r="H487" s="1708" t="inlineStr">
        <is>
          <t>なし（このセルのみ）</t>
        </is>
      </c>
      <c r="I487" s="1708" t="inlineStr">
        <is>
          <t>―</t>
        </is>
      </c>
    </row>
    <row r="488" spans="1:9"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c r="H488" s="1708" t="inlineStr">
        <is>
          <t>なし（このセルのみ）</t>
        </is>
      </c>
      <c r="I488" s="1708" t="inlineStr">
        <is>
          <t>―</t>
        </is>
      </c>
    </row>
    <row r="489" spans="1:9"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c r="H489" s="1708" t="inlineStr">
        <is>
          <t>なし（このセルのみ）</t>
        </is>
      </c>
      <c r="I489" s="1708" t="inlineStr">
        <is>
          <t>―</t>
        </is>
      </c>
    </row>
    <row r="490" spans="1:9"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c r="H490" s="1708" t="inlineStr">
        <is>
          <t>なし（このセルのみ）</t>
        </is>
      </c>
      <c r="I490" s="1708" t="inlineStr">
        <is>
          <t>―</t>
        </is>
      </c>
    </row>
    <row r="491" spans="1:9"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c r="H491" s="1708" t="inlineStr">
        <is>
          <t>なし（このセルのみ）</t>
        </is>
      </c>
      <c r="I491" s="1708" t="inlineStr">
        <is>
          <t>―</t>
        </is>
      </c>
    </row>
    <row r="492" spans="1:9"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c r="H492" s="1708" t="inlineStr">
        <is>
          <t>なし（このセルのみ）</t>
        </is>
      </c>
      <c r="I492" s="1708" t="inlineStr">
        <is>
          <t>―</t>
        </is>
      </c>
    </row>
    <row r="493" spans="1:9"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c r="H493" s="1708" t="inlineStr">
        <is>
          <t>なし（このセルのみ）</t>
        </is>
      </c>
      <c r="I493" s="1708" t="inlineStr">
        <is>
          <t>―</t>
        </is>
      </c>
    </row>
    <row r="494" spans="1:9"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c r="H494" s="1708" t="inlineStr">
        <is>
          <t>なし（このセルのみ）</t>
        </is>
      </c>
      <c r="I494" s="1708" t="inlineStr">
        <is>
          <t>―</t>
        </is>
      </c>
    </row>
    <row r="495" spans="1:9"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c r="H495" s="1708" t="inlineStr">
        <is>
          <t>なし（このセルのみ）</t>
        </is>
      </c>
      <c r="I495" s="1708" t="inlineStr">
        <is>
          <t>―</t>
        </is>
      </c>
    </row>
    <row r="496" spans="1:9"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c r="H496" s="1708" t="inlineStr">
        <is>
          <t>なし（このセルのみ）</t>
        </is>
      </c>
      <c r="I496" s="1708" t="inlineStr">
        <is>
          <t>―</t>
        </is>
      </c>
    </row>
    <row r="497" spans="1:9"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c r="H497" s="1708" t="inlineStr">
        <is>
          <t>なし（このセルのみ）</t>
        </is>
      </c>
      <c r="I497" s="1708" t="inlineStr">
        <is>
          <t>―</t>
        </is>
      </c>
    </row>
    <row r="498" spans="1:9"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c r="H498" s="1708" t="inlineStr">
        <is>
          <t>なし（このセルのみ）</t>
        </is>
      </c>
      <c r="I498" s="1708" t="inlineStr">
        <is>
          <t>―</t>
        </is>
      </c>
    </row>
    <row r="499" spans="1:9"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c r="H499" s="1708" t="inlineStr">
        <is>
          <t>なし（このセルのみ）</t>
        </is>
      </c>
      <c r="I499" s="1708" t="inlineStr">
        <is>
          <t>―</t>
        </is>
      </c>
    </row>
    <row r="500" spans="1:9"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c r="H500" s="1708" t="inlineStr">
        <is>
          <t>なし（このセルのみ）</t>
        </is>
      </c>
      <c r="I500" s="1708" t="inlineStr">
        <is>
          <t>―</t>
        </is>
      </c>
    </row>
    <row r="501" spans="1:9"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c r="H501" s="1708" t="inlineStr">
        <is>
          <t>なし（このセルのみ）</t>
        </is>
      </c>
      <c r="I501" s="1708" t="inlineStr">
        <is>
          <t>―</t>
        </is>
      </c>
    </row>
    <row r="502" spans="1:9"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c r="H502" s="1708" t="inlineStr">
        <is>
          <t>なし（このセルのみ）</t>
        </is>
      </c>
      <c r="I502" s="1708" t="inlineStr">
        <is>
          <t>―</t>
        </is>
      </c>
    </row>
    <row r="503" spans="1:9"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c r="H503" s="1708" t="inlineStr">
        <is>
          <t>なし（このセルのみ）</t>
        </is>
      </c>
      <c r="I503" s="1708" t="inlineStr">
        <is>
          <t>―</t>
        </is>
      </c>
    </row>
    <row r="504" spans="1:9"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c r="H504" s="1708" t="inlineStr">
        <is>
          <t>なし（このセルのみ）</t>
        </is>
      </c>
      <c r="I504" s="1708" t="inlineStr">
        <is>
          <t>―</t>
        </is>
      </c>
    </row>
    <row r="505" spans="1:9"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c r="H505" s="1708" t="inlineStr">
        <is>
          <t>なし（このセルのみ）</t>
        </is>
      </c>
      <c r="I505" s="1708" t="inlineStr">
        <is>
          <t>―</t>
        </is>
      </c>
    </row>
    <row r="506" spans="1:9"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c r="H506" s="1708" t="inlineStr">
        <is>
          <t>なし（このセルのみ）</t>
        </is>
      </c>
      <c r="I506" s="1708" t="inlineStr">
        <is>
          <t>―</t>
        </is>
      </c>
    </row>
    <row r="507" spans="1:9"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c r="H507" s="1708" t="inlineStr">
        <is>
          <t>なし（このセルのみ）</t>
        </is>
      </c>
      <c r="I507" s="1708" t="inlineStr">
        <is>
          <t>―</t>
        </is>
      </c>
    </row>
    <row r="508" spans="1:9"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c r="H508" s="1708" t="inlineStr">
        <is>
          <t>なし（このセルのみ）</t>
        </is>
      </c>
      <c r="I508" s="1708" t="inlineStr">
        <is>
          <t>―</t>
        </is>
      </c>
    </row>
    <row r="509" spans="1:9"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c r="H509" s="1708" t="inlineStr">
        <is>
          <t>なし（このセルのみ）</t>
        </is>
      </c>
      <c r="I509" s="1708" t="inlineStr">
        <is>
          <t>―</t>
        </is>
      </c>
    </row>
    <row r="510" spans="1:9"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c r="H510" s="1708" t="inlineStr">
        <is>
          <t>なし（このセルのみ）</t>
        </is>
      </c>
      <c r="I510" s="1708" t="inlineStr">
        <is>
          <t>―</t>
        </is>
      </c>
    </row>
    <row r="511" spans="1:9"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c r="H511" s="1708" t="inlineStr">
        <is>
          <t>なし（このセルのみ）</t>
        </is>
      </c>
      <c r="I511" s="1708" t="inlineStr">
        <is>
          <t>―</t>
        </is>
      </c>
    </row>
    <row r="512" spans="1:9"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c r="H512" s="1708" t="inlineStr">
        <is>
          <t>なし（このセルのみ）</t>
        </is>
      </c>
      <c r="I512" s="1708" t="inlineStr">
        <is>
          <t>―</t>
        </is>
      </c>
    </row>
    <row r="513" spans="1:9"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c r="H513" s="1708" t="inlineStr">
        <is>
          <t>なし（このセルのみ）</t>
        </is>
      </c>
      <c r="I513" s="1708" t="inlineStr">
        <is>
          <t>―</t>
        </is>
      </c>
    </row>
    <row r="514" spans="1:9"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c r="H514" s="1708" t="inlineStr">
        <is>
          <t>なし（このセルのみ）</t>
        </is>
      </c>
      <c r="I514" s="1708" t="inlineStr">
        <is>
          <t>―</t>
        </is>
      </c>
    </row>
    <row r="515" spans="1:9"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c r="H515" s="1708" t="inlineStr">
        <is>
          <t>なし（このセルのみ）</t>
        </is>
      </c>
      <c r="I515" s="1708" t="inlineStr">
        <is>
          <t>―</t>
        </is>
      </c>
    </row>
    <row r="516" spans="1:9"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c r="H516" s="1708" t="inlineStr">
        <is>
          <t>なし（このセルのみ）</t>
        </is>
      </c>
      <c r="I516" s="1708" t="inlineStr">
        <is>
          <t>―</t>
        </is>
      </c>
    </row>
    <row r="517" spans="1:9"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c r="H517" s="1708" t="inlineStr">
        <is>
          <t>なし（このセルのみ）</t>
        </is>
      </c>
      <c r="I517" s="1708" t="inlineStr">
        <is>
          <t>―</t>
        </is>
      </c>
    </row>
    <row r="518" spans="1:9"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c r="H518" s="1708" t="inlineStr">
        <is>
          <t>なし（このセルのみ）</t>
        </is>
      </c>
      <c r="I518" s="1708" t="inlineStr">
        <is>
          <t>―</t>
        </is>
      </c>
    </row>
    <row r="519" spans="1:9"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c r="H519" s="1708" t="inlineStr">
        <is>
          <t>なし（このセルのみ）</t>
        </is>
      </c>
      <c r="I519" s="1708" t="inlineStr">
        <is>
          <t>―</t>
        </is>
      </c>
    </row>
    <row r="520" spans="1:9"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c r="H520" s="1708" t="inlineStr">
        <is>
          <t>なし（このセルのみ）</t>
        </is>
      </c>
      <c r="I520" s="1708" t="inlineStr">
        <is>
          <t>―</t>
        </is>
      </c>
    </row>
    <row r="521" spans="1:9"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c r="H521" s="1708" t="inlineStr">
        <is>
          <t>なし（このセルのみ）</t>
        </is>
      </c>
      <c r="I521" s="1708" t="inlineStr">
        <is>
          <t>―</t>
        </is>
      </c>
    </row>
    <row r="522" spans="1:9"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c r="H522" s="1708" t="inlineStr">
        <is>
          <t>なし（このセルのみ）</t>
        </is>
      </c>
      <c r="I522" s="1708" t="inlineStr">
        <is>
          <t>―</t>
        </is>
      </c>
    </row>
    <row r="523" spans="1:9"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c r="H523" s="1708" t="inlineStr">
        <is>
          <t>なし（このセルのみ）</t>
        </is>
      </c>
      <c r="I523" s="1708" t="inlineStr">
        <is>
          <t>―</t>
        </is>
      </c>
    </row>
    <row r="524" spans="1:9"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c r="H524" s="1708" t="inlineStr">
        <is>
          <t>なし（このセルのみ）</t>
        </is>
      </c>
      <c r="I524" s="1708" t="inlineStr">
        <is>
          <t>―</t>
        </is>
      </c>
    </row>
    <row r="525" spans="1:9"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c r="H525" s="1708" t="inlineStr">
        <is>
          <t>なし（このセルのみ）</t>
        </is>
      </c>
      <c r="I525" s="1708" t="inlineStr">
        <is>
          <t>―</t>
        </is>
      </c>
    </row>
    <row r="526" spans="1:9"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c r="H526" s="1708" t="inlineStr">
        <is>
          <t>なし（このセルのみ）</t>
        </is>
      </c>
      <c r="I526" s="1708" t="inlineStr">
        <is>
          <t>―</t>
        </is>
      </c>
    </row>
    <row r="527" spans="1:9"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c r="H527" s="1708" t="inlineStr">
        <is>
          <t>なし（このセルのみ）</t>
        </is>
      </c>
      <c r="I527" s="1708" t="inlineStr">
        <is>
          <t>―</t>
        </is>
      </c>
    </row>
    <row r="528" spans="1:9"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c r="H528" s="1708" t="inlineStr">
        <is>
          <t>なし（このセルのみ）</t>
        </is>
      </c>
      <c r="I528" s="1708" t="inlineStr">
        <is>
          <t>―</t>
        </is>
      </c>
    </row>
    <row r="529" spans="1:9"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c r="H529" s="1708" t="inlineStr">
        <is>
          <t>なし（このセルのみ）</t>
        </is>
      </c>
      <c r="I529" s="1708" t="inlineStr">
        <is>
          <t>―</t>
        </is>
      </c>
    </row>
    <row r="530" spans="1:9"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c r="H530" s="1708" t="inlineStr">
        <is>
          <t>なし（このセルのみ）</t>
        </is>
      </c>
      <c r="I530" s="1708" t="inlineStr">
        <is>
          <t>―</t>
        </is>
      </c>
    </row>
    <row r="531" spans="1:9"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c r="H531" s="1708" t="inlineStr">
        <is>
          <t>報告_貸付P23-25 AC92,AS78</t>
        </is>
      </c>
      <c r="I531" s="1708" t="inlineStr">
        <is>
          <t>同じシート内のみ</t>
        </is>
      </c>
    </row>
    <row r="532" spans="1:9"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c r="H532" s="1708" t="inlineStr">
        <is>
          <t>報告_貸付P23-25 AG92,AO78,AW78…</t>
        </is>
      </c>
      <c r="I532" s="1708" t="inlineStr">
        <is>
          <t>貸付_入力</t>
        </is>
      </c>
    </row>
    <row r="533" spans="1:9"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c r="H533" s="1708" t="inlineStr">
        <is>
          <t>報告_貸付P23-25 AC92,AS79</t>
        </is>
      </c>
      <c r="I533" s="1708" t="inlineStr">
        <is>
          <t>同じシート内のみ</t>
        </is>
      </c>
    </row>
    <row r="534" spans="1:9"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c r="H534" s="1708" t="inlineStr">
        <is>
          <t>報告_貸付P23-25 AG92,AL41,AO79…</t>
        </is>
      </c>
      <c r="I534" s="1708" t="inlineStr">
        <is>
          <t>貸付_入力</t>
        </is>
      </c>
    </row>
    <row r="535" spans="1:9"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c r="H535" s="1708" t="inlineStr">
        <is>
          <t>報告_貸付P23-25 AC92,AS80</t>
        </is>
      </c>
      <c r="I535" s="1708" t="inlineStr">
        <is>
          <t>同じシート内のみ</t>
        </is>
      </c>
    </row>
    <row r="536" spans="1:9"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c r="H536" s="1708" t="inlineStr">
        <is>
          <t>報告_貸付P23-25 AG92,AL41,AO80…</t>
        </is>
      </c>
      <c r="I536" s="1708" t="inlineStr">
        <is>
          <t>貸付_入力</t>
        </is>
      </c>
    </row>
    <row r="537" spans="1:9"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c r="H537" s="1708" t="inlineStr">
        <is>
          <t>報告_貸付P23-25 AC84,AS81</t>
        </is>
      </c>
      <c r="I537" s="1708" t="inlineStr">
        <is>
          <t>同じシート内のみ</t>
        </is>
      </c>
    </row>
    <row r="538" spans="1:9"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c r="H538" s="1708" t="inlineStr">
        <is>
          <t>報告_貸付P23-25 AG84,AO81,AW81…</t>
        </is>
      </c>
      <c r="I538" s="1708" t="inlineStr">
        <is>
          <t>貸付_入力</t>
        </is>
      </c>
    </row>
    <row r="539" spans="1:9"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c r="H539" s="1708" t="inlineStr">
        <is>
          <t>報告_貸付P23-25 AC84,AS82</t>
        </is>
      </c>
      <c r="I539" s="1708" t="inlineStr">
        <is>
          <t>同じシート内のみ</t>
        </is>
      </c>
    </row>
    <row r="540" spans="1:9"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c r="H540" s="1708" t="inlineStr">
        <is>
          <t>報告_貸付P23-25 AG84,AO82,AW82…</t>
        </is>
      </c>
      <c r="I540" s="1708" t="inlineStr">
        <is>
          <t>貸付_入力</t>
        </is>
      </c>
    </row>
    <row r="541" spans="1:9"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c r="H541" s="1708" t="inlineStr">
        <is>
          <t>報告_貸付P23-25 AC84,AS83</t>
        </is>
      </c>
      <c r="I541" s="1708" t="inlineStr">
        <is>
          <t>同じシート内のみ</t>
        </is>
      </c>
    </row>
    <row r="542" spans="1:9"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c r="H542" s="1708" t="inlineStr">
        <is>
          <t>報告_貸付P23-25 AG84,AO83,AW83…</t>
        </is>
      </c>
      <c r="I542" s="1708" t="inlineStr">
        <is>
          <t>貸付_入力</t>
        </is>
      </c>
    </row>
    <row r="543" spans="1:9"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c r="H543" s="1708" t="inlineStr">
        <is>
          <t>報告_貸付P23-25 AC90,AS85</t>
        </is>
      </c>
      <c r="I543" s="1708" t="inlineStr">
        <is>
          <t>同じシート内のみ</t>
        </is>
      </c>
    </row>
    <row r="544" spans="1:9"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c r="H544" s="1708" t="inlineStr">
        <is>
          <t>報告_貸付P23-25 AG90,AO85,AW85…</t>
        </is>
      </c>
      <c r="I544" s="1708" t="inlineStr">
        <is>
          <t>貸付_入力</t>
        </is>
      </c>
    </row>
    <row r="545" spans="1:9"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c r="H545" s="1708" t="inlineStr">
        <is>
          <t>報告_貸付P23-25 AC90,AS86</t>
        </is>
      </c>
      <c r="I545" s="1708" t="inlineStr">
        <is>
          <t>同じシート内のみ</t>
        </is>
      </c>
    </row>
    <row r="546" spans="1:9"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c r="H546" s="1708" t="inlineStr">
        <is>
          <t>報告_貸付P23-25 AG90,AO86,AW86…</t>
        </is>
      </c>
      <c r="I546" s="1708" t="inlineStr">
        <is>
          <t>貸付_入力</t>
        </is>
      </c>
    </row>
    <row r="547" spans="1:9"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c r="H547" s="1708" t="inlineStr">
        <is>
          <t>報告_貸付P23-25 AC90,AS87</t>
        </is>
      </c>
      <c r="I547" s="1708" t="inlineStr">
        <is>
          <t>同じシート内のみ</t>
        </is>
      </c>
    </row>
    <row r="548" spans="1:9"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c r="H548" s="1708" t="inlineStr">
        <is>
          <t>報告_貸付P23-25 AG90,AO87,AW87…</t>
        </is>
      </c>
      <c r="I548" s="1708" t="inlineStr">
        <is>
          <t>貸付_入力</t>
        </is>
      </c>
    </row>
    <row r="549" spans="1:9"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c r="H549" s="1708" t="inlineStr">
        <is>
          <t>報告_貸付P23-25 AC90,AS88</t>
        </is>
      </c>
      <c r="I549" s="1708" t="inlineStr">
        <is>
          <t>同じシート内のみ</t>
        </is>
      </c>
    </row>
    <row r="550" spans="1:9"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c r="H550" s="1708" t="inlineStr">
        <is>
          <t>報告_貸付P23-25 AG90,AO88,AW88…</t>
        </is>
      </c>
      <c r="I550" s="1708" t="inlineStr">
        <is>
          <t>貸付_入力</t>
        </is>
      </c>
    </row>
    <row r="551" spans="1:9"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c r="H551" s="1708" t="inlineStr">
        <is>
          <t>報告_貸付P23-25 AC90,AS89</t>
        </is>
      </c>
      <c r="I551" s="1708" t="inlineStr">
        <is>
          <t>同じシート内のみ</t>
        </is>
      </c>
    </row>
    <row r="552" spans="1:9"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c r="H552" s="1708" t="inlineStr">
        <is>
          <t>報告_貸付P23-25 AG90,AO89,AW89…</t>
        </is>
      </c>
      <c r="I552" s="1708" t="inlineStr">
        <is>
          <t>貸付_入力</t>
        </is>
      </c>
    </row>
    <row r="553" spans="1:9"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c r="H553" s="1708" t="inlineStr">
        <is>
          <t>報告_貸付P23-25 AC92,AS91</t>
        </is>
      </c>
      <c r="I553" s="1708" t="inlineStr">
        <is>
          <t>同じシート内のみ</t>
        </is>
      </c>
    </row>
    <row r="554" spans="1:9"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c r="H554" s="1708" t="inlineStr">
        <is>
          <t>報告_貸付P23-25 AG92,AO91,AW91</t>
        </is>
      </c>
      <c r="I554" s="1708" t="inlineStr">
        <is>
          <t>貸付_入力</t>
        </is>
      </c>
    </row>
    <row r="555" spans="1:9" ht="19.95" customHeight="1">
      <c r="A555" s="1755" t="s">
        <v>7</v>
      </c>
      <c r="B555" s="1711" t="s">
        <v>1901</v>
      </c>
      <c r="C555" s="1756" t="str">
        <f>HYPERLINK("#'短期_財務諸表P27'!L41","L41")</f>
        <v>L41</v>
      </c>
      <c r="D555" s="1711" t="s">
        <v>1902</v>
      </c>
      <c r="E555" s="1757">
        <f>IF('短期_財務諸表P27'!L41="","",'短期_財務諸表P27'!L41)</f>
        <v>0</v>
      </c>
      <c r="F555" s="1711" t="s">
        <v>1644</v>
      </c>
      <c r="G555" s="1709" t="str">
        <f t="shared" si="8"/>
        <v>0（確認）</v>
      </c>
      <c r="H555" s="1708" t="inlineStr">
        <is>
          <t>短期_財務諸表P27 L47</t>
        </is>
      </c>
      <c r="I555" s="1708" t="inlineStr">
        <is>
          <t>報告_短期P11-13、短期_附属明細表P28-29、短期_決算精算表P30</t>
        </is>
      </c>
    </row>
    <row r="556" spans="1:9" ht="19.95" customHeight="1">
      <c r="A556" s="1752" t="s">
        <v>7</v>
      </c>
      <c r="B556" s="1708" t="s">
        <v>1901</v>
      </c>
      <c r="C556" s="1753" t="str">
        <f>HYPERLINK("#'短期_財務諸表P27'!L65","L65")</f>
        <v>L65</v>
      </c>
      <c r="D556" s="1708" t="s">
        <v>1903</v>
      </c>
      <c r="E556" s="1754">
        <f>IF('短期_財務諸表P27'!L65="","",'短期_財務諸表P27'!L65)</f>
        <v>0</v>
      </c>
      <c r="F556" s="1708" t="s">
        <v>1644</v>
      </c>
      <c r="G556" s="1709" t="str">
        <f t="shared" si="8"/>
        <v>0（確認）</v>
      </c>
      <c r="H556" s="1708" t="inlineStr">
        <is>
          <t>短期_財務諸表P27 L67</t>
        </is>
      </c>
      <c r="I556" s="1708" t="inlineStr">
        <is>
          <t>報告_短期P11-13、短期_附属明細表P28-29、短期_決算精算表P30</t>
        </is>
      </c>
    </row>
    <row r="557" spans="1:9" ht="19.95" customHeight="1">
      <c r="A557" s="1755" t="s">
        <v>7</v>
      </c>
      <c r="B557" s="1711" t="s">
        <v>1495</v>
      </c>
      <c r="C557" s="1756" t="str">
        <f>HYPERLINK("#'短期_附属明細表P28-29'!M5","M5")</f>
        <v>M5</v>
      </c>
      <c r="D557" s="1711" t="s">
        <v>1904</v>
      </c>
      <c r="E557" s="1757">
        <f>IF('短期_附属明細表P28-29'!M5="","",'短期_附属明細表P28-29'!M5)</f>
        <v>3939589431</v>
      </c>
      <c r="F557" s="1711" t="s">
        <v>1905</v>
      </c>
      <c r="G557" s="1709" t="str">
        <f t="shared" si="8"/>
        <v>入力済</v>
      </c>
      <c r="H557" s="1708" t="inlineStr">
        <is>
          <t>短期_附属明細表P28-29 M6</t>
        </is>
      </c>
      <c r="I557" s="1708" t="inlineStr">
        <is>
          <t>短期_財務諸表P27、短期_決算精算表P30</t>
        </is>
      </c>
    </row>
    <row r="558" spans="1:9" ht="19.95" customHeight="1">
      <c r="A558" s="1752" t="s">
        <v>7</v>
      </c>
      <c r="B558" s="1708" t="s">
        <v>1495</v>
      </c>
      <c r="C558" s="1753" t="str">
        <f>HYPERLINK("#'短期_附属明細表P28-29'!M7","M7")</f>
        <v>M7</v>
      </c>
      <c r="D558" s="1708" t="s">
        <v>1906</v>
      </c>
      <c r="E558" s="1754">
        <f>IF('短期_附属明細表P28-29'!M7="","",'短期_附属明細表P28-29'!M7)</f>
        <v>36919452</v>
      </c>
      <c r="F558" s="1708" t="s">
        <v>1905</v>
      </c>
      <c r="G558" s="1709" t="str">
        <f t="shared" si="8"/>
        <v>入力済</v>
      </c>
      <c r="H558" s="1708" t="inlineStr">
        <is>
          <t>短期_附属明細表P28-29 M8</t>
        </is>
      </c>
      <c r="I558" s="1708" t="inlineStr">
        <is>
          <t>短期_財務諸表P27、短期_決算精算表P30</t>
        </is>
      </c>
    </row>
    <row r="559" spans="1:9" ht="19.95" customHeight="1">
      <c r="A559" s="1755" t="s">
        <v>7</v>
      </c>
      <c r="B559" s="1711" t="s">
        <v>1495</v>
      </c>
      <c r="C559" s="1756" t="str">
        <f>HYPERLINK("#'短期_附属明細表P28-29'!M15","M15")</f>
        <v>M15</v>
      </c>
      <c r="D559" s="1711" t="s">
        <v>1907</v>
      </c>
      <c r="E559" s="1757">
        <f>IF('短期_附属明細表P28-29'!M15="","",'短期_附属明細表P28-29'!M15)</f>
        <v>0</v>
      </c>
      <c r="F559" s="1711" t="s">
        <v>1905</v>
      </c>
      <c r="G559" s="1709" t="str">
        <f t="shared" si="8"/>
        <v>0（確認）</v>
      </c>
      <c r="H559" s="1708" t="inlineStr">
        <is>
          <t>短期_附属明細表P28-29 M16</t>
        </is>
      </c>
      <c r="I559" s="1708" t="inlineStr">
        <is>
          <t>短期_財務諸表P27P27</t>
        </is>
      </c>
    </row>
    <row r="560" spans="1:9" ht="19.95" customHeight="1">
      <c r="A560" s="1752" t="s">
        <v>7</v>
      </c>
      <c r="B560" s="1708" t="s">
        <v>1495</v>
      </c>
      <c r="C560" s="1753" t="str">
        <f>HYPERLINK("#'短期_附属明細表P28-29'!M22","M22")</f>
        <v>M22</v>
      </c>
      <c r="D560" s="1708" t="s">
        <v>1907</v>
      </c>
      <c r="E560" s="1754">
        <f>IF('短期_附属明細表P28-29'!M22="","",'短期_附属明細表P28-29'!M22)</f>
        <v>0</v>
      </c>
      <c r="F560" s="1708" t="s">
        <v>1905</v>
      </c>
      <c r="G560" s="1709" t="str">
        <f t="shared" si="8"/>
        <v>0（確認）</v>
      </c>
      <c r="H560" s="1708" t="inlineStr">
        <is>
          <t>短期_附属明細表P28-29 M25</t>
        </is>
      </c>
      <c r="I560" s="1708" t="inlineStr">
        <is>
          <t>短期_財務諸表P27P27</t>
        </is>
      </c>
    </row>
    <row r="561" spans="1:9" ht="19.95" customHeight="1">
      <c r="A561" s="1755" t="s">
        <v>7</v>
      </c>
      <c r="B561" s="1711" t="s">
        <v>1495</v>
      </c>
      <c r="C561" s="1756" t="str">
        <f>HYPERLINK("#'短期_附属明細表P28-29'!M23","M23")</f>
        <v>M23</v>
      </c>
      <c r="D561" s="1711" t="s">
        <v>1907</v>
      </c>
      <c r="E561" s="1757">
        <f>IF('短期_附属明細表P28-29'!M23="","",'短期_附属明細表P28-29'!M23)</f>
        <v>0</v>
      </c>
      <c r="F561" s="1711" t="s">
        <v>1905</v>
      </c>
      <c r="G561" s="1709" t="str">
        <f t="shared" si="8"/>
        <v>0（確認）</v>
      </c>
      <c r="H561" s="1708" t="inlineStr">
        <is>
          <t>短期_附属明細表P28-29 M25</t>
        </is>
      </c>
      <c r="I561" s="1708" t="inlineStr">
        <is>
          <t>短期_財務諸表P27P27</t>
        </is>
      </c>
    </row>
    <row r="562" spans="1:9" ht="19.95" customHeight="1">
      <c r="A562" s="1752" t="s">
        <v>7</v>
      </c>
      <c r="B562" s="1708" t="s">
        <v>1495</v>
      </c>
      <c r="C562" s="1753" t="str">
        <f>HYPERLINK("#'短期_附属明細表P28-29'!M24","M24")</f>
        <v>M24</v>
      </c>
      <c r="D562" s="1708" t="s">
        <v>1907</v>
      </c>
      <c r="E562" s="1754">
        <f>IF('短期_附属明細表P28-29'!M24="","",'短期_附属明細表P28-29'!M24)</f>
        <v>0</v>
      </c>
      <c r="F562" s="1708" t="s">
        <v>1905</v>
      </c>
      <c r="G562" s="1709" t="str">
        <f t="shared" si="8"/>
        <v>0（確認）</v>
      </c>
      <c r="H562" s="1708" t="inlineStr">
        <is>
          <t>短期_附属明細表P28-29 M25</t>
        </is>
      </c>
      <c r="I562" s="1708" t="inlineStr">
        <is>
          <t>短期_財務諸表P27P27</t>
        </is>
      </c>
    </row>
    <row r="563" spans="1:9" ht="19.95" customHeight="1">
      <c r="A563" s="1755" t="s">
        <v>7</v>
      </c>
      <c r="B563" s="1711" t="s">
        <v>1495</v>
      </c>
      <c r="C563" s="1756" t="str">
        <f>HYPERLINK("#'短期_附属明細表P28-29'!G38","G38")</f>
        <v>G38</v>
      </c>
      <c r="D563" s="1711" t="s">
        <v>1908</v>
      </c>
      <c r="E563" s="1757">
        <f>IF('短期_附属明細表P28-29'!G38="","",'短期_附属明細表P28-29'!G38)</f>
        <v>0</v>
      </c>
      <c r="F563" s="1711" t="s">
        <v>1905</v>
      </c>
      <c r="G563" s="1709" t="str">
        <f t="shared" si="8"/>
        <v>0（確認）</v>
      </c>
      <c r="H563" s="1708" t="inlineStr">
        <is>
          <t>短期_附属明細表P28-29 G42</t>
        </is>
      </c>
      <c r="I563" s="1708" t="inlineStr">
        <is>
          <t>短期_財務諸表P27P27</t>
        </is>
      </c>
    </row>
    <row r="564" spans="1:9" ht="19.95" customHeight="1">
      <c r="A564" s="1752" t="s">
        <v>7</v>
      </c>
      <c r="B564" s="1708" t="s">
        <v>1495</v>
      </c>
      <c r="C564" s="1753" t="str">
        <f>HYPERLINK("#'短期_附属明細表P28-29'!G39","G39")</f>
        <v>G39</v>
      </c>
      <c r="D564" s="1708" t="s">
        <v>1909</v>
      </c>
      <c r="E564" s="1754">
        <f>IF('短期_附属明細表P28-29'!G39="","",'短期_附属明細表P28-29'!G39)</f>
        <v>0</v>
      </c>
      <c r="F564" s="1708" t="s">
        <v>1905</v>
      </c>
      <c r="G564" s="1709" t="str">
        <f t="shared" si="8"/>
        <v>0（確認）</v>
      </c>
      <c r="H564" s="1708" t="inlineStr">
        <is>
          <t>短期_附属明細表P28-29 G42</t>
        </is>
      </c>
      <c r="I564" s="1708" t="inlineStr">
        <is>
          <t>短期_財務諸表P27P27</t>
        </is>
      </c>
    </row>
    <row r="565" spans="1:9" ht="19.95" customHeight="1">
      <c r="A565" s="1755" t="s">
        <v>7</v>
      </c>
      <c r="B565" s="1711" t="s">
        <v>1495</v>
      </c>
      <c r="C565" s="1756" t="str">
        <f>HYPERLINK("#'短期_附属明細表P28-29'!G40","G40")</f>
        <v>G40</v>
      </c>
      <c r="D565" s="1711" t="s">
        <v>1910</v>
      </c>
      <c r="E565" s="1757">
        <f>IF('短期_附属明細表P28-29'!G40="","",'短期_附属明細表P28-29'!G40)</f>
        <v>0</v>
      </c>
      <c r="F565" s="1711" t="s">
        <v>1905</v>
      </c>
      <c r="G565" s="1709" t="str">
        <f t="shared" si="8"/>
        <v>0（確認）</v>
      </c>
      <c r="H565" s="1708" t="inlineStr">
        <is>
          <t>短期_附属明細表P28-29 G42</t>
        </is>
      </c>
      <c r="I565" s="1708" t="inlineStr">
        <is>
          <t>短期_財務諸表P27P27</t>
        </is>
      </c>
    </row>
    <row r="566" spans="1:9" ht="19.95" customHeight="1">
      <c r="A566" s="1752" t="s">
        <v>7</v>
      </c>
      <c r="B566" s="1708" t="s">
        <v>1495</v>
      </c>
      <c r="C566" s="1753" t="str">
        <f>HYPERLINK("#'短期_附属明細表P28-29'!G41","G41")</f>
        <v>G41</v>
      </c>
      <c r="D566" s="1708" t="s">
        <v>1911</v>
      </c>
      <c r="E566" s="1754">
        <f>IF('短期_附属明細表P28-29'!G41="","",'短期_附属明細表P28-29'!G41)</f>
        <v>0</v>
      </c>
      <c r="F566" s="1708" t="s">
        <v>1905</v>
      </c>
      <c r="G566" s="1709" t="str">
        <f t="shared" si="8"/>
        <v>0（確認）</v>
      </c>
      <c r="H566" s="1708" t="inlineStr">
        <is>
          <t>短期_附属明細表P28-29 G42</t>
        </is>
      </c>
      <c r="I566" s="1708" t="inlineStr">
        <is>
          <t>短期_財務諸表P27P27</t>
        </is>
      </c>
    </row>
    <row r="567" spans="1:9" ht="19.95" customHeight="1">
      <c r="A567" s="1755" t="s">
        <v>7</v>
      </c>
      <c r="B567" s="1711" t="s">
        <v>1495</v>
      </c>
      <c r="C567" s="1756" t="str">
        <f>HYPERLINK("#'短期_附属明細表P28-29'!G48","G48")</f>
        <v>G48</v>
      </c>
      <c r="D567" s="1711" t="s">
        <v>1912</v>
      </c>
      <c r="E567" s="1757">
        <f>IF('短期_附属明細表P28-29'!G48="","",'短期_附属明細表P28-29'!G48)</f>
        <v>54568</v>
      </c>
      <c r="F567" s="1711" t="s">
        <v>1905</v>
      </c>
      <c r="G567" s="1709" t="str">
        <f t="shared" si="8"/>
        <v>入力済</v>
      </c>
      <c r="H567" s="1708" t="inlineStr">
        <is>
          <t>報告_短期P7-10 CB38、短期_附属明細表P28-29 G49、短期_決算精算表P30 F48</t>
        </is>
      </c>
      <c r="I567" s="1708" t="inlineStr">
        <is>
          <t>報告_短期P7-10、報告_短期P11-13、報告_P8グラフデータ、短期_財務諸表P27 ほか1シート</t>
        </is>
      </c>
    </row>
    <row r="568" spans="1:9" ht="19.95" customHeight="1">
      <c r="A568" s="1752" t="s">
        <v>7</v>
      </c>
      <c r="B568" s="1708" t="s">
        <v>1495</v>
      </c>
      <c r="C568" s="1753" t="str">
        <f>HYPERLINK("#'短期_附属明細表P28-29'!G55","G55")</f>
        <v>G55</v>
      </c>
      <c r="D568" s="1708" t="s">
        <v>1913</v>
      </c>
      <c r="E568" s="1754">
        <f>IF('短期_附属明細表P28-29'!G55="","",'短期_附属明細表P28-29'!G55)</f>
        <v>59427000</v>
      </c>
      <c r="F568" s="1708" t="s">
        <v>1905</v>
      </c>
      <c r="G568" s="1709" t="str">
        <f t="shared" si="8"/>
        <v>入力済</v>
      </c>
      <c r="H568" s="1708" t="inlineStr">
        <is>
          <t>短期_附属明細表P28-29 G56</t>
        </is>
      </c>
      <c r="I568" s="1708" t="inlineStr">
        <is>
          <t>短期_財務諸表P27、短期_決算精算表P30</t>
        </is>
      </c>
    </row>
    <row r="569" spans="1:9" ht="19.95" customHeight="1">
      <c r="A569" s="1755" t="s">
        <v>7</v>
      </c>
      <c r="B569" s="1711" t="s">
        <v>1495</v>
      </c>
      <c r="C569" s="1756" t="str">
        <f>HYPERLINK("#'短期_附属明細表P28-29'!G61","G61")</f>
        <v>G61</v>
      </c>
      <c r="D569" s="1711" t="s">
        <v>1914</v>
      </c>
      <c r="E569" s="1757">
        <f>IF('短期_附属明細表P28-29'!G61="","",'短期_附属明細表P28-29'!G61)</f>
        <v>0</v>
      </c>
      <c r="F569" s="1711" t="s">
        <v>1905</v>
      </c>
      <c r="G569" s="1709" t="str">
        <f t="shared" si="8"/>
        <v>0（確認）</v>
      </c>
      <c r="H569" s="1708" t="inlineStr">
        <is>
          <t>短期_附属明細表P28-29 G63</t>
        </is>
      </c>
      <c r="I569" s="1708" t="inlineStr">
        <is>
          <t>同じシート内のみ</t>
        </is>
      </c>
    </row>
    <row r="570" spans="1:9" ht="19.95" customHeight="1">
      <c r="A570" s="1752" t="s">
        <v>7</v>
      </c>
      <c r="B570" s="1708" t="s">
        <v>1495</v>
      </c>
      <c r="C570" s="1753" t="str">
        <f>HYPERLINK("#'短期_附属明細表P28-29'!G62","G62")</f>
        <v>G62</v>
      </c>
      <c r="D570" s="1708" t="s">
        <v>1915</v>
      </c>
      <c r="E570" s="1754">
        <f>IF('短期_附属明細表P28-29'!G62="","",'短期_附属明細表P28-29'!G62)</f>
        <v>0</v>
      </c>
      <c r="F570" s="1708" t="s">
        <v>1905</v>
      </c>
      <c r="G570" s="1709" t="str">
        <f t="shared" si="8"/>
        <v>0（確認）</v>
      </c>
      <c r="H570" s="1708" t="inlineStr">
        <is>
          <t>短期_附属明細表P28-29 G63</t>
        </is>
      </c>
      <c r="I570" s="1708" t="inlineStr">
        <is>
          <t>同じシート内のみ</t>
        </is>
      </c>
    </row>
    <row r="571" spans="1:9" ht="19.95" customHeight="1">
      <c r="A571" s="1755" t="s">
        <v>7</v>
      </c>
      <c r="B571" s="1711" t="s">
        <v>1495</v>
      </c>
      <c r="C571" s="1756" t="str">
        <f>HYPERLINK("#'短期_附属明細表P28-29'!G69","G69")</f>
        <v>G69</v>
      </c>
      <c r="D571" s="1711" t="s">
        <v>1916</v>
      </c>
      <c r="E571" s="1757">
        <f>IF('短期_附属明細表P28-29'!G69="","",'短期_附属明細表P28-29'!G69)</f>
        <v>12773988</v>
      </c>
      <c r="F571" s="1711" t="s">
        <v>1905</v>
      </c>
      <c r="G571" s="1709" t="str">
        <f t="shared" si="8"/>
        <v>入力済</v>
      </c>
      <c r="H571" s="1708" t="inlineStr">
        <is>
          <t>短期_附属明細表P28-29 G75、短期_決算精算表P30 B23</t>
        </is>
      </c>
      <c r="I571" s="1708" t="inlineStr">
        <is>
          <t>報告_短期P11-13、短期_財務諸表P27、短期_決算精算表P30</t>
        </is>
      </c>
    </row>
    <row r="572" spans="1:9" ht="19.95" customHeight="1">
      <c r="A572" s="1752" t="s">
        <v>7</v>
      </c>
      <c r="B572" s="1708" t="s">
        <v>1495</v>
      </c>
      <c r="C572" s="1753" t="str">
        <f>HYPERLINK("#'短期_附属明細表P28-29'!G70","G70")</f>
        <v>G70</v>
      </c>
      <c r="D572" s="1708" t="s">
        <v>1917</v>
      </c>
      <c r="E572" s="1754">
        <f>IF('短期_附属明細表P28-29'!G70="","",'短期_附属明細表P28-29'!G70)</f>
        <v>3156259</v>
      </c>
      <c r="F572" s="1708" t="s">
        <v>1905</v>
      </c>
      <c r="G572" s="1709" t="str">
        <f t="shared" si="8"/>
        <v>入力済</v>
      </c>
      <c r="H572" s="1708" t="inlineStr">
        <is>
          <t>短期_附属明細表P28-29 G75、短期_決算精算表P30 B24</t>
        </is>
      </c>
      <c r="I572" s="1708" t="inlineStr">
        <is>
          <t>報告_短期P11-13、短期_財務諸表P27、短期_決算精算表P30</t>
        </is>
      </c>
    </row>
    <row r="573" spans="1:9" ht="19.95" customHeight="1">
      <c r="A573" s="1755" t="s">
        <v>7</v>
      </c>
      <c r="B573" s="1711" t="s">
        <v>1495</v>
      </c>
      <c r="C573" s="1756" t="str">
        <f>HYPERLINK("#'短期_附属明細表P28-29'!G71","G71")</f>
        <v>G71</v>
      </c>
      <c r="D573" s="1711" t="s">
        <v>1918</v>
      </c>
      <c r="E573" s="1757">
        <f>IF('短期_附属明細表P28-29'!G71="","",'短期_附属明細表P28-29'!G71)</f>
        <v>2861495</v>
      </c>
      <c r="F573" s="1711" t="s">
        <v>1905</v>
      </c>
      <c r="G573" s="1709" t="str">
        <f t="shared" si="8"/>
        <v>入力済</v>
      </c>
      <c r="H573" s="1708" t="inlineStr">
        <is>
          <t>短期_附属明細表P28-29 G75、短期_決算精算表P30 B26</t>
        </is>
      </c>
      <c r="I573" s="1708" t="inlineStr">
        <is>
          <t>報告_短期P11-13、短期_財務諸表P27、短期_決算精算表P30</t>
        </is>
      </c>
    </row>
    <row r="574" spans="1:9" ht="19.95" customHeight="1">
      <c r="A574" s="1752" t="s">
        <v>7</v>
      </c>
      <c r="B574" s="1708" t="s">
        <v>1495</v>
      </c>
      <c r="C574" s="1753" t="str">
        <f>HYPERLINK("#'短期_附属明細表P28-29'!G72","G72")</f>
        <v>G72</v>
      </c>
      <c r="D574" s="1708" t="s">
        <v>1919</v>
      </c>
      <c r="E574" s="1754">
        <f>IF('短期_附属明細表P28-29'!G72="","",'短期_附属明細表P28-29'!G72)</f>
        <v>6392500</v>
      </c>
      <c r="F574" s="1708" t="s">
        <v>1905</v>
      </c>
      <c r="G574" s="1709" t="str">
        <f t="shared" si="8"/>
        <v>入力済</v>
      </c>
      <c r="H574" s="1708" t="inlineStr">
        <is>
          <t>短期_附属明細表P28-29 G75、短期_決算精算表P30 B34</t>
        </is>
      </c>
      <c r="I574" s="1708" t="inlineStr">
        <is>
          <t>報告_短期P7-10、報告_短期P11-13、報告_P8グラフデータ、短期_財務諸表P27 ほか1シート</t>
        </is>
      </c>
    </row>
    <row r="575" spans="1:9" ht="19.95" customHeight="1">
      <c r="A575" s="1755" t="s">
        <v>7</v>
      </c>
      <c r="B575" s="1711" t="s">
        <v>1495</v>
      </c>
      <c r="C575" s="1756" t="str">
        <f>HYPERLINK("#'短期_附属明細表P28-29'!G73","G73")</f>
        <v>G73</v>
      </c>
      <c r="D575" s="1711" t="s">
        <v>1920</v>
      </c>
      <c r="E575" s="1757">
        <f>IF('短期_附属明細表P28-29'!G73="","",'短期_附属明細表P28-29'!G73)</f>
        <v>4622428</v>
      </c>
      <c r="F575" s="1711" t="s">
        <v>1905</v>
      </c>
      <c r="G575" s="1709" t="str">
        <f t="shared" si="8"/>
        <v>入力済</v>
      </c>
      <c r="H575" s="1708" t="inlineStr">
        <is>
          <t>短期_附属明細表P28-29 G75、短期_決算精算表P30 B37</t>
        </is>
      </c>
      <c r="I575" s="1708" t="inlineStr">
        <is>
          <t>報告_短期P11-13、短期_財務諸表P27、短期_決算精算表P30</t>
        </is>
      </c>
    </row>
    <row r="576" spans="1:9" ht="19.95" customHeight="1">
      <c r="A576" s="1752" t="s">
        <v>7</v>
      </c>
      <c r="B576" s="1708" t="s">
        <v>1495</v>
      </c>
      <c r="C576" s="1753" t="str">
        <f>HYPERLINK("#'短期_附属明細表P28-29'!G74","G74")</f>
        <v>G74</v>
      </c>
      <c r="D576" s="1708" t="s">
        <v>1921</v>
      </c>
      <c r="E576" s="1754">
        <f>IF('短期_附属明細表P28-29'!G74="","",'短期_附属明細表P28-29'!G74)</f>
        <v>11834281</v>
      </c>
      <c r="F576" s="1708" t="s">
        <v>1905</v>
      </c>
      <c r="G576" s="1709" t="str">
        <f t="shared" si="8"/>
        <v>入力済</v>
      </c>
      <c r="H576" s="1708" t="inlineStr">
        <is>
          <t>短期_附属明細表P28-29 G75、短期_決算精算表P30 B39、業務_附属明細表P48-50 G31</t>
        </is>
      </c>
      <c r="I576" s="1708" t="inlineStr">
        <is>
          <t>報告_短期P7-10、報告_短期P11-13、報告_P8グラフデータ、報告_業務P18 ほか6シート</t>
        </is>
      </c>
    </row>
    <row r="577" spans="1:9" ht="19.95" customHeight="1">
      <c r="A577" s="1755" t="s">
        <v>7</v>
      </c>
      <c r="B577" s="1711" t="s">
        <v>1495</v>
      </c>
      <c r="C577" s="1756" t="str">
        <f>HYPERLINK("#'短期_附属明細表P28-29'!G81","G81")</f>
        <v>G81</v>
      </c>
      <c r="D577" s="1711" t="s">
        <v>1922</v>
      </c>
      <c r="E577" s="1757">
        <f>IF('短期_附属明細表P28-29'!G81="","",'短期_附属明細表P28-29'!G81)</f>
        <v>6050</v>
      </c>
      <c r="F577" s="1711" t="s">
        <v>1905</v>
      </c>
      <c r="G577" s="1709" t="str">
        <f t="shared" si="8"/>
        <v>入力済</v>
      </c>
      <c r="H577" s="1708" t="inlineStr">
        <is>
          <t>短期_財務諸表P27 G8、短期_附属明細表P28-29 G82</t>
        </is>
      </c>
      <c r="I577" s="1708" t="inlineStr">
        <is>
          <t>短期_財務諸表P27P27</t>
        </is>
      </c>
    </row>
    <row r="578" spans="1:9" ht="19.95" customHeight="1">
      <c r="A578" s="1752" t="s">
        <v>7</v>
      </c>
      <c r="B578" s="1708" t="s">
        <v>1495</v>
      </c>
      <c r="C578" s="1753" t="str">
        <f>HYPERLINK("#'短期_附属明細表P28-29'!O89","O89")</f>
        <v>O89</v>
      </c>
      <c r="D578" s="1708" t="s">
        <v>1923</v>
      </c>
      <c r="E578" s="1754">
        <f>IF('短期_附属明細表P28-29'!O89="","",'短期_附属明細表P28-29'!O89)</f>
        <v>34502619</v>
      </c>
      <c r="F578" s="1708" t="s">
        <v>1905</v>
      </c>
      <c r="G578" s="1709" t="str">
        <f t="shared" si="8"/>
        <v>入力済</v>
      </c>
      <c r="H578" s="1708" t="inlineStr">
        <is>
          <t>短期_附属明細表P28-29 O92,R89</t>
        </is>
      </c>
      <c r="I578" s="1708" t="inlineStr">
        <is>
          <t>短期_財務諸表P27、短期_決算精算表P30</t>
        </is>
      </c>
    </row>
    <row r="579" spans="1:9" ht="19.95" customHeight="1">
      <c r="A579" s="1755" t="s">
        <v>7</v>
      </c>
      <c r="B579" s="1711" t="s">
        <v>1495</v>
      </c>
      <c r="C579" s="1756" t="str">
        <f>HYPERLINK("#'短期_附属明細表P28-29'!O90","O90")</f>
        <v>O90</v>
      </c>
      <c r="D579" s="1711" t="s">
        <v>1924</v>
      </c>
      <c r="E579" s="1757">
        <f>IF('短期_附属明細表P28-29'!O90="","",'短期_附属明細表P28-29'!O90)</f>
        <v>1200582</v>
      </c>
      <c r="F579" s="1711" t="s">
        <v>1905</v>
      </c>
      <c r="G579" s="1709" t="str">
        <f t="shared" si="8"/>
        <v>入力済</v>
      </c>
      <c r="H579" s="1708" t="inlineStr">
        <is>
          <t>短期_附属明細表P28-29 O92,R90</t>
        </is>
      </c>
      <c r="I579" s="1708" t="inlineStr">
        <is>
          <t>短期_財務諸表P27、短期_決算精算表P30</t>
        </is>
      </c>
    </row>
    <row r="580" spans="1:9" ht="19.95" customHeight="1">
      <c r="A580" s="1752" t="s">
        <v>7</v>
      </c>
      <c r="B580" s="1708" t="s">
        <v>1495</v>
      </c>
      <c r="C580" s="1753" t="str">
        <f>HYPERLINK("#'短期_附属明細表P28-29'!O91","O91")</f>
        <v>O91</v>
      </c>
      <c r="D580" s="1708" t="s">
        <v>1925</v>
      </c>
      <c r="E580" s="1754">
        <f>IF('短期_附属明細表P28-29'!O91="","",'短期_附属明細表P28-29'!O91)</f>
        <v>765054</v>
      </c>
      <c r="F580" s="1708" t="s">
        <v>1905</v>
      </c>
      <c r="G580" s="1709" t="str">
        <f t="shared" si="8"/>
        <v>入力済</v>
      </c>
      <c r="H580" s="1708" t="inlineStr">
        <is>
          <t>短期_附属明細表P28-29 O92,R91</t>
        </is>
      </c>
      <c r="I580" s="1708" t="inlineStr">
        <is>
          <t>短期_財務諸表P27、短期_決算精算表P30</t>
        </is>
      </c>
    </row>
    <row r="581" spans="1:9" ht="19.95" customHeight="1">
      <c r="A581" s="1755" t="s">
        <v>7</v>
      </c>
      <c r="B581" s="1711" t="s">
        <v>1495</v>
      </c>
      <c r="C581" s="1756" t="str">
        <f>HYPERLINK("#'短期_附属明細表P28-29'!I99","I99")</f>
        <v>I99</v>
      </c>
      <c r="D581" s="1711" t="s">
        <v>1926</v>
      </c>
      <c r="E581" s="1757">
        <f>IF('短期_附属明細表P28-29'!I99="","",'短期_附属明細表P28-29'!I99)</f>
        <v>53296628</v>
      </c>
      <c r="F581" s="1711" t="s">
        <v>1905</v>
      </c>
      <c r="G581" s="1709" t="str">
        <f t="shared" si="8"/>
        <v>入力済</v>
      </c>
      <c r="H581" s="1708" t="inlineStr">
        <is>
          <t>報告_短期P11-13 C108、短期_附属明細表P28-29 I100,I102,K115…</t>
        </is>
      </c>
      <c r="I581" s="1708" t="inlineStr">
        <is>
          <t>報告_短期P11-13、短期_財務諸表P27</t>
        </is>
      </c>
    </row>
    <row r="582" spans="1:9" ht="19.95" customHeight="1">
      <c r="A582" s="1752" t="s">
        <v>7</v>
      </c>
      <c r="B582" s="1708" t="s">
        <v>1927</v>
      </c>
      <c r="C582" s="1753" t="str">
        <f>HYPERLINK("#'短期_決算精算表P30'!E17","E17")</f>
        <v>E17</v>
      </c>
      <c r="D582" s="1708" t="s">
        <v>1928</v>
      </c>
      <c r="E582" s="1754">
        <f>IF('短期_決算精算表P30'!E17="","",'短期_決算精算表P30'!E17)</f>
        <v>33450</v>
      </c>
      <c r="F582" s="1708" t="s">
        <v>1929</v>
      </c>
      <c r="G582" s="1709" t="str">
        <f t="shared" ref="G582:G645" si="9">IF(E582="","未入力（空欄）",IF(E582=0,"0（確認）","入力済"))</f>
        <v>入力済</v>
      </c>
      <c r="H582" s="1708" t="inlineStr">
        <is>
          <t>短期_決算精算表P30 E22,G17</t>
        </is>
      </c>
      <c r="I582" s="1708" t="inlineStr">
        <is>
          <t>同じシート内のみ</t>
        </is>
      </c>
    </row>
    <row r="583" spans="1:9" ht="19.95" customHeight="1">
      <c r="A583" s="1755" t="s">
        <v>7</v>
      </c>
      <c r="B583" s="1711" t="s">
        <v>1927</v>
      </c>
      <c r="C583" s="1756" t="str">
        <f>HYPERLINK("#'短期_決算精算表P30'!F24","F24")</f>
        <v>F24</v>
      </c>
      <c r="D583" s="1711" t="s">
        <v>1930</v>
      </c>
      <c r="E583" s="1757">
        <f>IF('短期_決算精算表P30'!F24="","",'短期_決算精算表P30'!F24)</f>
        <v>20000</v>
      </c>
      <c r="F583" s="1711" t="s">
        <v>1929</v>
      </c>
      <c r="G583" s="1709" t="str">
        <f t="shared" si="9"/>
        <v>入力済</v>
      </c>
      <c r="H583" s="1708" t="inlineStr">
        <is>
          <t>短期_決算精算表P30 A24,B54,C24…</t>
        </is>
      </c>
      <c r="I583" s="1708" t="inlineStr">
        <is>
          <t>報告_短期P7-10、報告_短期P11-13、報告_P8グラフデータ、短期_財務諸表P27 ほか1シート</t>
        </is>
      </c>
    </row>
    <row r="584" spans="1:9" ht="19.95" customHeight="1">
      <c r="A584" s="1752" t="s">
        <v>7</v>
      </c>
      <c r="B584" s="1708" t="s">
        <v>1927</v>
      </c>
      <c r="C584" s="1753" t="str">
        <f>HYPERLINK("#'短期_決算精算表P30'!C27","C27")</f>
        <v>C27</v>
      </c>
      <c r="D584" s="1708" t="s">
        <v>1931</v>
      </c>
      <c r="E584" s="1754">
        <f>IF('短期_決算精算表P30'!C27="","",'短期_決算精算表P30'!C27)</f>
        <v>2096611727</v>
      </c>
      <c r="F584" s="1708" t="s">
        <v>1929</v>
      </c>
      <c r="G584" s="1709" t="str">
        <f t="shared" si="9"/>
        <v>入力済</v>
      </c>
      <c r="H584" s="1708" t="inlineStr">
        <is>
          <t>短期_決算精算表P30 A27,C63</t>
        </is>
      </c>
      <c r="I584" s="1708" t="inlineStr">
        <is>
          <t>報告_短期P7-10、報告_短期P11-13、報告_P8グラフデータ、短期_財務諸表P27 ほか1シート</t>
        </is>
      </c>
    </row>
    <row r="585" spans="1:9" ht="19.95" customHeight="1">
      <c r="A585" s="1755" t="s">
        <v>7</v>
      </c>
      <c r="B585" s="1711" t="s">
        <v>1927</v>
      </c>
      <c r="C585" s="1756" t="str">
        <f>HYPERLINK("#'短期_決算精算表P30'!C28","C28")</f>
        <v>C28</v>
      </c>
      <c r="D585" s="1711" t="s">
        <v>1932</v>
      </c>
      <c r="E585" s="1757">
        <f>IF('短期_決算精算表P30'!C28="","",'短期_決算精算表P30'!C28)</f>
        <v>2306088269</v>
      </c>
      <c r="F585" s="1711" t="s">
        <v>1929</v>
      </c>
      <c r="G585" s="1709" t="str">
        <f t="shared" si="9"/>
        <v>入力済</v>
      </c>
      <c r="H585" s="1708" t="inlineStr">
        <is>
          <t>短期_決算精算表P30 A28,C63</t>
        </is>
      </c>
      <c r="I585" s="1708" t="inlineStr">
        <is>
          <t>報告_短期P7-10、報告_短期P11-13、報告_P8グラフデータ、短期_財務諸表P27 ほか1シート</t>
        </is>
      </c>
    </row>
    <row r="586" spans="1:9" ht="19.95" customHeight="1">
      <c r="A586" s="1752" t="s">
        <v>7</v>
      </c>
      <c r="B586" s="1708" t="s">
        <v>1927</v>
      </c>
      <c r="C586" s="1753" t="str">
        <f>HYPERLINK("#'短期_決算精算表P30'!C30","C30")</f>
        <v>C30</v>
      </c>
      <c r="D586" s="1708" t="s">
        <v>1933</v>
      </c>
      <c r="E586" s="1754">
        <f>IF('短期_決算精算表P30'!C30="","",'短期_決算精算表P30'!C30)</f>
        <v>871</v>
      </c>
      <c r="F586" s="1708" t="s">
        <v>1929</v>
      </c>
      <c r="G586" s="1709" t="str">
        <f t="shared" si="9"/>
        <v>入力済</v>
      </c>
      <c r="H586" s="1708" t="inlineStr">
        <is>
          <t>短期_決算精算表P30 A30,C63</t>
        </is>
      </c>
      <c r="I586" s="1708" t="inlineStr">
        <is>
          <t>報告_短期P7-10、報告_短期P11-13、報告_P8グラフデータ、短期_財務諸表P27 ほか1シート</t>
        </is>
      </c>
    </row>
    <row r="587" spans="1:9" ht="19.95" customHeight="1">
      <c r="A587" s="1755" t="s">
        <v>7</v>
      </c>
      <c r="B587" s="1711" t="s">
        <v>1927</v>
      </c>
      <c r="C587" s="1756" t="str">
        <f>HYPERLINK("#'短期_決算精算表P30'!C32","C32")</f>
        <v>C32</v>
      </c>
      <c r="D587" s="1711" t="s">
        <v>1934</v>
      </c>
      <c r="E587" s="1757">
        <f>IF('短期_決算精算表P30'!C32="","",'短期_決算精算表P30'!C32)</f>
        <v>949753680</v>
      </c>
      <c r="F587" s="1711" t="s">
        <v>1929</v>
      </c>
      <c r="G587" s="1709" t="str">
        <f t="shared" si="9"/>
        <v>入力済</v>
      </c>
      <c r="H587" s="1708" t="inlineStr">
        <is>
          <t>短期_決算精算表P30 A32,C63</t>
        </is>
      </c>
      <c r="I587" s="1708" t="inlineStr">
        <is>
          <t>報告_短期P7-10、報告_短期P11-13、短期_財務諸表P27、短期_附属明細表P28-29</t>
        </is>
      </c>
    </row>
    <row r="588" spans="1:9" ht="19.95" customHeight="1">
      <c r="A588" s="1752" t="s">
        <v>7</v>
      </c>
      <c r="B588" s="1708" t="s">
        <v>1927</v>
      </c>
      <c r="C588" s="1753" t="str">
        <f>HYPERLINK("#'短期_決算精算表P30'!C34","C34")</f>
        <v>C34</v>
      </c>
      <c r="D588" s="1708" t="s">
        <v>1935</v>
      </c>
      <c r="E588" s="1754">
        <f>IF('短期_決算精算表P30'!C34="","",'短期_決算精算表P30'!C34)</f>
        <v>76714603</v>
      </c>
      <c r="F588" s="1708" t="s">
        <v>1929</v>
      </c>
      <c r="G588" s="1709" t="str">
        <f t="shared" si="9"/>
        <v>入力済</v>
      </c>
      <c r="H588" s="1708" t="inlineStr">
        <is>
          <t>短期_決算精算表P30 A34,C63</t>
        </is>
      </c>
      <c r="I588" s="1708" t="inlineStr">
        <is>
          <t>報告_短期P7-10、報告_短期P11-13、報告_P8グラフデータ、短期_財務諸表P27 ほか1シート</t>
        </is>
      </c>
    </row>
    <row r="589" spans="1:9" ht="19.95" customHeight="1">
      <c r="A589" s="1755" t="s">
        <v>7</v>
      </c>
      <c r="B589" s="1711" t="s">
        <v>1927</v>
      </c>
      <c r="C589" s="1756" t="str">
        <f>HYPERLINK("#'短期_決算精算表P30'!F34","F34")</f>
        <v>F34</v>
      </c>
      <c r="D589" s="1711" t="s">
        <v>1936</v>
      </c>
      <c r="E589" s="1757">
        <f>IF('短期_決算精算表P30'!F34="","",'短期_決算精算表P30'!F34)</f>
        <v>27400</v>
      </c>
      <c r="F589" s="1711" t="s">
        <v>1929</v>
      </c>
      <c r="G589" s="1709" t="str">
        <f t="shared" si="9"/>
        <v>入力済</v>
      </c>
      <c r="H589" s="1708" t="inlineStr">
        <is>
          <t>短期_決算精算表P30 A34,B17,F63</t>
        </is>
      </c>
      <c r="I589" s="1708" t="inlineStr">
        <is>
          <t>報告_短期P7-10、報告_短期P11-13、報告_P8グラフデータ、短期_財務諸表P27 ほか1シート</t>
        </is>
      </c>
    </row>
    <row r="590" spans="1:9" ht="19.95" customHeight="1">
      <c r="A590" s="1752" t="s">
        <v>7</v>
      </c>
      <c r="B590" s="1708" t="s">
        <v>1927</v>
      </c>
      <c r="C590" s="1753" t="str">
        <f>HYPERLINK("#'短期_決算精算表P30'!E44","E44")</f>
        <v>E44</v>
      </c>
      <c r="D590" s="1708" t="s">
        <v>1937</v>
      </c>
      <c r="E590" s="1754">
        <f>IF('短期_決算精算表P30'!E44="","",'短期_決算精算表P30'!E44)</f>
        <v>5622054228</v>
      </c>
      <c r="F590" s="1708" t="s">
        <v>1929</v>
      </c>
      <c r="G590" s="1709" t="str">
        <f t="shared" si="9"/>
        <v>入力済</v>
      </c>
      <c r="H590" s="1708" t="inlineStr">
        <is>
          <t>短期_決算精算表P30 E63,G44</t>
        </is>
      </c>
      <c r="I590" s="1708" t="inlineStr">
        <is>
          <t>報告_短期P7-10、報告_短期P11-13、報告_P8グラフデータ、短期_財務諸表P27 ほか1シート</t>
        </is>
      </c>
    </row>
    <row r="591" spans="1:9" ht="19.95" customHeight="1">
      <c r="A591" s="1755" t="s">
        <v>7</v>
      </c>
      <c r="B591" s="1711" t="s">
        <v>1927</v>
      </c>
      <c r="C591" s="1756" t="str">
        <f>HYPERLINK("#'短期_決算精算表P30'!E45","E45")</f>
        <v>E45</v>
      </c>
      <c r="D591" s="1711" t="s">
        <v>1938</v>
      </c>
      <c r="E591" s="1757">
        <f>IF('短期_決算精算表P30'!E45="","",'短期_決算精算表P30'!E45)</f>
        <v>496114904</v>
      </c>
      <c r="F591" s="1711" t="s">
        <v>1929</v>
      </c>
      <c r="G591" s="1709" t="str">
        <f t="shared" si="9"/>
        <v>入力済</v>
      </c>
      <c r="H591" s="1708" t="inlineStr">
        <is>
          <t>短期_決算精算表P30 E63,G45</t>
        </is>
      </c>
      <c r="I591" s="1708" t="inlineStr">
        <is>
          <t>報告_短期P7-10、報告_短期P11-13、短期_財務諸表P27、短期_附属明細表P28-29</t>
        </is>
      </c>
    </row>
    <row r="592" spans="1:9" ht="19.95" customHeight="1">
      <c r="A592" s="1752" t="s">
        <v>7</v>
      </c>
      <c r="B592" s="1708" t="s">
        <v>1927</v>
      </c>
      <c r="C592" s="1753" t="str">
        <f>HYPERLINK("#'短期_決算精算表P30'!E46","E46")</f>
        <v>E46</v>
      </c>
      <c r="D592" s="1708" t="s">
        <v>1939</v>
      </c>
      <c r="E592" s="1754">
        <f>IF('短期_決算精算表P30'!E46="","",'短期_決算精算表P30'!E46)</f>
        <v>5551497726</v>
      </c>
      <c r="F592" s="1708" t="s">
        <v>1929</v>
      </c>
      <c r="G592" s="1709" t="str">
        <f t="shared" si="9"/>
        <v>入力済</v>
      </c>
      <c r="H592" s="1708" t="inlineStr">
        <is>
          <t>短期_決算精算表P30 E63,G46</t>
        </is>
      </c>
      <c r="I592" s="1708" t="inlineStr">
        <is>
          <t>報告_短期P7-10、報告_短期P11-13、報告_P8グラフデータ、短期_財務諸表P27 ほか1シート</t>
        </is>
      </c>
    </row>
    <row r="593" spans="1:9" ht="19.95" customHeight="1">
      <c r="A593" s="1755" t="s">
        <v>7</v>
      </c>
      <c r="B593" s="1711" t="s">
        <v>1927</v>
      </c>
      <c r="C593" s="1756" t="str">
        <f>HYPERLINK("#'短期_決算精算表P30'!E47","E47")</f>
        <v>E47</v>
      </c>
      <c r="D593" s="1711" t="s">
        <v>1940</v>
      </c>
      <c r="E593" s="1757">
        <f>IF('短期_決算精算表P30'!E47="","",'短期_決算精算表P30'!E47)</f>
        <v>496288832</v>
      </c>
      <c r="F593" s="1711" t="s">
        <v>1929</v>
      </c>
      <c r="G593" s="1709" t="str">
        <f t="shared" si="9"/>
        <v>入力済</v>
      </c>
      <c r="H593" s="1708" t="inlineStr">
        <is>
          <t>短期_決算精算表P30 E63,G47</t>
        </is>
      </c>
      <c r="I593" s="1708" t="inlineStr">
        <is>
          <t>報告_短期P7-10、報告_短期P11-13、短期_財務諸表P27、短期_附属明細表P28-29</t>
        </is>
      </c>
    </row>
    <row r="594" spans="1:9" ht="19.95" customHeight="1">
      <c r="A594" s="1752" t="s">
        <v>7</v>
      </c>
      <c r="B594" s="1708" t="s">
        <v>1927</v>
      </c>
      <c r="C594" s="1753" t="str">
        <f>HYPERLINK("#'短期_決算精算表P30'!E48","E48")</f>
        <v>E48</v>
      </c>
      <c r="D594" s="1708" t="s">
        <v>1941</v>
      </c>
      <c r="E594" s="1754">
        <f>IF('短期_決算精算表P30'!E48="","",'短期_決算精算表P30'!E48)</f>
        <v>96007968</v>
      </c>
      <c r="F594" s="1708" t="s">
        <v>1929</v>
      </c>
      <c r="G594" s="1709" t="str">
        <f t="shared" si="9"/>
        <v>入力済</v>
      </c>
      <c r="H594" s="1708" t="inlineStr">
        <is>
          <t>短期_決算精算表P30 E63,G48</t>
        </is>
      </c>
      <c r="I594" s="1708" t="inlineStr">
        <is>
          <t>報告_短期P7-10、報告_短期P11-13、報告_P8グラフデータ、短期_財務諸表P27 ほか1シート</t>
        </is>
      </c>
    </row>
    <row r="595" spans="1:9" ht="19.95" customHeight="1">
      <c r="A595" s="1755" t="s">
        <v>7</v>
      </c>
      <c r="B595" s="1711" t="s">
        <v>1927</v>
      </c>
      <c r="C595" s="1756" t="str">
        <f>HYPERLINK("#'短期_決算精算表P30'!E49","E49")</f>
        <v>E49</v>
      </c>
      <c r="D595" s="1711" t="s">
        <v>1942</v>
      </c>
      <c r="E595" s="1757">
        <f>IF('短期_決算精算表P30'!E49="","",'短期_決算精算表P30'!E49)</f>
        <v>4793716</v>
      </c>
      <c r="F595" s="1711" t="s">
        <v>1929</v>
      </c>
      <c r="G595" s="1709" t="str">
        <f t="shared" si="9"/>
        <v>入力済</v>
      </c>
      <c r="H595" s="1708" t="inlineStr">
        <is>
          <t>短期_決算精算表P30 E63,G49</t>
        </is>
      </c>
      <c r="I595" s="1708" t="inlineStr">
        <is>
          <t>報告_短期P7-10、報告_短期P11-13、短期_財務諸表P27、短期_附属明細表P28-29</t>
        </is>
      </c>
    </row>
    <row r="596" spans="1:9" ht="19.95" customHeight="1">
      <c r="A596" s="1752" t="s">
        <v>7</v>
      </c>
      <c r="B596" s="1708" t="s">
        <v>1927</v>
      </c>
      <c r="C596" s="1753" t="str">
        <f>HYPERLINK("#'短期_決算精算表P30'!I49","I49")</f>
        <v>I49</v>
      </c>
      <c r="D596" s="1708" t="s">
        <v>1943</v>
      </c>
      <c r="E596" s="1754">
        <f>IF('短期_決算精算表P30'!I49="","",'短期_決算精算表P30'!I49)</f>
        <v>907739421</v>
      </c>
      <c r="F596" s="1708" t="s">
        <v>1929</v>
      </c>
      <c r="G596" s="1709" t="str">
        <f t="shared" si="9"/>
        <v>入力済</v>
      </c>
      <c r="H596" s="1708" t="inlineStr">
        <is>
          <t>短期_財務諸表P27 G13、短期_決算精算表P30 B40,F19</t>
        </is>
      </c>
      <c r="I596" s="1708" t="inlineStr">
        <is>
          <t>報告_短期P7-10、報告_短期P11-13、報告_P8グラフデータ、短期_財務諸表P27 ほか1シート</t>
        </is>
      </c>
    </row>
    <row r="597" spans="1:9" ht="19.95" customHeight="1">
      <c r="A597" s="1755" t="s">
        <v>7</v>
      </c>
      <c r="B597" s="1711" t="s">
        <v>1927</v>
      </c>
      <c r="C597" s="1756" t="str">
        <f>HYPERLINK("#'短期_決算精算表P30'!E50","E50")</f>
        <v>E50</v>
      </c>
      <c r="D597" s="1711" t="s">
        <v>1944</v>
      </c>
      <c r="E597" s="1757">
        <f>IF('短期_決算精算表P30'!E50="","",'短期_決算精算表P30'!E50)</f>
        <v>7419879</v>
      </c>
      <c r="F597" s="1711" t="s">
        <v>1929</v>
      </c>
      <c r="G597" s="1709" t="str">
        <f t="shared" si="9"/>
        <v>入力済</v>
      </c>
      <c r="H597" s="1708" t="inlineStr">
        <is>
          <t>短期_決算精算表P30 E63,G50</t>
        </is>
      </c>
      <c r="I597" s="1708" t="inlineStr">
        <is>
          <t>報告_短期P7-10、報告_短期P11-13、短期_財務諸表P27、短期_附属明細表P28-29</t>
        </is>
      </c>
    </row>
    <row r="598" spans="1:9" ht="19.95" customHeight="1">
      <c r="A598" s="1752" t="s">
        <v>7</v>
      </c>
      <c r="B598" s="1708" t="s">
        <v>1927</v>
      </c>
      <c r="C598" s="1753" t="str">
        <f>HYPERLINK("#'短期_決算精算表P30'!E51","E51")</f>
        <v>E51</v>
      </c>
      <c r="D598" s="1708" t="s">
        <v>1945</v>
      </c>
      <c r="E598" s="1754">
        <f>IF('短期_決算精算表P30'!E51="","",'短期_決算精算表P30'!E51)</f>
        <v>13759</v>
      </c>
      <c r="F598" s="1708" t="s">
        <v>1929</v>
      </c>
      <c r="G598" s="1709" t="str">
        <f t="shared" si="9"/>
        <v>入力済</v>
      </c>
      <c r="H598" s="1708" t="inlineStr">
        <is>
          <t>短期_決算精算表P30 E63,G51</t>
        </is>
      </c>
      <c r="I598" s="1708" t="inlineStr">
        <is>
          <t>報告_短期P7-10、報告_短期P11-13、報告_P8グラフデータ、短期_財務諸表P27 ほか1シート</t>
        </is>
      </c>
    </row>
    <row r="599" spans="1:9" ht="19.95" customHeight="1">
      <c r="A599" s="1755" t="s">
        <v>7</v>
      </c>
      <c r="B599" s="1711" t="s">
        <v>1927</v>
      </c>
      <c r="C599" s="1756" t="str">
        <f>HYPERLINK("#'短期_決算精算表P30'!E52","E52")</f>
        <v>E52</v>
      </c>
      <c r="D599" s="1711" t="s">
        <v>1946</v>
      </c>
      <c r="E599" s="1757">
        <f>IF('短期_決算精算表P30'!E52="","",'短期_決算精算表P30'!E52)</f>
        <v>71223000</v>
      </c>
      <c r="F599" s="1711" t="s">
        <v>1929</v>
      </c>
      <c r="G599" s="1709" t="str">
        <f t="shared" si="9"/>
        <v>入力済</v>
      </c>
      <c r="H599" s="1708" t="inlineStr">
        <is>
          <t>短期_決算精算表P30 E63,G52</t>
        </is>
      </c>
      <c r="I599" s="1708" t="inlineStr">
        <is>
          <t>報告_短期P7-10、報告_短期P11-13、報告_P8グラフデータ、短期_財務諸表P27 ほか1シート</t>
        </is>
      </c>
    </row>
    <row r="600" spans="1:9" ht="19.95" customHeight="1">
      <c r="A600" s="1752" t="s">
        <v>7</v>
      </c>
      <c r="B600" s="1708" t="s">
        <v>1927</v>
      </c>
      <c r="C600" s="1753" t="str">
        <f>HYPERLINK("#'短期_決算精算表P30'!E54","E54")</f>
        <v>E54</v>
      </c>
      <c r="D600" s="1708" t="s">
        <v>1947</v>
      </c>
      <c r="E600" s="1754">
        <f>IF('短期_決算精算表P30'!E54="","",'短期_決算精算表P30'!E54)</f>
        <v>587346584</v>
      </c>
      <c r="F600" s="1708" t="s">
        <v>1929</v>
      </c>
      <c r="G600" s="1709" t="str">
        <f t="shared" si="9"/>
        <v>入力済</v>
      </c>
      <c r="H600" s="1708" t="inlineStr">
        <is>
          <t>短期_決算精算表P30 E63,G54</t>
        </is>
      </c>
      <c r="I600" s="1708" t="inlineStr">
        <is>
          <t>報告_短期P7-10、報告_短期P11-13、報告_P8グラフデータ、短期_財務諸表P27 ほか1シート</t>
        </is>
      </c>
    </row>
    <row r="601" spans="1:9" ht="19.95" customHeight="1">
      <c r="A601" s="1755" t="s">
        <v>7</v>
      </c>
      <c r="B601" s="1711" t="s">
        <v>1927</v>
      </c>
      <c r="C601" s="1756" t="str">
        <f>HYPERLINK("#'短期_決算精算表P30'!E55","E55")</f>
        <v>E55</v>
      </c>
      <c r="D601" s="1711" t="s">
        <v>1948</v>
      </c>
      <c r="E601" s="1757">
        <f>IF('短期_決算精算表P30'!E55="","",'短期_決算精算表P30'!E55)</f>
        <v>10496090</v>
      </c>
      <c r="F601" s="1711" t="s">
        <v>1929</v>
      </c>
      <c r="G601" s="1709" t="str">
        <f t="shared" si="9"/>
        <v>入力済</v>
      </c>
      <c r="H601" s="1708" t="inlineStr">
        <is>
          <t>短期_決算精算表P30 E63,G55</t>
        </is>
      </c>
      <c r="I601" s="1708" t="inlineStr">
        <is>
          <t>報告_短期P7-10、報告_短期P11-13、報告_P8グラフデータ、短期_財務諸表P27 ほか1シート</t>
        </is>
      </c>
    </row>
    <row r="602" spans="1:9" ht="19.95" customHeight="1">
      <c r="A602" s="1752" t="s">
        <v>7</v>
      </c>
      <c r="B602" s="1708" t="s">
        <v>1927</v>
      </c>
      <c r="C602" s="1753" t="str">
        <f>HYPERLINK("#'短期_決算精算表P30'!E56","E56")</f>
        <v>E56</v>
      </c>
      <c r="D602" s="1708" t="s">
        <v>1949</v>
      </c>
      <c r="E602" s="1754">
        <f>IF('短期_決算精算表P30'!E56="","",'短期_決算精算表P30'!E56)</f>
        <v>37196000</v>
      </c>
      <c r="F602" s="1708" t="s">
        <v>1929</v>
      </c>
      <c r="G602" s="1709" t="str">
        <f t="shared" si="9"/>
        <v>入力済</v>
      </c>
      <c r="H602" s="1708" t="inlineStr">
        <is>
          <t>短期_決算精算表P30 E63,G56</t>
        </is>
      </c>
      <c r="I602" s="1708" t="inlineStr">
        <is>
          <t>報告_短期P7-10、報告_短期P11-13、報告_P8グラフデータ、短期_財務諸表P27 ほか1シート</t>
        </is>
      </c>
    </row>
    <row r="603" spans="1:9" ht="19.95" customHeight="1">
      <c r="A603" s="1755" t="s">
        <v>7</v>
      </c>
      <c r="B603" s="1711" t="s">
        <v>1927</v>
      </c>
      <c r="C603" s="1756" t="str">
        <f>HYPERLINK("#'短期_決算精算表P30'!E58","E58")</f>
        <v>E58</v>
      </c>
      <c r="D603" s="1711" t="s">
        <v>1950</v>
      </c>
      <c r="E603" s="1757">
        <f>IF('短期_決算精算表P30'!E58="","",'短期_決算精算表P30'!E58)</f>
        <v>1422838</v>
      </c>
      <c r="F603" s="1711" t="s">
        <v>1929</v>
      </c>
      <c r="G603" s="1709" t="str">
        <f t="shared" si="9"/>
        <v>入力済</v>
      </c>
      <c r="H603" s="1708" t="inlineStr">
        <is>
          <t>短期_決算精算表P30 E63,G58</t>
        </is>
      </c>
      <c r="I603" s="1708" t="inlineStr">
        <is>
          <t>報告_短期P7-10、報告_短期P11-13、報告_P8グラフデータ、短期_財務諸表P27 ほか1シート</t>
        </is>
      </c>
    </row>
    <row r="604" spans="1:9" ht="19.95" customHeight="1">
      <c r="A604" s="1752" t="s">
        <v>7</v>
      </c>
      <c r="B604" s="1708" t="s">
        <v>1927</v>
      </c>
      <c r="C604" s="1753" t="str">
        <f>HYPERLINK("#'短期_決算精算表P30'!E60","E60")</f>
        <v>E60</v>
      </c>
      <c r="D604" s="1708" t="s">
        <v>1951</v>
      </c>
      <c r="E604" s="1754">
        <f>IF('短期_決算精算表P30'!E60="","",'短期_決算精算表P30'!E60)</f>
        <v>10567708</v>
      </c>
      <c r="F604" s="1708" t="s">
        <v>1929</v>
      </c>
      <c r="G604" s="1709" t="str">
        <f t="shared" si="9"/>
        <v>入力済</v>
      </c>
      <c r="H604" s="1708" t="inlineStr">
        <is>
          <t>短期_決算精算表P30 E63,G60</t>
        </is>
      </c>
      <c r="I604" s="1708" t="inlineStr">
        <is>
          <t>報告_短期P7-10、報告_短期P11-13、報告_P8グラフデータ、短期_財務諸表P27 ほか1シート</t>
        </is>
      </c>
    </row>
    <row r="605" spans="1:9" ht="19.95" customHeight="1">
      <c r="A605" s="1755" t="s">
        <v>8</v>
      </c>
      <c r="B605" s="1711" t="s">
        <v>1952</v>
      </c>
      <c r="C605" s="1756" t="str">
        <f>HYPERLINK("#'厚生_預金・立替・未収P32'!E7","E7")</f>
        <v>E7</v>
      </c>
      <c r="D605" s="1711" t="s">
        <v>1904</v>
      </c>
      <c r="E605" s="1757">
        <f>IF('厚生_預金・立替・未収P32'!E7="","",'厚生_預金・立替・未収P32'!E7)</f>
        <v>1679528183</v>
      </c>
      <c r="F605" s="1711" t="s">
        <v>1905</v>
      </c>
      <c r="G605" s="1709" t="str">
        <f t="shared" si="9"/>
        <v>入力済</v>
      </c>
      <c r="H605" s="1708" t="inlineStr">
        <is>
          <t>厚生_預金・立替・未収P32 E8</t>
        </is>
      </c>
      <c r="I605" s="1708" t="inlineStr">
        <is>
          <t>厚生_貸借・損益P31、厚生_決算精算表P33</t>
        </is>
      </c>
    </row>
    <row r="606" spans="1:9" ht="19.95" customHeight="1">
      <c r="A606" s="1752" t="s">
        <v>8</v>
      </c>
      <c r="B606" s="1708" t="s">
        <v>1952</v>
      </c>
      <c r="C606" s="1753" t="str">
        <f>HYPERLINK("#'厚生_預金・立替・未収P32'!E9","E9")</f>
        <v>E9</v>
      </c>
      <c r="D606" s="1708" t="s">
        <v>1906</v>
      </c>
      <c r="E606" s="1754">
        <f>IF('厚生_預金・立替・未収P32'!E9="","",'厚生_預金・立替・未収P32'!E9)</f>
        <v>90000</v>
      </c>
      <c r="F606" s="1708" t="s">
        <v>1905</v>
      </c>
      <c r="G606" s="1709" t="str">
        <f t="shared" si="9"/>
        <v>入力済</v>
      </c>
      <c r="H606" s="1708" t="inlineStr">
        <is>
          <t>厚生_預金・立替・未収P32 E10</t>
        </is>
      </c>
      <c r="I606" s="1708" t="inlineStr">
        <is>
          <t>厚生_貸借・損益P31、厚生_決算精算表P33</t>
        </is>
      </c>
    </row>
    <row r="607" spans="1:9" ht="19.95" customHeight="1">
      <c r="A607" s="1755" t="s">
        <v>8</v>
      </c>
      <c r="B607" s="1711" t="s">
        <v>1952</v>
      </c>
      <c r="C607" s="1756" t="str">
        <f>HYPERLINK("#'厚生_預金・立替・未収P32'!C18","C18")</f>
        <v>C18</v>
      </c>
      <c r="D607" s="1711" t="s">
        <v>1953</v>
      </c>
      <c r="E607" s="1757">
        <f>IF('厚生_預金・立替・未収P32'!C18="","",'厚生_預金・立替・未収P32'!C18)</f>
        <v>0</v>
      </c>
      <c r="F607" s="1711" t="s">
        <v>1905</v>
      </c>
      <c r="G607" s="1709" t="str">
        <f t="shared" si="9"/>
        <v>0（確認）</v>
      </c>
      <c r="H607" s="1708" t="inlineStr">
        <is>
          <t>厚生_預金・立替・未収P32 C19</t>
        </is>
      </c>
      <c r="I607" s="1708" t="inlineStr">
        <is>
          <t>厚生_貸借・損益P31P31</t>
        </is>
      </c>
    </row>
    <row r="608" spans="1:9" ht="19.95" customHeight="1">
      <c r="A608" s="1752" t="s">
        <v>8</v>
      </c>
      <c r="B608" s="1708" t="s">
        <v>1952</v>
      </c>
      <c r="C608" s="1753" t="str">
        <f>HYPERLINK("#'厚生_預金・立替・未収P32'!C25","C25")</f>
        <v>C25</v>
      </c>
      <c r="D608" s="1708" t="s">
        <v>1954</v>
      </c>
      <c r="E608" s="1754">
        <f>IF('厚生_預金・立替・未収P32'!C25="","",'厚生_預金・立替・未収P32'!C25)</f>
        <v>680106267</v>
      </c>
      <c r="F608" s="1708" t="s">
        <v>1905</v>
      </c>
      <c r="G608" s="1709" t="str">
        <f t="shared" si="9"/>
        <v>入力済</v>
      </c>
      <c r="H608" s="1708" t="inlineStr">
        <is>
          <t>厚生_預金・立替・未収P32 C30、厚生_決算精算表P33 B17</t>
        </is>
      </c>
      <c r="I608" s="1708" t="inlineStr">
        <is>
          <t>厚生_貸借・損益P31、厚生_決算精算表P33</t>
        </is>
      </c>
    </row>
    <row r="609" spans="1:9" ht="19.95" customHeight="1">
      <c r="A609" s="1755" t="s">
        <v>8</v>
      </c>
      <c r="B609" s="1711" t="s">
        <v>1952</v>
      </c>
      <c r="C609" s="1756" t="str">
        <f>HYPERLINK("#'厚生_預金・立替・未収P32'!C26","C26")</f>
        <v>C26</v>
      </c>
      <c r="D609" s="1711" t="s">
        <v>1955</v>
      </c>
      <c r="E609" s="1757">
        <f>IF('厚生_預金・立替・未収P32'!C26="","",'厚生_預金・立替・未収P32'!C26)</f>
        <v>74756</v>
      </c>
      <c r="F609" s="1711" t="s">
        <v>1905</v>
      </c>
      <c r="G609" s="1709" t="str">
        <f t="shared" si="9"/>
        <v>入力済</v>
      </c>
      <c r="H609" s="1708" t="inlineStr">
        <is>
          <t>厚生_預金・立替・未収P32 C30、厚生_決算精算表P33 B17</t>
        </is>
      </c>
      <c r="I609" s="1708" t="inlineStr">
        <is>
          <t>厚生_貸借・損益P31、厚生_決算精算表P33</t>
        </is>
      </c>
    </row>
    <row r="610" spans="1:9" ht="19.95" customHeight="1">
      <c r="A610" s="1752" t="s">
        <v>8</v>
      </c>
      <c r="B610" s="1708" t="s">
        <v>1952</v>
      </c>
      <c r="C610" s="1753" t="str">
        <f>HYPERLINK("#'厚生_預金・立替・未収P32'!C27","C27")</f>
        <v>C27</v>
      </c>
      <c r="D610" s="1708" t="s">
        <v>1956</v>
      </c>
      <c r="E610" s="1754">
        <f>IF('厚生_預金・立替・未収P32'!C27="","",'厚生_預金・立替・未収P32'!C27)</f>
        <v>319390391</v>
      </c>
      <c r="F610" s="1708" t="s">
        <v>1905</v>
      </c>
      <c r="G610" s="1709" t="str">
        <f t="shared" si="9"/>
        <v>入力済</v>
      </c>
      <c r="H610" s="1708" t="inlineStr">
        <is>
          <t>厚生_預金・立替・未収P32 C30、厚生_決算精算表P33 B17</t>
        </is>
      </c>
      <c r="I610" s="1708" t="inlineStr">
        <is>
          <t>厚生_貸借・損益P31、厚生_決算精算表P33</t>
        </is>
      </c>
    </row>
    <row r="611" spans="1:9" ht="19.95" customHeight="1">
      <c r="A611" s="1755" t="s">
        <v>8</v>
      </c>
      <c r="B611" s="1711" t="s">
        <v>1952</v>
      </c>
      <c r="C611" s="1756" t="str">
        <f>HYPERLINK("#'厚生_預金・立替・未収P32'!C28","C28")</f>
        <v>C28</v>
      </c>
      <c r="D611" s="1711" t="s">
        <v>1957</v>
      </c>
      <c r="E611" s="1757">
        <f>IF('厚生_預金・立替・未収P32'!C28="","",'厚生_預金・立替・未収P32'!C28)</f>
        <v>489892831</v>
      </c>
      <c r="F611" s="1711" t="s">
        <v>1905</v>
      </c>
      <c r="G611" s="1709" t="str">
        <f t="shared" si="9"/>
        <v>入力済</v>
      </c>
      <c r="H611" s="1708" t="inlineStr">
        <is>
          <t>厚生_預金・立替・未収P32 C30、厚生_決算精算表P33 B18</t>
        </is>
      </c>
      <c r="I611" s="1708" t="inlineStr">
        <is>
          <t>厚生_貸借・損益P31、厚生_決算精算表P33</t>
        </is>
      </c>
    </row>
    <row r="612" spans="1:9" ht="19.95" customHeight="1">
      <c r="A612" s="1752" t="s">
        <v>8</v>
      </c>
      <c r="B612" s="1708" t="s">
        <v>1952</v>
      </c>
      <c r="C612" s="1753" t="str">
        <f>HYPERLINK("#'厚生_預金・立替・未収P32'!C29","C29")</f>
        <v>C29</v>
      </c>
      <c r="D612" s="1708" t="s">
        <v>1958</v>
      </c>
      <c r="E612" s="1754">
        <f>IF('厚生_預金・立替・未収P32'!C29="","",'厚生_預金・立替・未収P32'!C29)</f>
        <v>190063938</v>
      </c>
      <c r="F612" s="1708" t="s">
        <v>1905</v>
      </c>
      <c r="G612" s="1709" t="str">
        <f t="shared" si="9"/>
        <v>入力済</v>
      </c>
      <c r="H612" s="1708" t="inlineStr">
        <is>
          <t>厚生_預金・立替・未収P32 C30、厚生_決算精算表P33 B18</t>
        </is>
      </c>
      <c r="I612" s="1708" t="inlineStr">
        <is>
          <t>厚生_貸借・損益P31、厚生_決算精算表P33</t>
        </is>
      </c>
    </row>
    <row r="613" spans="1:9" ht="19.95" customHeight="1">
      <c r="A613" s="1755" t="s">
        <v>8</v>
      </c>
      <c r="B613" s="1711" t="s">
        <v>1952</v>
      </c>
      <c r="C613" s="1756" t="str">
        <f>HYPERLINK("#'厚生_預金・立替・未収P32'!C37","C37")</f>
        <v>C37</v>
      </c>
      <c r="D613" s="1711" t="s">
        <v>1959</v>
      </c>
      <c r="E613" s="1757">
        <f>IF('厚生_預金・立替・未収P32'!C37="","",'厚生_預金・立替・未収P32'!C37)</f>
        <v>90000</v>
      </c>
      <c r="F613" s="1711" t="s">
        <v>1905</v>
      </c>
      <c r="G613" s="1709" t="str">
        <f t="shared" si="9"/>
        <v>入力済</v>
      </c>
      <c r="H613" s="1708" t="inlineStr">
        <is>
          <t>厚生_預金・立替・未収P32 C38</t>
        </is>
      </c>
      <c r="I613" s="1708" t="inlineStr">
        <is>
          <t>厚生_貸借・損益P31、厚生_決算精算表P33</t>
        </is>
      </c>
    </row>
    <row r="614" spans="1:9" ht="19.95" customHeight="1">
      <c r="A614" s="1752" t="s">
        <v>8</v>
      </c>
      <c r="B614" s="1708" t="s">
        <v>1960</v>
      </c>
      <c r="C614" s="1753" t="str">
        <f>HYPERLINK("#'厚生_決算精算表P33'!C17","C17")</f>
        <v>C17</v>
      </c>
      <c r="D614" s="1708" t="s">
        <v>1961</v>
      </c>
      <c r="E614" s="1754">
        <f>IF('厚生_決算精算表P33'!C17="","",'厚生_決算精算表P33'!C17)</f>
        <v>10996023469</v>
      </c>
      <c r="F614" s="1708" t="s">
        <v>1929</v>
      </c>
      <c r="G614" s="1709" t="str">
        <f t="shared" si="9"/>
        <v>入力済</v>
      </c>
      <c r="H614" s="1708" t="inlineStr">
        <is>
          <t>厚生_決算精算表P33 A17,C21</t>
        </is>
      </c>
      <c r="I614" s="1708" t="inlineStr">
        <is>
          <t>厚生_貸借・損益P31P31</t>
        </is>
      </c>
    </row>
    <row r="615" spans="1:9" ht="19.95" customHeight="1">
      <c r="A615" s="1755" t="s">
        <v>8</v>
      </c>
      <c r="B615" s="1711" t="s">
        <v>1960</v>
      </c>
      <c r="C615" s="1756" t="str">
        <f>HYPERLINK("#'厚生_決算精算表P33'!C18","C18")</f>
        <v>C18</v>
      </c>
      <c r="D615" s="1711" t="s">
        <v>1962</v>
      </c>
      <c r="E615" s="1757">
        <f>IF('厚生_決算精算表P33'!C18="","",'厚生_決算精算表P33'!C18)</f>
        <v>7055858144</v>
      </c>
      <c r="F615" s="1711" t="s">
        <v>1929</v>
      </c>
      <c r="G615" s="1709" t="str">
        <f t="shared" si="9"/>
        <v>入力済</v>
      </c>
      <c r="H615" s="1708" t="inlineStr">
        <is>
          <t>厚生_決算精算表P33 A18,C21</t>
        </is>
      </c>
      <c r="I615" s="1708" t="inlineStr">
        <is>
          <t>厚生_貸借・損益P31P31</t>
        </is>
      </c>
    </row>
    <row r="616" spans="1:9" ht="19.95" customHeight="1">
      <c r="A616" s="1752" t="s">
        <v>9</v>
      </c>
      <c r="B616" s="1708" t="s">
        <v>1963</v>
      </c>
      <c r="C616" s="1753" t="str">
        <f>HYPERLINK("#'退職等_預金・立替・未収P36'!E7","E7")</f>
        <v>E7</v>
      </c>
      <c r="D616" s="1708" t="s">
        <v>1904</v>
      </c>
      <c r="E616" s="1754">
        <f>IF('退職等_預金・立替・未収P36'!E7="","",'退職等_預金・立替・未収P36'!E7)</f>
        <v>111499006</v>
      </c>
      <c r="F616" s="1708" t="s">
        <v>1905</v>
      </c>
      <c r="G616" s="1709" t="str">
        <f t="shared" si="9"/>
        <v>入力済</v>
      </c>
      <c r="H616" s="1708" t="inlineStr">
        <is>
          <t>退職等_預金・立替・未収P36 E8</t>
        </is>
      </c>
      <c r="I616" s="1708" t="inlineStr">
        <is>
          <t>退職等_貸借・損益P35、退職等_決算精算表P37</t>
        </is>
      </c>
    </row>
    <row r="617" spans="1:9" ht="19.95" customHeight="1">
      <c r="A617" s="1755" t="s">
        <v>9</v>
      </c>
      <c r="B617" s="1711" t="s">
        <v>1963</v>
      </c>
      <c r="C617" s="1756" t="str">
        <f>HYPERLINK("#'退職等_預金・立替・未収P36'!C22","C22")</f>
        <v>C22</v>
      </c>
      <c r="D617" s="1711" t="s">
        <v>1954</v>
      </c>
      <c r="E617" s="1757">
        <f>IF('退職等_預金・立替・未収P36'!C22="","",'退職等_預金・立替・未収P36'!C22)</f>
        <v>55743611</v>
      </c>
      <c r="F617" s="1711" t="s">
        <v>1905</v>
      </c>
      <c r="G617" s="1709" t="str">
        <f t="shared" si="9"/>
        <v>入力済</v>
      </c>
      <c r="H617" s="1708" t="inlineStr">
        <is>
          <t>退職等_預金・立替・未収P36 C26、退職等_決算精算表P37 B17</t>
        </is>
      </c>
      <c r="I617" s="1708" t="inlineStr">
        <is>
          <t>退職等_貸借・損益P35、退職等_決算精算表P37</t>
        </is>
      </c>
    </row>
    <row r="618" spans="1:9" ht="19.95" customHeight="1">
      <c r="A618" s="1752" t="s">
        <v>9</v>
      </c>
      <c r="B618" s="1708" t="s">
        <v>1963</v>
      </c>
      <c r="C618" s="1753" t="str">
        <f>HYPERLINK("#'退職等_預金・立替・未収P36'!C23","C23")</f>
        <v>C23</v>
      </c>
      <c r="D618" s="1708" t="s">
        <v>1955</v>
      </c>
      <c r="E618" s="1754">
        <f>IF('退職等_預金・立替・未収P36'!C23="","",'退職等_預金・立替・未収P36'!C23)</f>
        <v>6127</v>
      </c>
      <c r="F618" s="1708" t="s">
        <v>1905</v>
      </c>
      <c r="G618" s="1709" t="str">
        <f t="shared" si="9"/>
        <v>入力済</v>
      </c>
      <c r="H618" s="1708" t="inlineStr">
        <is>
          <t>退職等_預金・立替・未収P36 C26、退職等_決算精算表P37 B17</t>
        </is>
      </c>
      <c r="I618" s="1708" t="inlineStr">
        <is>
          <t>退職等_貸借・損益P35、退職等_決算精算表P37</t>
        </is>
      </c>
    </row>
    <row r="619" spans="1:9" ht="19.95" customHeight="1">
      <c r="A619" s="1755" t="s">
        <v>9</v>
      </c>
      <c r="B619" s="1711" t="s">
        <v>1963</v>
      </c>
      <c r="C619" s="1756" t="str">
        <f>HYPERLINK("#'退職等_預金・立替・未収P36'!C24","C24")</f>
        <v>C24</v>
      </c>
      <c r="D619" s="1711" t="s">
        <v>1964</v>
      </c>
      <c r="E619" s="1757">
        <f>IF('退職等_預金・立替・未収P36'!C24="","",'退職等_預金・立替・未収P36'!C24)</f>
        <v>40167526</v>
      </c>
      <c r="F619" s="1711" t="s">
        <v>1905</v>
      </c>
      <c r="G619" s="1709" t="str">
        <f t="shared" si="9"/>
        <v>入力済</v>
      </c>
      <c r="H619" s="1708" t="inlineStr">
        <is>
          <t>退職等_預金・立替・未収P36 C26、退職等_決算精算表P37 B18</t>
        </is>
      </c>
      <c r="I619" s="1708" t="inlineStr">
        <is>
          <t>退職等_貸借・損益P35、退職等_決算精算表P37</t>
        </is>
      </c>
    </row>
    <row r="620" spans="1:9" ht="19.95" customHeight="1">
      <c r="A620" s="1752" t="s">
        <v>9</v>
      </c>
      <c r="B620" s="1708" t="s">
        <v>1963</v>
      </c>
      <c r="C620" s="1753" t="str">
        <f>HYPERLINK("#'退職等_預金・立替・未収P36'!C25","C25")</f>
        <v>C25</v>
      </c>
      <c r="D620" s="1708" t="s">
        <v>1965</v>
      </c>
      <c r="E620" s="1754">
        <f>IF('退職等_預金・立替・未収P36'!C25="","",'退職等_預金・立替・未収P36'!C25)</f>
        <v>15581742</v>
      </c>
      <c r="F620" s="1708" t="s">
        <v>1905</v>
      </c>
      <c r="G620" s="1709" t="str">
        <f t="shared" si="9"/>
        <v>入力済</v>
      </c>
      <c r="H620" s="1708" t="inlineStr">
        <is>
          <t>退職等_預金・立替・未収P36 C26、退職等_決算精算表P37 B18</t>
        </is>
      </c>
      <c r="I620" s="1708" t="inlineStr">
        <is>
          <t>退職等_貸借・損益P35、退職等_決算精算表P37</t>
        </is>
      </c>
    </row>
    <row r="621" spans="1:9" ht="19.95" customHeight="1">
      <c r="A621" s="1755" t="s">
        <v>9</v>
      </c>
      <c r="B621" s="1711" t="s">
        <v>1963</v>
      </c>
      <c r="C621" s="1756" t="str">
        <f>HYPERLINK("#'退職等_預金・立替・未収P36'!C33","C33")</f>
        <v>C33</v>
      </c>
      <c r="D621" s="1711" t="s">
        <v>1959</v>
      </c>
      <c r="E621" s="1757">
        <f>IF('退職等_預金・立替・未収P36'!C33="","",'退職等_預金・立替・未収P36'!C33)</f>
        <v>0</v>
      </c>
      <c r="F621" s="1711" t="s">
        <v>1905</v>
      </c>
      <c r="G621" s="1709" t="str">
        <f t="shared" si="9"/>
        <v>0（確認）</v>
      </c>
      <c r="H621" s="1708" t="inlineStr">
        <is>
          <t>退職等_預金・立替・未収P36 C34</t>
        </is>
      </c>
      <c r="I621" s="1708" t="inlineStr">
        <is>
          <t>退職等_貸借・損益P35、退職等_決算精算表P37</t>
        </is>
      </c>
    </row>
    <row r="622" spans="1:9" ht="19.95" customHeight="1">
      <c r="A622" s="1752" t="s">
        <v>9</v>
      </c>
      <c r="B622" s="1708" t="s">
        <v>1966</v>
      </c>
      <c r="C622" s="1753" t="str">
        <f>HYPERLINK("#'退職等_決算精算表P37'!C13","C13")</f>
        <v>C13</v>
      </c>
      <c r="D622" s="1708" t="s">
        <v>1967</v>
      </c>
      <c r="E622" s="1754">
        <f>IF('退職等_決算精算表P37'!C13="","",'退職等_決算精算表P37'!C13)</f>
        <v>0</v>
      </c>
      <c r="F622" s="1708" t="s">
        <v>1929</v>
      </c>
      <c r="G622" s="1709" t="str">
        <f t="shared" si="9"/>
        <v>0（確認）</v>
      </c>
      <c r="H622" s="1708" t="inlineStr">
        <is>
          <t>退職等_決算精算表P37 A13,C16</t>
        </is>
      </c>
      <c r="I622" s="1708" t="inlineStr">
        <is>
          <t>同じシート内のみ</t>
        </is>
      </c>
    </row>
    <row r="623" spans="1:9" ht="19.95" customHeight="1">
      <c r="A623" s="1755" t="s">
        <v>9</v>
      </c>
      <c r="B623" s="1711" t="s">
        <v>1966</v>
      </c>
      <c r="C623" s="1756" t="str">
        <f>HYPERLINK("#'退職等_決算精算表P37'!C17","C17")</f>
        <v>C17</v>
      </c>
      <c r="D623" s="1711" t="s">
        <v>1961</v>
      </c>
      <c r="E623" s="1757">
        <f>IF('退職等_決算精算表P37'!C17="","",'退職等_決算精算表P37'!C17)</f>
        <v>578409717</v>
      </c>
      <c r="F623" s="1711" t="s">
        <v>1929</v>
      </c>
      <c r="G623" s="1709" t="str">
        <f t="shared" si="9"/>
        <v>入力済</v>
      </c>
      <c r="H623" s="1708" t="inlineStr">
        <is>
          <t>退職等_決算精算表P37 A17,C21</t>
        </is>
      </c>
      <c r="I623" s="1708" t="inlineStr">
        <is>
          <t>退職等_貸借・損益P35P35</t>
        </is>
      </c>
    </row>
    <row r="624" spans="1:9" ht="19.95" customHeight="1">
      <c r="A624" s="1752" t="s">
        <v>9</v>
      </c>
      <c r="B624" s="1708" t="s">
        <v>1966</v>
      </c>
      <c r="C624" s="1753" t="str">
        <f>HYPERLINK("#'退職等_決算精算表P37'!C18","C18")</f>
        <v>C18</v>
      </c>
      <c r="D624" s="1708" t="s">
        <v>1968</v>
      </c>
      <c r="E624" s="1754">
        <f>IF('退職等_決算精算表P37'!C18="","",'退職等_決算精算表P37'!C18)</f>
        <v>578456627</v>
      </c>
      <c r="F624" s="1708" t="s">
        <v>1929</v>
      </c>
      <c r="G624" s="1709" t="str">
        <f t="shared" si="9"/>
        <v>入力済</v>
      </c>
      <c r="H624" s="1708" t="inlineStr">
        <is>
          <t>退職等_決算精算表P37 A18,C21</t>
        </is>
      </c>
      <c r="I624" s="1708" t="inlineStr">
        <is>
          <t>退職等_貸借・損益P35P35</t>
        </is>
      </c>
    </row>
    <row r="625" spans="1:9" ht="19.95" customHeight="1">
      <c r="A625" s="1755" t="s">
        <v>10</v>
      </c>
      <c r="B625" s="1711" t="s">
        <v>1969</v>
      </c>
      <c r="C625" s="1756" t="str">
        <f>HYPERLINK("#'経過的_預金・立替・未収P40'!E7","E7")</f>
        <v>E7</v>
      </c>
      <c r="D625" s="1711" t="s">
        <v>1904</v>
      </c>
      <c r="E625" s="1757">
        <f>IF('経過的_預金・立替・未収P40'!E7="","",'経過的_預金・立替・未収P40'!E7)</f>
        <v>722478</v>
      </c>
      <c r="F625" s="1711" t="s">
        <v>1905</v>
      </c>
      <c r="G625" s="1709" t="str">
        <f t="shared" si="9"/>
        <v>入力済</v>
      </c>
      <c r="H625" s="1708" t="inlineStr">
        <is>
          <t>経過的_預金・立替・未収P40 E8</t>
        </is>
      </c>
      <c r="I625" s="1708" t="inlineStr">
        <is>
          <t>経過的_貸借・損益P39、経過的_決算精算表P41</t>
        </is>
      </c>
    </row>
    <row r="626" spans="1:9" ht="19.95" customHeight="1">
      <c r="A626" s="1752" t="s">
        <v>10</v>
      </c>
      <c r="B626" s="1708" t="s">
        <v>1969</v>
      </c>
      <c r="C626" s="1753" t="str">
        <f>HYPERLINK("#'経過的_預金・立替・未収P40'!C15","C15")</f>
        <v>C15</v>
      </c>
      <c r="D626" s="1708" t="s">
        <v>1953</v>
      </c>
      <c r="E626" s="1754">
        <f>IF('経過的_預金・立替・未収P40'!C15="","",'経過的_預金・立替・未収P40'!C15)</f>
        <v>0</v>
      </c>
      <c r="F626" s="1708" t="s">
        <v>1905</v>
      </c>
      <c r="G626" s="1709" t="str">
        <f t="shared" si="9"/>
        <v>0（確認）</v>
      </c>
      <c r="H626" s="1708" t="inlineStr">
        <is>
          <t>経過的_預金・立替・未収P40 C16</t>
        </is>
      </c>
      <c r="I626" s="1708" t="inlineStr">
        <is>
          <t>経過的_貸借・損益P39P39</t>
        </is>
      </c>
    </row>
    <row r="627" spans="1:9" ht="19.95" customHeight="1">
      <c r="A627" s="1755" t="s">
        <v>10</v>
      </c>
      <c r="B627" s="1711" t="s">
        <v>1969</v>
      </c>
      <c r="C627" s="1756" t="str">
        <f>HYPERLINK("#'経過的_預金・立替・未収P40'!C22","C22")</f>
        <v>C22</v>
      </c>
      <c r="D627" s="1711" t="s">
        <v>1954</v>
      </c>
      <c r="E627" s="1757">
        <f>IF('経過的_預金・立替・未収P40'!C22="","",'経過的_預金・立替・未収P40'!C22)</f>
        <v>722478</v>
      </c>
      <c r="F627" s="1711" t="s">
        <v>1905</v>
      </c>
      <c r="G627" s="1709" t="str">
        <f t="shared" si="9"/>
        <v>入力済</v>
      </c>
      <c r="H627" s="1708" t="inlineStr">
        <is>
          <t>経過的_預金・立替・未収P40 C23、経過的_決算精算表P41 B16</t>
        </is>
      </c>
      <c r="I627" s="1708" t="inlineStr">
        <is>
          <t>経過的_貸借・損益P39、経過的_決算精算表P41</t>
        </is>
      </c>
    </row>
    <row r="628" spans="1:9" ht="19.95" customHeight="1">
      <c r="A628" s="1752" t="s">
        <v>10</v>
      </c>
      <c r="B628" s="1708" t="s">
        <v>1970</v>
      </c>
      <c r="C628" s="1753" t="str">
        <f>HYPERLINK("#'経過的_決算精算表P41'!C16","C16")</f>
        <v>C16</v>
      </c>
      <c r="D628" s="1708" t="s">
        <v>1961</v>
      </c>
      <c r="E628" s="1754">
        <f>IF('経過的_決算精算表P41'!C16="","",'経過的_決算精算表P41'!C16)</f>
        <v>84897738</v>
      </c>
      <c r="F628" s="1708" t="s">
        <v>1929</v>
      </c>
      <c r="G628" s="1709" t="str">
        <f t="shared" si="9"/>
        <v>入力済</v>
      </c>
      <c r="H628" s="1708" t="inlineStr">
        <is>
          <t>経過的_決算精算表P41 A16,C18</t>
        </is>
      </c>
      <c r="I628" s="1708" t="inlineStr">
        <is>
          <t>経過的_貸借・損益P39P39</t>
        </is>
      </c>
    </row>
    <row r="629" spans="1:9" ht="19.95" customHeight="1">
      <c r="A629" s="1755" t="s">
        <v>11</v>
      </c>
      <c r="B629" s="1711" t="s">
        <v>1462</v>
      </c>
      <c r="C629" s="1756" t="str">
        <f>HYPERLINK("#'預託金_預金・未収・貸付・預託金P44'!F7","F7")</f>
        <v>F7</v>
      </c>
      <c r="D629" s="1711" t="s">
        <v>1904</v>
      </c>
      <c r="E629" s="1757">
        <f>IF('預託金_預金・未収・貸付・預託金P44'!F7="","",'預託金_預金・未収・貸付・預託金P44'!F7)</f>
        <v>0</v>
      </c>
      <c r="F629" s="1711" t="s">
        <v>1905</v>
      </c>
      <c r="G629" s="1709" t="str">
        <f t="shared" si="9"/>
        <v>0（確認）</v>
      </c>
      <c r="H629" s="1708" t="inlineStr">
        <is>
          <t>預託金_預金・未収・貸付・預託金P44 F8</t>
        </is>
      </c>
      <c r="I629" s="1708" t="inlineStr">
        <is>
          <t>報告_預託金のカメラ、預託金_貸借・損益P43</t>
        </is>
      </c>
    </row>
    <row r="630" spans="1:9" ht="19.95" customHeight="1">
      <c r="A630" s="1752" t="s">
        <v>11</v>
      </c>
      <c r="B630" s="1708" t="s">
        <v>1462</v>
      </c>
      <c r="C630" s="1753" t="str">
        <f>HYPERLINK("#'預託金_預金・未収・貸付・預託金P44'!C14","C14")</f>
        <v>C14</v>
      </c>
      <c r="D630" s="1708" t="s">
        <v>1971</v>
      </c>
      <c r="E630" s="1754">
        <f>IF('預託金_預金・未収・貸付・預託金P44'!C14="","",'預託金_預金・未収・貸付・預託金P44'!C14)</f>
        <v>0</v>
      </c>
      <c r="F630" s="1708" t="s">
        <v>1905</v>
      </c>
      <c r="G630" s="1709" t="str">
        <f t="shared" si="9"/>
        <v>0（確認）</v>
      </c>
      <c r="H630" s="1708" t="inlineStr">
        <is>
          <t>預託金_預金・未収・貸付・預託金P44 C15</t>
        </is>
      </c>
      <c r="I630" s="1708" t="inlineStr">
        <is>
          <t>報告_預託金のカメラ、預託金_貸借・損益P43</t>
        </is>
      </c>
    </row>
    <row r="631" spans="1:9" ht="19.95" customHeight="1">
      <c r="A631" s="1755" t="s">
        <v>11</v>
      </c>
      <c r="B631" s="1711" t="s">
        <v>1462</v>
      </c>
      <c r="C631" s="1756" t="str">
        <f>HYPERLINK("#'預託金_預金・未収・貸付・預託金P44'!I28","I28")</f>
        <v>I28</v>
      </c>
      <c r="D631" s="1711" t="s">
        <v>1972</v>
      </c>
      <c r="E631" s="1757">
        <f>IF('預託金_預金・未収・貸付・預託金P44'!I28="","",'預託金_預金・未収・貸付・預託金P44'!I28)</f>
        <v>126203387</v>
      </c>
      <c r="F631" s="1711" t="s">
        <v>1905</v>
      </c>
      <c r="G631" s="1709" t="str">
        <f t="shared" si="9"/>
        <v>入力済</v>
      </c>
      <c r="H631" s="1708" t="inlineStr">
        <is>
          <t>預託金_預金・未収・貸付・預託金P44 I29,M28</t>
        </is>
      </c>
      <c r="I631" s="1708" t="inlineStr">
        <is>
          <t>預託金_貸借・損益P43P43</t>
        </is>
      </c>
    </row>
    <row r="632" spans="1:9" ht="19.95" customHeight="1">
      <c r="A632" s="1752" t="s">
        <v>11</v>
      </c>
      <c r="B632" s="1708" t="s">
        <v>1973</v>
      </c>
      <c r="C632" s="1753" t="str">
        <f>HYPERLINK("#'預託金_決算精算表P45'!C15","C15")</f>
        <v>C15</v>
      </c>
      <c r="D632" s="1708" t="s">
        <v>1974</v>
      </c>
      <c r="E632" s="1754">
        <f>IF('預託金_決算精算表P45'!C15="","",'預託金_決算精算表P45'!C15)</f>
        <v>3</v>
      </c>
      <c r="F632" s="1708" t="s">
        <v>1929</v>
      </c>
      <c r="G632" s="1709" t="str">
        <f t="shared" si="9"/>
        <v>入力済</v>
      </c>
      <c r="H632" s="1708" t="inlineStr">
        <is>
          <t>預託金_決算精算表P45 A15,C16,G15</t>
        </is>
      </c>
      <c r="I632" s="1708" t="inlineStr">
        <is>
          <t>同じシート内のみ</t>
        </is>
      </c>
    </row>
    <row r="633" spans="1:9" ht="19.95" customHeight="1">
      <c r="A633" s="1755" t="s">
        <v>11</v>
      </c>
      <c r="B633" s="1711" t="s">
        <v>1973</v>
      </c>
      <c r="C633" s="1756" t="str">
        <f>HYPERLINK("#'預託金_決算精算表P45'!F15","F15")</f>
        <v>F15</v>
      </c>
      <c r="D633" s="1711" t="s">
        <v>1975</v>
      </c>
      <c r="E633" s="1757">
        <f>IF('預託金_決算精算表P45'!F15="","",'預託金_決算精算表P45'!F15)</f>
        <v>3</v>
      </c>
      <c r="F633" s="1711" t="s">
        <v>1929</v>
      </c>
      <c r="G633" s="1709" t="str">
        <f t="shared" si="9"/>
        <v>入力済</v>
      </c>
      <c r="H633" s="1708" t="inlineStr">
        <is>
          <t>預託金_決算精算表P45 A15,F16,G15</t>
        </is>
      </c>
      <c r="I633" s="1708" t="inlineStr">
        <is>
          <t>同じシート内のみ</t>
        </is>
      </c>
    </row>
    <row r="634" spans="1:9" ht="19.95" customHeight="1">
      <c r="A634" s="1752" t="s">
        <v>11</v>
      </c>
      <c r="B634" s="1708" t="s">
        <v>1973</v>
      </c>
      <c r="C634" s="1753" t="str">
        <f>HYPERLINK("#'預託金_決算精算表P45'!B17","B17")</f>
        <v>B17</v>
      </c>
      <c r="D634" s="1708" t="s">
        <v>1976</v>
      </c>
      <c r="E634" s="1754">
        <f>IF('預託金_決算精算表P45'!B17="","",'預託金_決算精算表P45'!B17)</f>
        <v>3</v>
      </c>
      <c r="F634" s="1708" t="s">
        <v>1929</v>
      </c>
      <c r="G634" s="1709" t="str">
        <f t="shared" si="9"/>
        <v>入力済</v>
      </c>
      <c r="H634" s="1708" t="inlineStr">
        <is>
          <t>預託金_決算精算表P45 A17,B19</t>
        </is>
      </c>
      <c r="I634" s="1708" t="inlineStr">
        <is>
          <t>報告_預託金P17、預託金_貸借・損益P43、預託金_預金・未収・貸付・預託金P44</t>
        </is>
      </c>
    </row>
    <row r="635" spans="1:9" ht="19.95" customHeight="1">
      <c r="A635" s="1755" t="s">
        <v>11</v>
      </c>
      <c r="B635" s="1711" t="s">
        <v>1973</v>
      </c>
      <c r="C635" s="1756" t="str">
        <f>HYPERLINK("#'預託金_決算精算表P45'!C17","C17")</f>
        <v>C17</v>
      </c>
      <c r="D635" s="1711" t="s">
        <v>1977</v>
      </c>
      <c r="E635" s="1757">
        <f>IF('預託金_決算精算表P45'!C17="","",'預託金_決算精算表P45'!C17)</f>
        <v>136056</v>
      </c>
      <c r="F635" s="1711" t="s">
        <v>1929</v>
      </c>
      <c r="G635" s="1709" t="str">
        <f t="shared" si="9"/>
        <v>入力済</v>
      </c>
      <c r="H635" s="1708" t="inlineStr">
        <is>
          <t>預託金_決算精算表P45 A17,C19</t>
        </is>
      </c>
      <c r="I635" s="1708" t="inlineStr">
        <is>
          <t>報告_預託金P17、預託金_貸借・損益P43、預託金_預金・未収・貸付・預託金P44</t>
        </is>
      </c>
    </row>
    <row r="636" spans="1:9" ht="19.95" customHeight="1">
      <c r="A636" s="1752" t="s">
        <v>12</v>
      </c>
      <c r="B636" s="1708" t="s">
        <v>1467</v>
      </c>
      <c r="C636" s="1753" t="str">
        <f>HYPERLINK("#'業務_附属明細表P48-50'!M5","M5")</f>
        <v>M5</v>
      </c>
      <c r="D636" s="1708" t="s">
        <v>1904</v>
      </c>
      <c r="E636" s="1754">
        <f>IF('業務_附属明細表P48-50'!M5="","",'業務_附属明細表P48-50'!M5)</f>
        <v>72939159</v>
      </c>
      <c r="F636" s="1708" t="s">
        <v>1905</v>
      </c>
      <c r="G636" s="1709" t="str">
        <f t="shared" si="9"/>
        <v>入力済</v>
      </c>
      <c r="H636" s="1708" t="inlineStr">
        <is>
          <t>業務_附属明細表P48-50 M6、業務_決算精算表P51 C9</t>
        </is>
      </c>
      <c r="I636" s="1708" t="inlineStr">
        <is>
          <t>業務_財務諸表P47、業務_決算精算表P51</t>
        </is>
      </c>
    </row>
    <row r="637" spans="1:9" ht="19.95" customHeight="1">
      <c r="A637" s="1755" t="s">
        <v>12</v>
      </c>
      <c r="B637" s="1711" t="s">
        <v>1467</v>
      </c>
      <c r="C637" s="1756" t="str">
        <f>HYPERLINK("#'業務_附属明細表P48-50'!G12","G12")</f>
        <v>G12</v>
      </c>
      <c r="D637" s="1711" t="s">
        <v>1978</v>
      </c>
      <c r="E637" s="1757">
        <f>IF('業務_附属明細表P48-50'!G12="","",'業務_附属明細表P48-50'!G12)</f>
        <v>194420</v>
      </c>
      <c r="F637" s="1711" t="s">
        <v>1905</v>
      </c>
      <c r="G637" s="1709" t="str">
        <f t="shared" si="9"/>
        <v>入力済</v>
      </c>
      <c r="H637" s="1708" t="inlineStr">
        <is>
          <t>業務_附属明細表P48-50 G14</t>
        </is>
      </c>
      <c r="I637" s="1708" t="inlineStr">
        <is>
          <t>同じシート内のみ</t>
        </is>
      </c>
    </row>
    <row r="638" spans="1:9" ht="19.95" customHeight="1">
      <c r="A638" s="1752" t="s">
        <v>12</v>
      </c>
      <c r="B638" s="1708" t="s">
        <v>1467</v>
      </c>
      <c r="C638" s="1753" t="str">
        <f>HYPERLINK("#'業務_附属明細表P48-50'!G38","G38")</f>
        <v>G38</v>
      </c>
      <c r="D638" s="1708" t="s">
        <v>1978</v>
      </c>
      <c r="E638" s="1754">
        <f>IF('業務_附属明細表P48-50'!G38="","",'業務_附属明細表P48-50'!G38)</f>
        <v>2356</v>
      </c>
      <c r="F638" s="1708" t="s">
        <v>1905</v>
      </c>
      <c r="G638" s="1709" t="str">
        <f t="shared" si="9"/>
        <v>入力済</v>
      </c>
      <c r="H638" s="1708" t="inlineStr">
        <is>
          <t>業務_附属明細表P48-50 G46、業務_決算精算表P51 B10</t>
        </is>
      </c>
      <c r="I638" s="1708" t="inlineStr">
        <is>
          <t>業務_財務諸表P47、業務_決算精算表P51</t>
        </is>
      </c>
    </row>
    <row r="639" spans="1:9" ht="19.95" customHeight="1">
      <c r="A639" s="1755" t="s">
        <v>12</v>
      </c>
      <c r="B639" s="1711" t="s">
        <v>1467</v>
      </c>
      <c r="C639" s="1756" t="str">
        <f>HYPERLINK("#'業務_附属明細表P48-50'!G39","G39")</f>
        <v>G39</v>
      </c>
      <c r="D639" s="1711" t="s">
        <v>1979</v>
      </c>
      <c r="E639" s="1757">
        <f>IF('業務_附属明細表P48-50'!G39="","",'業務_附属明細表P48-50'!G39)</f>
        <v>846685</v>
      </c>
      <c r="F639" s="1711" t="s">
        <v>1905</v>
      </c>
      <c r="G639" s="1709" t="str">
        <f t="shared" si="9"/>
        <v>入力済</v>
      </c>
      <c r="H639" s="1708" t="inlineStr">
        <is>
          <t>業務_附属明細表P48-50 G46、業務_決算精算表P51 B25</t>
        </is>
      </c>
      <c r="I639" s="1708" t="inlineStr">
        <is>
          <t>報告_業務P19、業務_財務諸表P47、業務_決算精算表P51</t>
        </is>
      </c>
    </row>
    <row r="640" spans="1:9" ht="19.95" customHeight="1">
      <c r="A640" s="1752" t="s">
        <v>12</v>
      </c>
      <c r="B640" s="1708" t="s">
        <v>1467</v>
      </c>
      <c r="C640" s="1753" t="str">
        <f>HYPERLINK("#'業務_附属明細表P48-50'!G40","G40")</f>
        <v>G40</v>
      </c>
      <c r="D640" s="1708" t="s">
        <v>1980</v>
      </c>
      <c r="E640" s="1754">
        <f>IF('業務_附属明細表P48-50'!G40="","",'業務_附属明細表P48-50'!G40)</f>
        <v>1576505</v>
      </c>
      <c r="F640" s="1708" t="s">
        <v>1905</v>
      </c>
      <c r="G640" s="1709" t="str">
        <f t="shared" si="9"/>
        <v>入力済</v>
      </c>
      <c r="H640" s="1708" t="inlineStr">
        <is>
          <t>業務_附属明細表P48-50 G46、業務_決算精算表P51 B27</t>
        </is>
      </c>
      <c r="I640" s="1708" t="inlineStr">
        <is>
          <t>報告_業務P19、業務_財務諸表P47、業務_決算精算表P51</t>
        </is>
      </c>
    </row>
    <row r="641" spans="1:9" ht="19.95" customHeight="1">
      <c r="A641" s="1755" t="s">
        <v>12</v>
      </c>
      <c r="B641" s="1711" t="s">
        <v>1467</v>
      </c>
      <c r="C641" s="1756" t="str">
        <f>HYPERLINK("#'業務_附属明細表P48-50'!G41","G41")</f>
        <v>G41</v>
      </c>
      <c r="D641" s="1711" t="s">
        <v>1981</v>
      </c>
      <c r="E641" s="1757">
        <f>IF('業務_附属明細表P48-50'!G41="","",'業務_附属明細表P48-50'!G41)</f>
        <v>46537</v>
      </c>
      <c r="F641" s="1711" t="s">
        <v>1905</v>
      </c>
      <c r="G641" s="1709" t="str">
        <f t="shared" si="9"/>
        <v>入力済</v>
      </c>
      <c r="H641" s="1708" t="inlineStr">
        <is>
          <t>業務_附属明細表P48-50 G46、業務_決算精算表P51 B28</t>
        </is>
      </c>
      <c r="I641" s="1708" t="inlineStr">
        <is>
          <t>報告_業務P19、業務_財務諸表P47、業務_決算精算表P51</t>
        </is>
      </c>
    </row>
    <row r="642" spans="1:9" ht="19.95" customHeight="1">
      <c r="A642" s="1752" t="s">
        <v>12</v>
      </c>
      <c r="B642" s="1708" t="s">
        <v>1467</v>
      </c>
      <c r="C642" s="1753" t="str">
        <f>HYPERLINK("#'業務_附属明細表P48-50'!G42","G42")</f>
        <v>G42</v>
      </c>
      <c r="D642" s="1708" t="s">
        <v>1982</v>
      </c>
      <c r="E642" s="1754">
        <f>IF('業務_附属明細表P48-50'!G42="","",'業務_附属明細表P48-50'!G42)</f>
        <v>1020091</v>
      </c>
      <c r="F642" s="1708" t="s">
        <v>1905</v>
      </c>
      <c r="G642" s="1709" t="str">
        <f t="shared" si="9"/>
        <v>入力済</v>
      </c>
      <c r="H642" s="1708" t="inlineStr">
        <is>
          <t>業務_附属明細表P48-50 G46、業務_決算精算表P51 B30</t>
        </is>
      </c>
      <c r="I642" s="1708" t="inlineStr">
        <is>
          <t>報告_業務P19、業務_財務諸表P47、業務_決算精算表P51</t>
        </is>
      </c>
    </row>
    <row r="643" spans="1:9" ht="19.95" customHeight="1">
      <c r="A643" s="1755" t="s">
        <v>12</v>
      </c>
      <c r="B643" s="1711" t="s">
        <v>1467</v>
      </c>
      <c r="C643" s="1756" t="str">
        <f>HYPERLINK("#'業務_附属明細表P48-50'!G43","G43")</f>
        <v>G43</v>
      </c>
      <c r="D643" s="1711" t="s">
        <v>1983</v>
      </c>
      <c r="E643" s="1757">
        <f>IF('業務_附属明細表P48-50'!G43="","",'業務_附属明細表P48-50'!G43)</f>
        <v>689790</v>
      </c>
      <c r="F643" s="1711" t="s">
        <v>1905</v>
      </c>
      <c r="G643" s="1709" t="str">
        <f t="shared" si="9"/>
        <v>入力済</v>
      </c>
      <c r="H643" s="1708" t="inlineStr">
        <is>
          <t>業務_附属明細表P48-50 G46、業務_決算精算表P51 B31</t>
        </is>
      </c>
      <c r="I643" s="1708" t="inlineStr">
        <is>
          <t>報告_業務P19、業務_財務諸表P47、業務_決算精算表P51</t>
        </is>
      </c>
    </row>
    <row r="644" spans="1:9" ht="19.95" customHeight="1">
      <c r="A644" s="1752" t="s">
        <v>12</v>
      </c>
      <c r="B644" s="1708" t="s">
        <v>1467</v>
      </c>
      <c r="C644" s="1753" t="str">
        <f>HYPERLINK("#'業務_附属明細表P48-50'!G44","G44")</f>
        <v>G44</v>
      </c>
      <c r="D644" s="1708" t="s">
        <v>1984</v>
      </c>
      <c r="E644" s="1754">
        <f>IF('業務_附属明細表P48-50'!G44="","",'業務_附属明細表P48-50'!G44)</f>
        <v>103564</v>
      </c>
      <c r="F644" s="1708" t="s">
        <v>1905</v>
      </c>
      <c r="G644" s="1709" t="str">
        <f t="shared" si="9"/>
        <v>入力済</v>
      </c>
      <c r="H644" s="1708" t="inlineStr">
        <is>
          <t>業務_附属明細表P48-50 G46、業務_決算精算表P51 B32</t>
        </is>
      </c>
      <c r="I644" s="1708" t="inlineStr">
        <is>
          <t>報告_業務P19、業務_財務諸表P47、業務_決算精算表P51</t>
        </is>
      </c>
    </row>
    <row r="645" spans="1:9" ht="19.95" customHeight="1">
      <c r="A645" s="1755" t="s">
        <v>12</v>
      </c>
      <c r="B645" s="1711" t="s">
        <v>1467</v>
      </c>
      <c r="C645" s="1756" t="str">
        <f>HYPERLINK("#'業務_附属明細表P48-50'!G45","G45")</f>
        <v>G45</v>
      </c>
      <c r="D645" s="1711" t="s">
        <v>1984</v>
      </c>
      <c r="E645" s="1757">
        <f>IF('業務_附属明細表P48-50'!G45="","",'業務_附属明細表P48-50'!G45)</f>
        <v>5312157</v>
      </c>
      <c r="F645" s="1711" t="s">
        <v>1905</v>
      </c>
      <c r="G645" s="1709" t="str">
        <f t="shared" si="9"/>
        <v>入力済</v>
      </c>
      <c r="H645" s="1708" t="inlineStr">
        <is>
          <t>業務_附属明細表P48-50 G46、業務_決算精算表P51 B39</t>
        </is>
      </c>
      <c r="I645" s="1708" t="inlineStr">
        <is>
          <t>報告_業務P18、報告_業務P19、業務_財務諸表P47、業務_決算精算表P51</t>
        </is>
      </c>
    </row>
    <row r="646" spans="1:9" ht="19.95" customHeight="1">
      <c r="A646" s="1752" t="s">
        <v>12</v>
      </c>
      <c r="B646" s="1708" t="s">
        <v>1467</v>
      </c>
      <c r="C646" s="1753" t="str">
        <f>HYPERLINK("#'業務_附属明細表P48-50'!G52","G52")</f>
        <v>G52</v>
      </c>
      <c r="D646" s="1708" t="s">
        <v>1985</v>
      </c>
      <c r="E646" s="1754">
        <f>IF('業務_附属明細表P48-50'!G52="","",'業務_附属明細表P48-50'!G52)</f>
        <v>59015</v>
      </c>
      <c r="F646" s="1708" t="s">
        <v>1905</v>
      </c>
      <c r="G646" s="1709" t="str">
        <f t="shared" ref="G646:G709" si="10">IF(E646="","未入力（空欄）",IF(E646=0,"0（確認）","入力済"))</f>
        <v>入力済</v>
      </c>
      <c r="H646" s="1708" t="inlineStr">
        <is>
          <t>業務_附属明細表P48-50 G54、業務_決算精算表P51 B22</t>
        </is>
      </c>
      <c r="I646" s="1708" t="inlineStr">
        <is>
          <t>報告_業務P19、業務_財務諸表P47、業務_決算精算表P51</t>
        </is>
      </c>
    </row>
    <row r="647" spans="1:9" ht="19.95" customHeight="1">
      <c r="A647" s="1755" t="s">
        <v>12</v>
      </c>
      <c r="B647" s="1711" t="s">
        <v>1467</v>
      </c>
      <c r="C647" s="1756" t="str">
        <f>HYPERLINK("#'業務_附属明細表P48-50'!G53","G53")</f>
        <v>G53</v>
      </c>
      <c r="D647" s="1711" t="s">
        <v>1986</v>
      </c>
      <c r="E647" s="1757">
        <f>IF('業務_附属明細表P48-50'!G53="","",'業務_附属明細表P48-50'!G53)</f>
        <v>376346</v>
      </c>
      <c r="F647" s="1711" t="s">
        <v>1905</v>
      </c>
      <c r="G647" s="1709" t="str">
        <f t="shared" si="10"/>
        <v>入力済</v>
      </c>
      <c r="H647" s="1708" t="inlineStr">
        <is>
          <t>業務_附属明細表P48-50 G54、業務_決算精算表P51 B26</t>
        </is>
      </c>
      <c r="I647" s="1708" t="inlineStr">
        <is>
          <t>報告_業務P19、業務_財務諸表P47、業務_決算精算表P51</t>
        </is>
      </c>
    </row>
    <row r="648" spans="1:9" ht="19.95" customHeight="1">
      <c r="A648" s="1752" t="s">
        <v>12</v>
      </c>
      <c r="B648" s="1708" t="s">
        <v>1467</v>
      </c>
      <c r="C648" s="1753" t="str">
        <f>HYPERLINK("#'業務_附属明細表P48-50'!G60","G60")</f>
        <v>G60</v>
      </c>
      <c r="D648" s="1708" t="s">
        <v>1987</v>
      </c>
      <c r="E648" s="1754">
        <f>IF('業務_附属明細表P48-50'!G60="","",'業務_附属明細表P48-50'!G60)</f>
        <v>203327</v>
      </c>
      <c r="F648" s="1708" t="s">
        <v>1905</v>
      </c>
      <c r="G648" s="1709" t="str">
        <f t="shared" si="10"/>
        <v>入力済</v>
      </c>
      <c r="H648" s="1708" t="inlineStr">
        <is>
          <t>業務_附属明細表P48-50 G62</t>
        </is>
      </c>
      <c r="I648" s="1708" t="inlineStr">
        <is>
          <t>業務_財務諸表P47、業務_決算精算表P51</t>
        </is>
      </c>
    </row>
    <row r="649" spans="1:9" ht="19.95" customHeight="1">
      <c r="A649" s="1755" t="s">
        <v>12</v>
      </c>
      <c r="B649" s="1711" t="s">
        <v>1467</v>
      </c>
      <c r="C649" s="1756" t="str">
        <f>HYPERLINK("#'業務_附属明細表P48-50'!G61","G61")</f>
        <v>G61</v>
      </c>
      <c r="D649" s="1711" t="s">
        <v>1988</v>
      </c>
      <c r="E649" s="1757">
        <f>IF('業務_附属明細表P48-50'!G61="","",'業務_附属明細表P48-50'!G61)</f>
        <v>24613</v>
      </c>
      <c r="F649" s="1711" t="s">
        <v>1905</v>
      </c>
      <c r="G649" s="1709" t="str">
        <f t="shared" si="10"/>
        <v>入力済</v>
      </c>
      <c r="H649" s="1708" t="inlineStr">
        <is>
          <t>業務_附属明細表P48-50 G62</t>
        </is>
      </c>
      <c r="I649" s="1708" t="inlineStr">
        <is>
          <t>業務_財務諸表P47、業務_決算精算表P51</t>
        </is>
      </c>
    </row>
    <row r="650" spans="1:9" ht="19.95" customHeight="1">
      <c r="A650" s="1752" t="s">
        <v>12</v>
      </c>
      <c r="B650" s="1708" t="s">
        <v>1467</v>
      </c>
      <c r="C650" s="1753" t="str">
        <f>HYPERLINK("#'業務_附属明細表P48-50'!G68","G68")</f>
        <v>G68</v>
      </c>
      <c r="D650" s="1708" t="s">
        <v>1989</v>
      </c>
      <c r="E650" s="1754">
        <f>IF('業務_附属明細表P48-50'!G68="","",'業務_附属明細表P48-50'!G68)</f>
        <v>216843</v>
      </c>
      <c r="F650" s="1708" t="s">
        <v>1905</v>
      </c>
      <c r="G650" s="1709" t="str">
        <f t="shared" si="10"/>
        <v>入力済</v>
      </c>
      <c r="H650" s="1708" t="inlineStr">
        <is>
          <t>業務_附属明細表P48-50 G69、業務_決算精算表P51 E17</t>
        </is>
      </c>
      <c r="I650" s="1708" t="inlineStr">
        <is>
          <t>業務_財務諸表P47、業務_決算精算表P51</t>
        </is>
      </c>
    </row>
    <row r="651" spans="1:9" ht="19.95" customHeight="1">
      <c r="A651" s="1755" t="s">
        <v>12</v>
      </c>
      <c r="B651" s="1711" t="s">
        <v>1467</v>
      </c>
      <c r="C651" s="1756" t="str">
        <f>HYPERLINK("#'業務_附属明細表P48-50'!G76","G76")</f>
        <v>G76</v>
      </c>
      <c r="D651" s="1711" t="s">
        <v>1990</v>
      </c>
      <c r="E651" s="1757">
        <f>IF('業務_附属明細表P48-50'!G76="","",'業務_附属明細表P48-50'!G76)</f>
        <v>0</v>
      </c>
      <c r="F651" s="1711" t="s">
        <v>1905</v>
      </c>
      <c r="G651" s="1709" t="str">
        <f t="shared" si="10"/>
        <v>0（確認）</v>
      </c>
      <c r="H651" s="1708" t="inlineStr">
        <is>
          <t>業務_附属明細表P48-50 G77,M76</t>
        </is>
      </c>
      <c r="I651" s="1708" t="inlineStr">
        <is>
          <t>業務_財務諸表P47、業務_決算精算表P51</t>
        </is>
      </c>
    </row>
    <row r="652" spans="1:9" ht="19.95" customHeight="1">
      <c r="A652" s="1752" t="s">
        <v>12</v>
      </c>
      <c r="B652" s="1708" t="s">
        <v>1467</v>
      </c>
      <c r="C652" s="1753" t="str">
        <f>HYPERLINK("#'業務_附属明細表P48-50'!J76","J76")</f>
        <v>J76</v>
      </c>
      <c r="D652" s="1708" t="s">
        <v>1991</v>
      </c>
      <c r="E652" s="1754">
        <f>IF('業務_附属明細表P48-50'!J76="","",'業務_附属明細表P48-50'!J76)</f>
        <v>0</v>
      </c>
      <c r="F652" s="1708" t="s">
        <v>1905</v>
      </c>
      <c r="G652" s="1709" t="str">
        <f t="shared" si="10"/>
        <v>0（確認）</v>
      </c>
      <c r="H652" s="1708" t="inlineStr">
        <is>
          <t>業務_附属明細表P48-50 J77,M76</t>
        </is>
      </c>
      <c r="I652" s="1708" t="inlineStr">
        <is>
          <t>業務_財務諸表P47、業務_決算精算表P51</t>
        </is>
      </c>
    </row>
    <row r="653" spans="1:9" ht="19.95" customHeight="1">
      <c r="A653" s="1755" t="s">
        <v>12</v>
      </c>
      <c r="B653" s="1711" t="s">
        <v>1467</v>
      </c>
      <c r="C653" s="1756" t="str">
        <f>HYPERLINK("#'業務_附属明細表P48-50'!F83","F83")</f>
        <v>F83</v>
      </c>
      <c r="D653" s="1711" t="s">
        <v>1992</v>
      </c>
      <c r="E653" s="1757">
        <f>IF('業務_附属明細表P48-50'!F83="","",'業務_附属明細表P48-50'!F83)</f>
        <v>723140</v>
      </c>
      <c r="F653" s="1711" t="s">
        <v>1905</v>
      </c>
      <c r="G653" s="1709" t="str">
        <f t="shared" si="10"/>
        <v>入力済</v>
      </c>
      <c r="H653" s="1708" t="inlineStr">
        <is>
          <t>業務_附属明細表P48-50 F85,N83,Q83</t>
        </is>
      </c>
      <c r="I653" s="1708" t="inlineStr">
        <is>
          <t>同じシート内のみ</t>
        </is>
      </c>
    </row>
    <row r="654" spans="1:9" ht="19.95" customHeight="1">
      <c r="A654" s="1752" t="s">
        <v>12</v>
      </c>
      <c r="B654" s="1708" t="s">
        <v>1467</v>
      </c>
      <c r="C654" s="1753" t="str">
        <f>HYPERLINK("#'業務_附属明細表P48-50'!H83","H83")</f>
        <v>H83</v>
      </c>
      <c r="D654" s="1708" t="s">
        <v>1993</v>
      </c>
      <c r="E654" s="1754">
        <f>IF('業務_附属明細表P48-50'!H83="","",'業務_附属明細表P48-50'!H83)</f>
        <v>144628</v>
      </c>
      <c r="F654" s="1708" t="s">
        <v>1905</v>
      </c>
      <c r="G654" s="1709" t="str">
        <f t="shared" si="10"/>
        <v>入力済</v>
      </c>
      <c r="H654" s="1708" t="inlineStr">
        <is>
          <t>業務_附属明細表P48-50 H85</t>
        </is>
      </c>
      <c r="I654" s="1708" t="inlineStr">
        <is>
          <t>報告_業務P19、業務_財務諸表P47、業務_決算精算表P51</t>
        </is>
      </c>
    </row>
    <row r="655" spans="1:9" ht="19.95" customHeight="1">
      <c r="A655" s="1755" t="s">
        <v>12</v>
      </c>
      <c r="B655" s="1711" t="s">
        <v>1467</v>
      </c>
      <c r="C655" s="1756" t="str">
        <f>HYPERLINK("#'業務_附属明細表P48-50'!K83","K83")</f>
        <v>K83</v>
      </c>
      <c r="D655" s="1711" t="s">
        <v>1994</v>
      </c>
      <c r="E655" s="1757">
        <f>IF('業務_附属明細表P48-50'!K83="","",'業務_附属明細表P48-50'!K83)</f>
        <v>542355</v>
      </c>
      <c r="F655" s="1711" t="s">
        <v>1905</v>
      </c>
      <c r="G655" s="1709" t="str">
        <f t="shared" si="10"/>
        <v>入力済</v>
      </c>
      <c r="H655" s="1708" t="inlineStr">
        <is>
          <t>業務_附属明細表P48-50 K85,N83,Q83</t>
        </is>
      </c>
      <c r="I655" s="1708" t="inlineStr">
        <is>
          <t>同じシート内のみ</t>
        </is>
      </c>
    </row>
    <row r="656" spans="1:9" ht="19.95" customHeight="1">
      <c r="A656" s="1752" t="s">
        <v>12</v>
      </c>
      <c r="B656" s="1708" t="s">
        <v>1467</v>
      </c>
      <c r="C656" s="1753" t="str">
        <f>HYPERLINK("#'業務_附属明細表P48-50'!F84","F84")</f>
        <v>F84</v>
      </c>
      <c r="D656" s="1708" t="s">
        <v>1995</v>
      </c>
      <c r="E656" s="1754">
        <f>IF('業務_附属明細表P48-50'!F84="","",'業務_附属明細表P48-50'!F84)</f>
        <v>127710</v>
      </c>
      <c r="F656" s="1708" t="s">
        <v>1905</v>
      </c>
      <c r="G656" s="1709" t="str">
        <f t="shared" si="10"/>
        <v>入力済</v>
      </c>
      <c r="H656" s="1708" t="inlineStr">
        <is>
          <t>業務_附属明細表P48-50 F85,N84,Q84</t>
        </is>
      </c>
      <c r="I656" s="1708" t="inlineStr">
        <is>
          <t>同じシート内のみ</t>
        </is>
      </c>
    </row>
    <row r="657" spans="1:9" ht="19.95" customHeight="1">
      <c r="A657" s="1755" t="s">
        <v>12</v>
      </c>
      <c r="B657" s="1711" t="s">
        <v>1467</v>
      </c>
      <c r="C657" s="1756" t="str">
        <f>HYPERLINK("#'業務_附属明細表P48-50'!H84","H84")</f>
        <v>H84</v>
      </c>
      <c r="D657" s="1711" t="s">
        <v>1996</v>
      </c>
      <c r="E657" s="1757">
        <f>IF('業務_附属明細表P48-50'!H84="","",'業務_附属明細表P48-50'!H84)</f>
        <v>31928</v>
      </c>
      <c r="F657" s="1711" t="s">
        <v>1905</v>
      </c>
      <c r="G657" s="1709" t="str">
        <f t="shared" si="10"/>
        <v>入力済</v>
      </c>
      <c r="H657" s="1708" t="inlineStr">
        <is>
          <t>業務_附属明細表P48-50 H85</t>
        </is>
      </c>
      <c r="I657" s="1708" t="inlineStr">
        <is>
          <t>報告_業務P19、業務_財務諸表P47、業務_決算精算表P51</t>
        </is>
      </c>
    </row>
    <row r="658" spans="1:9" ht="19.95" customHeight="1">
      <c r="A658" s="1752" t="s">
        <v>12</v>
      </c>
      <c r="B658" s="1708" t="s">
        <v>1467</v>
      </c>
      <c r="C658" s="1753" t="str">
        <f>HYPERLINK("#'業務_附属明細表P48-50'!K84","K84")</f>
        <v>K84</v>
      </c>
      <c r="D658" s="1708" t="s">
        <v>1997</v>
      </c>
      <c r="E658" s="1754">
        <f>IF('業務_附属明細表P48-50'!K84="","",'業務_附属明細表P48-50'!K84)</f>
        <v>101105</v>
      </c>
      <c r="F658" s="1708" t="s">
        <v>1905</v>
      </c>
      <c r="G658" s="1709" t="str">
        <f t="shared" si="10"/>
        <v>入力済</v>
      </c>
      <c r="H658" s="1708" t="inlineStr">
        <is>
          <t>業務_附属明細表P48-50 K85,N84,Q84</t>
        </is>
      </c>
      <c r="I658" s="1708" t="inlineStr">
        <is>
          <t>同じシート内のみ</t>
        </is>
      </c>
    </row>
    <row r="659" spans="1:9" ht="19.95" customHeight="1">
      <c r="A659" s="1755" t="s">
        <v>12</v>
      </c>
      <c r="B659" s="1711" t="s">
        <v>1467</v>
      </c>
      <c r="C659" s="1756" t="str">
        <f>HYPERLINK("#'業務_附属明細表P48-50'!F98","F98")</f>
        <v>F98</v>
      </c>
      <c r="D659" s="1711" t="s">
        <v>1998</v>
      </c>
      <c r="E659" s="1757">
        <f>IF('業務_附属明細表P48-50'!F98="","",'業務_附属明細表P48-50'!F98)</f>
        <v>169470</v>
      </c>
      <c r="F659" s="1711" t="s">
        <v>1905</v>
      </c>
      <c r="G659" s="1709" t="str">
        <f t="shared" si="10"/>
        <v>入力済</v>
      </c>
      <c r="H659" s="1708" t="inlineStr">
        <is>
          <t>業務_附属明細表P48-50 F100,N98</t>
        </is>
      </c>
      <c r="I659" s="1708" t="inlineStr">
        <is>
          <t>同じシート内のみ</t>
        </is>
      </c>
    </row>
    <row r="660" spans="1:9" ht="19.95" customHeight="1">
      <c r="A660" s="1752" t="s">
        <v>12</v>
      </c>
      <c r="B660" s="1708" t="s">
        <v>1467</v>
      </c>
      <c r="C660" s="1753" t="str">
        <f>HYPERLINK("#'業務_附属明細表P48-50'!H98","H98")</f>
        <v>H98</v>
      </c>
      <c r="D660" s="1708" t="s">
        <v>1999</v>
      </c>
      <c r="E660" s="1754">
        <f>IF('業務_附属明細表P48-50'!H98="","",'業務_附属明細表P48-50'!H98)</f>
        <v>0</v>
      </c>
      <c r="F660" s="1708" t="s">
        <v>1905</v>
      </c>
      <c r="G660" s="1709" t="str">
        <f t="shared" si="10"/>
        <v>0（確認）</v>
      </c>
      <c r="H660" s="1708" t="inlineStr">
        <is>
          <t>業務_附属明細表P48-50 H100</t>
        </is>
      </c>
      <c r="I660" s="1708" t="inlineStr">
        <is>
          <t>同じシート内のみ</t>
        </is>
      </c>
    </row>
    <row r="661" spans="1:9" ht="19.95" customHeight="1">
      <c r="A661" s="1755" t="s">
        <v>12</v>
      </c>
      <c r="B661" s="1711" t="s">
        <v>1467</v>
      </c>
      <c r="C661" s="1756" t="str">
        <f>HYPERLINK("#'業務_附属明細表P48-50'!L98","L98")</f>
        <v>L98</v>
      </c>
      <c r="D661" s="1711" t="s">
        <v>2000</v>
      </c>
      <c r="E661" s="1757">
        <f>IF('業務_附属明細表P48-50'!L98="","",'業務_附属明細表P48-50'!L98)</f>
        <v>16950</v>
      </c>
      <c r="F661" s="1711" t="s">
        <v>1905</v>
      </c>
      <c r="G661" s="1709" t="str">
        <f t="shared" si="10"/>
        <v>入力済</v>
      </c>
      <c r="H661" s="1708" t="inlineStr">
        <is>
          <t>業務_附属明細表P48-50 L100</t>
        </is>
      </c>
      <c r="I661" s="1708" t="inlineStr">
        <is>
          <t>同じシート内のみ</t>
        </is>
      </c>
    </row>
    <row r="662" spans="1:9" ht="19.95" customHeight="1">
      <c r="A662" s="1752" t="s">
        <v>12</v>
      </c>
      <c r="B662" s="1708" t="s">
        <v>1467</v>
      </c>
      <c r="C662" s="1753" t="str">
        <f>HYPERLINK("#'業務_附属明細表P48-50'!D99","D99")</f>
        <v>D99</v>
      </c>
      <c r="D662" s="1708" t="s">
        <v>2001</v>
      </c>
      <c r="E662" s="1754">
        <f>IF('業務_附属明細表P48-50'!D99="","",'業務_附属明細表P48-50'!D99)</f>
        <v>10</v>
      </c>
      <c r="F662" s="1708" t="s">
        <v>1905</v>
      </c>
      <c r="G662" s="1709" t="str">
        <f t="shared" si="10"/>
        <v>入力済</v>
      </c>
      <c r="H662" s="1708" t="inlineStr">
        <is>
          <t>なし（このセルのみ）</t>
        </is>
      </c>
      <c r="I662" s="1708" t="inlineStr">
        <is>
          <t>―</t>
        </is>
      </c>
    </row>
    <row r="663" spans="1:9" ht="19.95" customHeight="1">
      <c r="A663" s="1755" t="s">
        <v>12</v>
      </c>
      <c r="B663" s="1711" t="s">
        <v>1467</v>
      </c>
      <c r="C663" s="1756" t="str">
        <f>HYPERLINK("#'業務_附属明細表P48-50'!F99","F99")</f>
        <v>F99</v>
      </c>
      <c r="D663" s="1711" t="s">
        <v>2002</v>
      </c>
      <c r="E663" s="1757">
        <f>IF('業務_附属明細表P48-50'!F99="","",'業務_附属明細表P48-50'!F99)</f>
        <v>90825</v>
      </c>
      <c r="F663" s="1711" t="s">
        <v>1905</v>
      </c>
      <c r="G663" s="1709" t="str">
        <f t="shared" si="10"/>
        <v>入力済</v>
      </c>
      <c r="H663" s="1708" t="inlineStr">
        <is>
          <t>業務_附属明細表P48-50 F100</t>
        </is>
      </c>
      <c r="I663" s="1708" t="inlineStr">
        <is>
          <t>同じシート内のみ</t>
        </is>
      </c>
    </row>
    <row r="664" spans="1:9" ht="19.95" customHeight="1">
      <c r="A664" s="1752" t="s">
        <v>12</v>
      </c>
      <c r="B664" s="1708" t="s">
        <v>1467</v>
      </c>
      <c r="C664" s="1753" t="str">
        <f>HYPERLINK("#'業務_附属明細表P48-50'!H99","H99")</f>
        <v>H99</v>
      </c>
      <c r="D664" s="1708" t="s">
        <v>2003</v>
      </c>
      <c r="E664" s="1754">
        <f>IF('業務_附属明細表P48-50'!H99="","",'業務_附属明細表P48-50'!H99)</f>
        <v>9082</v>
      </c>
      <c r="F664" s="1708" t="s">
        <v>1905</v>
      </c>
      <c r="G664" s="1709" t="str">
        <f t="shared" si="10"/>
        <v>入力済</v>
      </c>
      <c r="H664" s="1708" t="inlineStr">
        <is>
          <t>業務_附属明細表P48-50 H100</t>
        </is>
      </c>
      <c r="I664" s="1708" t="inlineStr">
        <is>
          <t>同じシート内のみ</t>
        </is>
      </c>
    </row>
    <row r="665" spans="1:9" ht="19.95" customHeight="1">
      <c r="A665" s="1755" t="s">
        <v>12</v>
      </c>
      <c r="B665" s="1711" t="s">
        <v>1467</v>
      </c>
      <c r="C665" s="1756" t="str">
        <f>HYPERLINK("#'業務_附属明細表P48-50'!L99","L99")</f>
        <v>L99</v>
      </c>
      <c r="D665" s="1711" t="s">
        <v>2004</v>
      </c>
      <c r="E665" s="1757">
        <f>IF('業務_附属明細表P48-50'!L99="","",'業務_附属明細表P48-50'!L99)</f>
        <v>18926</v>
      </c>
      <c r="F665" s="1711" t="s">
        <v>1905</v>
      </c>
      <c r="G665" s="1709" t="str">
        <f t="shared" si="10"/>
        <v>入力済</v>
      </c>
      <c r="H665" s="1708" t="inlineStr">
        <is>
          <t>業務_附属明細表P48-50 L100</t>
        </is>
      </c>
      <c r="I665" s="1708" t="inlineStr">
        <is>
          <t>同じシート内のみ</t>
        </is>
      </c>
    </row>
    <row r="666" spans="1:9" ht="19.95" customHeight="1">
      <c r="A666" s="1752" t="s">
        <v>12</v>
      </c>
      <c r="B666" s="1708" t="s">
        <v>1467</v>
      </c>
      <c r="C666" s="1753" t="str">
        <f>HYPERLINK("#'業務_附属明細表P48-50'!E106","E106")</f>
        <v>E106</v>
      </c>
      <c r="D666" s="1708" t="s">
        <v>2005</v>
      </c>
      <c r="E666" s="1754">
        <f>IF('業務_附属明細表P48-50'!E106="","",'業務_附属明細表P48-50'!E106)</f>
        <v>152520</v>
      </c>
      <c r="F666" s="1708" t="s">
        <v>1905</v>
      </c>
      <c r="G666" s="1709" t="str">
        <f t="shared" si="10"/>
        <v>入力済</v>
      </c>
      <c r="H666" s="1708" t="inlineStr">
        <is>
          <t>業務_附属明細表P48-50 E107,Q106</t>
        </is>
      </c>
      <c r="I666" s="1708" t="inlineStr">
        <is>
          <t>同じシート内のみ</t>
        </is>
      </c>
    </row>
    <row r="667" spans="1:9" ht="19.95" customHeight="1">
      <c r="A667" s="1755" t="s">
        <v>12</v>
      </c>
      <c r="B667" s="1711" t="s">
        <v>1467</v>
      </c>
      <c r="C667" s="1756" t="str">
        <f>HYPERLINK("#'業務_附属明細表P48-50'!I106","I106")</f>
        <v>I106</v>
      </c>
      <c r="D667" s="1711" t="s">
        <v>2006</v>
      </c>
      <c r="E667" s="1757">
        <f>IF('業務_附属明細表P48-50'!I106="","",'業務_附属明細表P48-50'!I106)</f>
        <v>0</v>
      </c>
      <c r="F667" s="1711" t="s">
        <v>1905</v>
      </c>
      <c r="G667" s="1709" t="str">
        <f t="shared" si="10"/>
        <v>0（確認）</v>
      </c>
      <c r="H667" s="1708" t="inlineStr">
        <is>
          <t>業務_附属明細表P48-50 I107,Q106</t>
        </is>
      </c>
      <c r="I667" s="1708" t="inlineStr">
        <is>
          <t>同じシート内のみ</t>
        </is>
      </c>
    </row>
    <row r="668" spans="1:9" ht="19.95" customHeight="1">
      <c r="A668" s="1752" t="s">
        <v>12</v>
      </c>
      <c r="B668" s="1708" t="s">
        <v>1467</v>
      </c>
      <c r="C668" s="1753" t="str">
        <f>HYPERLINK("#'業務_附属明細表P48-50'!M106","M106")</f>
        <v>M106</v>
      </c>
      <c r="D668" s="1708" t="s">
        <v>2007</v>
      </c>
      <c r="E668" s="1754">
        <f>IF('業務_附属明細表P48-50'!M106="","",'業務_附属明細表P48-50'!M106)</f>
        <v>0</v>
      </c>
      <c r="F668" s="1708" t="s">
        <v>1905</v>
      </c>
      <c r="G668" s="1709" t="str">
        <f t="shared" si="10"/>
        <v>0（確認）</v>
      </c>
      <c r="H668" s="1708" t="inlineStr">
        <is>
          <t>業務_附属明細表P48-50 M107,Q106</t>
        </is>
      </c>
      <c r="I668" s="1708" t="inlineStr">
        <is>
          <t>同じシート内のみ</t>
        </is>
      </c>
    </row>
    <row r="669" spans="1:9" ht="19.95" customHeight="1">
      <c r="A669" s="1755" t="s">
        <v>12</v>
      </c>
      <c r="B669" s="1711" t="s">
        <v>1467</v>
      </c>
      <c r="C669" s="1756" t="str">
        <f>HYPERLINK("#'業務_附属明細表P48-50'!E125","E125")</f>
        <v>E125</v>
      </c>
      <c r="D669" s="1711" t="s">
        <v>2008</v>
      </c>
      <c r="E669" s="1757">
        <f>IF('業務_附属明細表P48-50'!E125="","",'業務_附属明細表P48-50'!E125)</f>
        <v>17238000</v>
      </c>
      <c r="F669" s="1711" t="s">
        <v>1905</v>
      </c>
      <c r="G669" s="1709" t="str">
        <f t="shared" si="10"/>
        <v>入力済</v>
      </c>
      <c r="H669" s="1708" t="inlineStr">
        <is>
          <t>業務_附属明細表P48-50 E126,Q145,T125</t>
        </is>
      </c>
      <c r="I669" s="1708" t="inlineStr">
        <is>
          <t>同じシート内のみ</t>
        </is>
      </c>
    </row>
    <row r="670" spans="1:9" ht="19.95" customHeight="1">
      <c r="A670" s="1752" t="s">
        <v>12</v>
      </c>
      <c r="B670" s="1708" t="s">
        <v>1467</v>
      </c>
      <c r="C670" s="1753" t="str">
        <f>HYPERLINK("#'業務_附属明細表P48-50'!K136","K136")</f>
        <v>K136</v>
      </c>
      <c r="D670" s="1708" t="s">
        <v>2009</v>
      </c>
      <c r="E670" s="1754">
        <f>IF('業務_附属明細表P48-50'!K136="","",'業務_附属明細表P48-50'!K136)</f>
        <v>0</v>
      </c>
      <c r="F670" s="1708" t="s">
        <v>1905</v>
      </c>
      <c r="G670" s="1709" t="str">
        <f t="shared" si="10"/>
        <v>0（確認）</v>
      </c>
      <c r="H670" s="1708" t="inlineStr">
        <is>
          <t>業務_附属明細表P48-50 P135</t>
        </is>
      </c>
      <c r="I670" s="1708" t="inlineStr">
        <is>
          <t>同じシート内のみ</t>
        </is>
      </c>
    </row>
    <row r="671" spans="1:9" ht="19.95" customHeight="1">
      <c r="A671" s="1755" t="s">
        <v>12</v>
      </c>
      <c r="B671" s="1711" t="s">
        <v>1467</v>
      </c>
      <c r="C671" s="1756" t="str">
        <f>HYPERLINK("#'業務_附属明細表P48-50'!K137","K137")</f>
        <v>K137</v>
      </c>
      <c r="D671" s="1711" t="s">
        <v>2010</v>
      </c>
      <c r="E671" s="1757">
        <f>IF('業務_附属明細表P48-50'!K137="","",'業務_附属明細表P48-50'!K137)</f>
        <v>0</v>
      </c>
      <c r="F671" s="1711" t="s">
        <v>1905</v>
      </c>
      <c r="G671" s="1709" t="str">
        <f t="shared" si="10"/>
        <v>0（確認）</v>
      </c>
      <c r="H671" s="1708" t="inlineStr">
        <is>
          <t>業務_附属明細表P48-50 P135</t>
        </is>
      </c>
      <c r="I671" s="1708" t="inlineStr">
        <is>
          <t>同じシート内のみ</t>
        </is>
      </c>
    </row>
    <row r="672" spans="1:9" ht="19.95" customHeight="1">
      <c r="A672" s="1752" t="s">
        <v>12</v>
      </c>
      <c r="B672" s="1708" t="s">
        <v>2011</v>
      </c>
      <c r="C672" s="1753" t="str">
        <f>HYPERLINK("#'業務_決算精算表P51'!C10","C10")</f>
        <v>C10</v>
      </c>
      <c r="D672" s="1708" t="s">
        <v>2012</v>
      </c>
      <c r="E672" s="1754">
        <f>IF('業務_決算精算表P51'!C10="","",'業務_決算精算表P51'!C10)</f>
        <v>192064</v>
      </c>
      <c r="F672" s="1708" t="s">
        <v>1929</v>
      </c>
      <c r="G672" s="1709" t="str">
        <f t="shared" si="10"/>
        <v>入力済</v>
      </c>
      <c r="H672" s="1708" t="inlineStr">
        <is>
          <t>業務_決算精算表P51 A10,C20</t>
        </is>
      </c>
      <c r="I672" s="1708" t="inlineStr">
        <is>
          <t>業務_財務諸表P47P47</t>
        </is>
      </c>
    </row>
    <row r="673" spans="1:9" ht="19.95" customHeight="1">
      <c r="A673" s="1755" t="s">
        <v>12</v>
      </c>
      <c r="B673" s="1711" t="s">
        <v>2011</v>
      </c>
      <c r="C673" s="1756" t="str">
        <f>HYPERLINK("#'業務_決算精算表P51'!C21","C21")</f>
        <v>C21</v>
      </c>
      <c r="D673" s="1711" t="s">
        <v>2013</v>
      </c>
      <c r="E673" s="1757">
        <f>IF('業務_決算精算表P51'!C21="","",'業務_決算精算表P51'!C21)</f>
        <v>33000</v>
      </c>
      <c r="F673" s="1711" t="s">
        <v>1929</v>
      </c>
      <c r="G673" s="1709" t="str">
        <f t="shared" si="10"/>
        <v>入力済</v>
      </c>
      <c r="H673" s="1708" t="inlineStr">
        <is>
          <t>業務_附属明細表P48-50 J122、業務_決算精算表P51 A21,C47</t>
        </is>
      </c>
      <c r="I673" s="1708" t="inlineStr">
        <is>
          <t>報告_業務P19、業務_財務諸表P47、業務_附属明細表P48-50</t>
        </is>
      </c>
    </row>
    <row r="674" spans="1:9" ht="19.95" customHeight="1">
      <c r="A674" s="1752" t="s">
        <v>12</v>
      </c>
      <c r="B674" s="1708" t="s">
        <v>2011</v>
      </c>
      <c r="C674" s="1753" t="str">
        <f>HYPERLINK("#'業務_決算精算表P51'!C22","C22")</f>
        <v>C22</v>
      </c>
      <c r="D674" s="1708" t="s">
        <v>2014</v>
      </c>
      <c r="E674" s="1754">
        <f>IF('業務_決算精算表P51'!C22="","",'業務_決算精算表P51'!C22)</f>
        <v>10082322</v>
      </c>
      <c r="F674" s="1708" t="s">
        <v>1929</v>
      </c>
      <c r="G674" s="1709" t="str">
        <f t="shared" si="10"/>
        <v>入力済</v>
      </c>
      <c r="H674" s="1708" t="inlineStr">
        <is>
          <t>業務_附属明細表P48-50 J123、業務_決算精算表P51 A22,C47</t>
        </is>
      </c>
      <c r="I674" s="1708" t="inlineStr">
        <is>
          <t>報告_業務P19、業務_財務諸表P47、業務_附属明細表P48-50</t>
        </is>
      </c>
    </row>
    <row r="675" spans="1:9" ht="19.95" customHeight="1">
      <c r="A675" s="1755" t="s">
        <v>12</v>
      </c>
      <c r="B675" s="1711" t="s">
        <v>2011</v>
      </c>
      <c r="C675" s="1756" t="str">
        <f>HYPERLINK("#'業務_決算精算表P51'!C23","C23")</f>
        <v>C23</v>
      </c>
      <c r="D675" s="1711" t="s">
        <v>2015</v>
      </c>
      <c r="E675" s="1757">
        <f>IF('業務_決算精算表P51'!C23="","",'業務_決算精算表P51'!C23)</f>
        <v>9702</v>
      </c>
      <c r="F675" s="1711" t="s">
        <v>1929</v>
      </c>
      <c r="G675" s="1709" t="str">
        <f t="shared" si="10"/>
        <v>入力済</v>
      </c>
      <c r="H675" s="1708" t="inlineStr">
        <is>
          <t>業務_決算精算表P51 A23,C47</t>
        </is>
      </c>
      <c r="I675" s="1708" t="inlineStr">
        <is>
          <t>報告_業務P19、業務_財務諸表P47、業務_附属明細表P48-50</t>
        </is>
      </c>
    </row>
    <row r="676" spans="1:9" ht="19.95" customHeight="1">
      <c r="A676" s="1752" t="s">
        <v>12</v>
      </c>
      <c r="B676" s="1708" t="s">
        <v>2011</v>
      </c>
      <c r="C676" s="1753" t="str">
        <f>HYPERLINK("#'業務_決算精算表P51'!C24","C24")</f>
        <v>C24</v>
      </c>
      <c r="D676" s="1708" t="s">
        <v>2016</v>
      </c>
      <c r="E676" s="1754">
        <f>IF('業務_決算精算表P51'!C24="","",'業務_決算精算表P51'!C24)</f>
        <v>343112</v>
      </c>
      <c r="F676" s="1708" t="s">
        <v>1929</v>
      </c>
      <c r="G676" s="1709" t="str">
        <f t="shared" si="10"/>
        <v>入力済</v>
      </c>
      <c r="H676" s="1708" t="inlineStr">
        <is>
          <t>業務_附属明細表P48-50 J124、業務_決算精算表P51 A24,C47</t>
        </is>
      </c>
      <c r="I676" s="1708" t="inlineStr">
        <is>
          <t>報告_業務P19、業務_財務諸表P47、業務_附属明細表P48-50</t>
        </is>
      </c>
    </row>
    <row r="677" spans="1:9" ht="19.95" customHeight="1">
      <c r="A677" s="1755" t="s">
        <v>12</v>
      </c>
      <c r="B677" s="1711" t="s">
        <v>2011</v>
      </c>
      <c r="C677" s="1756" t="str">
        <f>HYPERLINK("#'業務_決算精算表P51'!C25","C25")</f>
        <v>C25</v>
      </c>
      <c r="D677" s="1711" t="s">
        <v>2017</v>
      </c>
      <c r="E677" s="1757">
        <f>IF('業務_決算精算表P51'!C25="","",'業務_決算精算表P51'!C25)</f>
        <v>13146428</v>
      </c>
      <c r="F677" s="1711" t="s">
        <v>1929</v>
      </c>
      <c r="G677" s="1709" t="str">
        <f t="shared" si="10"/>
        <v>入力済</v>
      </c>
      <c r="H677" s="1708" t="inlineStr">
        <is>
          <t>業務_附属明細表P48-50 J125、業務_決算精算表P51 A25,C47</t>
        </is>
      </c>
      <c r="I677" s="1708" t="inlineStr">
        <is>
          <t>報告_業務P19、業務_財務諸表P47、業務_附属明細表P48-50</t>
        </is>
      </c>
    </row>
    <row r="678" spans="1:9" ht="19.95" customHeight="1">
      <c r="A678" s="1752" t="s">
        <v>12</v>
      </c>
      <c r="B678" s="1708" t="s">
        <v>2011</v>
      </c>
      <c r="C678" s="1753" t="str">
        <f>HYPERLINK("#'業務_決算精算表P51'!C26","C26")</f>
        <v>C26</v>
      </c>
      <c r="D678" s="1708" t="s">
        <v>2018</v>
      </c>
      <c r="E678" s="1754">
        <f>IF('業務_決算精算表P51'!C26="","",'業務_決算精算表P51'!C26)</f>
        <v>4221720</v>
      </c>
      <c r="F678" s="1708" t="s">
        <v>1929</v>
      </c>
      <c r="G678" s="1709" t="str">
        <f t="shared" si="10"/>
        <v>入力済</v>
      </c>
      <c r="H678" s="1708" t="inlineStr">
        <is>
          <t>業務_決算精算表P51 A26,C47</t>
        </is>
      </c>
      <c r="I678" s="1708" t="inlineStr">
        <is>
          <t>報告_業務P19、業務_財務諸表P47、業務_附属明細表P48-50</t>
        </is>
      </c>
    </row>
    <row r="679" spans="1:9" ht="19.95" customHeight="1">
      <c r="A679" s="1755" t="s">
        <v>12</v>
      </c>
      <c r="B679" s="1711" t="s">
        <v>2011</v>
      </c>
      <c r="C679" s="1756" t="str">
        <f>HYPERLINK("#'業務_決算精算表P51'!C27","C27")</f>
        <v>C27</v>
      </c>
      <c r="D679" s="1711" t="s">
        <v>2019</v>
      </c>
      <c r="E679" s="1757">
        <f>IF('業務_決算精算表P51'!C27="","",'業務_決算精算表P51'!C27)</f>
        <v>8507933</v>
      </c>
      <c r="F679" s="1711" t="s">
        <v>1929</v>
      </c>
      <c r="G679" s="1709" t="str">
        <f t="shared" si="10"/>
        <v>入力済</v>
      </c>
      <c r="H679" s="1708" t="inlineStr">
        <is>
          <t>業務_決算精算表P51 A27,C47</t>
        </is>
      </c>
      <c r="I679" s="1708" t="inlineStr">
        <is>
          <t>報告_業務P19、業務_財務諸表P47、業務_附属明細表P48-50</t>
        </is>
      </c>
    </row>
    <row r="680" spans="1:9" ht="19.95" customHeight="1">
      <c r="A680" s="1752" t="s">
        <v>12</v>
      </c>
      <c r="B680" s="1708" t="s">
        <v>2011</v>
      </c>
      <c r="C680" s="1753" t="str">
        <f>HYPERLINK("#'業務_決算精算表P51'!C28","C28")</f>
        <v>C28</v>
      </c>
      <c r="D680" s="1708" t="s">
        <v>2020</v>
      </c>
      <c r="E680" s="1754">
        <f>IF('業務_決算精算表P51'!C28="","",'業務_決算精算表P51'!C28)</f>
        <v>57384</v>
      </c>
      <c r="F680" s="1708" t="s">
        <v>1929</v>
      </c>
      <c r="G680" s="1709" t="str">
        <f t="shared" si="10"/>
        <v>入力済</v>
      </c>
      <c r="H680" s="1708" t="inlineStr">
        <is>
          <t>業務_決算精算表P51 A28,C47</t>
        </is>
      </c>
      <c r="I680" s="1708" t="inlineStr">
        <is>
          <t>報告_業務P19、業務_財務諸表P47、業務_附属明細表P48-50</t>
        </is>
      </c>
    </row>
    <row r="681" spans="1:9" ht="19.95" customHeight="1">
      <c r="A681" s="1755" t="s">
        <v>12</v>
      </c>
      <c r="B681" s="1711" t="s">
        <v>2011</v>
      </c>
      <c r="C681" s="1756" t="str">
        <f>HYPERLINK("#'業務_決算精算表P51'!C29","C29")</f>
        <v>C29</v>
      </c>
      <c r="D681" s="1711" t="s">
        <v>2021</v>
      </c>
      <c r="E681" s="1757">
        <f>IF('業務_決算精算表P51'!C29="","",'業務_決算精算表P51'!C29)</f>
        <v>0</v>
      </c>
      <c r="F681" s="1711" t="s">
        <v>1929</v>
      </c>
      <c r="G681" s="1709" t="str">
        <f t="shared" si="10"/>
        <v>0（確認）</v>
      </c>
      <c r="H681" s="1708" t="inlineStr">
        <is>
          <t>業務_決算精算表P51 A29,C47</t>
        </is>
      </c>
      <c r="I681" s="1708" t="inlineStr">
        <is>
          <t>報告_業務P19、業務_財務諸表P47、業務_附属明細表P48-50</t>
        </is>
      </c>
    </row>
    <row r="682" spans="1:9" ht="19.95" customHeight="1">
      <c r="A682" s="1752" t="s">
        <v>12</v>
      </c>
      <c r="B682" s="1708" t="s">
        <v>2011</v>
      </c>
      <c r="C682" s="1753" t="str">
        <f>HYPERLINK("#'業務_決算精算表P51'!C30","C30")</f>
        <v>C30</v>
      </c>
      <c r="D682" s="1708" t="s">
        <v>2022</v>
      </c>
      <c r="E682" s="1754">
        <f>IF('業務_決算精算表P51'!C30="","",'業務_決算精算表P51'!C30)</f>
        <v>8410677</v>
      </c>
      <c r="F682" s="1708" t="s">
        <v>1929</v>
      </c>
      <c r="G682" s="1709" t="str">
        <f t="shared" si="10"/>
        <v>入力済</v>
      </c>
      <c r="H682" s="1708" t="inlineStr">
        <is>
          <t>業務_決算精算表P51 A30,C47</t>
        </is>
      </c>
      <c r="I682" s="1708" t="inlineStr">
        <is>
          <t>報告_業務P19、業務_財務諸表P47、業務_附属明細表P48-50</t>
        </is>
      </c>
    </row>
    <row r="683" spans="1:9" ht="19.95" customHeight="1">
      <c r="A683" s="1755" t="s">
        <v>12</v>
      </c>
      <c r="B683" s="1711" t="s">
        <v>2011</v>
      </c>
      <c r="C683" s="1756" t="str">
        <f>HYPERLINK("#'業務_決算精算表P51'!C31","C31")</f>
        <v>C31</v>
      </c>
      <c r="D683" s="1711" t="s">
        <v>2023</v>
      </c>
      <c r="E683" s="1757">
        <f>IF('業務_決算精算表P51'!C31="","",'業務_決算精算表P51'!C31)</f>
        <v>1194924</v>
      </c>
      <c r="F683" s="1711" t="s">
        <v>1929</v>
      </c>
      <c r="G683" s="1709" t="str">
        <f t="shared" si="10"/>
        <v>入力済</v>
      </c>
      <c r="H683" s="1708" t="inlineStr">
        <is>
          <t>業務_決算精算表P51 A31,C47</t>
        </is>
      </c>
      <c r="I683" s="1708" t="inlineStr">
        <is>
          <t>報告_業務P19、業務_財務諸表P47、業務_附属明細表P48-50</t>
        </is>
      </c>
    </row>
    <row r="684" spans="1:9" ht="19.95" customHeight="1">
      <c r="A684" s="1752" t="s">
        <v>12</v>
      </c>
      <c r="B684" s="1708" t="s">
        <v>2011</v>
      </c>
      <c r="C684" s="1753" t="str">
        <f>HYPERLINK("#'業務_決算精算表P51'!C32","C32")</f>
        <v>C32</v>
      </c>
      <c r="D684" s="1708" t="s">
        <v>2024</v>
      </c>
      <c r="E684" s="1754">
        <f>IF('業務_決算精算表P51'!C32="","",'業務_決算精算表P51'!C32)</f>
        <v>2350316</v>
      </c>
      <c r="F684" s="1708" t="s">
        <v>1929</v>
      </c>
      <c r="G684" s="1709" t="str">
        <f t="shared" si="10"/>
        <v>入力済</v>
      </c>
      <c r="H684" s="1708" t="inlineStr">
        <is>
          <t>業務_決算精算表P51 A32,C47</t>
        </is>
      </c>
      <c r="I684" s="1708" t="inlineStr">
        <is>
          <t>報告_業務P19、業務_財務諸表P47、業務_附属明細表P48-50</t>
        </is>
      </c>
    </row>
    <row r="685" spans="1:9" ht="19.95" customHeight="1">
      <c r="A685" s="1755" t="s">
        <v>12</v>
      </c>
      <c r="B685" s="1711" t="s">
        <v>2011</v>
      </c>
      <c r="C685" s="1756" t="str">
        <f>HYPERLINK("#'業務_決算精算表P51'!C33","C33")</f>
        <v>C33</v>
      </c>
      <c r="D685" s="1711" t="s">
        <v>2025</v>
      </c>
      <c r="E685" s="1757">
        <f>IF('業務_決算精算表P51'!C33="","",'業務_決算精算表P51'!C33)</f>
        <v>13718352</v>
      </c>
      <c r="F685" s="1711" t="s">
        <v>1929</v>
      </c>
      <c r="G685" s="1709" t="str">
        <f t="shared" si="10"/>
        <v>入力済</v>
      </c>
      <c r="H685" s="1708" t="inlineStr">
        <is>
          <t>業務_決算精算表P51 A33,C47</t>
        </is>
      </c>
      <c r="I685" s="1708" t="inlineStr">
        <is>
          <t>報告_業務P19、業務_財務諸表P47、業務_附属明細表P48-50</t>
        </is>
      </c>
    </row>
    <row r="686" spans="1:9" ht="19.95" customHeight="1">
      <c r="A686" s="1752" t="s">
        <v>12</v>
      </c>
      <c r="B686" s="1708" t="s">
        <v>2011</v>
      </c>
      <c r="C686" s="1753" t="str">
        <f>HYPERLINK("#'業務_決算精算表P51'!C34","C34")</f>
        <v>C34</v>
      </c>
      <c r="D686" s="1708" t="s">
        <v>2026</v>
      </c>
      <c r="E686" s="1754">
        <f>IF('業務_決算精算表P51'!C34="","",'業務_決算精算表P51'!C34)</f>
        <v>54153000</v>
      </c>
      <c r="F686" s="1708" t="s">
        <v>1929</v>
      </c>
      <c r="G686" s="1709" t="str">
        <f t="shared" si="10"/>
        <v>入力済</v>
      </c>
      <c r="H686" s="1708" t="inlineStr">
        <is>
          <t>業務_決算精算表P51 A34,C47</t>
        </is>
      </c>
      <c r="I686" s="1708" t="inlineStr">
        <is>
          <t>報告_業務P19、業務_財務諸表P47、業務_附属明細表P48-50</t>
        </is>
      </c>
    </row>
    <row r="687" spans="1:9" ht="19.95" customHeight="1">
      <c r="A687" s="1755" t="s">
        <v>12</v>
      </c>
      <c r="B687" s="1711" t="s">
        <v>2011</v>
      </c>
      <c r="C687" s="1756" t="str">
        <f>HYPERLINK("#'業務_決算精算表P51'!B37","B37")</f>
        <v>B37</v>
      </c>
      <c r="D687" s="1711" t="s">
        <v>2027</v>
      </c>
      <c r="E687" s="1757">
        <f>IF('業務_決算精算表P51'!B37="","",'業務_決算精算表P51'!B37)</f>
        <v>0</v>
      </c>
      <c r="F687" s="1711" t="s">
        <v>1929</v>
      </c>
      <c r="G687" s="1709" t="str">
        <f t="shared" si="10"/>
        <v>0（確認）</v>
      </c>
      <c r="H687" s="1708" t="inlineStr">
        <is>
          <t>業務_決算精算表P51 A37,B47</t>
        </is>
      </c>
      <c r="I687" s="1708" t="inlineStr">
        <is>
          <t>報告_業務P19、業務_財務諸表P47、業務_附属明細表P48-50</t>
        </is>
      </c>
    </row>
    <row r="688" spans="1:9" ht="19.95" customHeight="1">
      <c r="A688" s="1752" t="s">
        <v>12</v>
      </c>
      <c r="B688" s="1708" t="s">
        <v>2011</v>
      </c>
      <c r="C688" s="1753" t="str">
        <f>HYPERLINK("#'業務_決算精算表P51'!E39","E39")</f>
        <v>E39</v>
      </c>
      <c r="D688" s="1708" t="s">
        <v>2028</v>
      </c>
      <c r="E688" s="1754">
        <f>IF('業務_決算精算表P51'!E39="","",'業務_決算精算表P51'!E39)</f>
        <v>94968000</v>
      </c>
      <c r="F688" s="1708" t="s">
        <v>1929</v>
      </c>
      <c r="G688" s="1709" t="str">
        <f t="shared" si="10"/>
        <v>入力済</v>
      </c>
      <c r="H688" s="1708" t="inlineStr">
        <is>
          <t>業務_決算精算表P51 E47,G39</t>
        </is>
      </c>
      <c r="I688" s="1708" t="inlineStr">
        <is>
          <t>報告_業務P18、報告_業務P19、業務_財務諸表P47、業務_附属明細表P48-50</t>
        </is>
      </c>
    </row>
    <row r="689" spans="1:9" ht="19.95" customHeight="1">
      <c r="A689" s="1755" t="s">
        <v>12</v>
      </c>
      <c r="B689" s="1711" t="s">
        <v>2011</v>
      </c>
      <c r="C689" s="1756" t="str">
        <f>HYPERLINK("#'業務_決算精算表P51'!E40","E40")</f>
        <v>E40</v>
      </c>
      <c r="D689" s="1711" t="s">
        <v>1945</v>
      </c>
      <c r="E689" s="1757">
        <f>IF('業務_決算精算表P51'!E40="","",'業務_決算精算表P51'!E40)</f>
        <v>77607</v>
      </c>
      <c r="F689" s="1711" t="s">
        <v>1929</v>
      </c>
      <c r="G689" s="1709" t="str">
        <f t="shared" si="10"/>
        <v>入力済</v>
      </c>
      <c r="H689" s="1708" t="inlineStr">
        <is>
          <t>業務_決算精算表P51 E47,G40</t>
        </is>
      </c>
      <c r="I689" s="1708" t="inlineStr">
        <is>
          <t>報告_業務P18、報告_業務P19、業務_財務諸表P47、業務_附属明細表P48-50</t>
        </is>
      </c>
    </row>
    <row r="690" spans="1:9" ht="19.95" customHeight="1">
      <c r="A690" s="1752" t="s">
        <v>12</v>
      </c>
      <c r="B690" s="1708" t="s">
        <v>2011</v>
      </c>
      <c r="C690" s="1753" t="str">
        <f>HYPERLINK("#'業務_決算精算表P51'!E42","E42")</f>
        <v>E42</v>
      </c>
      <c r="D690" s="1708" t="s">
        <v>2029</v>
      </c>
      <c r="E690" s="1754">
        <f>IF('業務_決算精算表P51'!E42="","",'業務_決算精算表P51'!E42)</f>
        <v>23159738</v>
      </c>
      <c r="F690" s="1708" t="s">
        <v>1929</v>
      </c>
      <c r="G690" s="1709" t="str">
        <f t="shared" si="10"/>
        <v>入力済</v>
      </c>
      <c r="H690" s="1708" t="inlineStr">
        <is>
          <t>業務_財務諸表P47 F42、業務_決算精算表P51 E47,G42</t>
        </is>
      </c>
      <c r="I690" s="1708" t="inlineStr">
        <is>
          <t>報告_業務P18、報告_業務P19、業務_財務諸表P47、業務_附属明細表P48-50</t>
        </is>
      </c>
    </row>
    <row r="691" spans="1:9" ht="19.95" customHeight="1">
      <c r="A691" s="1755" t="s">
        <v>13</v>
      </c>
      <c r="B691" s="1711" t="s">
        <v>1475</v>
      </c>
      <c r="C691" s="1756" t="str">
        <f>HYPERLINK("#'保健_附属明細表P54-57'!M5","M5")</f>
        <v>M5</v>
      </c>
      <c r="D691" s="1711" t="s">
        <v>1904</v>
      </c>
      <c r="E691" s="1757">
        <f>IF('保健_附属明細表P54-57'!M5="","",'保健_附属明細表P54-57'!M5)</f>
        <v>332277800</v>
      </c>
      <c r="F691" s="1711" t="s">
        <v>1905</v>
      </c>
      <c r="G691" s="1709" t="str">
        <f t="shared" si="10"/>
        <v>入力済</v>
      </c>
      <c r="H691" s="1708" t="inlineStr">
        <is>
          <t>保健_附属明細表P54-57 M6</t>
        </is>
      </c>
      <c r="I691" s="1708" t="inlineStr">
        <is>
          <t>保健_財務諸表P53、保健_決算精算表P58</t>
        </is>
      </c>
    </row>
    <row r="692" spans="1:9" ht="19.95" customHeight="1">
      <c r="A692" s="1752" t="s">
        <v>13</v>
      </c>
      <c r="B692" s="1708" t="s">
        <v>1475</v>
      </c>
      <c r="C692" s="1753" t="str">
        <f>HYPERLINK("#'保健_附属明細表P54-57'!M12","M12")</f>
        <v>M12</v>
      </c>
      <c r="D692" s="1708" t="s">
        <v>2030</v>
      </c>
      <c r="E692" s="1754">
        <f>IF('保健_附属明細表P54-57'!M12="","",'保健_附属明細表P54-57'!M12)</f>
        <v>0</v>
      </c>
      <c r="F692" s="1708" t="s">
        <v>1905</v>
      </c>
      <c r="G692" s="1709" t="str">
        <f t="shared" si="10"/>
        <v>0（確認）</v>
      </c>
      <c r="H692" s="1708" t="inlineStr">
        <is>
          <t>保健_財務諸表P53 C8、保健_附属明細表P54-57 M13</t>
        </is>
      </c>
      <c r="I692" s="1708" t="inlineStr">
        <is>
          <t>保健_財務諸表P53P53</t>
        </is>
      </c>
    </row>
    <row r="693" spans="1:9" ht="19.95" customHeight="1">
      <c r="A693" s="1755" t="s">
        <v>13</v>
      </c>
      <c r="B693" s="1711" t="s">
        <v>1475</v>
      </c>
      <c r="C693" s="1756" t="str">
        <f>HYPERLINK("#'保健_附属明細表P54-57'!M19","M19")</f>
        <v>M19</v>
      </c>
      <c r="D693" s="1711" t="s">
        <v>2031</v>
      </c>
      <c r="E693" s="1757">
        <f>IF('保健_附属明細表P54-57'!M19="","",'保健_附属明細表P54-57'!M19)</f>
        <v>0</v>
      </c>
      <c r="F693" s="1711" t="s">
        <v>1905</v>
      </c>
      <c r="G693" s="1709" t="str">
        <f t="shared" si="10"/>
        <v>0（確認）</v>
      </c>
      <c r="H693" s="1708" t="inlineStr">
        <is>
          <t>保健_附属明細表P54-57 M20</t>
        </is>
      </c>
      <c r="I693" s="1708" t="inlineStr">
        <is>
          <t>保健_財務諸表P53P53</t>
        </is>
      </c>
    </row>
    <row r="694" spans="1:9" ht="19.95" customHeight="1">
      <c r="A694" s="1752" t="s">
        <v>13</v>
      </c>
      <c r="B694" s="1708" t="s">
        <v>1475</v>
      </c>
      <c r="C694" s="1753" t="str">
        <f>HYPERLINK("#'保健_附属明細表P54-57'!G33","G33")</f>
        <v>G33</v>
      </c>
      <c r="D694" s="1708" t="s">
        <v>2032</v>
      </c>
      <c r="E694" s="1754">
        <f>IF('保健_附属明細表P54-57'!G33="","",'保健_附属明細表P54-57'!G33)</f>
        <v>0</v>
      </c>
      <c r="F694" s="1708" t="s">
        <v>1905</v>
      </c>
      <c r="G694" s="1709" t="str">
        <f t="shared" si="10"/>
        <v>0（確認）</v>
      </c>
      <c r="H694" s="1708" t="inlineStr">
        <is>
          <t>保健_附属明細表P54-57 G35</t>
        </is>
      </c>
      <c r="I694" s="1708" t="inlineStr">
        <is>
          <t>保健_財務諸表P53P53</t>
        </is>
      </c>
    </row>
    <row r="695" spans="1:9" ht="19.95" customHeight="1">
      <c r="A695" s="1755" t="s">
        <v>13</v>
      </c>
      <c r="B695" s="1711" t="s">
        <v>1475</v>
      </c>
      <c r="C695" s="1756" t="str">
        <f>HYPERLINK("#'保健_附属明細表P54-57'!G34","G34")</f>
        <v>G34</v>
      </c>
      <c r="D695" s="1711" t="s">
        <v>2033</v>
      </c>
      <c r="E695" s="1757">
        <f>IF('保健_附属明細表P54-57'!G34="","",'保健_附属明細表P54-57'!G34)</f>
        <v>0</v>
      </c>
      <c r="F695" s="1711" t="s">
        <v>1905</v>
      </c>
      <c r="G695" s="1709" t="str">
        <f t="shared" si="10"/>
        <v>0（確認）</v>
      </c>
      <c r="H695" s="1708" t="inlineStr">
        <is>
          <t>保健_附属明細表P54-57 G35</t>
        </is>
      </c>
      <c r="I695" s="1708" t="inlineStr">
        <is>
          <t>保健_財務諸表P53P53</t>
        </is>
      </c>
    </row>
    <row r="696" spans="1:9" ht="19.95" customHeight="1">
      <c r="A696" s="1752" t="s">
        <v>13</v>
      </c>
      <c r="B696" s="1708" t="s">
        <v>1475</v>
      </c>
      <c r="C696" s="1753" t="str">
        <f>HYPERLINK("#'保健_附属明細表P54-57'!G41","G41")</f>
        <v>G41</v>
      </c>
      <c r="D696" s="1708" t="s">
        <v>1984</v>
      </c>
      <c r="E696" s="1754">
        <f>IF('保健_附属明細表P54-57'!G41="","",'保健_附属明細表P54-57'!G41)</f>
        <v>129211081</v>
      </c>
      <c r="F696" s="1708" t="s">
        <v>1905</v>
      </c>
      <c r="G696" s="1709" t="str">
        <f t="shared" si="10"/>
        <v>入力済</v>
      </c>
      <c r="H696" s="1708" t="inlineStr">
        <is>
          <t>保健_附属明細表P54-57 G43、保健_決算精算表P58 F46</t>
        </is>
      </c>
      <c r="I696" s="1708" t="inlineStr">
        <is>
          <t>報告_保健P20-22、保健_財務諸表P53、保健_決算精算表P58</t>
        </is>
      </c>
    </row>
    <row r="697" spans="1:9" ht="19.95" customHeight="1">
      <c r="A697" s="1755" t="s">
        <v>13</v>
      </c>
      <c r="B697" s="1711" t="s">
        <v>1475</v>
      </c>
      <c r="C697" s="1756" t="str">
        <f>HYPERLINK("#'保健_附属明細表P54-57'!G50","G50")</f>
        <v>G50</v>
      </c>
      <c r="D697" s="1711" t="s">
        <v>2034</v>
      </c>
      <c r="E697" s="1757">
        <f>IF('保健_附属明細表P54-57'!G50="","",'保健_附属明細表P54-57'!G50)</f>
        <v>170769925</v>
      </c>
      <c r="F697" s="1711" t="s">
        <v>1905</v>
      </c>
      <c r="G697" s="1709" t="str">
        <f t="shared" si="10"/>
        <v>入力済</v>
      </c>
      <c r="H697" s="1708" t="inlineStr">
        <is>
          <t>保健_附属明細表P54-57 G61、保健_決算精算表P58 B28</t>
        </is>
      </c>
      <c r="I697" s="1708" t="inlineStr">
        <is>
          <t>報告_保健P20-22、保健_財務諸表P53、保健_決算精算表P58</t>
        </is>
      </c>
    </row>
    <row r="698" spans="1:9" ht="19.95" customHeight="1">
      <c r="A698" s="1752" t="s">
        <v>13</v>
      </c>
      <c r="B698" s="1708" t="s">
        <v>1475</v>
      </c>
      <c r="C698" s="1753" t="str">
        <f>HYPERLINK("#'保健_附属明細表P54-57'!G51","G51")</f>
        <v>G51</v>
      </c>
      <c r="D698" s="1708" t="s">
        <v>2035</v>
      </c>
      <c r="E698" s="1754">
        <f>IF('保健_附属明細表P54-57'!G51="","",'保健_附属明細表P54-57'!G51)</f>
        <v>3896573</v>
      </c>
      <c r="F698" s="1708" t="s">
        <v>1905</v>
      </c>
      <c r="G698" s="1709" t="str">
        <f t="shared" si="10"/>
        <v>入力済</v>
      </c>
      <c r="H698" s="1708" t="inlineStr">
        <is>
          <t>保健_附属明細表P54-57 G61、保健_決算精算表P58 B29</t>
        </is>
      </c>
      <c r="I698" s="1708" t="inlineStr">
        <is>
          <t>報告_保健P20-22、保健_財務諸表P53、保健_決算精算表P58</t>
        </is>
      </c>
    </row>
    <row r="699" spans="1:9" ht="19.95" customHeight="1">
      <c r="A699" s="1755" t="s">
        <v>13</v>
      </c>
      <c r="B699" s="1711" t="s">
        <v>1475</v>
      </c>
      <c r="C699" s="1756" t="str">
        <f>HYPERLINK("#'保健_附属明細表P54-57'!G52","G52")</f>
        <v>G52</v>
      </c>
      <c r="D699" s="1711" t="s">
        <v>1979</v>
      </c>
      <c r="E699" s="1757">
        <f>IF('保健_附属明細表P54-57'!G52="","",'保健_附属明細表P54-57'!G52)</f>
        <v>30544</v>
      </c>
      <c r="F699" s="1711" t="s">
        <v>1905</v>
      </c>
      <c r="G699" s="1709" t="str">
        <f t="shared" si="10"/>
        <v>入力済</v>
      </c>
      <c r="H699" s="1708" t="inlineStr">
        <is>
          <t>保健_附属明細表P54-57 G61,O138、保健_決算精算表P58 B30</t>
        </is>
      </c>
      <c r="I699" s="1708" t="inlineStr">
        <is>
          <t>報告_保健P20-22、保健_財務諸表P53、保健_決算精算表P58</t>
        </is>
      </c>
    </row>
    <row r="700" spans="1:9" ht="19.95" customHeight="1">
      <c r="A700" s="1752" t="s">
        <v>13</v>
      </c>
      <c r="B700" s="1708" t="s">
        <v>1475</v>
      </c>
      <c r="C700" s="1753" t="str">
        <f>HYPERLINK("#'保健_附属明細表P54-57'!G53","G53")</f>
        <v>G53</v>
      </c>
      <c r="D700" s="1708" t="s">
        <v>2036</v>
      </c>
      <c r="E700" s="1754">
        <f>IF('保健_附属明細表P54-57'!G53="","",'保健_附属明細表P54-57'!G53)</f>
        <v>0</v>
      </c>
      <c r="F700" s="1708" t="s">
        <v>1905</v>
      </c>
      <c r="G700" s="1709" t="str">
        <f t="shared" si="10"/>
        <v>0（確認）</v>
      </c>
      <c r="H700" s="1708" t="inlineStr">
        <is>
          <t>保健_附属明細表P54-57 G61</t>
        </is>
      </c>
      <c r="I700" s="1708" t="inlineStr">
        <is>
          <t>保健_財務諸表P53、保健_決算精算表P58</t>
        </is>
      </c>
    </row>
    <row r="701" spans="1:9" ht="19.95" customHeight="1">
      <c r="A701" s="1755" t="s">
        <v>13</v>
      </c>
      <c r="B701" s="1711" t="s">
        <v>1475</v>
      </c>
      <c r="C701" s="1756" t="str">
        <f>HYPERLINK("#'保健_附属明細表P54-57'!G54","G54")</f>
        <v>G54</v>
      </c>
      <c r="D701" s="1711" t="s">
        <v>1980</v>
      </c>
      <c r="E701" s="1757">
        <f>IF('保健_附属明細表P54-57'!G54="","",'保健_附属明細表P54-57'!G54)</f>
        <v>252450</v>
      </c>
      <c r="F701" s="1711" t="s">
        <v>1905</v>
      </c>
      <c r="G701" s="1709" t="str">
        <f t="shared" si="10"/>
        <v>入力済</v>
      </c>
      <c r="H701" s="1708" t="inlineStr">
        <is>
          <t>保健_附属明細表P54-57 G61、保健_決算精算表P58 B33</t>
        </is>
      </c>
      <c r="I701" s="1708" t="inlineStr">
        <is>
          <t>報告_保健P20-22、保健_財務諸表P53、保健_決算精算表P58</t>
        </is>
      </c>
    </row>
    <row r="702" spans="1:9" ht="19.95" customHeight="1">
      <c r="A702" s="1752" t="s">
        <v>13</v>
      </c>
      <c r="B702" s="1708" t="s">
        <v>1475</v>
      </c>
      <c r="C702" s="1753" t="str">
        <f>HYPERLINK("#'保健_附属明細表P54-57'!G56","G56")</f>
        <v>G56</v>
      </c>
      <c r="D702" s="1708" t="s">
        <v>2037</v>
      </c>
      <c r="E702" s="1754">
        <f>IF('保健_附属明細表P54-57'!G56="","",'保健_附属明細表P54-57'!G56)</f>
        <v>5274</v>
      </c>
      <c r="F702" s="1708" t="s">
        <v>1905</v>
      </c>
      <c r="G702" s="1709" t="str">
        <f t="shared" si="10"/>
        <v>入力済</v>
      </c>
      <c r="H702" s="1708" t="inlineStr">
        <is>
          <t>保健_附属明細表P54-57 G61、保健_決算精算表P58 B36</t>
        </is>
      </c>
      <c r="I702" s="1708" t="inlineStr">
        <is>
          <t>報告_保健P20-22、保健_財務諸表P53、保健_決算精算表P58</t>
        </is>
      </c>
    </row>
    <row r="703" spans="1:9" ht="19.95" customHeight="1">
      <c r="A703" s="1755" t="s">
        <v>13</v>
      </c>
      <c r="B703" s="1711" t="s">
        <v>1475</v>
      </c>
      <c r="C703" s="1756" t="str">
        <f>HYPERLINK("#'保健_附属明細表P54-57'!G57","G57")</f>
        <v>G57</v>
      </c>
      <c r="D703" s="1711" t="s">
        <v>1982</v>
      </c>
      <c r="E703" s="1757">
        <f>IF('保健_附属明細表P54-57'!G57="","",'保健_附属明細表P54-57'!G57)</f>
        <v>286501</v>
      </c>
      <c r="F703" s="1711" t="s">
        <v>1905</v>
      </c>
      <c r="G703" s="1709" t="str">
        <f t="shared" si="10"/>
        <v>入力済</v>
      </c>
      <c r="H703" s="1708" t="inlineStr">
        <is>
          <t>保健_附属明細表P54-57 G61、保健_決算精算表P58 B37</t>
        </is>
      </c>
      <c r="I703" s="1708" t="inlineStr">
        <is>
          <t>報告_保健P20-22、保健_財務諸表P53、保健_決算精算表P58</t>
        </is>
      </c>
    </row>
    <row r="704" spans="1:9" ht="19.95" customHeight="1">
      <c r="A704" s="1752" t="s">
        <v>13</v>
      </c>
      <c r="B704" s="1708" t="s">
        <v>1475</v>
      </c>
      <c r="C704" s="1753" t="str">
        <f>HYPERLINK("#'保健_附属明細表P54-57'!G58","G58")</f>
        <v>G58</v>
      </c>
      <c r="D704" s="1708" t="s">
        <v>1984</v>
      </c>
      <c r="E704" s="1754">
        <f>IF('保健_附属明細表P54-57'!G58="","",'保健_附属明細表P54-57'!G58)</f>
        <v>19020</v>
      </c>
      <c r="F704" s="1708" t="s">
        <v>1905</v>
      </c>
      <c r="G704" s="1709" t="str">
        <f t="shared" si="10"/>
        <v>入力済</v>
      </c>
      <c r="H704" s="1708" t="inlineStr">
        <is>
          <t>保健_附属明細表P54-57 G61、保健_決算精算表P58 B40</t>
        </is>
      </c>
      <c r="I704" s="1708" t="inlineStr">
        <is>
          <t>報告_保健P20-22、保健_財務諸表P53、保健_決算精算表P58</t>
        </is>
      </c>
    </row>
    <row r="705" spans="1:9" ht="19.95" customHeight="1">
      <c r="A705" s="1755" t="s">
        <v>13</v>
      </c>
      <c r="B705" s="1711" t="s">
        <v>1475</v>
      </c>
      <c r="C705" s="1756" t="str">
        <f>HYPERLINK("#'保健_附属明細表P54-57'!G59","G59")</f>
        <v>G59</v>
      </c>
      <c r="D705" s="1711" t="s">
        <v>1984</v>
      </c>
      <c r="E705" s="1757">
        <f>IF('保健_附属明細表P54-57'!G59="","",'保健_附属明細表P54-57'!G59)</f>
        <v>0</v>
      </c>
      <c r="F705" s="1711" t="s">
        <v>1905</v>
      </c>
      <c r="G705" s="1709" t="str">
        <f t="shared" si="10"/>
        <v>0（確認）</v>
      </c>
      <c r="H705" s="1708" t="inlineStr">
        <is>
          <t>保健_附属明細表P54-57 G61、保健_決算精算表P58 B46</t>
        </is>
      </c>
      <c r="I705" s="1708" t="inlineStr">
        <is>
          <t>報告_保健P20-22、保健_財務諸表P53、保健_決算精算表P58</t>
        </is>
      </c>
    </row>
    <row r="706" spans="1:9" ht="19.95" customHeight="1">
      <c r="A706" s="1752" t="s">
        <v>13</v>
      </c>
      <c r="B706" s="1708" t="s">
        <v>1475</v>
      </c>
      <c r="C706" s="1753" t="str">
        <f>HYPERLINK("#'保健_附属明細表P54-57'!G60","G60")</f>
        <v>G60</v>
      </c>
      <c r="D706" s="1708" t="s">
        <v>1983</v>
      </c>
      <c r="E706" s="1754">
        <f>IF('保健_附属明細表P54-57'!G60="","",'保健_附属明細表P54-57'!G60)</f>
        <v>0</v>
      </c>
      <c r="F706" s="1708" t="s">
        <v>1905</v>
      </c>
      <c r="G706" s="1709" t="str">
        <f t="shared" si="10"/>
        <v>0（確認）</v>
      </c>
      <c r="H706" s="1708" t="inlineStr">
        <is>
          <t>保健_附属明細表P54-57 G61、保健_決算精算表P58 B39</t>
        </is>
      </c>
      <c r="I706" s="1708" t="inlineStr">
        <is>
          <t>報告_保健P20-22、保健_財務諸表P53、保健_決算精算表P58</t>
        </is>
      </c>
    </row>
    <row r="707" spans="1:9" ht="19.95" customHeight="1">
      <c r="A707" s="1755" t="s">
        <v>13</v>
      </c>
      <c r="B707" s="1711" t="s">
        <v>1475</v>
      </c>
      <c r="C707" s="1756" t="str">
        <f>HYPERLINK("#'保健_附属明細表P54-57'!G67","G67")</f>
        <v>G67</v>
      </c>
      <c r="D707" s="1711" t="s">
        <v>1982</v>
      </c>
      <c r="E707" s="1757">
        <f>IF('保健_附属明細表P54-57'!G67="","",'保健_附属明細表P54-57'!G67)</f>
        <v>0</v>
      </c>
      <c r="F707" s="1711" t="s">
        <v>1905</v>
      </c>
      <c r="G707" s="1709" t="str">
        <f t="shared" si="10"/>
        <v>0（確認）</v>
      </c>
      <c r="H707" s="1708" t="inlineStr">
        <is>
          <t>保健_附属明細表P54-57 G70、保健_決算精算表P58 B37</t>
        </is>
      </c>
      <c r="I707" s="1708" t="inlineStr">
        <is>
          <t>報告_保健P20-22、保健_財務諸表P53、保健_決算精算表P58</t>
        </is>
      </c>
    </row>
    <row r="708" spans="1:9" ht="19.95" customHeight="1">
      <c r="A708" s="1752" t="s">
        <v>13</v>
      </c>
      <c r="B708" s="1708" t="s">
        <v>1475</v>
      </c>
      <c r="C708" s="1753" t="str">
        <f>HYPERLINK("#'保健_附属明細表P54-57'!G76","G76")</f>
        <v>G76</v>
      </c>
      <c r="D708" s="1708" t="s">
        <v>1989</v>
      </c>
      <c r="E708" s="1754">
        <f>IF('保健_附属明細表P54-57'!G76="","",'保健_附属明細表P54-57'!G76)</f>
        <v>418825</v>
      </c>
      <c r="F708" s="1708" t="s">
        <v>1905</v>
      </c>
      <c r="G708" s="1709" t="str">
        <f t="shared" si="10"/>
        <v>入力済</v>
      </c>
      <c r="H708" s="1708" t="inlineStr">
        <is>
          <t>保健_附属明細表P54-57 G79</t>
        </is>
      </c>
      <c r="I708" s="1708" t="inlineStr">
        <is>
          <t>保健_財務諸表P53、保健_決算精算表P58</t>
        </is>
      </c>
    </row>
    <row r="709" spans="1:9" ht="19.95" customHeight="1">
      <c r="A709" s="1755" t="s">
        <v>13</v>
      </c>
      <c r="B709" s="1711" t="s">
        <v>1475</v>
      </c>
      <c r="C709" s="1756" t="str">
        <f>HYPERLINK("#'保健_附属明細表P54-57'!G77","G77")</f>
        <v>G77</v>
      </c>
      <c r="D709" s="1711" t="s">
        <v>1989</v>
      </c>
      <c r="E709" s="1757">
        <f>IF('保健_附属明細表P54-57'!G77="","",'保健_附属明細表P54-57'!G77)</f>
        <v>597025</v>
      </c>
      <c r="F709" s="1711" t="s">
        <v>1905</v>
      </c>
      <c r="G709" s="1709" t="str">
        <f t="shared" si="10"/>
        <v>入力済</v>
      </c>
      <c r="H709" s="1708" t="inlineStr">
        <is>
          <t>保健_附属明細表P54-57 G79</t>
        </is>
      </c>
      <c r="I709" s="1708" t="inlineStr">
        <is>
          <t>保健_財務諸表P53、保健_決算精算表P58</t>
        </is>
      </c>
    </row>
    <row r="710" spans="1:9" ht="19.95" customHeight="1">
      <c r="A710" s="1752" t="s">
        <v>13</v>
      </c>
      <c r="B710" s="1708" t="s">
        <v>1475</v>
      </c>
      <c r="C710" s="1753" t="str">
        <f>HYPERLINK("#'保健_附属明細表P54-57'!D92","D92")</f>
        <v>D92</v>
      </c>
      <c r="D710" s="1708" t="s">
        <v>2038</v>
      </c>
      <c r="E710" s="1754">
        <f>IF('保健_附属明細表P54-57'!D92="","",'保健_附属明細表P54-57'!D92)</f>
        <v>0</v>
      </c>
      <c r="F710" s="1708" t="s">
        <v>1905</v>
      </c>
      <c r="G710" s="1709" t="str">
        <f t="shared" ref="G710:G773" si="11">IF(E710="","未入力（空欄）",IF(E710=0,"0（確認）","入力済"))</f>
        <v>0（確認）</v>
      </c>
      <c r="H710" s="1708" t="inlineStr">
        <is>
          <t>保健_附属明細表P54-57 D95,M92</t>
        </is>
      </c>
      <c r="I710" s="1708" t="inlineStr">
        <is>
          <t>保健_決算精算表P58P58</t>
        </is>
      </c>
    </row>
    <row r="711" spans="1:9" ht="19.95" customHeight="1">
      <c r="A711" s="1755" t="s">
        <v>13</v>
      </c>
      <c r="B711" s="1711" t="s">
        <v>1475</v>
      </c>
      <c r="C711" s="1756" t="str">
        <f>HYPERLINK("#'保健_附属明細表P54-57'!G92","G92")</f>
        <v>G92</v>
      </c>
      <c r="D711" s="1711" t="s">
        <v>2039</v>
      </c>
      <c r="E711" s="1757">
        <f>IF('保健_附属明細表P54-57'!G92="","",'保健_附属明細表P54-57'!G92)</f>
        <v>0</v>
      </c>
      <c r="F711" s="1711" t="s">
        <v>1905</v>
      </c>
      <c r="G711" s="1709" t="str">
        <f t="shared" si="11"/>
        <v>0（確認）</v>
      </c>
      <c r="H711" s="1708" t="inlineStr">
        <is>
          <t>保健_附属明細表P54-57 G95,M92</t>
        </is>
      </c>
      <c r="I711" s="1708" t="inlineStr">
        <is>
          <t>保健_決算精算表P58P58</t>
        </is>
      </c>
    </row>
    <row r="712" spans="1:9" ht="19.95" customHeight="1">
      <c r="A712" s="1752" t="s">
        <v>13</v>
      </c>
      <c r="B712" s="1708" t="s">
        <v>1475</v>
      </c>
      <c r="C712" s="1753" t="str">
        <f>HYPERLINK("#'保健_附属明細表P54-57'!J92","J92")</f>
        <v>J92</v>
      </c>
      <c r="D712" s="1708" t="s">
        <v>2040</v>
      </c>
      <c r="E712" s="1754">
        <f>IF('保健_附属明細表P54-57'!J92="","",'保健_附属明細表P54-57'!J92)</f>
        <v>0</v>
      </c>
      <c r="F712" s="1708" t="s">
        <v>1905</v>
      </c>
      <c r="G712" s="1709" t="str">
        <f t="shared" si="11"/>
        <v>0（確認）</v>
      </c>
      <c r="H712" s="1708" t="inlineStr">
        <is>
          <t>保健_附属明細表P54-57 J95,M92</t>
        </is>
      </c>
      <c r="I712" s="1708" t="inlineStr">
        <is>
          <t>保健_決算精算表P58P58</t>
        </is>
      </c>
    </row>
    <row r="713" spans="1:9" ht="19.95" customHeight="1">
      <c r="A713" s="1755" t="s">
        <v>13</v>
      </c>
      <c r="B713" s="1711" t="s">
        <v>1475</v>
      </c>
      <c r="C713" s="1756" t="str">
        <f>HYPERLINK("#'保健_附属明細表P54-57'!D93","D93")</f>
        <v>D93</v>
      </c>
      <c r="D713" s="1711" t="s">
        <v>2041</v>
      </c>
      <c r="E713" s="1757">
        <f>IF('保健_附属明細表P54-57'!D93="","",'保健_附属明細表P54-57'!D93)</f>
        <v>0</v>
      </c>
      <c r="F713" s="1711" t="s">
        <v>1905</v>
      </c>
      <c r="G713" s="1709" t="str">
        <f t="shared" si="11"/>
        <v>0（確認）</v>
      </c>
      <c r="H713" s="1708" t="inlineStr">
        <is>
          <t>保健_附属明細表P54-57 D95,M93</t>
        </is>
      </c>
      <c r="I713" s="1708" t="inlineStr">
        <is>
          <t>保健_決算精算表P58P58</t>
        </is>
      </c>
    </row>
    <row r="714" spans="1:9" ht="19.95" customHeight="1">
      <c r="A714" s="1752" t="s">
        <v>13</v>
      </c>
      <c r="B714" s="1708" t="s">
        <v>1475</v>
      </c>
      <c r="C714" s="1753" t="str">
        <f>HYPERLINK("#'保健_附属明細表P54-57'!G93","G93")</f>
        <v>G93</v>
      </c>
      <c r="D714" s="1708" t="s">
        <v>2042</v>
      </c>
      <c r="E714" s="1754">
        <f>IF('保健_附属明細表P54-57'!G93="","",'保健_附属明細表P54-57'!G93)</f>
        <v>0</v>
      </c>
      <c r="F714" s="1708" t="s">
        <v>1905</v>
      </c>
      <c r="G714" s="1709" t="str">
        <f t="shared" si="11"/>
        <v>0（確認）</v>
      </c>
      <c r="H714" s="1708" t="inlineStr">
        <is>
          <t>保健_附属明細表P54-57 G95,M93</t>
        </is>
      </c>
      <c r="I714" s="1708" t="inlineStr">
        <is>
          <t>保健_決算精算表P58P58</t>
        </is>
      </c>
    </row>
    <row r="715" spans="1:9" ht="19.95" customHeight="1">
      <c r="A715" s="1755" t="s">
        <v>13</v>
      </c>
      <c r="B715" s="1711" t="s">
        <v>1475</v>
      </c>
      <c r="C715" s="1756" t="str">
        <f>HYPERLINK("#'保健_附属明細表P54-57'!J93","J93")</f>
        <v>J93</v>
      </c>
      <c r="D715" s="1711" t="s">
        <v>2043</v>
      </c>
      <c r="E715" s="1757">
        <f>IF('保健_附属明細表P54-57'!J93="","",'保健_附属明細表P54-57'!J93)</f>
        <v>0</v>
      </c>
      <c r="F715" s="1711" t="s">
        <v>1905</v>
      </c>
      <c r="G715" s="1709" t="str">
        <f t="shared" si="11"/>
        <v>0（確認）</v>
      </c>
      <c r="H715" s="1708" t="inlineStr">
        <is>
          <t>保健_附属明細表P54-57 J95,M93</t>
        </is>
      </c>
      <c r="I715" s="1708" t="inlineStr">
        <is>
          <t>保健_決算精算表P58P58</t>
        </is>
      </c>
    </row>
    <row r="716" spans="1:9" ht="19.95" customHeight="1">
      <c r="A716" s="1752" t="s">
        <v>13</v>
      </c>
      <c r="B716" s="1708" t="s">
        <v>1475</v>
      </c>
      <c r="C716" s="1753" t="str">
        <f>HYPERLINK("#'保健_附属明細表P54-57'!D94","D94")</f>
        <v>D94</v>
      </c>
      <c r="D716" s="1708" t="s">
        <v>2044</v>
      </c>
      <c r="E716" s="1754">
        <f>IF('保健_附属明細表P54-57'!D94="","",'保健_附属明細表P54-57'!D94)</f>
        <v>0</v>
      </c>
      <c r="F716" s="1708" t="s">
        <v>1905</v>
      </c>
      <c r="G716" s="1709" t="str">
        <f t="shared" si="11"/>
        <v>0（確認）</v>
      </c>
      <c r="H716" s="1708" t="inlineStr">
        <is>
          <t>保健_附属明細表P54-57 D95,M94</t>
        </is>
      </c>
      <c r="I716" s="1708" t="inlineStr">
        <is>
          <t>保健_決算精算表P58P58</t>
        </is>
      </c>
    </row>
    <row r="717" spans="1:9" ht="19.95" customHeight="1">
      <c r="A717" s="1755" t="s">
        <v>13</v>
      </c>
      <c r="B717" s="1711" t="s">
        <v>1475</v>
      </c>
      <c r="C717" s="1756" t="str">
        <f>HYPERLINK("#'保健_附属明細表P54-57'!G94","G94")</f>
        <v>G94</v>
      </c>
      <c r="D717" s="1711" t="s">
        <v>1990</v>
      </c>
      <c r="E717" s="1757">
        <f>IF('保健_附属明細表P54-57'!G94="","",'保健_附属明細表P54-57'!G94)</f>
        <v>0</v>
      </c>
      <c r="F717" s="1711" t="s">
        <v>1905</v>
      </c>
      <c r="G717" s="1709" t="str">
        <f t="shared" si="11"/>
        <v>0（確認）</v>
      </c>
      <c r="H717" s="1708" t="inlineStr">
        <is>
          <t>保健_附属明細表P54-57 G95,M94</t>
        </is>
      </c>
      <c r="I717" s="1708" t="inlineStr">
        <is>
          <t>保健_決算精算表P58P58</t>
        </is>
      </c>
    </row>
    <row r="718" spans="1:9" ht="19.95" customHeight="1">
      <c r="A718" s="1752" t="s">
        <v>13</v>
      </c>
      <c r="B718" s="1708" t="s">
        <v>1475</v>
      </c>
      <c r="C718" s="1753" t="str">
        <f>HYPERLINK("#'保健_附属明細表P54-57'!J94","J94")</f>
        <v>J94</v>
      </c>
      <c r="D718" s="1708" t="s">
        <v>1991</v>
      </c>
      <c r="E718" s="1754">
        <f>IF('保健_附属明細表P54-57'!J94="","",'保健_附属明細表P54-57'!J94)</f>
        <v>0</v>
      </c>
      <c r="F718" s="1708" t="s">
        <v>1905</v>
      </c>
      <c r="G718" s="1709" t="str">
        <f t="shared" si="11"/>
        <v>0（確認）</v>
      </c>
      <c r="H718" s="1708" t="inlineStr">
        <is>
          <t>保健_附属明細表P54-57 J95,M94</t>
        </is>
      </c>
      <c r="I718" s="1708" t="inlineStr">
        <is>
          <t>保健_決算精算表P58P58</t>
        </is>
      </c>
    </row>
    <row r="719" spans="1:9" ht="19.95" customHeight="1">
      <c r="A719" s="1755" t="s">
        <v>13</v>
      </c>
      <c r="B719" s="1711" t="s">
        <v>1475</v>
      </c>
      <c r="C719" s="1756" t="str">
        <f>HYPERLINK("#'保健_附属明細表P54-57'!F101","F101")</f>
        <v>F101</v>
      </c>
      <c r="D719" s="1711" t="s">
        <v>2045</v>
      </c>
      <c r="E719" s="1757">
        <f>IF('保健_附属明細表P54-57'!F101="","",'保健_附属明細表P54-57'!F101)</f>
        <v>13600000</v>
      </c>
      <c r="F719" s="1711" t="s">
        <v>1905</v>
      </c>
      <c r="G719" s="1709" t="str">
        <f t="shared" si="11"/>
        <v>入力済</v>
      </c>
      <c r="H719" s="1708" t="inlineStr">
        <is>
          <t>保健_附属明細表P54-57 F104,R101</t>
        </is>
      </c>
      <c r="I719" s="1708" t="inlineStr">
        <is>
          <t>同じシート内のみ</t>
        </is>
      </c>
    </row>
    <row r="720" spans="1:9" ht="19.95" customHeight="1">
      <c r="A720" s="1752" t="s">
        <v>13</v>
      </c>
      <c r="B720" s="1708" t="s">
        <v>1475</v>
      </c>
      <c r="C720" s="1753" t="str">
        <f>HYPERLINK("#'保健_附属明細表P54-57'!I101","I101")</f>
        <v>I101</v>
      </c>
      <c r="D720" s="1708" t="s">
        <v>2046</v>
      </c>
      <c r="E720" s="1754">
        <f>IF('保健_附属明細表P54-57'!I101="","",'保健_附属明細表P54-57'!I101)</f>
        <v>0</v>
      </c>
      <c r="F720" s="1708" t="s">
        <v>1905</v>
      </c>
      <c r="G720" s="1709" t="str">
        <f t="shared" si="11"/>
        <v>0（確認）</v>
      </c>
      <c r="H720" s="1708" t="inlineStr">
        <is>
          <t>保健_附属明細表P54-57 I104</t>
        </is>
      </c>
      <c r="I720" s="1708" t="inlineStr">
        <is>
          <t>報告_保健P20-22、保健_財務諸表P53、保健_決算精算表P58</t>
        </is>
      </c>
    </row>
    <row r="721" spans="1:9" ht="19.95" customHeight="1">
      <c r="A721" s="1755" t="s">
        <v>13</v>
      </c>
      <c r="B721" s="1711" t="s">
        <v>1475</v>
      </c>
      <c r="C721" s="1756" t="str">
        <f>HYPERLINK("#'保健_附属明細表P54-57'!L101","L101")</f>
        <v>L101</v>
      </c>
      <c r="D721" s="1711" t="s">
        <v>2047</v>
      </c>
      <c r="E721" s="1757">
        <f>IF('保健_附属明細表P54-57'!L101="","",'保健_附属明細表P54-57'!L101)</f>
        <v>13599999</v>
      </c>
      <c r="F721" s="1711" t="s">
        <v>1905</v>
      </c>
      <c r="G721" s="1709" t="str">
        <f t="shared" si="11"/>
        <v>入力済</v>
      </c>
      <c r="H721" s="1708" t="inlineStr">
        <is>
          <t>保健_附属明細表P54-57 L104,R101</t>
        </is>
      </c>
      <c r="I721" s="1708" t="inlineStr">
        <is>
          <t>同じシート内のみ</t>
        </is>
      </c>
    </row>
    <row r="722" spans="1:9" ht="19.95" customHeight="1">
      <c r="A722" s="1752" t="s">
        <v>13</v>
      </c>
      <c r="B722" s="1708" t="s">
        <v>1475</v>
      </c>
      <c r="C722" s="1753" t="str">
        <f>HYPERLINK("#'保健_附属明細表P54-57'!O101","O101")</f>
        <v>O101</v>
      </c>
      <c r="D722" s="1708" t="s">
        <v>2048</v>
      </c>
      <c r="E722" s="1754">
        <f>IF('保健_附属明細表P54-57'!O101="","",'保健_附属明細表P54-57'!O101)</f>
        <v>0</v>
      </c>
      <c r="F722" s="1708" t="s">
        <v>1905</v>
      </c>
      <c r="G722" s="1709" t="str">
        <f t="shared" si="11"/>
        <v>0（確認）</v>
      </c>
      <c r="H722" s="1708" t="inlineStr">
        <is>
          <t>保健_附属明細表P54-57 O104</t>
        </is>
      </c>
      <c r="I722" s="1708" t="inlineStr">
        <is>
          <t>保健_財務諸表P53P53</t>
        </is>
      </c>
    </row>
    <row r="723" spans="1:9" ht="19.95" customHeight="1">
      <c r="A723" s="1755" t="s">
        <v>13</v>
      </c>
      <c r="B723" s="1711" t="s">
        <v>1475</v>
      </c>
      <c r="C723" s="1756" t="str">
        <f>HYPERLINK("#'保健_附属明細表P54-57'!F102","F102")</f>
        <v>F102</v>
      </c>
      <c r="D723" s="1711" t="s">
        <v>2049</v>
      </c>
      <c r="E723" s="1757">
        <f>IF('保健_附属明細表P54-57'!F102="","",'保健_附属明細表P54-57'!F102)</f>
        <v>6570000</v>
      </c>
      <c r="F723" s="1711" t="s">
        <v>1905</v>
      </c>
      <c r="G723" s="1709" t="str">
        <f t="shared" si="11"/>
        <v>入力済</v>
      </c>
      <c r="H723" s="1708" t="inlineStr">
        <is>
          <t>保健_附属明細表P54-57 F104,R102</t>
        </is>
      </c>
      <c r="I723" s="1708" t="inlineStr">
        <is>
          <t>同じシート内のみ</t>
        </is>
      </c>
    </row>
    <row r="724" spans="1:9" ht="19.95" customHeight="1">
      <c r="A724" s="1752" t="s">
        <v>13</v>
      </c>
      <c r="B724" s="1708" t="s">
        <v>1475</v>
      </c>
      <c r="C724" s="1753" t="str">
        <f>HYPERLINK("#'保健_附属明細表P54-57'!I102","I102")</f>
        <v>I102</v>
      </c>
      <c r="D724" s="1708" t="s">
        <v>2050</v>
      </c>
      <c r="E724" s="1754">
        <f>IF('保健_附属明細表P54-57'!I102="","",'保健_附属明細表P54-57'!I102)</f>
        <v>0</v>
      </c>
      <c r="F724" s="1708" t="s">
        <v>1905</v>
      </c>
      <c r="G724" s="1709" t="str">
        <f t="shared" si="11"/>
        <v>0（確認）</v>
      </c>
      <c r="H724" s="1708" t="inlineStr">
        <is>
          <t>保健_附属明細表P54-57 I104</t>
        </is>
      </c>
      <c r="I724" s="1708" t="inlineStr">
        <is>
          <t>報告_保健P20-22、保健_財務諸表P53、保健_決算精算表P58</t>
        </is>
      </c>
    </row>
    <row r="725" spans="1:9" ht="19.95" customHeight="1">
      <c r="A725" s="1755" t="s">
        <v>13</v>
      </c>
      <c r="B725" s="1711" t="s">
        <v>1475</v>
      </c>
      <c r="C725" s="1756" t="str">
        <f>HYPERLINK("#'保健_附属明細表P54-57'!L102","L102")</f>
        <v>L102</v>
      </c>
      <c r="D725" s="1711" t="s">
        <v>2051</v>
      </c>
      <c r="E725" s="1757">
        <f>IF('保健_附属明細表P54-57'!L102="","",'保健_附属明細表P54-57'!L102)</f>
        <v>6569999</v>
      </c>
      <c r="F725" s="1711" t="s">
        <v>1905</v>
      </c>
      <c r="G725" s="1709" t="str">
        <f t="shared" si="11"/>
        <v>入力済</v>
      </c>
      <c r="H725" s="1708" t="inlineStr">
        <is>
          <t>保健_附属明細表P54-57 L104,R102</t>
        </is>
      </c>
      <c r="I725" s="1708" t="inlineStr">
        <is>
          <t>同じシート内のみ</t>
        </is>
      </c>
    </row>
    <row r="726" spans="1:9" ht="19.95" customHeight="1">
      <c r="A726" s="1752" t="s">
        <v>13</v>
      </c>
      <c r="B726" s="1708" t="s">
        <v>1475</v>
      </c>
      <c r="C726" s="1753" t="str">
        <f>HYPERLINK("#'保健_附属明細表P54-57'!O102","O102")</f>
        <v>O102</v>
      </c>
      <c r="D726" s="1708" t="s">
        <v>2052</v>
      </c>
      <c r="E726" s="1754">
        <f>IF('保健_附属明細表P54-57'!O102="","",'保健_附属明細表P54-57'!O102)</f>
        <v>0</v>
      </c>
      <c r="F726" s="1708" t="s">
        <v>1905</v>
      </c>
      <c r="G726" s="1709" t="str">
        <f t="shared" si="11"/>
        <v>0（確認）</v>
      </c>
      <c r="H726" s="1708" t="inlineStr">
        <is>
          <t>保健_附属明細表P54-57 O104</t>
        </is>
      </c>
      <c r="I726" s="1708" t="inlineStr">
        <is>
          <t>保健_財務諸表P53P53</t>
        </is>
      </c>
    </row>
    <row r="727" spans="1:9" ht="19.95" customHeight="1">
      <c r="A727" s="1755" t="s">
        <v>13</v>
      </c>
      <c r="B727" s="1711" t="s">
        <v>1475</v>
      </c>
      <c r="C727" s="1756" t="str">
        <f>HYPERLINK("#'保健_附属明細表P54-57'!F103","F103")</f>
        <v>F103</v>
      </c>
      <c r="D727" s="1711" t="s">
        <v>2053</v>
      </c>
      <c r="E727" s="1757">
        <f>IF('保健_附属明細表P54-57'!F103="","",'保健_附属明細表P54-57'!F103)</f>
        <v>1810000</v>
      </c>
      <c r="F727" s="1711" t="s">
        <v>1905</v>
      </c>
      <c r="G727" s="1709" t="str">
        <f t="shared" si="11"/>
        <v>入力済</v>
      </c>
      <c r="H727" s="1708" t="inlineStr">
        <is>
          <t>保健_附属明細表P54-57 F104,R103</t>
        </is>
      </c>
      <c r="I727" s="1708" t="inlineStr">
        <is>
          <t>同じシート内のみ</t>
        </is>
      </c>
    </row>
    <row r="728" spans="1:9" ht="19.95" customHeight="1">
      <c r="A728" s="1752" t="s">
        <v>13</v>
      </c>
      <c r="B728" s="1708" t="s">
        <v>1475</v>
      </c>
      <c r="C728" s="1753" t="str">
        <f>HYPERLINK("#'保健_附属明細表P54-57'!I103","I103")</f>
        <v>I103</v>
      </c>
      <c r="D728" s="1708" t="s">
        <v>2054</v>
      </c>
      <c r="E728" s="1754">
        <f>IF('保健_附属明細表P54-57'!I103="","",'保健_附属明細表P54-57'!I103)</f>
        <v>0</v>
      </c>
      <c r="F728" s="1708" t="s">
        <v>1905</v>
      </c>
      <c r="G728" s="1709" t="str">
        <f t="shared" si="11"/>
        <v>0（確認）</v>
      </c>
      <c r="H728" s="1708" t="inlineStr">
        <is>
          <t>保健_附属明細表P54-57 I104</t>
        </is>
      </c>
      <c r="I728" s="1708" t="inlineStr">
        <is>
          <t>報告_保健P20-22、保健_財務諸表P53、保健_決算精算表P58</t>
        </is>
      </c>
    </row>
    <row r="729" spans="1:9" ht="19.95" customHeight="1">
      <c r="A729" s="1755" t="s">
        <v>13</v>
      </c>
      <c r="B729" s="1711" t="s">
        <v>1475</v>
      </c>
      <c r="C729" s="1756" t="str">
        <f>HYPERLINK("#'保健_附属明細表P54-57'!L103","L103")</f>
        <v>L103</v>
      </c>
      <c r="D729" s="1711" t="s">
        <v>2055</v>
      </c>
      <c r="E729" s="1757">
        <f>IF('保健_附属明細表P54-57'!L103="","",'保健_附属明細表P54-57'!L103)</f>
        <v>1809999</v>
      </c>
      <c r="F729" s="1711" t="s">
        <v>1905</v>
      </c>
      <c r="G729" s="1709" t="str">
        <f t="shared" si="11"/>
        <v>入力済</v>
      </c>
      <c r="H729" s="1708" t="inlineStr">
        <is>
          <t>保健_附属明細表P54-57 L104,R103</t>
        </is>
      </c>
      <c r="I729" s="1708" t="inlineStr">
        <is>
          <t>同じシート内のみ</t>
        </is>
      </c>
    </row>
    <row r="730" spans="1:9" ht="19.95" customHeight="1">
      <c r="A730" s="1752" t="s">
        <v>13</v>
      </c>
      <c r="B730" s="1708" t="s">
        <v>1475</v>
      </c>
      <c r="C730" s="1753" t="str">
        <f>HYPERLINK("#'保健_附属明細表P54-57'!O103","O103")</f>
        <v>O103</v>
      </c>
      <c r="D730" s="1708" t="s">
        <v>2056</v>
      </c>
      <c r="E730" s="1754">
        <f>IF('保健_附属明細表P54-57'!O103="","",'保健_附属明細表P54-57'!O103)</f>
        <v>0</v>
      </c>
      <c r="F730" s="1708" t="s">
        <v>1905</v>
      </c>
      <c r="G730" s="1709" t="str">
        <f t="shared" si="11"/>
        <v>0（確認）</v>
      </c>
      <c r="H730" s="1708" t="inlineStr">
        <is>
          <t>保健_附属明細表P54-57 O104</t>
        </is>
      </c>
      <c r="I730" s="1708" t="inlineStr">
        <is>
          <t>保健_財務諸表P53P53</t>
        </is>
      </c>
    </row>
    <row r="731" spans="1:9" ht="19.95" customHeight="1">
      <c r="A731" s="1755" t="s">
        <v>13</v>
      </c>
      <c r="B731" s="1711" t="s">
        <v>1475</v>
      </c>
      <c r="C731" s="1756" t="str">
        <f>HYPERLINK("#'保健_附属明細表P54-57'!D105","D105")</f>
        <v>D105</v>
      </c>
      <c r="D731" s="1711" t="s">
        <v>2057</v>
      </c>
      <c r="E731" s="1757">
        <f>IF('保健_附属明細表P54-57'!D105="","",'保健_附属明細表P54-57'!D105)</f>
        <v>15</v>
      </c>
      <c r="F731" s="1711" t="s">
        <v>1905</v>
      </c>
      <c r="G731" s="1709" t="str">
        <f t="shared" si="11"/>
        <v>入力済</v>
      </c>
      <c r="H731" s="1708" t="inlineStr">
        <is>
          <t>なし（このセルのみ）</t>
        </is>
      </c>
      <c r="I731" s="1708" t="inlineStr">
        <is>
          <t>―</t>
        </is>
      </c>
    </row>
    <row r="732" spans="1:9" ht="19.95" customHeight="1">
      <c r="A732" s="1752" t="s">
        <v>13</v>
      </c>
      <c r="B732" s="1708" t="s">
        <v>1475</v>
      </c>
      <c r="C732" s="1753" t="str">
        <f>HYPERLINK("#'保健_附属明細表P54-57'!F105","F105")</f>
        <v>F105</v>
      </c>
      <c r="D732" s="1708" t="s">
        <v>2058</v>
      </c>
      <c r="E732" s="1754">
        <f>IF('保健_附属明細表P54-57'!F105="","",'保健_附属明細表P54-57'!F105)</f>
        <v>3129000</v>
      </c>
      <c r="F732" s="1708" t="s">
        <v>1905</v>
      </c>
      <c r="G732" s="1709" t="str">
        <f t="shared" si="11"/>
        <v>入力済</v>
      </c>
      <c r="H732" s="1708" t="inlineStr">
        <is>
          <t>保健_附属明細表P54-57 F106,R105</t>
        </is>
      </c>
      <c r="I732" s="1708" t="inlineStr">
        <is>
          <t>同じシート内のみ</t>
        </is>
      </c>
    </row>
    <row r="733" spans="1:9" ht="19.95" customHeight="1">
      <c r="A733" s="1755" t="s">
        <v>13</v>
      </c>
      <c r="B733" s="1711" t="s">
        <v>1475</v>
      </c>
      <c r="C733" s="1756" t="str">
        <f>HYPERLINK("#'保健_附属明細表P54-57'!I105","I105")</f>
        <v>I105</v>
      </c>
      <c r="D733" s="1711" t="s">
        <v>2059</v>
      </c>
      <c r="E733" s="1757">
        <f>IF('保健_附属明細表P54-57'!I105="","",'保健_附属明細表P54-57'!I105)</f>
        <v>0</v>
      </c>
      <c r="F733" s="1711" t="s">
        <v>1905</v>
      </c>
      <c r="G733" s="1709" t="str">
        <f t="shared" si="11"/>
        <v>0（確認）</v>
      </c>
      <c r="H733" s="1708" t="inlineStr">
        <is>
          <t>保健_附属明細表P54-57 I106</t>
        </is>
      </c>
      <c r="I733" s="1708" t="inlineStr">
        <is>
          <t>報告_保健P20-22、保健_財務諸表P53、保健_決算精算表P58</t>
        </is>
      </c>
    </row>
    <row r="734" spans="1:9" ht="19.95" customHeight="1">
      <c r="A734" s="1752" t="s">
        <v>13</v>
      </c>
      <c r="B734" s="1708" t="s">
        <v>1475</v>
      </c>
      <c r="C734" s="1753" t="str">
        <f>HYPERLINK("#'保健_附属明細表P54-57'!L105","L105")</f>
        <v>L105</v>
      </c>
      <c r="D734" s="1708" t="s">
        <v>2060</v>
      </c>
      <c r="E734" s="1754">
        <f>IF('保健_附属明細表P54-57'!L105="","",'保健_附属明細表P54-57'!L105)</f>
        <v>2590116</v>
      </c>
      <c r="F734" s="1708" t="s">
        <v>1905</v>
      </c>
      <c r="G734" s="1709" t="str">
        <f t="shared" si="11"/>
        <v>入力済</v>
      </c>
      <c r="H734" s="1708" t="inlineStr">
        <is>
          <t>保健_附属明細表P54-57 L106,R105</t>
        </is>
      </c>
      <c r="I734" s="1708" t="inlineStr">
        <is>
          <t>同じシート内のみ</t>
        </is>
      </c>
    </row>
    <row r="735" spans="1:9" ht="19.95" customHeight="1">
      <c r="A735" s="1755" t="s">
        <v>13</v>
      </c>
      <c r="B735" s="1711" t="s">
        <v>1475</v>
      </c>
      <c r="C735" s="1756" t="str">
        <f>HYPERLINK("#'保健_附属明細表P54-57'!O105","O105")</f>
        <v>O105</v>
      </c>
      <c r="D735" s="1711" t="s">
        <v>2061</v>
      </c>
      <c r="E735" s="1757">
        <f>IF('保健_附属明細表P54-57'!O105="","",'保健_附属明細表P54-57'!O105)</f>
        <v>0</v>
      </c>
      <c r="F735" s="1711" t="s">
        <v>1905</v>
      </c>
      <c r="G735" s="1709" t="str">
        <f t="shared" si="11"/>
        <v>0（確認）</v>
      </c>
      <c r="H735" s="1708" t="inlineStr">
        <is>
          <t>保健_附属明細表P54-57 O106</t>
        </is>
      </c>
      <c r="I735" s="1708" t="inlineStr">
        <is>
          <t>保健_財務諸表P53P53</t>
        </is>
      </c>
    </row>
    <row r="736" spans="1:9" ht="19.95" customHeight="1">
      <c r="A736" s="1752" t="s">
        <v>13</v>
      </c>
      <c r="B736" s="1708" t="s">
        <v>1475</v>
      </c>
      <c r="C736" s="1753" t="str">
        <f>HYPERLINK("#'保健_附属明細表P54-57'!D107","D107")</f>
        <v>D107</v>
      </c>
      <c r="D736" s="1708" t="s">
        <v>2062</v>
      </c>
      <c r="E736" s="1754">
        <f>IF('保健_附属明細表P54-57'!D107="","",'保健_附属明細表P54-57'!D107)</f>
        <v>15</v>
      </c>
      <c r="F736" s="1708" t="s">
        <v>1905</v>
      </c>
      <c r="G736" s="1709" t="str">
        <f t="shared" si="11"/>
        <v>入力済</v>
      </c>
      <c r="H736" s="1708" t="inlineStr">
        <is>
          <t>なし（このセルのみ）</t>
        </is>
      </c>
      <c r="I736" s="1708" t="inlineStr">
        <is>
          <t>―</t>
        </is>
      </c>
    </row>
    <row r="737" spans="1:9" ht="19.95" customHeight="1">
      <c r="A737" s="1755" t="s">
        <v>13</v>
      </c>
      <c r="B737" s="1711" t="s">
        <v>1475</v>
      </c>
      <c r="C737" s="1756" t="str">
        <f>HYPERLINK("#'保健_附属明細表P54-57'!F107","F107")</f>
        <v>F107</v>
      </c>
      <c r="D737" s="1711" t="s">
        <v>2063</v>
      </c>
      <c r="E737" s="1757">
        <f>IF('保健_附属明細表P54-57'!F107="","",'保健_附属明細表P54-57'!F107)</f>
        <v>119685</v>
      </c>
      <c r="F737" s="1711" t="s">
        <v>1905</v>
      </c>
      <c r="G737" s="1709" t="str">
        <f t="shared" si="11"/>
        <v>入力済</v>
      </c>
      <c r="H737" s="1708" t="inlineStr">
        <is>
          <t>保健_附属明細表P54-57 F115,R107</t>
        </is>
      </c>
      <c r="I737" s="1708" t="inlineStr">
        <is>
          <t>同じシート内のみ</t>
        </is>
      </c>
    </row>
    <row r="738" spans="1:9" ht="19.95" customHeight="1">
      <c r="A738" s="1752" t="s">
        <v>13</v>
      </c>
      <c r="B738" s="1708" t="s">
        <v>1475</v>
      </c>
      <c r="C738" s="1753" t="str">
        <f>HYPERLINK("#'保健_附属明細表P54-57'!I107","I107")</f>
        <v>I107</v>
      </c>
      <c r="D738" s="1708" t="s">
        <v>2064</v>
      </c>
      <c r="E738" s="1754">
        <f>IF('保健_附属明細表P54-57'!I107="","",'保健_附属明細表P54-57'!I107)</f>
        <v>0</v>
      </c>
      <c r="F738" s="1708" t="s">
        <v>1905</v>
      </c>
      <c r="G738" s="1709" t="str">
        <f t="shared" si="11"/>
        <v>0（確認）</v>
      </c>
      <c r="H738" s="1708" t="inlineStr">
        <is>
          <t>保健_附属明細表P54-57 I115</t>
        </is>
      </c>
      <c r="I738" s="1708" t="inlineStr">
        <is>
          <t>報告_保健P20-22、保健_財務諸表P53、保健_決算精算表P58</t>
        </is>
      </c>
    </row>
    <row r="739" spans="1:9" ht="19.95" customHeight="1">
      <c r="A739" s="1755" t="s">
        <v>13</v>
      </c>
      <c r="B739" s="1711" t="s">
        <v>1475</v>
      </c>
      <c r="C739" s="1756" t="str">
        <f>HYPERLINK("#'保健_附属明細表P54-57'!L107","L107")</f>
        <v>L107</v>
      </c>
      <c r="D739" s="1711" t="s">
        <v>2065</v>
      </c>
      <c r="E739" s="1757">
        <f>IF('保健_附属明細表P54-57'!L107="","",'保健_附属明細表P54-57'!L107)</f>
        <v>119684</v>
      </c>
      <c r="F739" s="1711" t="s">
        <v>1905</v>
      </c>
      <c r="G739" s="1709" t="str">
        <f t="shared" si="11"/>
        <v>入力済</v>
      </c>
      <c r="H739" s="1708" t="inlineStr">
        <is>
          <t>保健_附属明細表P54-57 L115,R107</t>
        </is>
      </c>
      <c r="I739" s="1708" t="inlineStr">
        <is>
          <t>同じシート内のみ</t>
        </is>
      </c>
    </row>
    <row r="740" spans="1:9" ht="19.95" customHeight="1">
      <c r="A740" s="1752" t="s">
        <v>13</v>
      </c>
      <c r="B740" s="1708" t="s">
        <v>1475</v>
      </c>
      <c r="C740" s="1753" t="str">
        <f>HYPERLINK("#'保健_附属明細表P54-57'!O107","O107")</f>
        <v>O107</v>
      </c>
      <c r="D740" s="1708" t="s">
        <v>2066</v>
      </c>
      <c r="E740" s="1754">
        <f>IF('保健_附属明細表P54-57'!O107="","",'保健_附属明細表P54-57'!O107)</f>
        <v>0</v>
      </c>
      <c r="F740" s="1708" t="s">
        <v>1905</v>
      </c>
      <c r="G740" s="1709" t="str">
        <f t="shared" si="11"/>
        <v>0（確認）</v>
      </c>
      <c r="H740" s="1708" t="inlineStr">
        <is>
          <t>保健_附属明細表P54-57 O115</t>
        </is>
      </c>
      <c r="I740" s="1708" t="inlineStr">
        <is>
          <t>保健_財務諸表P53P53</t>
        </is>
      </c>
    </row>
    <row r="741" spans="1:9" ht="19.95" customHeight="1">
      <c r="A741" s="1755" t="s">
        <v>13</v>
      </c>
      <c r="B741" s="1711" t="s">
        <v>1475</v>
      </c>
      <c r="C741" s="1756" t="str">
        <f>HYPERLINK("#'保健_附属明細表P54-57'!D108","D108")</f>
        <v>D108</v>
      </c>
      <c r="D741" s="1711" t="s">
        <v>2067</v>
      </c>
      <c r="E741" s="1757">
        <f>IF('保健_附属明細表P54-57'!D108="","",'保健_附属明細表P54-57'!D108)</f>
        <v>5</v>
      </c>
      <c r="F741" s="1711" t="s">
        <v>1905</v>
      </c>
      <c r="G741" s="1709" t="str">
        <f t="shared" si="11"/>
        <v>入力済</v>
      </c>
      <c r="H741" s="1708" t="inlineStr">
        <is>
          <t>なし（このセルのみ）</t>
        </is>
      </c>
      <c r="I741" s="1708" t="inlineStr">
        <is>
          <t>―</t>
        </is>
      </c>
    </row>
    <row r="742" spans="1:9" ht="19.95" customHeight="1">
      <c r="A742" s="1752" t="s">
        <v>13</v>
      </c>
      <c r="B742" s="1708" t="s">
        <v>1475</v>
      </c>
      <c r="C742" s="1753" t="str">
        <f>HYPERLINK("#'保健_附属明細表P54-57'!F108","F108")</f>
        <v>F108</v>
      </c>
      <c r="D742" s="1708" t="s">
        <v>2068</v>
      </c>
      <c r="E742" s="1754">
        <f>IF('保健_附属明細表P54-57'!F108="","",'保健_附属明細表P54-57'!F108)</f>
        <v>6715</v>
      </c>
      <c r="F742" s="1708" t="s">
        <v>1905</v>
      </c>
      <c r="G742" s="1709" t="str">
        <f t="shared" si="11"/>
        <v>入力済</v>
      </c>
      <c r="H742" s="1708" t="inlineStr">
        <is>
          <t>保健_附属明細表P54-57 F115,R108</t>
        </is>
      </c>
      <c r="I742" s="1708" t="inlineStr">
        <is>
          <t>同じシート内のみ</t>
        </is>
      </c>
    </row>
    <row r="743" spans="1:9" ht="19.95" customHeight="1">
      <c r="A743" s="1755" t="s">
        <v>13</v>
      </c>
      <c r="B743" s="1711" t="s">
        <v>1475</v>
      </c>
      <c r="C743" s="1756" t="str">
        <f>HYPERLINK("#'保健_附属明細表P54-57'!I108","I108")</f>
        <v>I108</v>
      </c>
      <c r="D743" s="1711" t="s">
        <v>2069</v>
      </c>
      <c r="E743" s="1757">
        <f>IF('保健_附属明細表P54-57'!I108="","",'保健_附属明細表P54-57'!I108)</f>
        <v>0</v>
      </c>
      <c r="F743" s="1711" t="s">
        <v>1905</v>
      </c>
      <c r="G743" s="1709" t="str">
        <f t="shared" si="11"/>
        <v>0（確認）</v>
      </c>
      <c r="H743" s="1708" t="inlineStr">
        <is>
          <t>保健_附属明細表P54-57 I115</t>
        </is>
      </c>
      <c r="I743" s="1708" t="inlineStr">
        <is>
          <t>報告_保健P20-22、保健_財務諸表P53、保健_決算精算表P58</t>
        </is>
      </c>
    </row>
    <row r="744" spans="1:9" ht="19.95" customHeight="1">
      <c r="A744" s="1752" t="s">
        <v>13</v>
      </c>
      <c r="B744" s="1708" t="s">
        <v>1475</v>
      </c>
      <c r="C744" s="1753" t="str">
        <f>HYPERLINK("#'保健_附属明細表P54-57'!L108","L108")</f>
        <v>L108</v>
      </c>
      <c r="D744" s="1708" t="s">
        <v>2070</v>
      </c>
      <c r="E744" s="1754">
        <f>IF('保健_附属明細表P54-57'!L108="","",'保健_附属明細表P54-57'!L108)</f>
        <v>6714</v>
      </c>
      <c r="F744" s="1708" t="s">
        <v>1905</v>
      </c>
      <c r="G744" s="1709" t="str">
        <f t="shared" si="11"/>
        <v>入力済</v>
      </c>
      <c r="H744" s="1708" t="inlineStr">
        <is>
          <t>保健_附属明細表P54-57 L115,R108</t>
        </is>
      </c>
      <c r="I744" s="1708" t="inlineStr">
        <is>
          <t>同じシート内のみ</t>
        </is>
      </c>
    </row>
    <row r="745" spans="1:9" ht="19.95" customHeight="1">
      <c r="A745" s="1755" t="s">
        <v>13</v>
      </c>
      <c r="B745" s="1711" t="s">
        <v>1475</v>
      </c>
      <c r="C745" s="1756" t="str">
        <f>HYPERLINK("#'保健_附属明細表P54-57'!O108","O108")</f>
        <v>O108</v>
      </c>
      <c r="D745" s="1711" t="s">
        <v>2071</v>
      </c>
      <c r="E745" s="1757">
        <f>IF('保健_附属明細表P54-57'!O108="","",'保健_附属明細表P54-57'!O108)</f>
        <v>0</v>
      </c>
      <c r="F745" s="1711" t="s">
        <v>1905</v>
      </c>
      <c r="G745" s="1709" t="str">
        <f t="shared" si="11"/>
        <v>0（確認）</v>
      </c>
      <c r="H745" s="1708" t="inlineStr">
        <is>
          <t>保健_附属明細表P54-57 O115</t>
        </is>
      </c>
      <c r="I745" s="1708" t="inlineStr">
        <is>
          <t>保健_財務諸表P53P53</t>
        </is>
      </c>
    </row>
    <row r="746" spans="1:9" ht="19.95" customHeight="1">
      <c r="A746" s="1752" t="s">
        <v>13</v>
      </c>
      <c r="B746" s="1708" t="s">
        <v>1475</v>
      </c>
      <c r="C746" s="1753" t="str">
        <f>HYPERLINK("#'保健_附属明細表P54-57'!D109","D109")</f>
        <v>D109</v>
      </c>
      <c r="D746" s="1708" t="s">
        <v>2072</v>
      </c>
      <c r="E746" s="1754">
        <f>IF('保健_附属明細表P54-57'!D109="","",'保健_附属明細表P54-57'!D109)</f>
        <v>3</v>
      </c>
      <c r="F746" s="1708" t="s">
        <v>1905</v>
      </c>
      <c r="G746" s="1709" t="str">
        <f t="shared" si="11"/>
        <v>入力済</v>
      </c>
      <c r="H746" s="1708" t="inlineStr">
        <is>
          <t>なし（このセルのみ）</t>
        </is>
      </c>
      <c r="I746" s="1708" t="inlineStr">
        <is>
          <t>―</t>
        </is>
      </c>
    </row>
    <row r="747" spans="1:9" ht="19.95" customHeight="1">
      <c r="A747" s="1755" t="s">
        <v>13</v>
      </c>
      <c r="B747" s="1711" t="s">
        <v>1475</v>
      </c>
      <c r="C747" s="1756" t="str">
        <f>HYPERLINK("#'保健_附属明細表P54-57'!F109","F109")</f>
        <v>F109</v>
      </c>
      <c r="D747" s="1711" t="s">
        <v>2073</v>
      </c>
      <c r="E747" s="1757">
        <f>IF('保健_附属明細表P54-57'!F109="","",'保健_附属明細表P54-57'!F109)</f>
        <v>19707</v>
      </c>
      <c r="F747" s="1711" t="s">
        <v>1905</v>
      </c>
      <c r="G747" s="1709" t="str">
        <f t="shared" si="11"/>
        <v>入力済</v>
      </c>
      <c r="H747" s="1708" t="inlineStr">
        <is>
          <t>保健_附属明細表P54-57 F115,R109</t>
        </is>
      </c>
      <c r="I747" s="1708" t="inlineStr">
        <is>
          <t>同じシート内のみ</t>
        </is>
      </c>
    </row>
    <row r="748" spans="1:9" ht="19.95" customHeight="1">
      <c r="A748" s="1752" t="s">
        <v>13</v>
      </c>
      <c r="B748" s="1708" t="s">
        <v>1475</v>
      </c>
      <c r="C748" s="1753" t="str">
        <f>HYPERLINK("#'保健_附属明細表P54-57'!I109","I109")</f>
        <v>I109</v>
      </c>
      <c r="D748" s="1708" t="s">
        <v>2074</v>
      </c>
      <c r="E748" s="1754">
        <f>IF('保健_附属明細表P54-57'!I109="","",'保健_附属明細表P54-57'!I109)</f>
        <v>0</v>
      </c>
      <c r="F748" s="1708" t="s">
        <v>1905</v>
      </c>
      <c r="G748" s="1709" t="str">
        <f t="shared" si="11"/>
        <v>0（確認）</v>
      </c>
      <c r="H748" s="1708" t="inlineStr">
        <is>
          <t>保健_附属明細表P54-57 I115</t>
        </is>
      </c>
      <c r="I748" s="1708" t="inlineStr">
        <is>
          <t>報告_保健P20-22、保健_財務諸表P53、保健_決算精算表P58</t>
        </is>
      </c>
    </row>
    <row r="749" spans="1:9" ht="19.95" customHeight="1">
      <c r="A749" s="1755" t="s">
        <v>13</v>
      </c>
      <c r="B749" s="1711" t="s">
        <v>1475</v>
      </c>
      <c r="C749" s="1756" t="str">
        <f>HYPERLINK("#'保健_附属明細表P54-57'!L109","L109")</f>
        <v>L109</v>
      </c>
      <c r="D749" s="1711" t="s">
        <v>2075</v>
      </c>
      <c r="E749" s="1757">
        <f>IF('保健_附属明細表P54-57'!L109="","",'保健_附属明細表P54-57'!L109)</f>
        <v>19706</v>
      </c>
      <c r="F749" s="1711" t="s">
        <v>1905</v>
      </c>
      <c r="G749" s="1709" t="str">
        <f t="shared" si="11"/>
        <v>入力済</v>
      </c>
      <c r="H749" s="1708" t="inlineStr">
        <is>
          <t>保健_附属明細表P54-57 L115,R109</t>
        </is>
      </c>
      <c r="I749" s="1708" t="inlineStr">
        <is>
          <t>同じシート内のみ</t>
        </is>
      </c>
    </row>
    <row r="750" spans="1:9" ht="19.95" customHeight="1">
      <c r="A750" s="1752" t="s">
        <v>13</v>
      </c>
      <c r="B750" s="1708" t="s">
        <v>1475</v>
      </c>
      <c r="C750" s="1753" t="str">
        <f>HYPERLINK("#'保健_附属明細表P54-57'!O109","O109")</f>
        <v>O109</v>
      </c>
      <c r="D750" s="1708" t="s">
        <v>2076</v>
      </c>
      <c r="E750" s="1754">
        <f>IF('保健_附属明細表P54-57'!O109="","",'保健_附属明細表P54-57'!O109)</f>
        <v>0</v>
      </c>
      <c r="F750" s="1708" t="s">
        <v>1905</v>
      </c>
      <c r="G750" s="1709" t="str">
        <f t="shared" si="11"/>
        <v>0（確認）</v>
      </c>
      <c r="H750" s="1708" t="inlineStr">
        <is>
          <t>保健_附属明細表P54-57 O115</t>
        </is>
      </c>
      <c r="I750" s="1708" t="inlineStr">
        <is>
          <t>保健_財務諸表P53P53</t>
        </is>
      </c>
    </row>
    <row r="751" spans="1:9" ht="19.95" customHeight="1">
      <c r="A751" s="1755" t="s">
        <v>13</v>
      </c>
      <c r="B751" s="1711" t="s">
        <v>1475</v>
      </c>
      <c r="C751" s="1756" t="str">
        <f>HYPERLINK("#'保健_附属明細表P54-57'!D110","D110")</f>
        <v>D110</v>
      </c>
      <c r="D751" s="1711" t="s">
        <v>2077</v>
      </c>
      <c r="E751" s="1757">
        <f>IF('保健_附属明細表P54-57'!D110="","",'保健_附属明細表P54-57'!D110)</f>
        <v>15</v>
      </c>
      <c r="F751" s="1711" t="s">
        <v>1905</v>
      </c>
      <c r="G751" s="1709" t="str">
        <f t="shared" si="11"/>
        <v>入力済</v>
      </c>
      <c r="H751" s="1708" t="inlineStr">
        <is>
          <t>なし（このセルのみ）</t>
        </is>
      </c>
      <c r="I751" s="1708" t="inlineStr">
        <is>
          <t>―</t>
        </is>
      </c>
    </row>
    <row r="752" spans="1:9" ht="19.95" customHeight="1">
      <c r="A752" s="1752" t="s">
        <v>13</v>
      </c>
      <c r="B752" s="1708" t="s">
        <v>1475</v>
      </c>
      <c r="C752" s="1753" t="str">
        <f>HYPERLINK("#'保健_附属明細表P54-57'!F110","F110")</f>
        <v>F110</v>
      </c>
      <c r="D752" s="1708" t="s">
        <v>2078</v>
      </c>
      <c r="E752" s="1754">
        <f>IF('保健_附属明細表P54-57'!F110="","",'保健_附属明細表P54-57'!F110)</f>
        <v>31827</v>
      </c>
      <c r="F752" s="1708" t="s">
        <v>1905</v>
      </c>
      <c r="G752" s="1709" t="str">
        <f t="shared" si="11"/>
        <v>入力済</v>
      </c>
      <c r="H752" s="1708" t="inlineStr">
        <is>
          <t>保健_附属明細表P54-57 F115,R110</t>
        </is>
      </c>
      <c r="I752" s="1708" t="inlineStr">
        <is>
          <t>同じシート内のみ</t>
        </is>
      </c>
    </row>
    <row r="753" spans="1:9" ht="19.95" customHeight="1">
      <c r="A753" s="1755" t="s">
        <v>13</v>
      </c>
      <c r="B753" s="1711" t="s">
        <v>1475</v>
      </c>
      <c r="C753" s="1756" t="str">
        <f>HYPERLINK("#'保健_附属明細表P54-57'!I110","I110")</f>
        <v>I110</v>
      </c>
      <c r="D753" s="1711" t="s">
        <v>2079</v>
      </c>
      <c r="E753" s="1757">
        <f>IF('保健_附属明細表P54-57'!I110="","",'保健_附属明細表P54-57'!I110)</f>
        <v>0</v>
      </c>
      <c r="F753" s="1711" t="s">
        <v>1905</v>
      </c>
      <c r="G753" s="1709" t="str">
        <f t="shared" si="11"/>
        <v>0（確認）</v>
      </c>
      <c r="H753" s="1708" t="inlineStr">
        <is>
          <t>保健_附属明細表P54-57 I115</t>
        </is>
      </c>
      <c r="I753" s="1708" t="inlineStr">
        <is>
          <t>報告_保健P20-22、保健_財務諸表P53、保健_決算精算表P58</t>
        </is>
      </c>
    </row>
    <row r="754" spans="1:9" ht="19.95" customHeight="1">
      <c r="A754" s="1752" t="s">
        <v>13</v>
      </c>
      <c r="B754" s="1708" t="s">
        <v>1475</v>
      </c>
      <c r="C754" s="1753" t="str">
        <f>HYPERLINK("#'保健_附属明細表P54-57'!L110","L110")</f>
        <v>L110</v>
      </c>
      <c r="D754" s="1708" t="s">
        <v>2080</v>
      </c>
      <c r="E754" s="1754">
        <f>IF('保健_附属明細表P54-57'!L110="","",'保健_附属明細表P54-57'!L110)</f>
        <v>31826</v>
      </c>
      <c r="F754" s="1708" t="s">
        <v>1905</v>
      </c>
      <c r="G754" s="1709" t="str">
        <f t="shared" si="11"/>
        <v>入力済</v>
      </c>
      <c r="H754" s="1708" t="inlineStr">
        <is>
          <t>保健_附属明細表P54-57 L115,R110</t>
        </is>
      </c>
      <c r="I754" s="1708" t="inlineStr">
        <is>
          <t>同じシート内のみ</t>
        </is>
      </c>
    </row>
    <row r="755" spans="1:9" ht="19.95" customHeight="1">
      <c r="A755" s="1755" t="s">
        <v>13</v>
      </c>
      <c r="B755" s="1711" t="s">
        <v>1475</v>
      </c>
      <c r="C755" s="1756" t="str">
        <f>HYPERLINK("#'保健_附属明細表P54-57'!O110","O110")</f>
        <v>O110</v>
      </c>
      <c r="D755" s="1711" t="s">
        <v>2081</v>
      </c>
      <c r="E755" s="1757">
        <f>IF('保健_附属明細表P54-57'!O110="","",'保健_附属明細表P54-57'!O110)</f>
        <v>0</v>
      </c>
      <c r="F755" s="1711" t="s">
        <v>1905</v>
      </c>
      <c r="G755" s="1709" t="str">
        <f t="shared" si="11"/>
        <v>0（確認）</v>
      </c>
      <c r="H755" s="1708" t="inlineStr">
        <is>
          <t>保健_附属明細表P54-57 O115</t>
        </is>
      </c>
      <c r="I755" s="1708" t="inlineStr">
        <is>
          <t>保健_財務諸表P53P53</t>
        </is>
      </c>
    </row>
    <row r="756" spans="1:9" ht="19.95" customHeight="1">
      <c r="A756" s="1752" t="s">
        <v>13</v>
      </c>
      <c r="B756" s="1708" t="s">
        <v>1475</v>
      </c>
      <c r="C756" s="1753" t="str">
        <f>HYPERLINK("#'保健_附属明細表P54-57'!D111","D111")</f>
        <v>D111</v>
      </c>
      <c r="D756" s="1708" t="s">
        <v>2082</v>
      </c>
      <c r="E756" s="1754">
        <f>IF('保健_附属明細表P54-57'!D111="","",'保健_附属明細表P54-57'!D111)</f>
        <v>15</v>
      </c>
      <c r="F756" s="1708" t="s">
        <v>1905</v>
      </c>
      <c r="G756" s="1709" t="str">
        <f t="shared" si="11"/>
        <v>入力済</v>
      </c>
      <c r="H756" s="1708" t="inlineStr">
        <is>
          <t>なし（このセルのみ）</t>
        </is>
      </c>
      <c r="I756" s="1708" t="inlineStr">
        <is>
          <t>―</t>
        </is>
      </c>
    </row>
    <row r="757" spans="1:9" ht="19.95" customHeight="1">
      <c r="A757" s="1755" t="s">
        <v>13</v>
      </c>
      <c r="B757" s="1711" t="s">
        <v>1475</v>
      </c>
      <c r="C757" s="1756" t="str">
        <f>HYPERLINK("#'保健_附属明細表P54-57'!F111","F111")</f>
        <v>F111</v>
      </c>
      <c r="D757" s="1711" t="s">
        <v>2083</v>
      </c>
      <c r="E757" s="1757">
        <f>IF('保健_附属明細表P54-57'!F111="","",'保健_附属明細表P54-57'!F111)</f>
        <v>161298</v>
      </c>
      <c r="F757" s="1711" t="s">
        <v>1905</v>
      </c>
      <c r="G757" s="1709" t="str">
        <f t="shared" si="11"/>
        <v>入力済</v>
      </c>
      <c r="H757" s="1708" t="inlineStr">
        <is>
          <t>保健_附属明細表P54-57 F115,R111</t>
        </is>
      </c>
      <c r="I757" s="1708" t="inlineStr">
        <is>
          <t>同じシート内のみ</t>
        </is>
      </c>
    </row>
    <row r="758" spans="1:9" ht="19.95" customHeight="1">
      <c r="A758" s="1752" t="s">
        <v>13</v>
      </c>
      <c r="B758" s="1708" t="s">
        <v>1475</v>
      </c>
      <c r="C758" s="1753" t="str">
        <f>HYPERLINK("#'保健_附属明細表P54-57'!I111","I111")</f>
        <v>I111</v>
      </c>
      <c r="D758" s="1708" t="s">
        <v>2084</v>
      </c>
      <c r="E758" s="1754">
        <f>IF('保健_附属明細表P54-57'!I111="","",'保健_附属明細表P54-57'!I111)</f>
        <v>0</v>
      </c>
      <c r="F758" s="1708" t="s">
        <v>1905</v>
      </c>
      <c r="G758" s="1709" t="str">
        <f t="shared" si="11"/>
        <v>0（確認）</v>
      </c>
      <c r="H758" s="1708" t="inlineStr">
        <is>
          <t>保健_附属明細表P54-57 I115</t>
        </is>
      </c>
      <c r="I758" s="1708" t="inlineStr">
        <is>
          <t>報告_保健P20-22、保健_財務諸表P53、保健_決算精算表P58</t>
        </is>
      </c>
    </row>
    <row r="759" spans="1:9" ht="19.95" customHeight="1">
      <c r="A759" s="1755" t="s">
        <v>13</v>
      </c>
      <c r="B759" s="1711" t="s">
        <v>1475</v>
      </c>
      <c r="C759" s="1756" t="str">
        <f>HYPERLINK("#'保健_附属明細表P54-57'!L111","L111")</f>
        <v>L111</v>
      </c>
      <c r="D759" s="1711" t="s">
        <v>2085</v>
      </c>
      <c r="E759" s="1757">
        <f>IF('保健_附属明細表P54-57'!L111="","",'保健_附属明細表P54-57'!L111)</f>
        <v>161297</v>
      </c>
      <c r="F759" s="1711" t="s">
        <v>1905</v>
      </c>
      <c r="G759" s="1709" t="str">
        <f t="shared" si="11"/>
        <v>入力済</v>
      </c>
      <c r="H759" s="1708" t="inlineStr">
        <is>
          <t>保健_附属明細表P54-57 L115,R111</t>
        </is>
      </c>
      <c r="I759" s="1708" t="inlineStr">
        <is>
          <t>同じシート内のみ</t>
        </is>
      </c>
    </row>
    <row r="760" spans="1:9" ht="19.95" customHeight="1">
      <c r="A760" s="1752" t="s">
        <v>13</v>
      </c>
      <c r="B760" s="1708" t="s">
        <v>1475</v>
      </c>
      <c r="C760" s="1753" t="str">
        <f>HYPERLINK("#'保健_附属明細表P54-57'!O111","O111")</f>
        <v>O111</v>
      </c>
      <c r="D760" s="1708" t="s">
        <v>2086</v>
      </c>
      <c r="E760" s="1754">
        <f>IF('保健_附属明細表P54-57'!O111="","",'保健_附属明細表P54-57'!O111)</f>
        <v>0</v>
      </c>
      <c r="F760" s="1708" t="s">
        <v>1905</v>
      </c>
      <c r="G760" s="1709" t="str">
        <f t="shared" si="11"/>
        <v>0（確認）</v>
      </c>
      <c r="H760" s="1708" t="inlineStr">
        <is>
          <t>保健_附属明細表P54-57 O115</t>
        </is>
      </c>
      <c r="I760" s="1708" t="inlineStr">
        <is>
          <t>保健_財務諸表P53P53</t>
        </is>
      </c>
    </row>
    <row r="761" spans="1:9" ht="19.95" customHeight="1">
      <c r="A761" s="1755" t="s">
        <v>13</v>
      </c>
      <c r="B761" s="1711" t="s">
        <v>1475</v>
      </c>
      <c r="C761" s="1756" t="str">
        <f>HYPERLINK("#'保健_附属明細表P54-57'!D112","D112")</f>
        <v>D112</v>
      </c>
      <c r="D761" s="1711" t="s">
        <v>2087</v>
      </c>
      <c r="E761" s="1757">
        <f>IF('保健_附属明細表P54-57'!D112="","",'保健_附属明細表P54-57'!D112)</f>
        <v>4</v>
      </c>
      <c r="F761" s="1711" t="s">
        <v>1905</v>
      </c>
      <c r="G761" s="1709" t="str">
        <f t="shared" si="11"/>
        <v>入力済</v>
      </c>
      <c r="H761" s="1708" t="inlineStr">
        <is>
          <t>なし（このセルのみ）</t>
        </is>
      </c>
      <c r="I761" s="1708" t="inlineStr">
        <is>
          <t>―</t>
        </is>
      </c>
    </row>
    <row r="762" spans="1:9" ht="19.95" customHeight="1">
      <c r="A762" s="1752" t="s">
        <v>13</v>
      </c>
      <c r="B762" s="1708" t="s">
        <v>1475</v>
      </c>
      <c r="C762" s="1753" t="str">
        <f>HYPERLINK("#'保健_附属明細表P54-57'!F112","F112")</f>
        <v>F112</v>
      </c>
      <c r="D762" s="1708" t="s">
        <v>2088</v>
      </c>
      <c r="E762" s="1754">
        <f>IF('保健_附属明細表P54-57'!F112="","",'保健_附属明細表P54-57'!F112)</f>
        <v>115500</v>
      </c>
      <c r="F762" s="1708" t="s">
        <v>1905</v>
      </c>
      <c r="G762" s="1709" t="str">
        <f t="shared" si="11"/>
        <v>入力済</v>
      </c>
      <c r="H762" s="1708" t="inlineStr">
        <is>
          <t>保健_附属明細表P54-57 F115,R112</t>
        </is>
      </c>
      <c r="I762" s="1708" t="inlineStr">
        <is>
          <t>同じシート内のみ</t>
        </is>
      </c>
    </row>
    <row r="763" spans="1:9" ht="19.95" customHeight="1">
      <c r="A763" s="1755" t="s">
        <v>13</v>
      </c>
      <c r="B763" s="1711" t="s">
        <v>1475</v>
      </c>
      <c r="C763" s="1756" t="str">
        <f>HYPERLINK("#'保健_附属明細表P54-57'!I112","I112")</f>
        <v>I112</v>
      </c>
      <c r="D763" s="1711" t="s">
        <v>2089</v>
      </c>
      <c r="E763" s="1757">
        <f>IF('保健_附属明細表P54-57'!I112="","",'保健_附属明細表P54-57'!I112)</f>
        <v>0</v>
      </c>
      <c r="F763" s="1711" t="s">
        <v>1905</v>
      </c>
      <c r="G763" s="1709" t="str">
        <f t="shared" si="11"/>
        <v>0（確認）</v>
      </c>
      <c r="H763" s="1708" t="inlineStr">
        <is>
          <t>保健_附属明細表P54-57 I115</t>
        </is>
      </c>
      <c r="I763" s="1708" t="inlineStr">
        <is>
          <t>報告_保健P20-22、保健_財務諸表P53、保健_決算精算表P58</t>
        </is>
      </c>
    </row>
    <row r="764" spans="1:9" ht="19.95" customHeight="1">
      <c r="A764" s="1752" t="s">
        <v>13</v>
      </c>
      <c r="B764" s="1708" t="s">
        <v>1475</v>
      </c>
      <c r="C764" s="1753" t="str">
        <f>HYPERLINK("#'保健_附属明細表P54-57'!L112","L112")</f>
        <v>L112</v>
      </c>
      <c r="D764" s="1708" t="s">
        <v>2090</v>
      </c>
      <c r="E764" s="1754">
        <f>IF('保健_附属明細表P54-57'!L112="","",'保健_附属明細表P54-57'!L112)</f>
        <v>115499</v>
      </c>
      <c r="F764" s="1708" t="s">
        <v>1905</v>
      </c>
      <c r="G764" s="1709" t="str">
        <f t="shared" si="11"/>
        <v>入力済</v>
      </c>
      <c r="H764" s="1708" t="inlineStr">
        <is>
          <t>保健_附属明細表P54-57 L115,R112</t>
        </is>
      </c>
      <c r="I764" s="1708" t="inlineStr">
        <is>
          <t>同じシート内のみ</t>
        </is>
      </c>
    </row>
    <row r="765" spans="1:9" ht="19.95" customHeight="1">
      <c r="A765" s="1755" t="s">
        <v>13</v>
      </c>
      <c r="B765" s="1711" t="s">
        <v>1475</v>
      </c>
      <c r="C765" s="1756" t="str">
        <f>HYPERLINK("#'保健_附属明細表P54-57'!O112","O112")</f>
        <v>O112</v>
      </c>
      <c r="D765" s="1711" t="s">
        <v>2091</v>
      </c>
      <c r="E765" s="1757">
        <f>IF('保健_附属明細表P54-57'!O112="","",'保健_附属明細表P54-57'!O112)</f>
        <v>0</v>
      </c>
      <c r="F765" s="1711" t="s">
        <v>1905</v>
      </c>
      <c r="G765" s="1709" t="str">
        <f t="shared" si="11"/>
        <v>0（確認）</v>
      </c>
      <c r="H765" s="1708" t="inlineStr">
        <is>
          <t>保健_附属明細表P54-57 O115</t>
        </is>
      </c>
      <c r="I765" s="1708" t="inlineStr">
        <is>
          <t>保健_財務諸表P53P53</t>
        </is>
      </c>
    </row>
    <row r="766" spans="1:9" ht="19.95" customHeight="1">
      <c r="A766" s="1752" t="s">
        <v>13</v>
      </c>
      <c r="B766" s="1708" t="s">
        <v>1475</v>
      </c>
      <c r="C766" s="1753" t="str">
        <f>HYPERLINK("#'保健_附属明細表P54-57'!D113","D113")</f>
        <v>D113</v>
      </c>
      <c r="D766" s="1708" t="s">
        <v>2092</v>
      </c>
      <c r="E766" s="1754">
        <f>IF('保健_附属明細表P54-57'!D113="","",'保健_附属明細表P54-57'!D113)</f>
        <v>4</v>
      </c>
      <c r="F766" s="1708" t="s">
        <v>1905</v>
      </c>
      <c r="G766" s="1709" t="str">
        <f t="shared" si="11"/>
        <v>入力済</v>
      </c>
      <c r="H766" s="1708" t="inlineStr">
        <is>
          <t>なし（このセルのみ）</t>
        </is>
      </c>
      <c r="I766" s="1708" t="inlineStr">
        <is>
          <t>―</t>
        </is>
      </c>
    </row>
    <row r="767" spans="1:9" ht="19.95" customHeight="1">
      <c r="A767" s="1755" t="s">
        <v>13</v>
      </c>
      <c r="B767" s="1711" t="s">
        <v>1475</v>
      </c>
      <c r="C767" s="1756" t="str">
        <f>HYPERLINK("#'保健_附属明細表P54-57'!F113","F113")</f>
        <v>F113</v>
      </c>
      <c r="D767" s="1711" t="s">
        <v>2093</v>
      </c>
      <c r="E767" s="1757">
        <f>IF('保健_附属明細表P54-57'!F113="","",'保健_附属明細表P54-57'!F113)</f>
        <v>112350</v>
      </c>
      <c r="F767" s="1711" t="s">
        <v>1905</v>
      </c>
      <c r="G767" s="1709" t="str">
        <f t="shared" si="11"/>
        <v>入力済</v>
      </c>
      <c r="H767" s="1708" t="inlineStr">
        <is>
          <t>保健_附属明細表P54-57 F115,R113</t>
        </is>
      </c>
      <c r="I767" s="1708" t="inlineStr">
        <is>
          <t>同じシート内のみ</t>
        </is>
      </c>
    </row>
    <row r="768" spans="1:9" ht="19.95" customHeight="1">
      <c r="A768" s="1752" t="s">
        <v>13</v>
      </c>
      <c r="B768" s="1708" t="s">
        <v>1475</v>
      </c>
      <c r="C768" s="1753" t="str">
        <f>HYPERLINK("#'保健_附属明細表P54-57'!I113","I113")</f>
        <v>I113</v>
      </c>
      <c r="D768" s="1708" t="s">
        <v>2094</v>
      </c>
      <c r="E768" s="1754">
        <f>IF('保健_附属明細表P54-57'!I113="","",'保健_附属明細表P54-57'!I113)</f>
        <v>0</v>
      </c>
      <c r="F768" s="1708" t="s">
        <v>1905</v>
      </c>
      <c r="G768" s="1709" t="str">
        <f t="shared" si="11"/>
        <v>0（確認）</v>
      </c>
      <c r="H768" s="1708" t="inlineStr">
        <is>
          <t>保健_附属明細表P54-57 I115</t>
        </is>
      </c>
      <c r="I768" s="1708" t="inlineStr">
        <is>
          <t>報告_保健P20-22、保健_財務諸表P53、保健_決算精算表P58</t>
        </is>
      </c>
    </row>
    <row r="769" spans="1:9" ht="19.95" customHeight="1">
      <c r="A769" s="1755" t="s">
        <v>13</v>
      </c>
      <c r="B769" s="1711" t="s">
        <v>1475</v>
      </c>
      <c r="C769" s="1756" t="str">
        <f>HYPERLINK("#'保健_附属明細表P54-57'!L113","L113")</f>
        <v>L113</v>
      </c>
      <c r="D769" s="1711" t="s">
        <v>2095</v>
      </c>
      <c r="E769" s="1757">
        <f>IF('保健_附属明細表P54-57'!L113="","",'保健_附属明細表P54-57'!L113)</f>
        <v>112349</v>
      </c>
      <c r="F769" s="1711" t="s">
        <v>1905</v>
      </c>
      <c r="G769" s="1709" t="str">
        <f t="shared" si="11"/>
        <v>入力済</v>
      </c>
      <c r="H769" s="1708" t="inlineStr">
        <is>
          <t>保健_附属明細表P54-57 L115,R113</t>
        </is>
      </c>
      <c r="I769" s="1708" t="inlineStr">
        <is>
          <t>同じシート内のみ</t>
        </is>
      </c>
    </row>
    <row r="770" spans="1:9" ht="19.95" customHeight="1">
      <c r="A770" s="1752" t="s">
        <v>13</v>
      </c>
      <c r="B770" s="1708" t="s">
        <v>1475</v>
      </c>
      <c r="C770" s="1753" t="str">
        <f>HYPERLINK("#'保健_附属明細表P54-57'!O113","O113")</f>
        <v>O113</v>
      </c>
      <c r="D770" s="1708" t="s">
        <v>2096</v>
      </c>
      <c r="E770" s="1754">
        <f>IF('保健_附属明細表P54-57'!O113="","",'保健_附属明細表P54-57'!O113)</f>
        <v>0</v>
      </c>
      <c r="F770" s="1708" t="s">
        <v>1905</v>
      </c>
      <c r="G770" s="1709" t="str">
        <f t="shared" si="11"/>
        <v>0（確認）</v>
      </c>
      <c r="H770" s="1708" t="inlineStr">
        <is>
          <t>保健_附属明細表P54-57 O115</t>
        </is>
      </c>
      <c r="I770" s="1708" t="inlineStr">
        <is>
          <t>保健_財務諸表P53P53</t>
        </is>
      </c>
    </row>
    <row r="771" spans="1:9" ht="19.95" customHeight="1">
      <c r="A771" s="1755" t="s">
        <v>13</v>
      </c>
      <c r="B771" s="1711" t="s">
        <v>1475</v>
      </c>
      <c r="C771" s="1756" t="str">
        <f>HYPERLINK("#'保健_附属明細表P54-57'!D114","D114")</f>
        <v>D114</v>
      </c>
      <c r="D771" s="1711" t="s">
        <v>2097</v>
      </c>
      <c r="E771" s="1757">
        <f>IF('保健_附属明細表P54-57'!D114="","",'保健_附属明細表P54-57'!D114)</f>
        <v>4</v>
      </c>
      <c r="F771" s="1711" t="s">
        <v>1905</v>
      </c>
      <c r="G771" s="1709" t="str">
        <f t="shared" si="11"/>
        <v>入力済</v>
      </c>
      <c r="H771" s="1708" t="inlineStr">
        <is>
          <t>なし（このセルのみ）</t>
        </is>
      </c>
      <c r="I771" s="1708" t="inlineStr">
        <is>
          <t>―</t>
        </is>
      </c>
    </row>
    <row r="772" spans="1:9" ht="19.95" customHeight="1">
      <c r="A772" s="1752" t="s">
        <v>13</v>
      </c>
      <c r="B772" s="1708" t="s">
        <v>1475</v>
      </c>
      <c r="C772" s="1753" t="str">
        <f>HYPERLINK("#'保健_附属明細表P54-57'!F114","F114")</f>
        <v>F114</v>
      </c>
      <c r="D772" s="1708" t="s">
        <v>2098</v>
      </c>
      <c r="E772" s="1754">
        <f>IF('保健_附属明細表P54-57'!F114="","",'保健_附属明細表P54-57'!F114)</f>
        <v>110250</v>
      </c>
      <c r="F772" s="1708" t="s">
        <v>1905</v>
      </c>
      <c r="G772" s="1709" t="str">
        <f t="shared" si="11"/>
        <v>入力済</v>
      </c>
      <c r="H772" s="1708" t="inlineStr">
        <is>
          <t>保健_附属明細表P54-57 F115,R114</t>
        </is>
      </c>
      <c r="I772" s="1708" t="inlineStr">
        <is>
          <t>同じシート内のみ</t>
        </is>
      </c>
    </row>
    <row r="773" spans="1:9" ht="19.95" customHeight="1">
      <c r="A773" s="1755" t="s">
        <v>13</v>
      </c>
      <c r="B773" s="1711" t="s">
        <v>1475</v>
      </c>
      <c r="C773" s="1756" t="str">
        <f>HYPERLINK("#'保健_附属明細表P54-57'!I114","I114")</f>
        <v>I114</v>
      </c>
      <c r="D773" s="1711" t="s">
        <v>2099</v>
      </c>
      <c r="E773" s="1757">
        <f>IF('保健_附属明細表P54-57'!I114="","",'保健_附属明細表P54-57'!I114)</f>
        <v>0</v>
      </c>
      <c r="F773" s="1711" t="s">
        <v>1905</v>
      </c>
      <c r="G773" s="1709" t="str">
        <f t="shared" si="11"/>
        <v>0（確認）</v>
      </c>
      <c r="H773" s="1708" t="inlineStr">
        <is>
          <t>保健_附属明細表P54-57 I115</t>
        </is>
      </c>
      <c r="I773" s="1708" t="inlineStr">
        <is>
          <t>報告_保健P20-22、保健_財務諸表P53、保健_決算精算表P58</t>
        </is>
      </c>
    </row>
    <row r="774" spans="1:9" ht="19.95" customHeight="1">
      <c r="A774" s="1752" t="s">
        <v>13</v>
      </c>
      <c r="B774" s="1708" t="s">
        <v>1475</v>
      </c>
      <c r="C774" s="1753" t="str">
        <f>HYPERLINK("#'保健_附属明細表P54-57'!L114","L114")</f>
        <v>L114</v>
      </c>
      <c r="D774" s="1708" t="s">
        <v>2100</v>
      </c>
      <c r="E774" s="1754">
        <f>IF('保健_附属明細表P54-57'!L114="","",'保健_附属明細表P54-57'!L114)</f>
        <v>110249</v>
      </c>
      <c r="F774" s="1708" t="s">
        <v>1905</v>
      </c>
      <c r="G774" s="1709" t="str">
        <f t="shared" ref="G774:G842" si="12">IF(E774="","未入力（空欄）",IF(E774=0,"0（確認）","入力済"))</f>
        <v>入力済</v>
      </c>
      <c r="H774" s="1708" t="inlineStr">
        <is>
          <t>保健_附属明細表P54-57 L115,R114</t>
        </is>
      </c>
      <c r="I774" s="1708" t="inlineStr">
        <is>
          <t>同じシート内のみ</t>
        </is>
      </c>
    </row>
    <row r="775" spans="1:9" ht="19.95" customHeight="1">
      <c r="A775" s="1755" t="s">
        <v>13</v>
      </c>
      <c r="B775" s="1711" t="s">
        <v>1475</v>
      </c>
      <c r="C775" s="1756" t="str">
        <f>HYPERLINK("#'保健_附属明細表P54-57'!O114","O114")</f>
        <v>O114</v>
      </c>
      <c r="D775" s="1711" t="s">
        <v>2101</v>
      </c>
      <c r="E775" s="1757">
        <f>IF('保健_附属明細表P54-57'!O114="","",'保健_附属明細表P54-57'!O114)</f>
        <v>0</v>
      </c>
      <c r="F775" s="1711" t="s">
        <v>1905</v>
      </c>
      <c r="G775" s="1709" t="str">
        <f t="shared" si="12"/>
        <v>0（確認）</v>
      </c>
      <c r="H775" s="1708" t="inlineStr">
        <is>
          <t>保健_附属明細表P54-57 O115</t>
        </is>
      </c>
      <c r="I775" s="1708" t="inlineStr">
        <is>
          <t>保健_財務諸表P53P53</t>
        </is>
      </c>
    </row>
    <row r="776" spans="1:9" ht="19.95" customHeight="1">
      <c r="A776" s="1752" t="s">
        <v>13</v>
      </c>
      <c r="B776" s="1708" t="s">
        <v>1475</v>
      </c>
      <c r="C776" s="1753" t="str">
        <f>HYPERLINK("#'保健_附属明細表P54-57'!E122","E122")</f>
        <v>E122</v>
      </c>
      <c r="D776" s="1708" t="s">
        <v>2102</v>
      </c>
      <c r="E776" s="1754">
        <f>IF('保健_附属明細表P54-57'!E122="","",'保健_附属明細表P54-57'!E122)</f>
        <v>0</v>
      </c>
      <c r="F776" s="1708" t="s">
        <v>1905</v>
      </c>
      <c r="G776" s="1709" t="str">
        <f t="shared" si="12"/>
        <v>0（確認）</v>
      </c>
      <c r="H776" s="1708" t="inlineStr">
        <is>
          <t>保健_附属明細表P54-57 E123,Q122</t>
        </is>
      </c>
      <c r="I776" s="1708" t="inlineStr">
        <is>
          <t>保健_財務諸表P53P53</t>
        </is>
      </c>
    </row>
    <row r="777" spans="1:9" ht="19.95" customHeight="1">
      <c r="A777" s="1755" t="s">
        <v>13</v>
      </c>
      <c r="B777" s="1711" t="s">
        <v>1475</v>
      </c>
      <c r="C777" s="1756" t="str">
        <f>HYPERLINK("#'保健_附属明細表P54-57'!I122","I122")</f>
        <v>I122</v>
      </c>
      <c r="D777" s="1711" t="s">
        <v>2103</v>
      </c>
      <c r="E777" s="1757">
        <f>IF('保健_附属明細表P54-57'!I122="","",'保健_附属明細表P54-57'!I122)</f>
        <v>0</v>
      </c>
      <c r="F777" s="1711" t="s">
        <v>1905</v>
      </c>
      <c r="G777" s="1709" t="str">
        <f t="shared" si="12"/>
        <v>0（確認）</v>
      </c>
      <c r="H777" s="1708" t="inlineStr">
        <is>
          <t>保健_附属明細表P54-57 I123,Q122</t>
        </is>
      </c>
      <c r="I777" s="1708" t="inlineStr">
        <is>
          <t>保健_財務諸表P53P53</t>
        </is>
      </c>
    </row>
    <row r="778" spans="1:9" ht="19.95" customHeight="1">
      <c r="A778" s="1752" t="s">
        <v>13</v>
      </c>
      <c r="B778" s="1708" t="s">
        <v>1475</v>
      </c>
      <c r="C778" s="1753" t="str">
        <f>HYPERLINK("#'保健_附属明細表P54-57'!M122","M122")</f>
        <v>M122</v>
      </c>
      <c r="D778" s="1708" t="s">
        <v>2104</v>
      </c>
      <c r="E778" s="1754">
        <f>IF('保健_附属明細表P54-57'!M122="","",'保健_附属明細表P54-57'!M122)</f>
        <v>0</v>
      </c>
      <c r="F778" s="1708" t="s">
        <v>1905</v>
      </c>
      <c r="G778" s="1709" t="str">
        <f t="shared" si="12"/>
        <v>0（確認）</v>
      </c>
      <c r="H778" s="1708" t="inlineStr">
        <is>
          <t>保健_附属明細表P54-57 M123,Q122</t>
        </is>
      </c>
      <c r="I778" s="1708" t="inlineStr">
        <is>
          <t>保健_財務諸表P53P53</t>
        </is>
      </c>
    </row>
    <row r="779" spans="1:9" ht="19.95" customHeight="1">
      <c r="A779" s="1755" t="s">
        <v>13</v>
      </c>
      <c r="B779" s="1711" t="s">
        <v>1475</v>
      </c>
      <c r="C779" s="1756" t="str">
        <f>HYPERLINK("#'保健_附属明細表P54-57'!J137","J137")</f>
        <v>J137</v>
      </c>
      <c r="D779" s="1711" t="s">
        <v>2105</v>
      </c>
      <c r="E779" s="1757">
        <f>IF('保健_附属明細表P54-57'!J137="","",'保健_附属明細表P54-57'!J137)</f>
        <v>0</v>
      </c>
      <c r="F779" s="1711" t="s">
        <v>1905</v>
      </c>
      <c r="G779" s="1709" t="str">
        <f t="shared" si="12"/>
        <v>0（確認）</v>
      </c>
      <c r="H779" s="1708" t="inlineStr">
        <is>
          <t>保健_附属明細表P54-57 J139,T137</t>
        </is>
      </c>
      <c r="I779" s="1708" t="inlineStr">
        <is>
          <t>同じシート内のみ</t>
        </is>
      </c>
    </row>
    <row r="780" spans="1:9" ht="19.95" customHeight="1">
      <c r="A780" s="1752" t="s">
        <v>13</v>
      </c>
      <c r="B780" s="1708" t="s">
        <v>1475</v>
      </c>
      <c r="C780" s="1753" t="str">
        <f>HYPERLINK("#'保健_附属明細表P54-57'!O137","O137")</f>
        <v>O137</v>
      </c>
      <c r="D780" s="1708" t="s">
        <v>2106</v>
      </c>
      <c r="E780" s="1754">
        <f>IF('保健_附属明細表P54-57'!O137="","",'保健_附属明細表P54-57'!O137)</f>
        <v>0</v>
      </c>
      <c r="F780" s="1708" t="s">
        <v>1905</v>
      </c>
      <c r="G780" s="1709" t="str">
        <f t="shared" si="12"/>
        <v>0（確認）</v>
      </c>
      <c r="H780" s="1708" t="inlineStr">
        <is>
          <t>保健_附属明細表P54-57 O139,T137</t>
        </is>
      </c>
      <c r="I780" s="1708" t="inlineStr">
        <is>
          <t>同じシート内のみ</t>
        </is>
      </c>
    </row>
    <row r="781" spans="1:9" ht="19.95" customHeight="1">
      <c r="A781" s="1755" t="s">
        <v>13</v>
      </c>
      <c r="B781" s="1711" t="s">
        <v>1475</v>
      </c>
      <c r="C781" s="1756" t="str">
        <f>HYPERLINK("#'保健_附属明細表P54-57'!I145","I145")</f>
        <v>I145</v>
      </c>
      <c r="D781" s="1711" t="s">
        <v>2107</v>
      </c>
      <c r="E781" s="1757">
        <f>IF('保健_附属明細表P54-57'!I145="","",'保健_附属明細表P54-57'!I145)</f>
        <v>0</v>
      </c>
      <c r="F781" s="1711" t="s">
        <v>1905</v>
      </c>
      <c r="G781" s="1709" t="str">
        <f t="shared" si="12"/>
        <v>0（確認）</v>
      </c>
      <c r="H781" s="1708" t="inlineStr">
        <is>
          <t>保健_附属明細表P54-57 I148,Q145</t>
        </is>
      </c>
      <c r="I781" s="1708" t="inlineStr">
        <is>
          <t>保健_財務諸表P53、保健_決算精算表P58</t>
        </is>
      </c>
    </row>
    <row r="782" spans="1:9" ht="19.95" customHeight="1">
      <c r="A782" s="1752" t="s">
        <v>13</v>
      </c>
      <c r="B782" s="1708" t="s">
        <v>1475</v>
      </c>
      <c r="C782" s="1753" t="str">
        <f>HYPERLINK("#'保健_附属明細表P54-57'!I146","I146")</f>
        <v>I146</v>
      </c>
      <c r="D782" s="1708" t="s">
        <v>1926</v>
      </c>
      <c r="E782" s="1754">
        <f>IF('保健_附属明細表P54-57'!I146="","",'保健_附属明細表P54-57'!I146)</f>
        <v>0</v>
      </c>
      <c r="F782" s="1708" t="s">
        <v>1905</v>
      </c>
      <c r="G782" s="1709" t="str">
        <f t="shared" si="12"/>
        <v>0（確認）</v>
      </c>
      <c r="H782" s="1708" t="inlineStr">
        <is>
          <t>保健_附属明細表P54-57 I148,Q146</t>
        </is>
      </c>
      <c r="I782" s="1708" t="inlineStr">
        <is>
          <t>保健_財務諸表P53、保健_決算精算表P58</t>
        </is>
      </c>
    </row>
    <row r="783" spans="1:9" ht="19.95" customHeight="1">
      <c r="A783" s="1755" t="s">
        <v>13</v>
      </c>
      <c r="B783" s="1711" t="s">
        <v>1475</v>
      </c>
      <c r="C783" s="1756" t="str">
        <f>HYPERLINK("#'保健_附属明細表P54-57'!E155","E155")</f>
        <v>E155</v>
      </c>
      <c r="D783" s="1711" t="s">
        <v>2108</v>
      </c>
      <c r="E783" s="1757">
        <f>IF('保健_附属明細表P54-57'!E155="","",'保健_附属明細表P54-57'!E155)</f>
        <v>0</v>
      </c>
      <c r="F783" s="1711" t="s">
        <v>1905</v>
      </c>
      <c r="G783" s="1709" t="str">
        <f t="shared" si="12"/>
        <v>0（確認）</v>
      </c>
      <c r="H783" s="1708" t="inlineStr">
        <is>
          <t>保健_附属明細表P54-57 E156,Q155</t>
        </is>
      </c>
      <c r="I783" s="1708" t="inlineStr">
        <is>
          <t>同じシート内のみ</t>
        </is>
      </c>
    </row>
    <row r="784" spans="1:9" ht="19.95" customHeight="1">
      <c r="A784" s="1752" t="s">
        <v>13</v>
      </c>
      <c r="B784" s="1708" t="s">
        <v>1475</v>
      </c>
      <c r="C784" s="1753" t="str">
        <f>HYPERLINK("#'保健_附属明細表P54-57'!I155","I155")</f>
        <v>I155</v>
      </c>
      <c r="D784" s="1708" t="s">
        <v>2109</v>
      </c>
      <c r="E784" s="1754">
        <f>IF('保健_附属明細表P54-57'!I155="","",'保健_附属明細表P54-57'!I155)</f>
        <v>0</v>
      </c>
      <c r="F784" s="1708" t="s">
        <v>1905</v>
      </c>
      <c r="G784" s="1709" t="str">
        <f t="shared" si="12"/>
        <v>0（確認）</v>
      </c>
      <c r="H784" s="1708" t="inlineStr">
        <is>
          <t>保健_附属明細表P54-57 I156,Q155</t>
        </is>
      </c>
      <c r="I784" s="1708" t="inlineStr">
        <is>
          <t>同じシート内のみ</t>
        </is>
      </c>
    </row>
    <row r="785" spans="1:9" ht="19.95" customHeight="1">
      <c r="A785" s="1755" t="s">
        <v>13</v>
      </c>
      <c r="B785" s="1711" t="s">
        <v>1475</v>
      </c>
      <c r="C785" s="1756" t="str">
        <f>HYPERLINK("#'保健_附属明細表P54-57'!M155","M155")</f>
        <v>M155</v>
      </c>
      <c r="D785" s="1711" t="s">
        <v>2110</v>
      </c>
      <c r="E785" s="1757">
        <f>IF('保健_附属明細表P54-57'!M155="","",'保健_附属明細表P54-57'!M155)</f>
        <v>0</v>
      </c>
      <c r="F785" s="1711" t="s">
        <v>1905</v>
      </c>
      <c r="G785" s="1709" t="str">
        <f t="shared" si="12"/>
        <v>0（確認）</v>
      </c>
      <c r="H785" s="1708" t="inlineStr">
        <is>
          <t>保健_附属明細表P54-57 M156,Q155</t>
        </is>
      </c>
      <c r="I785" s="1708" t="inlineStr">
        <is>
          <t>同じシート内のみ</t>
        </is>
      </c>
    </row>
    <row r="786" spans="1:9" ht="19.95" customHeight="1">
      <c r="A786" s="1752" t="s">
        <v>13</v>
      </c>
      <c r="B786" s="1708" t="s">
        <v>1475</v>
      </c>
      <c r="C786" s="1753" t="str">
        <f>HYPERLINK("#'保健_附属明細表P54-57'!P164","P164")</f>
        <v>P164</v>
      </c>
      <c r="D786" s="1708" t="s">
        <v>2111</v>
      </c>
      <c r="E786" s="1754">
        <f>IF('保健_附属明細表P54-57'!P164="","",'保健_附属明細表P54-57'!P164)</f>
        <v>0</v>
      </c>
      <c r="F786" s="1708" t="s">
        <v>1905</v>
      </c>
      <c r="G786" s="1709" t="str">
        <f t="shared" si="12"/>
        <v>0（確認）</v>
      </c>
      <c r="H786" s="1708" t="inlineStr">
        <is>
          <t>保健_附属明細表P54-57 Q167</t>
        </is>
      </c>
      <c r="I786" s="1708" t="inlineStr">
        <is>
          <t>同じシート内のみ</t>
        </is>
      </c>
    </row>
    <row r="787" spans="1:9" ht="19.95" customHeight="1">
      <c r="A787" s="1755" t="s">
        <v>13</v>
      </c>
      <c r="B787" s="1711" t="s">
        <v>1475</v>
      </c>
      <c r="C787" s="1756" t="str">
        <f>HYPERLINK("#'保健_附属明細表P54-57'!R165","R165")</f>
        <v>R165</v>
      </c>
      <c r="D787" s="1711" t="s">
        <v>2112</v>
      </c>
      <c r="E787" s="1757">
        <f>IF('保健_附属明細表P54-57'!R165="","",'保健_附属明細表P54-57'!R165)</f>
        <v>22319232</v>
      </c>
      <c r="F787" s="1711" t="s">
        <v>1905</v>
      </c>
      <c r="G787" s="1709" t="str">
        <f t="shared" si="12"/>
        <v>入力済</v>
      </c>
      <c r="H787" s="1708" t="inlineStr">
        <is>
          <t>なし（このセルのみ）</t>
        </is>
      </c>
      <c r="I787" s="1708" t="inlineStr">
        <is>
          <t>―</t>
        </is>
      </c>
    </row>
    <row r="788" spans="1:9" ht="19.95" customHeight="1">
      <c r="A788" s="1752" t="s">
        <v>13</v>
      </c>
      <c r="B788" s="1708" t="s">
        <v>1475</v>
      </c>
      <c r="C788" s="1753" t="str">
        <f>HYPERLINK("#'保健_附属明細表P54-57'!R166","R166")</f>
        <v>R166</v>
      </c>
      <c r="D788" s="1708" t="s">
        <v>2113</v>
      </c>
      <c r="E788" s="1754">
        <f>IF('保健_附属明細表P54-57'!R166="","",'保健_附属明細表P54-57'!R166)</f>
        <v>1115961</v>
      </c>
      <c r="F788" s="1708" t="s">
        <v>1905</v>
      </c>
      <c r="G788" s="1709" t="str">
        <f t="shared" si="12"/>
        <v>入力済</v>
      </c>
      <c r="H788" s="1708" t="inlineStr">
        <is>
          <t>なし（このセルのみ）</t>
        </is>
      </c>
      <c r="I788" s="1708" t="inlineStr">
        <is>
          <t>―</t>
        </is>
      </c>
    </row>
    <row r="789" spans="1:9" ht="19.95" customHeight="1">
      <c r="A789" s="1755" t="s">
        <v>13</v>
      </c>
      <c r="B789" s="1711" t="s">
        <v>2114</v>
      </c>
      <c r="C789" s="1756" t="str">
        <f>HYPERLINK("#'保健_決算精算表P58'!C27","C27")</f>
        <v>C27</v>
      </c>
      <c r="D789" s="1711" t="s">
        <v>2014</v>
      </c>
      <c r="E789" s="1757">
        <f>IF('保健_決算精算表P58'!C27="","",'保健_決算精算表P58'!C27)</f>
        <v>6510030</v>
      </c>
      <c r="F789" s="1711" t="s">
        <v>1929</v>
      </c>
      <c r="G789" s="1709" t="str">
        <f t="shared" si="12"/>
        <v>入力済</v>
      </c>
      <c r="H789" s="1708" t="inlineStr">
        <is>
          <t>保健_附属明細表P54-57 J136、保健_決算精算表P58 A27,C53</t>
        </is>
      </c>
      <c r="I789" s="1708" t="inlineStr">
        <is>
          <t>報告_保健P20-22、保健_財務諸表P53、保健_附属明細表P54-57</t>
        </is>
      </c>
    </row>
    <row r="790" spans="1:9" ht="19.95" customHeight="1">
      <c r="A790" s="1752" t="s">
        <v>13</v>
      </c>
      <c r="B790" s="1708" t="s">
        <v>2114</v>
      </c>
      <c r="C790" s="1753" t="str">
        <f>HYPERLINK("#'保健_決算精算表P58'!C28","C28")</f>
        <v>C28</v>
      </c>
      <c r="D790" s="1708" t="s">
        <v>2015</v>
      </c>
      <c r="E790" s="1754">
        <f>IF('保健_決算精算表P58'!C28="","",'保健_決算精算表P58'!C28)</f>
        <v>403592377</v>
      </c>
      <c r="F790" s="1708" t="s">
        <v>1929</v>
      </c>
      <c r="G790" s="1709" t="str">
        <f t="shared" si="12"/>
        <v>入力済</v>
      </c>
      <c r="H790" s="1708" t="inlineStr">
        <is>
          <t>保健_決算精算表P58 A28,C53</t>
        </is>
      </c>
      <c r="I790" s="1708" t="inlineStr">
        <is>
          <t>報告_保健P20-22、保健_財務諸表P53、保健_附属明細表P54-57</t>
        </is>
      </c>
    </row>
    <row r="791" spans="1:9" ht="19.95" customHeight="1">
      <c r="A791" s="1755" t="s">
        <v>13</v>
      </c>
      <c r="B791" s="1711" t="s">
        <v>2114</v>
      </c>
      <c r="C791" s="1756" t="str">
        <f>HYPERLINK("#'保健_決算精算表P58'!C29","C29")</f>
        <v>C29</v>
      </c>
      <c r="D791" s="1711" t="s">
        <v>2115</v>
      </c>
      <c r="E791" s="1757">
        <f>IF('保健_決算精算表P58'!C29="","",'保健_決算精算表P58'!C29)</f>
        <v>16458962</v>
      </c>
      <c r="F791" s="1711" t="s">
        <v>1929</v>
      </c>
      <c r="G791" s="1709" t="str">
        <f t="shared" si="12"/>
        <v>入力済</v>
      </c>
      <c r="H791" s="1708" t="inlineStr">
        <is>
          <t>保健_決算精算表P58 A29,C53</t>
        </is>
      </c>
      <c r="I791" s="1708" t="inlineStr">
        <is>
          <t>報告_保健P20-22、保健_財務諸表P53、保健_附属明細表P54-57</t>
        </is>
      </c>
    </row>
    <row r="792" spans="1:9" ht="19.95" customHeight="1">
      <c r="A792" s="1752" t="s">
        <v>13</v>
      </c>
      <c r="B792" s="1708" t="s">
        <v>2114</v>
      </c>
      <c r="C792" s="1753" t="str">
        <f>HYPERLINK("#'保健_決算精算表P58'!C30","C30")</f>
        <v>C30</v>
      </c>
      <c r="D792" s="1708" t="s">
        <v>2017</v>
      </c>
      <c r="E792" s="1754">
        <f>IF('保健_決算精算表P58'!C30="","",'保健_決算精算表P58'!C30)</f>
        <v>513236</v>
      </c>
      <c r="F792" s="1708" t="s">
        <v>1929</v>
      </c>
      <c r="G792" s="1709" t="str">
        <f t="shared" si="12"/>
        <v>入力済</v>
      </c>
      <c r="H792" s="1708" t="inlineStr">
        <is>
          <t>保健_附属明細表P54-57 J138、保健_決算精算表P58 A30,C53</t>
        </is>
      </c>
      <c r="I792" s="1708" t="inlineStr">
        <is>
          <t>報告_保健P20-22、保健_財務諸表P53、保健_附属明細表P54-57</t>
        </is>
      </c>
    </row>
    <row r="793" spans="1:9" ht="19.95" customHeight="1">
      <c r="A793" s="1755" t="s">
        <v>13</v>
      </c>
      <c r="B793" s="1711" t="s">
        <v>2114</v>
      </c>
      <c r="C793" s="1756" t="str">
        <f>HYPERLINK("#'保健_決算精算表P58'!C31","C31")</f>
        <v>C31</v>
      </c>
      <c r="D793" s="1711" t="s">
        <v>2116</v>
      </c>
      <c r="E793" s="1757">
        <f>IF('保健_決算精算表P58'!C31="","",'保健_決算精算表P58'!C31)</f>
        <v>170673</v>
      </c>
      <c r="F793" s="1711" t="s">
        <v>1929</v>
      </c>
      <c r="G793" s="1709" t="str">
        <f t="shared" si="12"/>
        <v>入力済</v>
      </c>
      <c r="H793" s="1708" t="inlineStr">
        <is>
          <t>保健_決算精算表P58 A31,C53</t>
        </is>
      </c>
      <c r="I793" s="1708" t="inlineStr">
        <is>
          <t>報告_保健P20-22、保健_財務諸表P53、保健_附属明細表P54-57</t>
        </is>
      </c>
    </row>
    <row r="794" spans="1:9" ht="19.95" customHeight="1">
      <c r="A794" s="1752" t="s">
        <v>13</v>
      </c>
      <c r="B794" s="1708" t="s">
        <v>2114</v>
      </c>
      <c r="C794" s="1753" t="str">
        <f>HYPERLINK("#'保健_決算精算表P58'!C33","C33")</f>
        <v>C33</v>
      </c>
      <c r="D794" s="1708" t="s">
        <v>2019</v>
      </c>
      <c r="E794" s="1754">
        <f>IF('保健_決算精算表P58'!C33="","",'保健_決算精算表P58'!C33)</f>
        <v>4282616</v>
      </c>
      <c r="F794" s="1708" t="s">
        <v>1929</v>
      </c>
      <c r="G794" s="1709" t="str">
        <f t="shared" si="12"/>
        <v>入力済</v>
      </c>
      <c r="H794" s="1708" t="inlineStr">
        <is>
          <t>保健_決算精算表P58 A33,C53</t>
        </is>
      </c>
      <c r="I794" s="1708" t="inlineStr">
        <is>
          <t>報告_保健P20-22、保健_財務諸表P53、保健_附属明細表P54-57</t>
        </is>
      </c>
    </row>
    <row r="795" spans="1:9" ht="19.95" customHeight="1">
      <c r="A795" s="1755" t="s">
        <v>13</v>
      </c>
      <c r="B795" s="1711" t="s">
        <v>2114</v>
      </c>
      <c r="C795" s="1756" t="str">
        <f>HYPERLINK("#'保健_決算精算表P58'!C36","C36")</f>
        <v>C36</v>
      </c>
      <c r="D795" s="1711" t="s">
        <v>2117</v>
      </c>
      <c r="E795" s="1757">
        <f>IF('保健_決算精算表P58'!C36="","",'保健_決算精算表P58'!C36)</f>
        <v>22753</v>
      </c>
      <c r="F795" s="1711" t="s">
        <v>1929</v>
      </c>
      <c r="G795" s="1709" t="str">
        <f t="shared" si="12"/>
        <v>入力済</v>
      </c>
      <c r="H795" s="1708" t="inlineStr">
        <is>
          <t>保健_決算精算表P58 A36,C53</t>
        </is>
      </c>
      <c r="I795" s="1708" t="inlineStr">
        <is>
          <t>報告_保健P20-22、保健_財務諸表P53、保健_附属明細表P54-57</t>
        </is>
      </c>
    </row>
    <row r="796" spans="1:9" ht="19.95" customHeight="1">
      <c r="A796" s="1752" t="s">
        <v>13</v>
      </c>
      <c r="B796" s="1708" t="s">
        <v>2114</v>
      </c>
      <c r="C796" s="1753" t="str">
        <f>HYPERLINK("#'保健_決算精算表P58'!C37","C37")</f>
        <v>C37</v>
      </c>
      <c r="D796" s="1708" t="s">
        <v>2022</v>
      </c>
      <c r="E796" s="1754">
        <f>IF('保健_決算精算表P58'!C37="","",'保健_決算精算表P58'!C37)</f>
        <v>3167439</v>
      </c>
      <c r="F796" s="1708" t="s">
        <v>1929</v>
      </c>
      <c r="G796" s="1709" t="str">
        <f t="shared" si="12"/>
        <v>入力済</v>
      </c>
      <c r="H796" s="1708" t="inlineStr">
        <is>
          <t>保健_決算精算表P58 A37,C53</t>
        </is>
      </c>
      <c r="I796" s="1708" t="inlineStr">
        <is>
          <t>報告_保健P20-22、保健_財務諸表P53、保健_附属明細表P54-57</t>
        </is>
      </c>
    </row>
    <row r="797" spans="1:9" ht="19.95" customHeight="1">
      <c r="A797" s="1755" t="s">
        <v>13</v>
      </c>
      <c r="B797" s="1711" t="s">
        <v>2114</v>
      </c>
      <c r="C797" s="1756" t="str">
        <f>HYPERLINK("#'保健_決算精算表P58'!C39","C39")</f>
        <v>C39</v>
      </c>
      <c r="D797" s="1711" t="s">
        <v>2023</v>
      </c>
      <c r="E797" s="1757">
        <f>IF('保健_決算精算表P58'!C39="","",'保健_決算精算表P58'!C39)</f>
        <v>1768131</v>
      </c>
      <c r="F797" s="1711" t="s">
        <v>1929</v>
      </c>
      <c r="G797" s="1709" t="str">
        <f t="shared" si="12"/>
        <v>入力済</v>
      </c>
      <c r="H797" s="1708" t="inlineStr">
        <is>
          <t>保健_決算精算表P58 A39,C53</t>
        </is>
      </c>
      <c r="I797" s="1708" t="inlineStr">
        <is>
          <t>報告_保健P20-22、保健_財務諸表P53、保健_附属明細表P54-57</t>
        </is>
      </c>
    </row>
    <row r="798" spans="1:9" ht="19.95" customHeight="1">
      <c r="A798" s="1752" t="s">
        <v>13</v>
      </c>
      <c r="B798" s="1708" t="s">
        <v>2114</v>
      </c>
      <c r="C798" s="1753" t="str">
        <f>HYPERLINK("#'保健_決算精算表P58'!C40","C40")</f>
        <v>C40</v>
      </c>
      <c r="D798" s="1708" t="s">
        <v>2024</v>
      </c>
      <c r="E798" s="1754">
        <f>IF('保健_決算精算表P58'!C40="","",'保健_決算精算表P58'!C40)</f>
        <v>546852</v>
      </c>
      <c r="F798" s="1708" t="s">
        <v>1929</v>
      </c>
      <c r="G798" s="1709" t="str">
        <f t="shared" si="12"/>
        <v>入力済</v>
      </c>
      <c r="H798" s="1708" t="inlineStr">
        <is>
          <t>保健_決算精算表P58 A40,C53</t>
        </is>
      </c>
      <c r="I798" s="1708" t="inlineStr">
        <is>
          <t>報告_保健P20-22、保健_財務諸表P53、保健_附属明細表P54-57</t>
        </is>
      </c>
    </row>
    <row r="799" spans="1:9" ht="19.95" customHeight="1">
      <c r="A799" s="1755" t="s">
        <v>13</v>
      </c>
      <c r="B799" s="1711" t="s">
        <v>2114</v>
      </c>
      <c r="C799" s="1756" t="str">
        <f>HYPERLINK("#'保健_決算精算表P58'!C41","C41")</f>
        <v>C41</v>
      </c>
      <c r="D799" s="1711" t="s">
        <v>2025</v>
      </c>
      <c r="E799" s="1757">
        <f>IF('保健_決算精算表P58'!C41="","",'保健_決算精算表P58'!C41)</f>
        <v>2868615</v>
      </c>
      <c r="F799" s="1711" t="s">
        <v>1929</v>
      </c>
      <c r="G799" s="1709" t="str">
        <f t="shared" si="12"/>
        <v>入力済</v>
      </c>
      <c r="H799" s="1708" t="inlineStr">
        <is>
          <t>保健_決算精算表P58 A41,C53</t>
        </is>
      </c>
      <c r="I799" s="1708" t="inlineStr">
        <is>
          <t>報告_保健P20-22、保健_財務諸表P53、保健_附属明細表P54-57</t>
        </is>
      </c>
    </row>
    <row r="800" spans="1:9" ht="19.95" customHeight="1">
      <c r="A800" s="1752" t="s">
        <v>13</v>
      </c>
      <c r="B800" s="1708" t="s">
        <v>2114</v>
      </c>
      <c r="C800" s="1753" t="str">
        <f>HYPERLINK("#'保健_決算精算表P58'!E51","E51")</f>
        <v>E51</v>
      </c>
      <c r="D800" s="1708" t="s">
        <v>1951</v>
      </c>
      <c r="E800" s="1754">
        <f>IF('保健_決算精算表P58'!E51="","",'保健_決算精算表P58'!E51)</f>
        <v>104640</v>
      </c>
      <c r="F800" s="1708" t="s">
        <v>1929</v>
      </c>
      <c r="G800" s="1709" t="str">
        <f t="shared" si="12"/>
        <v>入力済</v>
      </c>
      <c r="H800" s="1708" t="inlineStr">
        <is>
          <t>保健_決算精算表P58 E53,G51</t>
        </is>
      </c>
      <c r="I800" s="1708" t="inlineStr">
        <is>
          <t>報告_保健P20-22、保健_財務諸表P53、保健_附属明細表P54-57</t>
        </is>
      </c>
    </row>
    <row r="801" spans="1:9"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c r="H801" s="1708" t="inlineStr">
        <is>
          <t>貸付_附属明細表P60-62 M5</t>
        </is>
      </c>
      <c r="I801" s="1708" t="inlineStr">
        <is>
          <t>貸付_財務諸表P59、貸付_附属明細表P60-62、貸付_決算精算表P63</t>
        </is>
      </c>
    </row>
    <row r="802" spans="1:9"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c r="H802" s="1708" t="inlineStr">
        <is>
          <t>貸付_附属明細表P60-62 J12</t>
        </is>
      </c>
      <c r="I802" s="1708" t="inlineStr">
        <is>
          <t>報告_貸付P23-25、貸付_財務諸表P59、貸付_附属明細表P60-62、貸付_決算精算表P63</t>
        </is>
      </c>
    </row>
    <row r="803" spans="1:9"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c r="H803" s="1708" t="inlineStr">
        <is>
          <t>貸付_附属明細表P60-62 N12</t>
        </is>
      </c>
      <c r="I803" s="1708" t="inlineStr">
        <is>
          <t>報告_貸付P23-25、貸付_財務諸表P59、貸付_附属明細表P60-62、貸付_決算精算表P63</t>
        </is>
      </c>
    </row>
    <row r="804" spans="1:9"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c r="H804" s="1708" t="inlineStr">
        <is>
          <t>預託金_預金・未収・貸付・預託金P44 F21、貸付_附属明細表P60-62 J19</t>
        </is>
      </c>
      <c r="I804" s="1708" t="inlineStr">
        <is>
          <t>報告_預託金P17、報告_預託金のカメラ、報告_貸付P23-25、預託金_貸借・損益P43 ほか4シート</t>
        </is>
      </c>
    </row>
    <row r="805" spans="1:9"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c r="H805" s="1708" t="inlineStr">
        <is>
          <t>預託金_預金・未収・貸付・預託金P44 I21、貸付_附属明細表P60-62 N19</t>
        </is>
      </c>
      <c r="I805" s="1708" t="inlineStr">
        <is>
          <t>報告_預託金P17、報告_預託金のカメラ、報告_貸付P23-25、預託金_貸借・損益P43 ほか4シート</t>
        </is>
      </c>
    </row>
    <row r="806" spans="1:9"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c r="H806" s="1708" t="inlineStr">
        <is>
          <t>貸付_附属明細表P60-62 G27</t>
        </is>
      </c>
      <c r="I806" s="1708" t="inlineStr">
        <is>
          <t>報告_貸付P23-25、貸付_財務諸表P59、貸付_附属明細表P60-62、貸付_決算精算表P63</t>
        </is>
      </c>
    </row>
    <row r="807" spans="1:9"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c r="H807" s="1708" t="inlineStr">
        <is>
          <t>貸付_附属明細表P60-62 G28</t>
        </is>
      </c>
      <c r="I807" s="1708" t="inlineStr">
        <is>
          <t>報告_貸付P23-25、貸付_財務諸表P59、貸付_附属明細表P60-62、貸付_決算精算表P63</t>
        </is>
      </c>
    </row>
    <row r="808" spans="1:9"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c r="H808" s="1708" t="inlineStr">
        <is>
          <t>貸付_附属明細表P60-62 G35</t>
        </is>
      </c>
      <c r="I808" s="1708" t="inlineStr">
        <is>
          <t>報告_貸付P23-25、貸付_財務諸表P59、貸付_附属明細表P60-62、貸付_決算精算表P63</t>
        </is>
      </c>
    </row>
    <row r="809" spans="1:9"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c r="H809" s="1708" t="inlineStr">
        <is>
          <t>貸付_附属明細表P60-62 G36</t>
        </is>
      </c>
      <c r="I809" s="1708" t="inlineStr">
        <is>
          <t>報告_貸付P23-25、貸付_財務諸表P59、貸付_附属明細表P60-62、貸付_決算精算表P63</t>
        </is>
      </c>
    </row>
    <row r="810" spans="1:9"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c r="H810" s="1708" t="inlineStr">
        <is>
          <t>貸付_附属明細表P60-62 G43</t>
        </is>
      </c>
      <c r="I810" s="1708" t="inlineStr">
        <is>
          <t>報告_貸付P23-25、貸付_財務諸表P59、貸付_附属明細表P60-62、貸付_決算精算表P63</t>
        </is>
      </c>
    </row>
    <row r="811" spans="1:9"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c r="H811" s="1708" t="inlineStr">
        <is>
          <t>貸付_附属明細表P60-62 G44</t>
        </is>
      </c>
      <c r="I811" s="1708" t="inlineStr">
        <is>
          <t>報告_貸付P23-25、貸付_財務諸表P59、貸付_附属明細表P60-62、貸付_決算精算表P63</t>
        </is>
      </c>
    </row>
    <row r="812" spans="1:9"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c r="H812" s="1708" t="inlineStr">
        <is>
          <t>貸付_附属明細表P60-62 G45</t>
        </is>
      </c>
      <c r="I812" s="1708" t="inlineStr">
        <is>
          <t>報告_貸付P23-25、貸付_財務諸表P59、貸付_附属明細表P60-62、貸付_決算精算表P63</t>
        </is>
      </c>
    </row>
    <row r="813" spans="1:9"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c r="H813" s="1708" t="inlineStr">
        <is>
          <t>貸付_附属明細表P60-62 G46</t>
        </is>
      </c>
      <c r="I813" s="1708" t="inlineStr">
        <is>
          <t>報告_貸付P23-25、貸付_財務諸表P59、貸付_附属明細表P60-62、貸付_決算精算表P63</t>
        </is>
      </c>
    </row>
    <row r="814" spans="1:9"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c r="H814" s="1708" t="inlineStr">
        <is>
          <t>貸付_附属明細表P60-62 G53</t>
        </is>
      </c>
      <c r="I814" s="1708" t="inlineStr">
        <is>
          <t>報告_貸付P23-25、貸付_財務諸表P59、貸付_附属明細表P60-62、貸付_決算精算表P63</t>
        </is>
      </c>
    </row>
    <row r="815" spans="1:9"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c r="H815" s="1708" t="inlineStr">
        <is>
          <t>貸付_附属明細表P60-62 G54</t>
        </is>
      </c>
      <c r="I815" s="1708" t="inlineStr">
        <is>
          <t>報告_貸付P23-25、貸付_財務諸表P59、貸付_附属明細表P60-62、貸付_決算精算表P63</t>
        </is>
      </c>
    </row>
    <row r="816" spans="1:9"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c r="H816" s="1708" t="inlineStr">
        <is>
          <t>貸付_附属明細表P60-62 G61</t>
        </is>
      </c>
      <c r="I816" s="1708" t="inlineStr">
        <is>
          <t>貸付_財務諸表P59、貸付_附属明細表P60-62、貸付_決算精算表P63</t>
        </is>
      </c>
    </row>
    <row r="817" spans="1:9"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c r="H817" s="1708" t="inlineStr">
        <is>
          <t>貸付_附属明細表P60-62 G68</t>
        </is>
      </c>
      <c r="I817" s="1708" t="inlineStr">
        <is>
          <t>報告_貸付P23-25、貸付_財務諸表P59、貸付_附属明細表P60-62、貸付_決算精算表P63</t>
        </is>
      </c>
    </row>
    <row r="818" spans="1:9"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c r="H818" s="1708" t="inlineStr">
        <is>
          <t>貸付_附属明細表P60-62 G69</t>
        </is>
      </c>
      <c r="I818" s="1708" t="inlineStr">
        <is>
          <t>報告_貸付P23-25、貸付_財務諸表P59、貸付_附属明細表P60-62、貸付_決算精算表P63</t>
        </is>
      </c>
    </row>
    <row r="819" spans="1:9"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c r="H819" s="1708" t="inlineStr">
        <is>
          <t>貸付_附属明細表P60-62 G76</t>
        </is>
      </c>
      <c r="I819" s="1708" t="inlineStr">
        <is>
          <t>貸付_財務諸表P59、貸付_附属明細表P60-62、貸付_決算精算表P63</t>
        </is>
      </c>
    </row>
    <row r="820" spans="1:9"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c r="H820" s="1708" t="inlineStr">
        <is>
          <t>貸付_附属明細表P60-62 J76</t>
        </is>
      </c>
      <c r="I820" s="1708" t="inlineStr">
        <is>
          <t>貸付_財務諸表P59、貸付_附属明細表P60-62、貸付_決算精算表P63</t>
        </is>
      </c>
    </row>
    <row r="821" spans="1:9"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c r="H821" s="1708" t="inlineStr">
        <is>
          <t>貸付_附属明細表P60-62 H83</t>
        </is>
      </c>
      <c r="I821" s="1708" t="inlineStr">
        <is>
          <t>報告_貸付P23-25、貸付_財務諸表P59、貸付_附属明細表P60-62、貸付_決算精算表P63</t>
        </is>
      </c>
    </row>
    <row r="822" spans="1:9"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c r="H822" s="1708" t="inlineStr">
        <is>
          <t>貸付_附属明細表P60-62 F83</t>
        </is>
      </c>
      <c r="I822" s="1708" t="inlineStr">
        <is>
          <t>貸付_附属明細表P60-62P60-62</t>
        </is>
      </c>
    </row>
    <row r="823" spans="1:9"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c r="H823" s="1708" t="inlineStr">
        <is>
          <t>貸付_附属明細表P60-62 M104</t>
        </is>
      </c>
      <c r="I823" s="1708" t="inlineStr">
        <is>
          <t>貸付_財務諸表P59、貸付_附属明細表P60-62</t>
        </is>
      </c>
    </row>
    <row r="824" spans="1:9"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c r="H824" s="1708" t="inlineStr">
        <is>
          <t>貸付_附属明細表P60-62 I97</t>
        </is>
      </c>
      <c r="I824" s="1708" t="inlineStr">
        <is>
          <t>貸付_附属明細表P60-62P60-62</t>
        </is>
      </c>
    </row>
    <row r="825" spans="1:9"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c r="H825" s="1708" t="inlineStr">
        <is>
          <t>貸付_附属明細表P60-62 M97</t>
        </is>
      </c>
      <c r="I825" s="1708" t="inlineStr">
        <is>
          <t>貸付_附属明細表P60-62P60-62</t>
        </is>
      </c>
    </row>
    <row r="826" spans="1:9"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c r="H826" s="1708" t="inlineStr">
        <is>
          <t>報告_貸付P23-25 P15</t>
        </is>
      </c>
      <c r="I826" s="1708" t="inlineStr">
        <is>
          <t>報告_貸付P23-25、貸付_附属明細表P60-62</t>
        </is>
      </c>
    </row>
    <row r="827" spans="1:9"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c r="H827" s="1708" t="inlineStr">
        <is>
          <t>報告_貸付P23-25 P17</t>
        </is>
      </c>
      <c r="I827" s="1708" t="inlineStr">
        <is>
          <t>報告_貸付P23-25、貸付_附属明細表P60-62</t>
        </is>
      </c>
    </row>
    <row r="828" spans="1:9"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c r="H828" s="1708" t="inlineStr">
        <is>
          <t>報告_貸付P23-25 P18</t>
        </is>
      </c>
      <c r="I828" s="1708" t="inlineStr">
        <is>
          <t>報告_貸付P23-25、貸付_附属明細表P60-62</t>
        </is>
      </c>
    </row>
    <row r="829" spans="1:9"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c r="H829" s="1708" t="inlineStr">
        <is>
          <t>貸付_決算精算表P63 C21</t>
        </is>
      </c>
      <c r="I829" s="1708" t="inlineStr">
        <is>
          <t>報告_貸付P23-25、貸付_財務諸表P59、貸付_附属明細表P60-62、貸付_決算精算表P63</t>
        </is>
      </c>
    </row>
    <row r="830" spans="1:9"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c r="H830" s="1708" t="inlineStr">
        <is>
          <t>貸付_決算精算表P63 C22</t>
        </is>
      </c>
      <c r="I830" s="1708" t="inlineStr">
        <is>
          <t>報告_貸付P23-25、貸付_財務諸表P59、貸付_附属明細表P60-62、貸付_決算精算表P63</t>
        </is>
      </c>
    </row>
    <row r="831" spans="1:9"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c r="H831" s="1708" t="inlineStr">
        <is>
          <t>貸付_決算精算表P63 C23</t>
        </is>
      </c>
      <c r="I831" s="1708" t="inlineStr">
        <is>
          <t>報告_貸付P23-25、貸付_財務諸表P59、貸付_附属明細表P60-62、貸付_決算精算表P63</t>
        </is>
      </c>
    </row>
    <row r="832" spans="1:9"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c r="H832" s="1708" t="inlineStr">
        <is>
          <t>貸付_決算精算表P63 C24</t>
        </is>
      </c>
      <c r="I832" s="1708" t="inlineStr">
        <is>
          <t>報告_貸付P23-25、貸付_財務諸表P59、貸付_附属明細表P60-62、貸付_決算精算表P63</t>
        </is>
      </c>
    </row>
    <row r="833" spans="1:9"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c r="H833" s="1708" t="inlineStr">
        <is>
          <t>貸付_決算精算表P63 C25</t>
        </is>
      </c>
      <c r="I833" s="1708" t="inlineStr">
        <is>
          <t>報告_貸付P23-25、貸付_財務諸表P59、貸付_附属明細表P60-62、貸付_決算精算表P63</t>
        </is>
      </c>
    </row>
    <row r="834" spans="1:9"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c r="H834" s="1708" t="inlineStr">
        <is>
          <t>貸付_決算精算表P63 C26</t>
        </is>
      </c>
      <c r="I834" s="1708" t="inlineStr">
        <is>
          <t>報告_貸付P23-25、貸付_財務諸表P59、貸付_附属明細表P60-62、貸付_決算精算表P63</t>
        </is>
      </c>
    </row>
    <row r="835" spans="1:9"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c r="H835" s="1708" t="inlineStr">
        <is>
          <t>貸付_決算精算表P63 C27</t>
        </is>
      </c>
      <c r="I835" s="1708" t="inlineStr">
        <is>
          <t>報告_貸付P23-25、貸付_財務諸表P59、貸付_附属明細表P60-62、貸付_決算精算表P63</t>
        </is>
      </c>
    </row>
    <row r="836" spans="1:9"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c r="H836" s="1708" t="inlineStr">
        <is>
          <t>貸付_決算精算表P63 C28</t>
        </is>
      </c>
      <c r="I836" s="1708" t="inlineStr">
        <is>
          <t>報告_貸付P23-25、貸付_財務諸表P59、貸付_附属明細表P60-62、貸付_決算精算表P63</t>
        </is>
      </c>
    </row>
    <row r="837" spans="1:9"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c r="H837" s="1708" t="inlineStr">
        <is>
          <t>貸付_決算精算表P63 C29</t>
        </is>
      </c>
      <c r="I837" s="1708" t="inlineStr">
        <is>
          <t>報告_貸付P23-25、貸付_財務諸表P59、貸付_附属明細表P60-62、貸付_決算精算表P63</t>
        </is>
      </c>
    </row>
    <row r="838" spans="1:9"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c r="H838" s="1708" t="inlineStr">
        <is>
          <t>貸付_決算精算表P63 C30</t>
        </is>
      </c>
      <c r="I838" s="1708" t="inlineStr">
        <is>
          <t>報告_貸付P23-25、貸付_財務諸表P59、貸付_附属明細表P60-62、貸付_決算精算表P63</t>
        </is>
      </c>
    </row>
    <row r="839" spans="1:9"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c r="H839" s="1708" t="inlineStr">
        <is>
          <t>貸付_決算精算表P63 C32</t>
        </is>
      </c>
      <c r="I839" s="1708" t="inlineStr">
        <is>
          <t>報告_貸付P23-25、貸付_財務諸表P59、貸付_附属明細表P60-62、貸付_決算精算表P63</t>
        </is>
      </c>
    </row>
    <row r="840" spans="1:9"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c r="H840" s="1708" t="inlineStr">
        <is>
          <t>貸付_決算精算表P63 E34</t>
        </is>
      </c>
      <c r="I840" s="1708" t="inlineStr">
        <is>
          <t>報告_貸付P23-25、貸付_財務諸表P59、貸付_附属明細表P60-62、貸付_決算精算表P63</t>
        </is>
      </c>
    </row>
    <row r="841" spans="1:9"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c r="H841" s="1708" t="inlineStr">
        <is>
          <t>貸付_決算精算表P63 E35</t>
        </is>
      </c>
      <c r="I841" s="1708" t="inlineStr">
        <is>
          <t>報告_貸付P23-25、貸付_財務諸表P59、貸付_附属明細表P60-62、貸付_決算精算表P63</t>
        </is>
      </c>
    </row>
    <row r="842" spans="1:9"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c r="H842" s="1708" t="inlineStr">
        <is>
          <t>貸付_決算精算表P63 E36</t>
        </is>
      </c>
      <c r="I842" s="1708" t="inlineStr">
        <is>
          <t>報告_貸付P23-25、貸付_財務諸表P59、貸付_附属明細表P60-62、貸付_決算精算表P63</t>
        </is>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I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HYPERLINK("#'短期_決算精算表P30'!B19","'短期_決算精算表P30'!B19")</f>
        <v>'短期_決算精算表P30'!B19</v>
      </c>
      <c r="E179" s="1761">
        <v>876229790</v>
      </c>
      <c r="F179" s="1762">
        <f>N('短期_決算精算表P30'!G19)</f>
        <v>907739421</v>
      </c>
      <c r="G179" s="1764" t="s">
        <v>2500</v>
      </c>
    </row>
    <row r="180" spans="1:7" ht="19.95" customHeight="1">
      <c r="A180" s="1712">
        <v>173</v>
      </c>
      <c r="B180" s="1752" t="s">
        <v>7</v>
      </c>
      <c r="C180" s="1708" t="s">
        <v>2501</v>
      </c>
      <c r="D180" s="1727" t="str">
        <f>HYPERLINK("#'短期_附属明細表P28-29'!E99","'短期_附属明細表P28-29'!E99")</f>
        <v>'短期_附属明細表P28-29'!E99</v>
      </c>
      <c r="E180" s="1761">
        <v>480287584</v>
      </c>
      <c r="F180" s="1762">
        <f>N('短期_附属明細表P28-29'!Q99)</f>
        <v>533584212</v>
      </c>
      <c r="G180" s="1763" t="s">
        <v>2502</v>
      </c>
    </row>
    <row r="181" spans="1:7" ht="19.95" customHeight="1">
      <c r="A181" s="1716">
        <v>174</v>
      </c>
      <c r="B181" s="1755" t="s">
        <v>7</v>
      </c>
      <c r="C181" s="1711" t="s">
        <v>2503</v>
      </c>
      <c r="D181" s="1730" t="str">
        <f>HYPERLINK("#'短期_附属明細表P28-29'!E100","'短期_附属明細表P28-29'!E100")</f>
        <v>'短期_附属明細表P28-29'!E100</v>
      </c>
      <c r="E181" s="1761">
        <v>1646038250</v>
      </c>
      <c r="F181" s="1762">
        <f>N('短期_附属明細表P28-29'!Q100)</f>
        <v>2358068031</v>
      </c>
      <c r="G181" s="1764" t="s">
        <v>2504</v>
      </c>
    </row>
    <row r="182" spans="1:7" ht="19.95" customHeight="1">
      <c r="A182" s="1712">
        <v>175</v>
      </c>
      <c r="B182" s="1752" t="s">
        <v>7</v>
      </c>
      <c r="C182" s="1708" t="s">
        <v>2505</v>
      </c>
      <c r="D182" s="1727" t="str">
        <f>HYPERLINK("#'短期_附属明細表P28-29'!E101","'短期_附属明細表P28-29'!E101")</f>
        <v>'短期_附属明細表P28-29'!E101</v>
      </c>
      <c r="E182" s="1761">
        <v>111039759</v>
      </c>
      <c r="F182" s="1762">
        <f>N('短期_附属明細表P28-29'!Q101)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HYPERLINK("#'業務_附属明細表P48-50'!E91","'業務_附属明細表P48-50'!E91")</f>
        <v>'業務_附属明細表P48-50'!E91</v>
      </c>
      <c r="E246" s="1761">
        <v>71093911</v>
      </c>
      <c r="F246" s="1762">
        <f>N('業務_附属明細表P48-50'!Q91)</f>
        <v>74697421</v>
      </c>
      <c r="G246" s="1763" t="s">
        <v>2618</v>
      </c>
    </row>
    <row r="247" spans="1:7" ht="19.95" customHeight="1">
      <c r="A247" s="1716">
        <v>240</v>
      </c>
      <c r="B247" s="1755" t="s">
        <v>12</v>
      </c>
      <c r="C247" s="1711" t="s">
        <v>2619</v>
      </c>
      <c r="D247" s="1730" t="str">
        <f>HYPERLINK("#'業務_附属明細表P48-50'!D76","'業務_附属明細表P48-50'!D76")</f>
        <v>'業務_附属明細表P48-50'!D76</v>
      </c>
      <c r="E247" s="1761">
        <v>383946</v>
      </c>
      <c r="F247" s="1762">
        <f>N('業務_附属明細表P48-50'!S76)</f>
        <v>207390</v>
      </c>
      <c r="G247" s="1764" t="s">
        <v>2620</v>
      </c>
    </row>
    <row r="248" spans="1:7" ht="19.95" customHeight="1">
      <c r="A248" s="1712">
        <v>241</v>
      </c>
      <c r="B248" s="1752" t="s">
        <v>12</v>
      </c>
      <c r="C248" s="1708" t="s">
        <v>2621</v>
      </c>
      <c r="D248" s="1727" t="str">
        <f>HYPERLINK("#'業務_附属明細表P48-50'!E115","'業務_附属明細表P48-50'!E115")</f>
        <v>'業務_附属明細表P48-50'!E115</v>
      </c>
      <c r="E248" s="1761">
        <v>466904</v>
      </c>
      <c r="F248" s="1762">
        <f>N('業務_附属明細表P48-50'!Q115)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HYPERLINK("#'保健_附属明細表P54-57'!E147","'保健_附属明細表P54-57'!E147")</f>
        <v>'保健_附属明細表P54-57'!E147</v>
      </c>
      <c r="E282" s="1761">
        <v>270947604</v>
      </c>
      <c r="F282" s="1762">
        <f>N('保健_附属明細表P54-57'!Q147)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N('貸付_附属明細表P60-62'!R20)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N('貸付_附属明細表P60-62'!S76)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N('貸付_附属明細表P60-62'!Q104)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N('貸付_附属明細表P60-62'!Q90)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N('貸付_附属明細表P60-62'!Q97)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tabColor rgb="FFA6A6A6"/>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IFERROR(N('短期_財務諸表P27'!D25),"エラー")</f>
        <v>4035990451</v>
      </c>
      <c r="F7" s="1757">
        <f>IFERROR(N('短期_財務諸表P27'!H25),"エラー")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IFERROR(N('短期_財務諸表P27'!D66),"エラー")</f>
        <v>13868707590</v>
      </c>
      <c r="F8" s="1754">
        <f>IFERROR(N('短期_財務諸表P27'!H66),"エラー")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IFERROR(N('短期_決算精算表P30'!A64),"エラー")</f>
        <v>17904698041</v>
      </c>
      <c r="F9" s="1757">
        <f>IFERROR(N('短期_決算精算表P30'!G64),"エラー")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IFERROR(N('短期_決算精算表P30'!C64),"エラー")</f>
        <v>16142540320</v>
      </c>
      <c r="F10" s="1754">
        <f>IFERROR(N('短期_決算精算表P30'!E64),"エラー")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IFERROR(N('短期_決算精算表P30'!B64),"エラー")</f>
        <v>3451252492</v>
      </c>
      <c r="F11" s="1757">
        <f>IFERROR(N('短期_決算精算表P30'!F64),"エラー")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IFERROR(N('短期_附属明細表P28-29'!M9),"エラー")</f>
        <v>3976508883</v>
      </c>
      <c r="F12" s="1754">
        <f>IFERROR(N('短期_財務諸表P27'!C7),"エラー")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IFERROR(N('短期_附属明細表P28-29'!M16),"エラー")</f>
        <v>0</v>
      </c>
      <c r="F13" s="1757">
        <f>IFERROR(N('短期_財務諸表P27'!C8),"エラー")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IFERROR(N('短期_附属明細表P28-29'!M25),"エラー")</f>
        <v>0</v>
      </c>
      <c r="F14" s="1754">
        <f>IFERROR(N('短期_財務諸表P27'!C9),"エラー")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IFERROR(N('短期_附属明細表P28-29'!G49),"エラー")</f>
        <v>54568</v>
      </c>
      <c r="F15" s="1757">
        <f>IFERROR(N('短期_財務諸表P27'!C12),"エラー")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IFERROR(N('短期_附属明細表P28-29'!G56),"エラー")</f>
        <v>59427000</v>
      </c>
      <c r="F16" s="1754">
        <f>IFERROR(N('短期_財務諸表P27'!C13),"エラー")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IFERROR(N('短期_附属明細表P28-29'!G75),"エラー")</f>
        <v>41640951</v>
      </c>
      <c r="F17" s="1757">
        <f>IFERROR(N('短期_財務諸表P27'!G7),"エラー")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IFERROR(N('短期_附属明細表P28-29'!G82),"エラー")</f>
        <v>6050</v>
      </c>
      <c r="F18" s="1754">
        <f>IFERROR(N('短期_決算精算表P30'!G17),"エラー")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IFERROR(N('短期_附属明細表P28-29'!G82),"エラー")</f>
        <v>6050</v>
      </c>
      <c r="F19" s="1757">
        <f>IFERROR(N('短期_財務諸表P27'!G8),"エラー")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IFERROR(N('短期_附属明細表P28-29'!R92),"エラー")</f>
        <v>36468255</v>
      </c>
      <c r="F20" s="1754">
        <f>IFERROR(N('短期_財務諸表P27'!G9),"エラー")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IFERROR(N('短期_附属明細表P28-29'!Q99),"エラー")</f>
        <v>533584212</v>
      </c>
      <c r="F21" s="1757">
        <f>IFERROR(N('短期_財務諸表P27'!F19),"エラー")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IFERROR(N('短期_附属明細表P28-29'!Q100),"エラー")</f>
        <v>2358068031</v>
      </c>
      <c r="F22" s="1754">
        <f>IFERROR(N('短期_財務諸表P27'!F20),"エラー")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IFERROR(N('短期_附属明細表P28-29'!Q101),"エラー")</f>
        <v>158483531</v>
      </c>
      <c r="F23" s="1757">
        <f>IFERROR(N('短期_財務諸表P27'!F21),"エラー")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IFERROR(N('短期_附属明細表P28-29'!K118),"エラー")</f>
        <v>2358068031</v>
      </c>
      <c r="F24" s="1754">
        <f>IFERROR(N('短期_附属明細表P28-29'!Q100),"エラー")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IFERROR(N('短期_附属明細表P28-29'!K119),"エラー")</f>
        <v>158483531</v>
      </c>
      <c r="F25" s="1757">
        <f>IFERROR(N('短期_附属明細表P28-29'!Q101),"エラー")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IFERROR(N('短期_決算精算表P30'!G19),"エラー")</f>
        <v>907739421</v>
      </c>
      <c r="F26" s="1754">
        <f>IFERROR(N('短期_財務諸表P27'!G13),"エラー")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IFERROR(N('短期_財務諸表P27'!H37+'短期_財務諸表P27'!H56+'短期_財務諸表P27'!H58),"エラー")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IFERROR(N('短期_財務諸表P27'!D37+'短期_財務諸表P27'!D56+'短期_財務諸表P27'!D58+'短期_財務諸表P27'!D60),"エラー")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IFERROR(N('短期_財務諸表P27'!D62-'短期_財務諸表P27'!H60),"エラー")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IFERROR(N('短期_財務諸表P27'!B39),"エラー")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IFERROR(N('短期_財務諸表P27'!B40),"エラー")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IFERROR(N('短期_財務諸表P27'!B42),"エラー")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IFERROR(N('短期_財務諸表P27'!B43),"エラー")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IFERROR(N('短期_財務諸表P27'!B44),"エラー")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IFERROR(N('短期_財務諸表P27'!B48),"エラー")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IFERROR(N('短期_財務諸表P27'!B53),"エラー")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IFERROR(N('短期_財務諸表P27'!B54),"エラー")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IFERROR(N('短期_財務諸表P27'!F41),"エラー")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IFERROR(N('短期_財務諸表P27'!F39),"エラー")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IFERROR(N('短期_附属明細表P28-29'!E99+'短期_附属明細表P28-29'!I99-'短期_附属明細表P28-29'!M99),"エラー")</f>
        <v>533584212</v>
      </c>
      <c r="F42" s="1754">
        <f>IFERROR(N('短期_附属明細表P28-29'!Q99),"エラー")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IFERROR(N('短期_附属明細表P28-29'!E100+'短期_附属明細表P28-29'!I100-'短期_附属明細表P28-29'!M100),"エラー")</f>
        <v>2358068031</v>
      </c>
      <c r="F43" s="1757">
        <f>IFERROR(N('短期_附属明細表P28-29'!Q100),"エラー")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IFERROR(N('短期_附属明細表P28-29'!E101+'短期_附属明細表P28-29'!I101-'短期_附属明細表P28-29'!M101),"エラー")</f>
        <v>158483531</v>
      </c>
      <c r="F44" s="1754">
        <f>IFERROR(N('短期_附属明細表P28-29'!Q101),"エラー")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IFERROR(N('短期_決算精算表P30'!B19),"エラー")</f>
        <v>876229790</v>
      </c>
      <c r="F45" s="1757">
        <f>IFERROR(N('短期_財務諸表P27'!G57),"エラー")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IFERROR(N('厚生_貸借・損益P31'!F12),"エラー")</f>
        <v>1679618183</v>
      </c>
      <c r="F48" s="1754">
        <f>IFERROR(N('厚生_貸借・損益P31'!M12),"エラー")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IFERROR(N('厚生_貸借・損益P31'!F26),"エラー")</f>
        <v>19731409796</v>
      </c>
      <c r="F49" s="1757">
        <f>IFERROR(N('厚生_貸借・損益P31'!M26),"エラー")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IFERROR(N('厚生_決算精算表P33'!A22),"エラー")</f>
        <v>21411027979</v>
      </c>
      <c r="F50" s="1754">
        <f>IFERROR(N('厚生_決算精算表P33'!G22),"エラー")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IFERROR(N('厚生_決算精算表P33'!C22),"エラー")</f>
        <v>19731499796</v>
      </c>
      <c r="F51" s="1757">
        <f>IFERROR(N('厚生_決算精算表P33'!E22),"エラー")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IFERROR(N('厚生_決算精算表P33'!B22),"エラー")</f>
        <v>1679528183</v>
      </c>
      <c r="F52" s="1754">
        <f>IFERROR(N('厚生_決算精算表P33'!F22),"エラー")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IFERROR(N('厚生_預金・立替・未収P32'!E11),"エラー")</f>
        <v>1679618183</v>
      </c>
      <c r="F53" s="1757">
        <f>IFERROR(N('厚生_貸借・損益P31'!E8),"エラー")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IFERROR(N('厚生_預金・立替・未収P32'!C19),"エラー")</f>
        <v>0</v>
      </c>
      <c r="F54" s="1754">
        <f>IFERROR(N('厚生_貸借・損益P31'!E9),"エラー")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IFERROR(N('厚生_預金・立替・未収P32'!C30),"エラー")</f>
        <v>1679528183</v>
      </c>
      <c r="F55" s="1757">
        <f>IFERROR(N('厚生_貸借・損益P31'!L8),"エラー")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IFERROR(N('厚生_預金・立替・未収P32'!C38),"エラー")</f>
        <v>90000</v>
      </c>
      <c r="F56" s="1754">
        <f>IFERROR(N('厚生_貸借・損益P31'!L9),"エラー")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IFERROR(N('厚生_貸借・損益P31'!M26),"エラー")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IFERROR(N('厚生_貸借・損益P31'!F26),"エラー")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IFERROR(N('厚生_貸借・損益P31'!D23),"エラー")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IFERROR(N('厚生_貸借・損益P31'!D24),"エラー")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IFERROR(N('厚生_貸借・損益P31'!K23),"エラー")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IFERROR(N('退職等_貸借・損益P35'!F12),"エラー")</f>
        <v>111499006</v>
      </c>
      <c r="F64" s="1754">
        <f>IFERROR(N('退職等_貸借・損益P35'!M12),"エラー")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IFERROR(N('退職等_貸借・損益P35'!F26),"エラー")</f>
        <v>1268365350</v>
      </c>
      <c r="F65" s="1757">
        <f>IFERROR(N('退職等_貸借・損益P35'!M26),"エラー")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IFERROR(N('退職等_決算精算表P37'!A22),"エラー")</f>
        <v>1379864356</v>
      </c>
      <c r="F66" s="1754">
        <f>IFERROR(N('退職等_決算精算表P37'!G22),"エラー")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IFERROR(N('退職等_決算精算表P37'!C22),"エラー")</f>
        <v>1268365350</v>
      </c>
      <c r="F67" s="1757">
        <f>IFERROR(N('退職等_決算精算表P37'!E22),"エラー")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IFERROR(N('退職等_決算精算表P37'!B22),"エラー")</f>
        <v>111499006</v>
      </c>
      <c r="F68" s="1754">
        <f>IFERROR(N('退職等_決算精算表P37'!F22),"エラー")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IFERROR(N('退職等_預金・立替・未収P36'!E8),"エラー")</f>
        <v>111499006</v>
      </c>
      <c r="F69" s="1757">
        <f>IFERROR(N('退職等_貸借・損益P35'!E8),"エラー")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IFERROR(N('退職等_預金・立替・未収P36'!C16),"エラー")</f>
        <v>0</v>
      </c>
      <c r="F70" s="1754">
        <f>IFERROR(N('退職等_貸借・損益P35'!E9),"エラー")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IFERROR(N('退職等_預金・立替・未収P36'!C26),"エラー")</f>
        <v>111499006</v>
      </c>
      <c r="F71" s="1757">
        <f>IFERROR(N('退職等_貸借・損益P35'!L8),"エラー")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IFERROR(N('退職等_預金・立替・未収P36'!C34),"エラー")</f>
        <v>0</v>
      </c>
      <c r="F72" s="1754">
        <f>IFERROR(N('退職等_貸借・損益P35'!L9),"エラー")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IFERROR(N('退職等_貸借・損益P35'!M26),"エラー")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IFERROR(N('退職等_貸借・損益P35'!F26),"エラー")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IFERROR(N('退職等_貸借・損益P35'!D23),"エラー")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IFERROR(N('退職等_貸借・損益P35'!D24),"エラー")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IFERROR(N('経過的_貸借・損益P39'!F12),"エラー")</f>
        <v>722478</v>
      </c>
      <c r="F79" s="1757">
        <f>IFERROR(N('経過的_貸借・損益P39'!M12),"エラー")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IFERROR(N('経過的_貸借・損益P39'!F25),"エラー")</f>
        <v>85620216</v>
      </c>
      <c r="F80" s="1754">
        <f>IFERROR(N('経過的_貸借・損益P39'!M25),"エラー")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IFERROR(N('経過的_決算精算表P41'!A19),"エラー")</f>
        <v>86342694</v>
      </c>
      <c r="F81" s="1757">
        <f>IFERROR(N('経過的_決算精算表P41'!G19),"エラー")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IFERROR(N('経過的_決算精算表P41'!C19),"エラー")</f>
        <v>85620216</v>
      </c>
      <c r="F82" s="1754">
        <f>IFERROR(N('経過的_決算精算表P41'!E19),"エラー")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IFERROR(N('経過的_決算精算表P41'!B19),"エラー")</f>
        <v>722478</v>
      </c>
      <c r="F83" s="1757">
        <f>IFERROR(N('経過的_決算精算表P41'!F19),"エラー")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IFERROR(N('経過的_預金・立替・未収P40'!E8),"エラー")</f>
        <v>722478</v>
      </c>
      <c r="F84" s="1754">
        <f>IFERROR(N('経過的_貸借・損益P39'!E8),"エラー")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IFERROR(N('経過的_預金・立替・未収P40'!C16),"エラー")</f>
        <v>0</v>
      </c>
      <c r="F85" s="1757">
        <f>IFERROR(N('経過的_貸借・損益P39'!E9),"エラー")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IFERROR(N('経過的_預金・立替・未収P40'!C23),"エラー")</f>
        <v>722478</v>
      </c>
      <c r="F86" s="1754">
        <f>IFERROR(N('経過的_貸借・損益P39'!L8),"エラー")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IFERROR(N('経過的_貸借・損益P39'!M25),"エラー")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IFERROR(N('経過的_貸借・損益P39'!F25),"エラー")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IFERROR(N('預託金_貸借・損益P43'!F15),"エラー")</f>
        <v>0</v>
      </c>
      <c r="F91" s="1757">
        <f>IFERROR(N('預託金_貸借・損益P43'!M15),"エラー")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IFERROR(N('預託金_貸借・損益P43'!F30),"エラー")</f>
        <v>136059</v>
      </c>
      <c r="F92" s="1754">
        <f>IFERROR(N('預託金_貸借・損益P43'!M30),"エラー")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IFERROR(N('預託金_決算精算表P45'!A20),"エラー")</f>
        <v>136059</v>
      </c>
      <c r="F93" s="1757">
        <f>IFERROR(N('預託金_決算精算表P45'!G20),"エラー")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IFERROR(N('預託金_決算精算表P45'!C20),"エラー")</f>
        <v>136059</v>
      </c>
      <c r="F94" s="1754">
        <f>IFERROR(N('預託金_決算精算表P45'!E20),"エラー")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IFERROR(N('預託金_決算精算表P45'!B20),"エラー")</f>
        <v>3</v>
      </c>
      <c r="F95" s="1757">
        <f>IFERROR(N('預託金_決算精算表P45'!F20),"エラー")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IFERROR(N('預託金_預金・未収・貸付・預託金P44'!F8),"エラー")</f>
        <v>0</v>
      </c>
      <c r="F96" s="1754">
        <f>IFERROR(N('預託金_貸借・損益P43'!E8),"エラー")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IFERROR(N('預託金_預金・未収・貸付・預託金P44'!C15),"エラー")</f>
        <v>0</v>
      </c>
      <c r="F97" s="1757">
        <f>IFERROR(N('預託金_貸借・損益P43'!E9),"エラー")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IFERROR(N('預託金_預金・未収・貸付・預託金P44'!M22),"エラー")</f>
        <v>0</v>
      </c>
      <c r="F98" s="1754">
        <f>IFERROR(N('預託金_貸借・損益P43'!E13),"エラー")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IFERROR(N('預託金_預金・未収・貸付・預託金P44'!M29),"エラー")</f>
        <v>0</v>
      </c>
      <c r="F99" s="1757">
        <f>IFERROR(N('預託金_貸借・損益P43'!L8),"エラー")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IFERROR(N('預託金_貸借・損益P43'!M30),"エラー")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IFERROR(N('預託金_貸借・損益P43'!F30),"エラー")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IFERROR(N('預託金_貸借・損益P43'!F15),"エラー")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IFERROR(N('預託金_預金・未収・貸付・預託金P44'!C21+'預託金_預金・未収・貸付・預託金P44'!F21-'預託金_預金・未収・貸付・預託金P44'!I21),"エラー")</f>
        <v>0</v>
      </c>
      <c r="F103" s="1757">
        <f>IFERROR(N('預託金_預金・未収・貸付・預託金P44'!M21),"エラー")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IFERROR(N('預託金_預金・未収・貸付・預託金P44'!M22),"エラー")</f>
        <v>0</v>
      </c>
      <c r="F104" s="1754">
        <f>IFERROR(N('貸付_附属明細表P60-62'!R20),"エラー")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IFERROR(N('預託金_預金・未収・貸付・預託金P44'!C28+'預託金_預金・未収・貸付・預託金P44'!F28-'預託金_預金・未収・貸付・預託金P44'!I28),"エラー")</f>
        <v>0</v>
      </c>
      <c r="F105" s="1757">
        <f>IFERROR(N('預託金_預金・未収・貸付・預託金P44'!M28),"エラー")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IFERROR(N('業務_財務諸表P47'!D25),"エラー")</f>
        <v>85175250</v>
      </c>
      <c r="F108" s="1754">
        <f>IFERROR(N('業務_財務諸表P47'!H25),"エラー")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IFERROR(N('業務_財務諸表P47'!D59),"エラー")</f>
        <v>124727469</v>
      </c>
      <c r="F109" s="1757">
        <f>IFERROR(N('業務_財務諸表P47'!H59),"エラー")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IFERROR(N('業務_決算精算表P51'!A48),"エラー")</f>
        <v>209902719</v>
      </c>
      <c r="F110" s="1754">
        <f>IFERROR(N('業務_決算精算表P51'!G48),"エラー")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IFERROR(N('業務_決算精算表P51'!C48),"エラー")</f>
        <v>189744039</v>
      </c>
      <c r="F111" s="1757">
        <f>IFERROR(N('業務_決算精算表P51'!E48),"エラー")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IFERROR(N('業務_決算精算表P51'!B48),"エラー")</f>
        <v>29250903</v>
      </c>
      <c r="F112" s="1754">
        <f>IFERROR(N('業務_決算精算表P51'!F48),"エラー")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IFERROR(N('業務_附属明細表P48-50'!M6),"エラー")</f>
        <v>72939159</v>
      </c>
      <c r="F113" s="1757">
        <f>IFERROR(N('業務_財務諸表P47'!C7),"エラー")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IFERROR(N('業務_附属明細表P48-50'!G14),"エラー")</f>
        <v>194420</v>
      </c>
      <c r="F114" s="1754">
        <f>IFERROR(N('業務_財務諸表P47'!C8),"エラー")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IFERROR(N('業務_附属明細表P48-50'!G32),"エラー")</f>
        <v>11834281</v>
      </c>
      <c r="F115" s="1757">
        <f>IFERROR(N('業務_財務諸表P47'!C9),"エラー")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IFERROR(N('業務_附属明細表P48-50'!G46),"エラー")</f>
        <v>9597685</v>
      </c>
      <c r="F116" s="1754">
        <f>IFERROR(N('業務_財務諸表P47'!G7),"エラー")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IFERROR(N('業務_附属明細表P48-50'!G54),"エラー")</f>
        <v>435361</v>
      </c>
      <c r="F117" s="1757">
        <f>IFERROR(N('業務_財務諸表P47'!G8),"エラー")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IFERROR(N('業務_附属明細表P48-50'!G62),"エラー")</f>
        <v>227940</v>
      </c>
      <c r="F118" s="1754">
        <f>IFERROR(N('業務_財務諸表P47'!G9),"エラー")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IFERROR(N('業務_附属明細表P48-50'!G69),"エラー")</f>
        <v>216843</v>
      </c>
      <c r="F119" s="1757">
        <f>IFERROR(N('業務_財務諸表P47'!G10),"エラー")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IFERROR(N('業務_附属明細表P48-50'!S77),"エラー")</f>
        <v>207390</v>
      </c>
      <c r="F120" s="1754">
        <f>IFERROR(N('業務_財務諸表P47'!B14),"エラー")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IFERROR(N('業務_附属明細表P48-50'!Q92),"エラー")</f>
        <v>74697421</v>
      </c>
      <c r="F121" s="1757">
        <f>IFERROR(N('業務_財務諸表P47'!F16),"エラー")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IFERROR(N('業務_附属明細表P48-50'!Q116),"エラー")</f>
        <v>643460</v>
      </c>
      <c r="F122" s="1754">
        <f>IFERROR(N('業務_附属明細表P48-50'!K85),"エラー")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IFERROR(N('業務_附属明細表P48-50'!P77),"エラー")</f>
        <v>176556</v>
      </c>
      <c r="F123" s="1757">
        <f>IFERROR(N('業務_財務諸表P47'!B52),"エラー")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IFERROR(N('業務_財務諸表P47'!H36+'業務_財務諸表P47'!H46+'業務_財務諸表P47'!H49),"エラー")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IFERROR(N('業務_財務諸表P47'!D36+'業務_財務諸表P47'!D53),"エラー")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IFERROR(N('業務_財務諸表P47'!G47),"エラー")</f>
        <v>11834281</v>
      </c>
      <c r="F126" s="1754">
        <f>IFERROR(N('短期_財務諸表P27'!C57),"エラー")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IFERROR(N('業務_附属明細表P48-50'!E91+'業務_附属明細表P48-50'!I91-'業務_附属明細表P48-50'!M91),"エラー")</f>
        <v>74697421</v>
      </c>
      <c r="F127" s="1757">
        <f>IFERROR(N('業務_附属明細表P48-50'!Q91),"エラー")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IFERROR(N('業務_附属明細表P48-50'!M77),"エラー")</f>
        <v>383946</v>
      </c>
      <c r="F128" s="1754">
        <f>IFERROR(N('業務_附属明細表P48-50'!F85-'業務_附属明細表P48-50'!E115),"エラー")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IFERROR(N('保健_財務諸表P53'!D27),"エラー")</f>
        <v>461488881</v>
      </c>
      <c r="F131" s="1757">
        <f>IFERROR(N('保健_財務諸表P53'!H27),"エラー")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IFERROR(N('保健_財務諸表P53'!D62),"エラー")</f>
        <v>629427111</v>
      </c>
      <c r="F132" s="1754">
        <f>IFERROR(N('保健_財務諸表P53'!H62),"エラー")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IFERROR(N('保健_決算精算表P58'!A54),"エラー")</f>
        <v>1090915992</v>
      </c>
      <c r="F133" s="1757">
        <f>IFERROR(N('保健_決算精算表P58'!G54),"エラー")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IFERROR(N('保健_決算精算表P58'!C54),"エラー")</f>
        <v>772179484</v>
      </c>
      <c r="F134" s="1754">
        <f>IFERROR(N('保健_決算精算表P58'!E54),"エラー")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IFERROR(N('保健_決算精算表P58'!B54),"エラー")</f>
        <v>333001648</v>
      </c>
      <c r="F135" s="1757">
        <f>IFERROR(N('保健_決算精算表P58'!F54),"エラー")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IFERROR(N('保健_附属明細表P54-57'!M6),"エラー")</f>
        <v>332277800</v>
      </c>
      <c r="F136" s="1754">
        <f>IFERROR(N('保健_財務諸表P53'!C7),"エラー")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IFERROR(N('保健_附属明細表P54-57'!M13),"エラー")</f>
        <v>0</v>
      </c>
      <c r="F137" s="1757">
        <f>IFERROR(N('保健_財務諸表P53'!C8),"エラー")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IFERROR(N('保健_附属明細表P54-57'!M20),"エラー")</f>
        <v>0</v>
      </c>
      <c r="F138" s="1754">
        <f>IFERROR(N('保健_財務諸表P53'!C9),"エラー")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IFERROR(N('保健_附属明細表P54-57'!G43),"エラー")</f>
        <v>129211081</v>
      </c>
      <c r="F139" s="1757">
        <f>IFERROR(N('保健_財務諸表P53'!C12),"エラー")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IFERROR(N('保健_附属明細表P54-57'!G61),"エラー")</f>
        <v>175260287</v>
      </c>
      <c r="F140" s="1754">
        <f>IFERROR(N('保健_財務諸表P53'!G7),"エラー")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IFERROR(N('保健_附属明細表P54-57'!G70),"エラー")</f>
        <v>0</v>
      </c>
      <c r="F141" s="1757">
        <f>IFERROR(N('保健_財務諸表P53'!G8),"エラー")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IFERROR(N('保健_附属明細表P54-57'!G79),"エラー")</f>
        <v>1015850</v>
      </c>
      <c r="F142" s="1754">
        <f>IFERROR(N('保健_財務諸表P53'!G9),"エラー")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IFERROR(N('保健_附属明細表P54-57'!Q148),"エラー")</f>
        <v>285212744</v>
      </c>
      <c r="F143" s="1757">
        <f>IFERROR(N('保健_財務諸表P53'!H14),"エラー")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IFERROR(N('保健_財務諸表P53'!H37+'保健_財務諸表P53'!H46),"エラー")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IFERROR(N('保健_財務諸表P53'!D37+'保健_財務諸表P53'!D55),"エラー")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IFERROR(N('保健_附属明細表P54-57'!E147+'保健_附属明細表P54-57'!I147-'保健_附属明細表P54-57'!M147),"エラー")</f>
        <v>285212744</v>
      </c>
      <c r="F148" s="1754">
        <f>IFERROR(N('保健_附属明細表P54-57'!Q147),"エラー")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IFERROR(N('保健_附属明細表P54-57'!I116),"エラー")</f>
        <v>0</v>
      </c>
      <c r="F149" s="1757">
        <f>IFERROR(N(N('保健_財務諸表P53'!B54)),"エラー")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IFERROR(N('保健_附属明細表P54-57'!S95),"エラー")</f>
        <v>0</v>
      </c>
      <c r="F150" s="1754">
        <f>IFERROR(N('保健_財務諸表P53'!C15),"エラー")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IFERROR(N('貸付_財務諸表P59'!D25),"エラー")</f>
        <v>1958201706</v>
      </c>
      <c r="F153" s="1757">
        <f>IFERROR(N('貸付_財務諸表P59'!H25),"エラー")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IFERROR(N('貸付_財務諸表P59'!D58),"エラー")</f>
        <v>14882388</v>
      </c>
      <c r="F154" s="1754">
        <f>IFERROR(N('貸付_財務諸表P59'!H58),"エラー")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IFERROR(N('貸付_決算精算表P63'!A39),"エラー")</f>
        <v>1973084094</v>
      </c>
      <c r="F155" s="1757">
        <f>IFERROR(N('貸付_決算精算表P63'!G39+'貸付_附属明細表P60-62'!G70),"エラー")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IFERROR(N('貸付_決算精算表P63'!C39),"エラー")</f>
        <v>1972139610</v>
      </c>
      <c r="F156" s="1754">
        <f>IFERROR(N('貸付_決算精算表P63'!E39),"エラー")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IFERROR(N('貸付_決算精算表P63'!B39),"エラー")</f>
        <v>8783340</v>
      </c>
      <c r="F157" s="1757">
        <f>IFERROR(N('貸付_決算精算表P63'!F39+'貸付_附属明細表P60-62'!G70),"エラー")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IFERROR(N('貸付_附属明細表P60-62'!M6),"エラー")</f>
        <v>1108845248</v>
      </c>
      <c r="F158" s="1754">
        <f>IFERROR(N('貸付_財務諸表P59'!C7),"エラー")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IFERROR(N('貸付_附属明細表P60-62'!G29),"エラー")</f>
        <v>180749</v>
      </c>
      <c r="F159" s="1757">
        <f>IFERROR(N('貸付_財務諸表P59'!C8),"エラー")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IFERROR(N('貸付_附属明細表P60-62'!G37),"エラー")</f>
        <v>0</v>
      </c>
      <c r="F160" s="1754">
        <f>IFERROR(N('貸付_財務諸表P59'!C9),"エラー")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IFERROR(N('貸付_附属明細表P60-62'!G47),"エラー")</f>
        <v>380530</v>
      </c>
      <c r="F161" s="1757">
        <f>IFERROR(N('貸付_財務諸表P59'!G7),"エラー")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IFERROR(N('貸付_附属明細表P60-62'!G55),"エラー")</f>
        <v>383205</v>
      </c>
      <c r="F162" s="1754">
        <f>IFERROR(N('貸付_財務諸表P59'!G8),"エラー")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IFERROR(N('貸付_附属明細表P60-62'!G62),"エラー")</f>
        <v>305231</v>
      </c>
      <c r="F163" s="1757">
        <f>IFERROR(N('貸付_財務諸表P59'!G9),"エラー")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IFERROR(N('貸付_附属明細表P60-62'!G70),"エラー")</f>
        <v>0</v>
      </c>
      <c r="F164" s="1754">
        <f>IFERROR(N('貸付_財務諸表P59'!G10),"エラー")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IFERROR(N('貸付_附属明細表P60-62'!R20),"エラー")</f>
        <v>0</v>
      </c>
      <c r="F165" s="1757">
        <f>IFERROR(N('貸付_財務諸表P59'!G13),"エラー")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IFERROR(N('貸付_附属明細表P60-62'!S77),"エラー")</f>
        <v>1</v>
      </c>
      <c r="F166" s="1754">
        <f>IFERROR(N('貸付_財務諸表P59'!B14),"エラー")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IFERROR(N('貸付_附属明細表P60-62'!R13-'貸付_附属明細表P60-62'!G28-'貸付_附属明細表P60-62'!G35+'貸付_附属明細表P60-62'!G68),"エラー")</f>
        <v>849175708</v>
      </c>
      <c r="F167" s="1757">
        <f>IFERROR(N('貸付_財務諸表P59'!B19),"エラー")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IFERROR(N('貸付_附属明細表P60-62'!Q91),"エラー")</f>
        <v>1957132740</v>
      </c>
      <c r="F168" s="1754">
        <f>IFERROR(N('貸付_財務諸表P59'!H18),"エラー")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IFERROR(N('貸付_附属明細表P60-62'!Q90),"エラー")</f>
        <v>1957132740</v>
      </c>
      <c r="F169" s="1757">
        <f>IFERROR(N('貸付_財務諸表P59'!F20+'貸付_財務諸表P59'!F22),"エラー")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IFERROR(N('貸付_財務諸表P59'!H35),"エラー")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IFERROR(N('貸付_財務諸表P59'!D35+'貸付_財務諸表P59'!D49),"エラー")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IFERROR(N('貸付_財務諸表P59'!B19),"エラー")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IFERROR(N('貸付_附属明細表P60-62'!R13),"エラー")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IFERROR(N('貸付_附属明細表P60-62'!F13),"エラー")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IFERROR(N('貸付_附属明細表P60-62'!F13+'貸付_附属明細表P60-62'!J13-'貸付_附属明細表P60-62'!N13),"エラー")</f>
        <v>849175708</v>
      </c>
      <c r="F175" s="1757">
        <f>IFERROR(N('貸付_附属明細表P60-62'!R13),"エラー")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IFERROR(N('貸付_附属明細表P60-62'!F20+'貸付_附属明細表P60-62'!J20-'貸付_附属明細表P60-62'!N20),"エラー")</f>
        <v>0</v>
      </c>
      <c r="F176" s="1754">
        <f>IFERROR(N('貸付_附属明細表P60-62'!R20),"エラー")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IFERROR(N('貸付_附属明細表P60-62'!E91+'貸付_附属明細表P60-62'!I91-'貸付_附属明細表P60-62'!M91),"エラー")</f>
        <v>1957132740</v>
      </c>
      <c r="F177" s="1757">
        <f>IFERROR(N('貸付_附属明細表P60-62'!Q91),"エラー")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IFERROR(N('貸付_附属明細表P60-62'!M77),"エラー")</f>
        <v>1</v>
      </c>
      <c r="F178" s="1754">
        <f>IFERROR(N('貸付_附属明細表P60-62'!F84-'貸付_附属明細表P60-62'!E105),"エラー")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IFERROR(N('貸付_附属明細表P60-62'!H84),"エラー")</f>
        <v>0</v>
      </c>
      <c r="F179" s="1757">
        <f>IFERROR(N(N('貸付_財務諸表P59'!B47)),"エラー")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IFERROR(N('業務_附属明細表P48-50'!J126+'業務_附属明細表P48-50'!O126),"エラー")</f>
        <v>24510562</v>
      </c>
      <c r="F190" s="1754">
        <f>IFERROR(N('業務_決算精算表P51'!A21+'業務_決算精算表P51'!A22+'業務_決算精算表P51'!A24+'業務_決算精算表P51'!A25),"エラー")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IFERROR(N('保健_附属明細表P54-57'!J139+'保健_附属明細表P54-57'!O139),"エラー")</f>
        <v>7053810</v>
      </c>
      <c r="F191" s="1757">
        <f>IFERROR(N('保健_決算精算表P58'!A27+'保健_附属明細表P54-57'!J137+'保健_附属明細表P54-57'!O137+'保健_決算精算表P58'!A30),"エラー")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IFERROR(N('貸付_附属明細表P60-62'!J115+'貸付_附属明細表P60-62'!O115),"エラー")</f>
        <v>6980826</v>
      </c>
      <c r="F192" s="1754">
        <f>IFERROR(N('貸付_決算精算表P63'!A21+'貸付_決算精算表P63'!A23+'貸付_決算精算表P63'!A24),"エラー")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COUNTIF('短期_財務諸表P27'!A1:M67,"#"&amp;"REF!")</f>
        <v>0</v>
      </c>
      <c r="C224" s="1770">
        <f>COUNTIF('短期_財務諸表P27'!A1:M67,"#"&amp;"VALUE!")</f>
        <v>0</v>
      </c>
      <c r="D224" s="1770">
        <f>COUNTIF('短期_財務諸表P27'!A1:M67,"#"&amp;"DIV/0!")</f>
        <v>0</v>
      </c>
      <c r="E224" s="1770">
        <f>COUNTIF('短期_財務諸表P27'!A1:M67,"#"&amp;"NAME?")</f>
        <v>0</v>
      </c>
      <c r="F224" s="1770">
        <f>SUMPRODUCT(--ISERROR('短期_財務諸表P27'!A1:M67))-SUM(B224:E224)</f>
        <v>0</v>
      </c>
      <c r="G224" s="1770">
        <f ca="1">IFERROR(SUMPRODUCT(--ISNUMBER(FIND("[",_xlfn.FORMULATEXT('短期_財務諸表P27'!A1:M67)))),0)</f>
        <v>0</v>
      </c>
      <c r="H224" s="1771" t="s">
        <v>3205</v>
      </c>
    </row>
    <row r="225" spans="1:8" ht="19.05" customHeight="1">
      <c r="A225" s="1755" t="s">
        <v>1495</v>
      </c>
      <c r="B225" s="1772">
        <f>COUNTIF('短期_附属明細表P28-29'!A1:V119,"#"&amp;"REF!")</f>
        <v>0</v>
      </c>
      <c r="C225" s="1772">
        <f>COUNTIF('短期_附属明細表P28-29'!A1:V119,"#"&amp;"VALUE!")</f>
        <v>0</v>
      </c>
      <c r="D225" s="1772">
        <f>COUNTIF('短期_附属明細表P28-29'!A1:V119,"#"&amp;"DIV/0!")</f>
        <v>0</v>
      </c>
      <c r="E225" s="1772">
        <f>COUNTIF('短期_附属明細表P28-29'!A1:V119,"#"&amp;"NAME?")</f>
        <v>0</v>
      </c>
      <c r="F225" s="1772">
        <f>SUMPRODUCT(--ISERROR('短期_附属明細表P28-29'!A1:V119))-SUM(B225:E225)</f>
        <v>0</v>
      </c>
      <c r="G225" s="1772">
        <f ca="1">IFERROR(SUMPRODUCT(--ISNUMBER(FIND("[",_xlfn.FORMULATEXT('短期_附属明細表P28-29'!A1:V119)))),0)</f>
        <v>0</v>
      </c>
      <c r="H225" s="1773" t="s">
        <v>3206</v>
      </c>
    </row>
    <row r="226" spans="1:8" ht="19.05" customHeight="1">
      <c r="A226" s="1752" t="s">
        <v>1927</v>
      </c>
      <c r="B226" s="1770">
        <f>COUNTIF('短期_決算精算表P30'!A1:I69,"#"&amp;"REF!")</f>
        <v>0</v>
      </c>
      <c r="C226" s="1770">
        <f>COUNTIF('短期_決算精算表P30'!A1:I69,"#"&amp;"VALUE!")</f>
        <v>0</v>
      </c>
      <c r="D226" s="1770">
        <f>COUNTIF('短期_決算精算表P30'!A1:I69,"#"&amp;"DIV/0!")</f>
        <v>0</v>
      </c>
      <c r="E226" s="1770">
        <f>COUNTIF('短期_決算精算表P30'!A1:I69,"#"&amp;"NAME?")</f>
        <v>0</v>
      </c>
      <c r="F226" s="1770">
        <f>SUMPRODUCT(--ISERROR('短期_決算精算表P30'!A1:I69))-SUM(B226:E226)</f>
        <v>0</v>
      </c>
      <c r="G226" s="1770">
        <f ca="1">IFERROR(SUMPRODUCT(--ISNUMBER(FIND("[",_xlfn.FORMULATEXT('短期_決算精算表P30'!A1:I69)))),0)</f>
        <v>0</v>
      </c>
      <c r="H226" s="1771" t="s">
        <v>3207</v>
      </c>
    </row>
    <row r="227" spans="1:8" ht="19.05" customHeight="1">
      <c r="A227" s="1755" t="s">
        <v>3208</v>
      </c>
      <c r="B227" s="1772">
        <f>COUNTIF('厚生_貸借・損益P31'!A1:M26,"#"&amp;"REF!")</f>
        <v>0</v>
      </c>
      <c r="C227" s="1772">
        <f>COUNTIF('厚生_貸借・損益P31'!A1:M26,"#"&amp;"VALUE!")</f>
        <v>0</v>
      </c>
      <c r="D227" s="1772">
        <f>COUNTIF('厚生_貸借・損益P31'!A1:M26,"#"&amp;"DIV/0!")</f>
        <v>0</v>
      </c>
      <c r="E227" s="1772">
        <f>COUNTIF('厚生_貸借・損益P31'!A1:M26,"#"&amp;"NAME?")</f>
        <v>0</v>
      </c>
      <c r="F227" s="1772">
        <f>SUMPRODUCT(--ISERROR('厚生_貸借・損益P31'!A1:M26))-SUM(B227:E227)</f>
        <v>0</v>
      </c>
      <c r="G227" s="1772">
        <f ca="1">IFERROR(SUMPRODUCT(--ISNUMBER(FIND("[",_xlfn.FORMULATEXT('厚生_貸借・損益P31'!A1:M26)))),0)</f>
        <v>0</v>
      </c>
      <c r="H227" s="1773" t="s">
        <v>3209</v>
      </c>
    </row>
    <row r="228" spans="1:8" ht="19.05" customHeight="1">
      <c r="A228" s="1752" t="s">
        <v>1952</v>
      </c>
      <c r="B228" s="1770">
        <f>COUNTIF('厚生_預金・立替・未収P32'!A1:I38,"#"&amp;"REF!")</f>
        <v>0</v>
      </c>
      <c r="C228" s="1770">
        <f>COUNTIF('厚生_預金・立替・未収P32'!A1:I38,"#"&amp;"VALUE!")</f>
        <v>0</v>
      </c>
      <c r="D228" s="1770">
        <f>COUNTIF('厚生_預金・立替・未収P32'!A1:I38,"#"&amp;"DIV/0!")</f>
        <v>0</v>
      </c>
      <c r="E228" s="1770">
        <f>COUNTIF('厚生_預金・立替・未収P32'!A1:I38,"#"&amp;"NAME?")</f>
        <v>0</v>
      </c>
      <c r="F228" s="1770">
        <f>SUMPRODUCT(--ISERROR('厚生_預金・立替・未収P32'!A1:I38))-SUM(B228:E228)</f>
        <v>0</v>
      </c>
      <c r="G228" s="1770">
        <f ca="1">IFERROR(SUMPRODUCT(--ISNUMBER(FIND("[",_xlfn.FORMULATEXT('厚生_預金・立替・未収P32'!A1:I38)))),0)</f>
        <v>0</v>
      </c>
      <c r="H228" s="1771" t="s">
        <v>3210</v>
      </c>
    </row>
    <row r="229" spans="1:8" ht="19.05" customHeight="1">
      <c r="A229" s="1755" t="s">
        <v>1960</v>
      </c>
      <c r="B229" s="1772">
        <f>COUNTIF('厚生_決算精算表P33'!A1:G26,"#"&amp;"REF!")</f>
        <v>0</v>
      </c>
      <c r="C229" s="1772">
        <f>COUNTIF('厚生_決算精算表P33'!A1:G26,"#"&amp;"VALUE!")</f>
        <v>0</v>
      </c>
      <c r="D229" s="1772">
        <f>COUNTIF('厚生_決算精算表P33'!A1:G26,"#"&amp;"DIV/0!")</f>
        <v>0</v>
      </c>
      <c r="E229" s="1772">
        <f>COUNTIF('厚生_決算精算表P33'!A1:G26,"#"&amp;"NAME?")</f>
        <v>0</v>
      </c>
      <c r="F229" s="1772">
        <f>SUMPRODUCT(--ISERROR('厚生_決算精算表P33'!A1:G26))-SUM(B229:E229)</f>
        <v>0</v>
      </c>
      <c r="G229" s="1772">
        <f ca="1">IFERROR(SUMPRODUCT(--ISNUMBER(FIND("[",_xlfn.FORMULATEXT('厚生_決算精算表P33'!A1:G26)))),0)</f>
        <v>0</v>
      </c>
      <c r="H229" s="1773" t="s">
        <v>3211</v>
      </c>
    </row>
    <row r="230" spans="1:8" ht="19.05" customHeight="1">
      <c r="A230" s="1752" t="s">
        <v>3212</v>
      </c>
      <c r="B230" s="1770">
        <f>COUNTIF('厚生_白紙P34'!A1:A1,"#"&amp;"REF!")</f>
        <v>0</v>
      </c>
      <c r="C230" s="1770">
        <f>COUNTIF('厚生_白紙P34'!A1:A1,"#"&amp;"VALUE!")</f>
        <v>0</v>
      </c>
      <c r="D230" s="1770">
        <f>COUNTIF('厚生_白紙P34'!A1:A1,"#"&amp;"DIV/0!")</f>
        <v>0</v>
      </c>
      <c r="E230" s="1770">
        <f>COUNTIF('厚生_白紙P34'!A1:A1,"#"&amp;"NAME?")</f>
        <v>0</v>
      </c>
      <c r="F230" s="1770">
        <f>SUMPRODUCT(--ISERROR('厚生_白紙P34'!A1:A1))-SUM(B230:E230)</f>
        <v>0</v>
      </c>
      <c r="G230" s="1770">
        <f ca="1">IFERROR(SUMPRODUCT(--ISNUMBER(FIND("[",_xlfn.FORMULATEXT('厚生_白紙P34'!A1:A1)))),0)</f>
        <v>0</v>
      </c>
      <c r="H230" s="1771" t="s">
        <v>3204</v>
      </c>
    </row>
    <row r="231" spans="1:8" ht="19.05" customHeight="1">
      <c r="A231" s="1755" t="s">
        <v>1487</v>
      </c>
      <c r="B231" s="1772">
        <f>COUNTIF('退職等_貸借・損益P35'!A1:M26,"#"&amp;"REF!")</f>
        <v>0</v>
      </c>
      <c r="C231" s="1772">
        <f>COUNTIF('退職等_貸借・損益P35'!A1:M26,"#"&amp;"VALUE!")</f>
        <v>0</v>
      </c>
      <c r="D231" s="1772">
        <f>COUNTIF('退職等_貸借・損益P35'!A1:M26,"#"&amp;"DIV/0!")</f>
        <v>0</v>
      </c>
      <c r="E231" s="1772">
        <f>COUNTIF('退職等_貸借・損益P35'!A1:M26,"#"&amp;"NAME?")</f>
        <v>0</v>
      </c>
      <c r="F231" s="1772">
        <f>SUMPRODUCT(--ISERROR('退職等_貸借・損益P35'!A1:M26))-SUM(B231:E231)</f>
        <v>0</v>
      </c>
      <c r="G231" s="1772">
        <f ca="1">IFERROR(SUMPRODUCT(--ISNUMBER(FIND("[",_xlfn.FORMULATEXT('退職等_貸借・損益P35'!A1:M26)))),0)</f>
        <v>0</v>
      </c>
      <c r="H231" s="1773" t="s">
        <v>3209</v>
      </c>
    </row>
    <row r="232" spans="1:8" ht="19.05" customHeight="1">
      <c r="A232" s="1752" t="s">
        <v>1963</v>
      </c>
      <c r="B232" s="1770">
        <f>COUNTIF('退職等_預金・立替・未収P36'!A1:I34,"#"&amp;"REF!")</f>
        <v>0</v>
      </c>
      <c r="C232" s="1770">
        <f>COUNTIF('退職等_預金・立替・未収P36'!A1:I34,"#"&amp;"VALUE!")</f>
        <v>0</v>
      </c>
      <c r="D232" s="1770">
        <f>COUNTIF('退職等_預金・立替・未収P36'!A1:I34,"#"&amp;"DIV/0!")</f>
        <v>0</v>
      </c>
      <c r="E232" s="1770">
        <f>COUNTIF('退職等_預金・立替・未収P36'!A1:I34,"#"&amp;"NAME?")</f>
        <v>0</v>
      </c>
      <c r="F232" s="1770">
        <f>SUMPRODUCT(--ISERROR('退職等_預金・立替・未収P36'!A1:I34))-SUM(B232:E232)</f>
        <v>0</v>
      </c>
      <c r="G232" s="1770">
        <f ca="1">IFERROR(SUMPRODUCT(--ISNUMBER(FIND("[",_xlfn.FORMULATEXT('退職等_預金・立替・未収P36'!A1:I34)))),0)</f>
        <v>0</v>
      </c>
      <c r="H232" s="1771" t="s">
        <v>3213</v>
      </c>
    </row>
    <row r="233" spans="1:8" ht="19.05" customHeight="1">
      <c r="A233" s="1755" t="s">
        <v>1966</v>
      </c>
      <c r="B233" s="1772">
        <f>COUNTIF('退職等_決算精算表P37'!A1:G26,"#"&amp;"REF!")</f>
        <v>0</v>
      </c>
      <c r="C233" s="1772">
        <f>COUNTIF('退職等_決算精算表P37'!A1:G26,"#"&amp;"VALUE!")</f>
        <v>0</v>
      </c>
      <c r="D233" s="1772">
        <f>COUNTIF('退職等_決算精算表P37'!A1:G26,"#"&amp;"DIV/0!")</f>
        <v>0</v>
      </c>
      <c r="E233" s="1772">
        <f>COUNTIF('退職等_決算精算表P37'!A1:G26,"#"&amp;"NAME?")</f>
        <v>0</v>
      </c>
      <c r="F233" s="1772">
        <f>SUMPRODUCT(--ISERROR('退職等_決算精算表P37'!A1:G26))-SUM(B233:E233)</f>
        <v>0</v>
      </c>
      <c r="G233" s="1772">
        <f ca="1">IFERROR(SUMPRODUCT(--ISNUMBER(FIND("[",_xlfn.FORMULATEXT('退職等_決算精算表P37'!A1:G26)))),0)</f>
        <v>0</v>
      </c>
      <c r="H233" s="1773" t="s">
        <v>3211</v>
      </c>
    </row>
    <row r="234" spans="1:8" ht="19.05" customHeight="1">
      <c r="A234" s="1752" t="s">
        <v>3214</v>
      </c>
      <c r="B234" s="1770">
        <f>COUNTIF('退職等_白紙P38'!A1:A1,"#"&amp;"REF!")</f>
        <v>0</v>
      </c>
      <c r="C234" s="1770">
        <f>COUNTIF('退職等_白紙P38'!A1:A1,"#"&amp;"VALUE!")</f>
        <v>0</v>
      </c>
      <c r="D234" s="1770">
        <f>COUNTIF('退職等_白紙P38'!A1:A1,"#"&amp;"DIV/0!")</f>
        <v>0</v>
      </c>
      <c r="E234" s="1770">
        <f>COUNTIF('退職等_白紙P38'!A1:A1,"#"&amp;"NAME?")</f>
        <v>0</v>
      </c>
      <c r="F234" s="1770">
        <f>SUMPRODUCT(--ISERROR('退職等_白紙P38'!A1:A1))-SUM(B234:E234)</f>
        <v>0</v>
      </c>
      <c r="G234" s="1770">
        <f ca="1">IFERROR(SUMPRODUCT(--ISNUMBER(FIND("[",_xlfn.FORMULATEXT('退職等_白紙P38'!A1:A1)))),0)</f>
        <v>0</v>
      </c>
      <c r="H234" s="1771" t="s">
        <v>3204</v>
      </c>
    </row>
    <row r="235" spans="1:8" ht="19.05" customHeight="1">
      <c r="A235" s="1755" t="s">
        <v>3215</v>
      </c>
      <c r="B235" s="1772">
        <f>COUNTIF('経過的_貸借・損益P39'!A1:M25,"#"&amp;"REF!")</f>
        <v>0</v>
      </c>
      <c r="C235" s="1772">
        <f>COUNTIF('経過的_貸借・損益P39'!A1:M25,"#"&amp;"VALUE!")</f>
        <v>0</v>
      </c>
      <c r="D235" s="1772">
        <f>COUNTIF('経過的_貸借・損益P39'!A1:M25,"#"&amp;"DIV/0!")</f>
        <v>0</v>
      </c>
      <c r="E235" s="1772">
        <f>COUNTIF('経過的_貸借・損益P39'!A1:M25,"#"&amp;"NAME?")</f>
        <v>0</v>
      </c>
      <c r="F235" s="1772">
        <f>SUMPRODUCT(--ISERROR('経過的_貸借・損益P39'!A1:M25))-SUM(B235:E235)</f>
        <v>0</v>
      </c>
      <c r="G235" s="1772">
        <f ca="1">IFERROR(SUMPRODUCT(--ISNUMBER(FIND("[",_xlfn.FORMULATEXT('経過的_貸借・損益P39'!A1:M25)))),0)</f>
        <v>0</v>
      </c>
      <c r="H235" s="1773" t="s">
        <v>3216</v>
      </c>
    </row>
    <row r="236" spans="1:8" ht="19.05" customHeight="1">
      <c r="A236" s="1752" t="s">
        <v>1969</v>
      </c>
      <c r="B236" s="1770">
        <f>COUNTIF('経過的_預金・立替・未収P40'!A1:I23,"#"&amp;"REF!")</f>
        <v>0</v>
      </c>
      <c r="C236" s="1770">
        <f>COUNTIF('経過的_預金・立替・未収P40'!A1:I23,"#"&amp;"VALUE!")</f>
        <v>0</v>
      </c>
      <c r="D236" s="1770">
        <f>COUNTIF('経過的_預金・立替・未収P40'!A1:I23,"#"&amp;"DIV/0!")</f>
        <v>0</v>
      </c>
      <c r="E236" s="1770">
        <f>COUNTIF('経過的_預金・立替・未収P40'!A1:I23,"#"&amp;"NAME?")</f>
        <v>0</v>
      </c>
      <c r="F236" s="1770">
        <f>SUMPRODUCT(--ISERROR('経過的_預金・立替・未収P40'!A1:I23))-SUM(B236:E236)</f>
        <v>0</v>
      </c>
      <c r="G236" s="1770">
        <f ca="1">IFERROR(SUMPRODUCT(--ISNUMBER(FIND("[",_xlfn.FORMULATEXT('経過的_預金・立替・未収P40'!A1:I23)))),0)</f>
        <v>0</v>
      </c>
      <c r="H236" s="1771" t="s">
        <v>3217</v>
      </c>
    </row>
    <row r="237" spans="1:8" ht="19.05" customHeight="1">
      <c r="A237" s="1755" t="s">
        <v>1970</v>
      </c>
      <c r="B237" s="1772">
        <f>COUNTIF('経過的_決算精算表P41'!A1:G23,"#"&amp;"REF!")</f>
        <v>0</v>
      </c>
      <c r="C237" s="1772">
        <f>COUNTIF('経過的_決算精算表P41'!A1:G23,"#"&amp;"VALUE!")</f>
        <v>0</v>
      </c>
      <c r="D237" s="1772">
        <f>COUNTIF('経過的_決算精算表P41'!A1:G23,"#"&amp;"DIV/0!")</f>
        <v>0</v>
      </c>
      <c r="E237" s="1772">
        <f>COUNTIF('経過的_決算精算表P41'!A1:G23,"#"&amp;"NAME?")</f>
        <v>0</v>
      </c>
      <c r="F237" s="1772">
        <f>SUMPRODUCT(--ISERROR('経過的_決算精算表P41'!A1:G23))-SUM(B237:E237)</f>
        <v>0</v>
      </c>
      <c r="G237" s="1772">
        <f ca="1">IFERROR(SUMPRODUCT(--ISNUMBER(FIND("[",_xlfn.FORMULATEXT('経過的_決算精算表P41'!A1:G23)))),0)</f>
        <v>0</v>
      </c>
      <c r="H237" s="1773" t="s">
        <v>3218</v>
      </c>
    </row>
    <row r="238" spans="1:8" ht="19.05" customHeight="1">
      <c r="A238" s="1752" t="s">
        <v>3219</v>
      </c>
      <c r="B238" s="1770">
        <f>COUNTIF('経過的_白紙P42'!A1:A1,"#"&amp;"REF!")</f>
        <v>0</v>
      </c>
      <c r="C238" s="1770">
        <f>COUNTIF('経過的_白紙P42'!A1:A1,"#"&amp;"VALUE!")</f>
        <v>0</v>
      </c>
      <c r="D238" s="1770">
        <f>COUNTIF('経過的_白紙P42'!A1:A1,"#"&amp;"DIV/0!")</f>
        <v>0</v>
      </c>
      <c r="E238" s="1770">
        <f>COUNTIF('経過的_白紙P42'!A1:A1,"#"&amp;"NAME?")</f>
        <v>0</v>
      </c>
      <c r="F238" s="1770">
        <f>SUMPRODUCT(--ISERROR('経過的_白紙P42'!A1:A1))-SUM(B238:E238)</f>
        <v>0</v>
      </c>
      <c r="G238" s="1770">
        <f ca="1">IFERROR(SUMPRODUCT(--ISNUMBER(FIND("[",_xlfn.FORMULATEXT('経過的_白紙P42'!A1:A1)))),0)</f>
        <v>0</v>
      </c>
      <c r="H238" s="1771" t="s">
        <v>3204</v>
      </c>
    </row>
    <row r="239" spans="1:8" ht="19.05" customHeight="1">
      <c r="A239" s="1755" t="s">
        <v>3220</v>
      </c>
      <c r="B239" s="1772">
        <f>COUNTIF('預託金_貸借・損益P43'!A1:M30,"#"&amp;"REF!")</f>
        <v>0</v>
      </c>
      <c r="C239" s="1772">
        <f>COUNTIF('預託金_貸借・損益P43'!A1:M30,"#"&amp;"VALUE!")</f>
        <v>0</v>
      </c>
      <c r="D239" s="1772">
        <f>COUNTIF('預託金_貸借・損益P43'!A1:M30,"#"&amp;"DIV/0!")</f>
        <v>0</v>
      </c>
      <c r="E239" s="1772">
        <f>COUNTIF('預託金_貸借・損益P43'!A1:M30,"#"&amp;"NAME?")</f>
        <v>0</v>
      </c>
      <c r="F239" s="1772">
        <f>SUMPRODUCT(--ISERROR('預託金_貸借・損益P43'!A1:M30))-SUM(B239:E239)</f>
        <v>0</v>
      </c>
      <c r="G239" s="1772">
        <f ca="1">IFERROR(SUMPRODUCT(--ISNUMBER(FIND("[",_xlfn.FORMULATEXT('預託金_貸借・損益P43'!A1:M30)))),0)</f>
        <v>0</v>
      </c>
      <c r="H239" s="1773" t="s">
        <v>3221</v>
      </c>
    </row>
    <row r="240" spans="1:8" ht="19.05" customHeight="1">
      <c r="A240" s="1752" t="s">
        <v>1462</v>
      </c>
      <c r="B240" s="1770">
        <f>COUNTIF('預託金_預金・未収・貸付・預託金P44'!A1:O29,"#"&amp;"REF!")</f>
        <v>0</v>
      </c>
      <c r="C240" s="1770">
        <f>COUNTIF('預託金_預金・未収・貸付・預託金P44'!A1:O29,"#"&amp;"VALUE!")</f>
        <v>0</v>
      </c>
      <c r="D240" s="1770">
        <f>COUNTIF('預託金_預金・未収・貸付・預託金P44'!A1:O29,"#"&amp;"DIV/0!")</f>
        <v>0</v>
      </c>
      <c r="E240" s="1770">
        <f>COUNTIF('預託金_預金・未収・貸付・預託金P44'!A1:O29,"#"&amp;"NAME?")</f>
        <v>0</v>
      </c>
      <c r="F240" s="1770">
        <f>SUMPRODUCT(--ISERROR('預託金_預金・未収・貸付・預託金P44'!A1:O29))-SUM(B240:E240)</f>
        <v>0</v>
      </c>
      <c r="G240" s="1770">
        <f ca="1">IFERROR(SUMPRODUCT(--ISNUMBER(FIND("[",_xlfn.FORMULATEXT('預託金_預金・未収・貸付・預託金P44'!A1:O29)))),0)</f>
        <v>0</v>
      </c>
      <c r="H240" s="1771" t="s">
        <v>3222</v>
      </c>
    </row>
    <row r="241" spans="1:8" ht="19.05" customHeight="1">
      <c r="A241" s="1755" t="s">
        <v>1973</v>
      </c>
      <c r="B241" s="1772">
        <f>COUNTIF('預託金_決算精算表P45'!A1:G24,"#"&amp;"REF!")</f>
        <v>0</v>
      </c>
      <c r="C241" s="1772">
        <f>COUNTIF('預託金_決算精算表P45'!A1:G24,"#"&amp;"VALUE!")</f>
        <v>0</v>
      </c>
      <c r="D241" s="1772">
        <f>COUNTIF('預託金_決算精算表P45'!A1:G24,"#"&amp;"DIV/0!")</f>
        <v>0</v>
      </c>
      <c r="E241" s="1772">
        <f>COUNTIF('預託金_決算精算表P45'!A1:G24,"#"&amp;"NAME?")</f>
        <v>0</v>
      </c>
      <c r="F241" s="1772">
        <f>SUMPRODUCT(--ISERROR('預託金_決算精算表P45'!A1:G24))-SUM(B241:E241)</f>
        <v>0</v>
      </c>
      <c r="G241" s="1772">
        <f ca="1">IFERROR(SUMPRODUCT(--ISNUMBER(FIND("[",_xlfn.FORMULATEXT('預託金_決算精算表P45'!A1:G24)))),0)</f>
        <v>0</v>
      </c>
      <c r="H241" s="1773" t="s">
        <v>3223</v>
      </c>
    </row>
    <row r="242" spans="1:8" ht="19.05" customHeight="1">
      <c r="A242" s="1752" t="s">
        <v>3224</v>
      </c>
      <c r="B242" s="1770">
        <f>COUNTIF('預託金_白紙P46'!A1:A1,"#"&amp;"REF!")</f>
        <v>0</v>
      </c>
      <c r="C242" s="1770">
        <f>COUNTIF('預託金_白紙P46'!A1:A1,"#"&amp;"VALUE!")</f>
        <v>0</v>
      </c>
      <c r="D242" s="1770">
        <f>COUNTIF('預託金_白紙P46'!A1:A1,"#"&amp;"DIV/0!")</f>
        <v>0</v>
      </c>
      <c r="E242" s="1770">
        <f>COUNTIF('預託金_白紙P46'!A1:A1,"#"&amp;"NAME?")</f>
        <v>0</v>
      </c>
      <c r="F242" s="1770">
        <f>SUMPRODUCT(--ISERROR('預託金_白紙P46'!A1:A1))-SUM(B242:E242)</f>
        <v>0</v>
      </c>
      <c r="G242" s="1770">
        <f ca="1">IFERROR(SUMPRODUCT(--ISNUMBER(FIND("[",_xlfn.FORMULATEXT('預託金_白紙P46'!A1:A1)))),0)</f>
        <v>0</v>
      </c>
      <c r="H242" s="1771" t="s">
        <v>3204</v>
      </c>
    </row>
    <row r="243" spans="1:8" ht="19.05" customHeight="1">
      <c r="A243" s="1755" t="s">
        <v>3225</v>
      </c>
      <c r="B243" s="1772">
        <f>COUNTIF('業務_財務諸表P47'!A1:H59,"#"&amp;"REF!")</f>
        <v>0</v>
      </c>
      <c r="C243" s="1772">
        <f>COUNTIF('業務_財務諸表P47'!A1:H59,"#"&amp;"VALUE!")</f>
        <v>0</v>
      </c>
      <c r="D243" s="1772">
        <f>COUNTIF('業務_財務諸表P47'!A1:H59,"#"&amp;"DIV/0!")</f>
        <v>0</v>
      </c>
      <c r="E243" s="1772">
        <f>COUNTIF('業務_財務諸表P47'!A1:H59,"#"&amp;"NAME?")</f>
        <v>0</v>
      </c>
      <c r="F243" s="1772">
        <f>SUMPRODUCT(--ISERROR('業務_財務諸表P47'!A1:H59))-SUM(B243:E243)</f>
        <v>0</v>
      </c>
      <c r="G243" s="1772">
        <f ca="1">IFERROR(SUMPRODUCT(--ISNUMBER(FIND("[",_xlfn.FORMULATEXT('業務_財務諸表P47'!A1:H59)))),0)</f>
        <v>0</v>
      </c>
      <c r="H243" s="1773" t="s">
        <v>3226</v>
      </c>
    </row>
    <row r="244" spans="1:8" ht="19.05" customHeight="1">
      <c r="A244" s="1752" t="s">
        <v>1467</v>
      </c>
      <c r="B244" s="1770">
        <f>COUNTIF('業務_附属明細表P48-50'!A1:Y150,"#"&amp;"REF!")</f>
        <v>0</v>
      </c>
      <c r="C244" s="1770">
        <f>COUNTIF('業務_附属明細表P48-50'!A1:Y150,"#"&amp;"VALUE!")</f>
        <v>0</v>
      </c>
      <c r="D244" s="1770">
        <f>COUNTIF('業務_附属明細表P48-50'!A1:Y150,"#"&amp;"DIV/0!")</f>
        <v>0</v>
      </c>
      <c r="E244" s="1770">
        <f>COUNTIF('業務_附属明細表P48-50'!A1:Y150,"#"&amp;"NAME?")</f>
        <v>0</v>
      </c>
      <c r="F244" s="1770">
        <f>SUMPRODUCT(--ISERROR('業務_附属明細表P48-50'!A1:Y150))-SUM(B244:E244)</f>
        <v>0</v>
      </c>
      <c r="G244" s="1770">
        <f ca="1">IFERROR(SUMPRODUCT(--ISNUMBER(FIND("[",_xlfn.FORMULATEXT('業務_附属明細表P48-50'!A1:Y150)))),0)</f>
        <v>0</v>
      </c>
      <c r="H244" s="1771" t="s">
        <v>3227</v>
      </c>
    </row>
    <row r="245" spans="1:8" ht="19.05" customHeight="1">
      <c r="A245" s="1755" t="s">
        <v>2011</v>
      </c>
      <c r="B245" s="1772">
        <f>COUNTIF('業務_決算精算表P51'!A1:G54,"#"&amp;"REF!")</f>
        <v>0</v>
      </c>
      <c r="C245" s="1772">
        <f>COUNTIF('業務_決算精算表P51'!A1:G54,"#"&amp;"VALUE!")</f>
        <v>0</v>
      </c>
      <c r="D245" s="1772">
        <f>COUNTIF('業務_決算精算表P51'!A1:G54,"#"&amp;"DIV/0!")</f>
        <v>0</v>
      </c>
      <c r="E245" s="1772">
        <f>COUNTIF('業務_決算精算表P51'!A1:G54,"#"&amp;"NAME?")</f>
        <v>0</v>
      </c>
      <c r="F245" s="1772">
        <f>SUMPRODUCT(--ISERROR('業務_決算精算表P51'!A1:G54))-SUM(B245:E245)</f>
        <v>0</v>
      </c>
      <c r="G245" s="1772">
        <f ca="1">IFERROR(SUMPRODUCT(--ISNUMBER(FIND("[",_xlfn.FORMULATEXT('業務_決算精算表P51'!A1:G54)))),0)</f>
        <v>0</v>
      </c>
      <c r="H245" s="1773" t="s">
        <v>3228</v>
      </c>
    </row>
    <row r="246" spans="1:8" ht="19.05" customHeight="1">
      <c r="A246" s="1752" t="s">
        <v>3229</v>
      </c>
      <c r="B246" s="1770">
        <f>COUNTIF('業務_白紙P52'!A1:A1,"#"&amp;"REF!")</f>
        <v>0</v>
      </c>
      <c r="C246" s="1770">
        <f>COUNTIF('業務_白紙P52'!A1:A1,"#"&amp;"VALUE!")</f>
        <v>0</v>
      </c>
      <c r="D246" s="1770">
        <f>COUNTIF('業務_白紙P52'!A1:A1,"#"&amp;"DIV/0!")</f>
        <v>0</v>
      </c>
      <c r="E246" s="1770">
        <f>COUNTIF('業務_白紙P52'!A1:A1,"#"&amp;"NAME?")</f>
        <v>0</v>
      </c>
      <c r="F246" s="1770">
        <f>SUMPRODUCT(--ISERROR('業務_白紙P52'!A1:A1))-SUM(B246:E246)</f>
        <v>0</v>
      </c>
      <c r="G246" s="1770">
        <f ca="1">IFERROR(SUMPRODUCT(--ISNUMBER(FIND("[",_xlfn.FORMULATEXT('業務_白紙P52'!A1:A1)))),0)</f>
        <v>0</v>
      </c>
      <c r="H246" s="1771" t="s">
        <v>3204</v>
      </c>
    </row>
    <row r="247" spans="1:8" ht="19.05" customHeight="1">
      <c r="A247" s="1755" t="s">
        <v>3230</v>
      </c>
      <c r="B247" s="1772">
        <f>COUNTIF('保健_財務諸表P53'!A1:K62,"#"&amp;"REF!")</f>
        <v>0</v>
      </c>
      <c r="C247" s="1772">
        <f>COUNTIF('保健_財務諸表P53'!A1:K62,"#"&amp;"VALUE!")</f>
        <v>0</v>
      </c>
      <c r="D247" s="1772">
        <f>COUNTIF('保健_財務諸表P53'!A1:K62,"#"&amp;"DIV/0!")</f>
        <v>0</v>
      </c>
      <c r="E247" s="1772">
        <f>COUNTIF('保健_財務諸表P53'!A1:K62,"#"&amp;"NAME?")</f>
        <v>0</v>
      </c>
      <c r="F247" s="1772">
        <f>SUMPRODUCT(--ISERROR('保健_財務諸表P53'!A1:K62))-SUM(B247:E247)</f>
        <v>0</v>
      </c>
      <c r="G247" s="1772">
        <f ca="1">IFERROR(SUMPRODUCT(--ISNUMBER(FIND("[",_xlfn.FORMULATEXT('保健_財務諸表P53'!A1:K62)))),0)</f>
        <v>0</v>
      </c>
      <c r="H247" s="1773" t="s">
        <v>3231</v>
      </c>
    </row>
    <row r="248" spans="1:8" ht="19.05" customHeight="1">
      <c r="A248" s="1752" t="s">
        <v>1475</v>
      </c>
      <c r="B248" s="1770">
        <f>COUNTIF('保健_附属明細表P54-57'!A1:AA167,"#"&amp;"REF!")</f>
        <v>0</v>
      </c>
      <c r="C248" s="1770">
        <f>COUNTIF('保健_附属明細表P54-57'!A1:AA167,"#"&amp;"VALUE!")</f>
        <v>0</v>
      </c>
      <c r="D248" s="1770">
        <f>COUNTIF('保健_附属明細表P54-57'!A1:AA167,"#"&amp;"DIV/0!")</f>
        <v>0</v>
      </c>
      <c r="E248" s="1770">
        <f>COUNTIF('保健_附属明細表P54-57'!A1:AA167,"#"&amp;"NAME?")</f>
        <v>0</v>
      </c>
      <c r="F248" s="1770">
        <f>SUMPRODUCT(--ISERROR('保健_附属明細表P54-57'!A1:AA167))-SUM(B248:E248)</f>
        <v>0</v>
      </c>
      <c r="G248" s="1770">
        <f ca="1">IFERROR(SUMPRODUCT(--ISNUMBER(FIND("[",_xlfn.FORMULATEXT('保健_附属明細表P54-57'!A1:AA167)))),0)</f>
        <v>0</v>
      </c>
      <c r="H248" s="1771" t="s">
        <v>3232</v>
      </c>
    </row>
    <row r="249" spans="1:8" ht="19.05" customHeight="1">
      <c r="A249" s="1755" t="s">
        <v>2114</v>
      </c>
      <c r="B249" s="1772">
        <f>COUNTIF('保健_決算精算表P58'!A1:G59,"#"&amp;"REF!")</f>
        <v>0</v>
      </c>
      <c r="C249" s="1772">
        <f>COUNTIF('保健_決算精算表P58'!A1:G59,"#"&amp;"VALUE!")</f>
        <v>0</v>
      </c>
      <c r="D249" s="1772">
        <f>COUNTIF('保健_決算精算表P58'!A1:G59,"#"&amp;"DIV/0!")</f>
        <v>0</v>
      </c>
      <c r="E249" s="1772">
        <f>COUNTIF('保健_決算精算表P58'!A1:G59,"#"&amp;"NAME?")</f>
        <v>0</v>
      </c>
      <c r="F249" s="1772">
        <f>SUMPRODUCT(--ISERROR('保健_決算精算表P58'!A1:G59))-SUM(B249:E249)</f>
        <v>0</v>
      </c>
      <c r="G249" s="1772">
        <f ca="1">IFERROR(SUMPRODUCT(--ISNUMBER(FIND("[",_xlfn.FORMULATEXT('保健_決算精算表P58'!A1:G59)))),0)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COUNTIF('貸付_財務諸表P59'!A1:H58,"#"&amp;"REF!")</f>
        <v>0</v>
      </c>
      <c r="C251" s="1772">
        <f>COUNTIF('貸付_財務諸表P59'!A1:H58,"#"&amp;"VALUE!")</f>
        <v>0</v>
      </c>
      <c r="D251" s="1772">
        <f>COUNTIF('貸付_財務諸表P59'!A1:H58,"#"&amp;"DIV/0!")</f>
        <v>0</v>
      </c>
      <c r="E251" s="1772">
        <f>COUNTIF('貸付_財務諸表P59'!A1:H58,"#"&amp;"NAME?")</f>
        <v>0</v>
      </c>
      <c r="F251" s="1772">
        <f>SUMPRODUCT(--ISERROR('貸付_財務諸表P59'!A1:H58))-SUM(B251:E251)</f>
        <v>0</v>
      </c>
      <c r="G251" s="1772">
        <f ca="1">IFERROR(SUMPRODUCT(--ISNUMBER(FIND("[",_xlfn.FORMULATEXT('貸付_財務諸表P59'!A1:H58)))),0)</f>
        <v>0</v>
      </c>
      <c r="H251" s="1773" t="s">
        <v>3235</v>
      </c>
    </row>
    <row r="252" spans="1:8" ht="19.05" customHeight="1">
      <c r="A252" s="1752" t="s">
        <v>3236</v>
      </c>
      <c r="B252" s="1770">
        <f>COUNTIF('貸付_附属明細表P60-62'!A1:V125,"#"&amp;"REF!")</f>
        <v>0</v>
      </c>
      <c r="C252" s="1770">
        <f>COUNTIF('貸付_附属明細表P60-62'!A1:V125,"#"&amp;"VALUE!")</f>
        <v>0</v>
      </c>
      <c r="D252" s="1770">
        <f>COUNTIF('貸付_附属明細表P60-62'!A1:V125,"#"&amp;"DIV/0!")</f>
        <v>0</v>
      </c>
      <c r="E252" s="1770">
        <f>COUNTIF('貸付_附属明細表P60-62'!A1:V125,"#"&amp;"NAME?")</f>
        <v>0</v>
      </c>
      <c r="F252" s="1770">
        <f>SUMPRODUCT(--ISERROR('貸付_附属明細表P60-62'!A1:V125))-SUM(B252:E252)</f>
        <v>0</v>
      </c>
      <c r="G252" s="1770">
        <f ca="1">IFERROR(SUMPRODUCT(--ISNUMBER(FIND("[",_xlfn.FORMULATEXT('貸付_附属明細表P60-62'!A1:V125)))),0)</f>
        <v>0</v>
      </c>
      <c r="H252" s="1771" t="s">
        <v>3237</v>
      </c>
    </row>
    <row r="253" spans="1:8" ht="19.05" customHeight="1">
      <c r="A253" s="1755" t="s">
        <v>1477</v>
      </c>
      <c r="B253" s="1772">
        <f>COUNTIF('貸付_決算精算表P63'!A1:G45,"#"&amp;"REF!")</f>
        <v>0</v>
      </c>
      <c r="C253" s="1772">
        <f>COUNTIF('貸付_決算精算表P63'!A1:G45,"#"&amp;"VALUE!")</f>
        <v>0</v>
      </c>
      <c r="D253" s="1772">
        <f>COUNTIF('貸付_決算精算表P63'!A1:G45,"#"&amp;"DIV/0!")</f>
        <v>0</v>
      </c>
      <c r="E253" s="1772">
        <f>COUNTIF('貸付_決算精算表P63'!A1:G45,"#"&amp;"NAME?")</f>
        <v>0</v>
      </c>
      <c r="F253" s="1772">
        <f>SUMPRODUCT(--ISERROR('貸付_決算精算表P63'!A1:G45))-SUM(B253:E253)</f>
        <v>0</v>
      </c>
      <c r="G253" s="1772">
        <f ca="1">IFERROR(SUMPRODUCT(--ISNUMBER(FIND("[",_xlfn.FORMULATEXT('貸付_決算精算表P63'!A1:G45)))),0)</f>
        <v>0</v>
      </c>
      <c r="H253" s="1773" t="s">
        <v>3238</v>
      </c>
    </row>
    <row r="254" spans="1:8" ht="19.05" customHeight="1">
      <c r="A254" s="1752" t="s">
        <v>3239</v>
      </c>
      <c r="B254" s="1770">
        <f>COUNTIF('貸付_白紙P64'!A1:A1,"#"&amp;"REF!")</f>
        <v>0</v>
      </c>
      <c r="C254" s="1770">
        <f>COUNTIF('貸付_白紙P64'!A1:A1,"#"&amp;"VALUE!")</f>
        <v>0</v>
      </c>
      <c r="D254" s="1770">
        <f>COUNTIF('貸付_白紙P64'!A1:A1,"#"&amp;"DIV/0!")</f>
        <v>0</v>
      </c>
      <c r="E254" s="1770">
        <f>COUNTIF('貸付_白紙P64'!A1:A1,"#"&amp;"NAME?")</f>
        <v>0</v>
      </c>
      <c r="F254" s="1770">
        <f>SUMPRODUCT(--ISERROR('貸付_白紙P64'!A1:A1))-SUM(B254:E254)</f>
        <v>0</v>
      </c>
      <c r="G254" s="1770">
        <f ca="1">IFERROR(SUMPRODUCT(--ISNUMBER(FIND("[",_xlfn.FORMULATEXT('貸付_白紙P64'!A1:A1)))),0)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tabColor rgb="FFA6A6A6"/>
  </sheetPr>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conditionalFormatting sqref="B9 B15 B21 O9 O15 O25 O28 O31 O34 O37 O40 O43 O46">
    <cfRule type="expression" dxfId="6" priority="2">
      <formula>AND(入力色表示=1,NOT(_xlfn.ISFORMULA(B9)))</formula>
    </cfRule>
  </conditionalFormatting>
  <dataValidations count="1">
    <dataValidation allowBlank="1" showInputMessage="1" promptTitle="手入力セル" prompt="反映先：なし（このセルのみ）" sqref="B9 B15 B21 O9 O15 O25 O28 O31 O34 O37 O40 O43 O46"/>
  </dataValidations>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conditionalFormatting sqref="C46 C48 D30 D31 D32 D33 D34 D35 D36 D37 D38 D39 D40 G30 G31 G32 G33 G34 G35 G36 G37 G38 G39 G40 G46 G48 G55 I55 K55 M55 O55 Q55 S30 S31 S32 S33 S34 S35 S36 S37 S38 S39 S40 S55 U55">
    <cfRule type="expression" dxfId="6" priority="2">
      <formula>AND(入力色表示=1,NOT(_xlfn.ISFORMULA(C46)))</formula>
    </cfRule>
  </conditionalFormatting>
  <dataValidations count="8">
    <dataValidation allowBlank="1" showInputMessage="1" promptTitle="手入力セル" prompt="反映先：報告_概況P1-2 G57,W55&#10;他の帳票：なし" sqref="G55"/>
    <dataValidation allowBlank="1" showInputMessage="1" promptTitle="手入力セル" prompt="反映先：報告_概況P1-2 I57,W55&#10;他の帳票：なし" sqref="I55"/>
    <dataValidation allowBlank="1" showInputMessage="1" promptTitle="手入力セル" prompt="反映先：報告_概況P1-2 K57,W55&#10;他の帳票：なし" sqref="K55"/>
    <dataValidation allowBlank="1" showInputMessage="1" promptTitle="手入力セル" prompt="反映先：報告_概況P1-2 M57,W55&#10;他の帳票：なし" sqref="M55"/>
    <dataValidation allowBlank="1" showInputMessage="1" promptTitle="手入力セル" prompt="反映先：報告_概況P1-2 O57,W55&#10;他の帳票：なし" sqref="O55"/>
    <dataValidation allowBlank="1" showInputMessage="1" promptTitle="手入力セル" prompt="反映先：報告_概況P1-2 Q57,W55&#10;他の帳票：なし" sqref="Q55"/>
    <dataValidation allowBlank="1" showInputMessage="1" promptTitle="手入力セル" prompt="反映先：報告_概況P1-2 S57,W55&#10;他の帳票：なし" sqref="S55"/>
    <dataValidation allowBlank="1" showInputMessage="1" promptTitle="手入力セル" prompt="反映先：報告_概況P1-2 U57,W55&#10;他の帳票：なし" sqref="U55"/>
  </dataValidations>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conditionalFormatting sqref="M10 M37 M38 M39 M40 M41 M42 M43 M44 M45 M46 M47 M51 M65 M66 M67 M68 M69 M70 M71 M72 M73 M74 M75 M88 M89 M90 M91 M92 M94 N17 N19 N20 N21 N22 N23 N26 Q18 Q24 T37 T38 T39 T40 T41 T42 T43 T44 T45 T46 T47 T51 T88 T89 T90 T91 T92 T94 U65 U66 U67 U68 U69 U70 U71 U72 U73 U74 U75 V17 V19 V20 V21 V22 V23 V26 Y18 Y24">
    <cfRule type="expression" dxfId="6" priority="2">
      <formula>AND(入力色表示=1,NOT(_xlfn.ISFORMULA(M10)))</formula>
    </cfRule>
  </conditionalFormatting>
  <dataValidations count="77">
    <dataValidation allowBlank="1" showInputMessage="1" promptTitle="手入力セル" prompt="反映先：報告_総括P3-5 U10&#10;他の帳票：なし" sqref="M10"/>
    <dataValidation allowBlank="1" showInputMessage="1" promptTitle="手入力セル" prompt="反映先：報告_総括P3-5 M49,AF37&#10;他の帳票：なし" sqref="M37"/>
    <dataValidation allowBlank="1" showInputMessage="1" promptTitle="手入力セル" prompt="反映先：報告_総括P3-5 AF38&#10;他の帳票：なし" sqref="M38"/>
    <dataValidation allowBlank="1" showInputMessage="1" promptTitle="手入力セル" prompt="反映先：報告_総括P3-5 M50,AF39&#10;他の帳票：なし" sqref="M39"/>
    <dataValidation allowBlank="1" showInputMessage="1" promptTitle="手入力セル" prompt="反映先：報告_総括P3-5 AF40&#10;他の帳票：なし" sqref="M40"/>
    <dataValidation allowBlank="1" showInputMessage="1" promptTitle="手入力セル" prompt="反映先：報告_総括P3-5 M50,AF41&#10;他の帳票：なし" sqref="M41"/>
    <dataValidation allowBlank="1" showInputMessage="1" promptTitle="手入力セル" prompt="反映先：報告_総括P3-5 M49,AF42&#10;他の帳票：なし" sqref="M42"/>
    <dataValidation allowBlank="1" showInputMessage="1" promptTitle="手入力セル" prompt="反映先：報告_総括P3-5 M50,AF43&#10;他の帳票：なし" sqref="M43"/>
    <dataValidation allowBlank="1" showInputMessage="1" promptTitle="手入力セル" prompt="反映先：報告_総括P3-5 M49,AF44&#10;他の帳票：なし" sqref="M44"/>
    <dataValidation allowBlank="1" showInputMessage="1" promptTitle="手入力セル" prompt="反映先：報告_総括P3-5 M50,AF45&#10;他の帳票：なし" sqref="M45"/>
    <dataValidation allowBlank="1" showInputMessage="1" promptTitle="手入力セル" prompt="反映先：報告_総括P3-5 M50,AF46&#10;他の帳票：なし" sqref="M46"/>
    <dataValidation allowBlank="1" showInputMessage="1" promptTitle="手入力セル" prompt="反映先：報告_総括P3-5 M48,M49,AF47&#10;他の帳票：なし" sqref="M47"/>
    <dataValidation allowBlank="1" showInputMessage="1" promptTitle="手入力セル" prompt="反映先：報告_総括P3-5 M53,AF51&#10;他の帳票：なし" sqref="M51"/>
    <dataValidation allowBlank="1" showInputMessage="1" promptTitle="手入力セル" prompt="反映先：報告_総括P3-5 M77,AC65&#10;他の帳票：なし" sqref="M65"/>
    <dataValidation allowBlank="1" showInputMessage="1" promptTitle="手入力セル" prompt="反映先：報告_総括P3-5 AC66&#10;他の帳票：なし" sqref="M66"/>
    <dataValidation allowBlank="1" showInputMessage="1" promptTitle="手入力セル" prompt="反映先：報告_総括P3-5 M78,AC67&#10;他の帳票：なし" sqref="M67"/>
    <dataValidation allowBlank="1" showInputMessage="1" promptTitle="手入力セル" prompt="反映先：報告_総括P3-5 AC68&#10;他の帳票：なし" sqref="M68"/>
    <dataValidation allowBlank="1" showInputMessage="1" promptTitle="手入力セル" prompt="反映先：報告_総括P3-5 M78,AC69&#10;他の帳票：なし" sqref="M69"/>
    <dataValidation allowBlank="1" showInputMessage="1" promptTitle="手入力セル" prompt="反映先：報告_総括P3-5 M77,AC70&#10;他の帳票：なし" sqref="M70"/>
    <dataValidation allowBlank="1" showInputMessage="1" promptTitle="手入力セル" prompt="反映先：報告_総括P3-5 M78,AC71&#10;他の帳票：なし" sqref="M71"/>
    <dataValidation allowBlank="1" showInputMessage="1" promptTitle="手入力セル" prompt="反映先：報告_総括P3-5 M77,AC72&#10;他の帳票：なし" sqref="M72"/>
    <dataValidation allowBlank="1" showInputMessage="1" promptTitle="手入力セル" prompt="反映先：報告_総括P3-5 M78,AC73&#10;他の帳票：なし" sqref="M73"/>
    <dataValidation allowBlank="1" showInputMessage="1" promptTitle="手入力セル" prompt="反映先：報告_総括P3-5 M78,AC74&#10;他の帳票：なし" sqref="M74"/>
    <dataValidation allowBlank="1" showInputMessage="1" promptTitle="手入力セル" prompt="反映先：報告_総括P3-5 M76,M77,AC75&#10;他の帳票：なし" sqref="M75"/>
    <dataValidation allowBlank="1" showInputMessage="1" promptTitle="手入力セル" prompt="反映先：報告_総括P3-5 M93,AA88&#10;他の帳票：なし" sqref="M88"/>
    <dataValidation allowBlank="1" showInputMessage="1" promptTitle="手入力セル" prompt="反映先：報告_総括P3-5 M93,AA89&#10;他の帳票：なし" sqref="M89"/>
    <dataValidation allowBlank="1" showInputMessage="1" promptTitle="手入力セル" prompt="反映先：報告_総括P3-5 M93,AA90&#10;他の帳票：なし" sqref="M90"/>
    <dataValidation allowBlank="1" showInputMessage="1" promptTitle="手入力セル" prompt="反映先：報告_総括P3-5 M93,AA91&#10;他の帳票：なし" sqref="M91"/>
    <dataValidation allowBlank="1" showInputMessage="1" promptTitle="手入力セル" prompt="反映先：報告_総括P3-5 AA92&#10;他の帳票：なし" sqref="M92"/>
    <dataValidation allowBlank="1" showInputMessage="1" promptTitle="手入力セル" prompt="反映先：報告_総括P3-5 M95,AA94&#10;他の帳票：なし" sqref="M94"/>
    <dataValidation allowBlank="1" showInputMessage="1" promptTitle="手入力セル" prompt="反映先：報告_総括P3-5 N25,AD17&#10;他の帳票：なし" sqref="N17"/>
    <dataValidation allowBlank="1" showInputMessage="1" promptTitle="手入力セル" prompt="反映先：報告_総括P3-5 N25,N28,AD19&#10;他の帳票：なし" sqref="N19"/>
    <dataValidation allowBlank="1" showInputMessage="1" promptTitle="手入力セル" prompt="反映先：報告_総括P3-5 N25,AD20&#10;他の帳票：なし" sqref="N20"/>
    <dataValidation allowBlank="1" showInputMessage="1" promptTitle="手入力セル" prompt="反映先：報告_総括P3-5 N25,AD21&#10;他の帳票：なし" sqref="N21"/>
    <dataValidation allowBlank="1" showInputMessage="1" promptTitle="手入力セル" prompt="反映先：報告_総括P3-5 N25,N28,AD22&#10;他の帳票：なし" sqref="N22"/>
    <dataValidation allowBlank="1" showInputMessage="1" promptTitle="手入力セル" prompt="反映先：報告_総括P3-5 N25,AD23&#10;他の帳票：なし" sqref="N23"/>
    <dataValidation allowBlank="1" showInputMessage="1" promptTitle="手入力セル" prompt="反映先：報告_総括P3-5 N27,AD26&#10;他の帳票：なし" sqref="N26"/>
    <dataValidation allowBlank="1" showInputMessage="1" promptTitle="手入力セル" prompt="反映先：報告_総括P3-5 AG18&#10;他の帳票：なし" sqref="Q18"/>
    <dataValidation allowBlank="1" showInputMessage="1" promptTitle="手入力セル" prompt="反映先：報告_総括P3-5 AG24&#10;他の帳票：なし" sqref="Q24"/>
    <dataValidation allowBlank="1" showInputMessage="1" promptTitle="手入力セル" prompt="反映先：報告_総括P3-5 T49,AA37,AF37…&#10;他の帳票：なし" sqref="T37"/>
    <dataValidation allowBlank="1" showInputMessage="1" promptTitle="手入力セル" prompt="反映先：報告_総括P3-5 AA38,AF38,AU38&#10;他の帳票：なし" sqref="T38"/>
    <dataValidation allowBlank="1" showInputMessage="1" promptTitle="手入力セル" prompt="反映先：報告_総括P3-5 T50,AA39,AF39…&#10;他の帳票：なし" sqref="T39"/>
    <dataValidation allowBlank="1" showInputMessage="1" promptTitle="手入力セル" prompt="反映先：報告_総括P3-5 AA40,AF40,AU40&#10;他の帳票：なし" sqref="T40"/>
    <dataValidation allowBlank="1" showInputMessage="1" promptTitle="手入力セル" prompt="反映先：報告_総括P3-5 T50,AA41,AF41…&#10;他の帳票：なし" sqref="T41"/>
    <dataValidation allowBlank="1" showInputMessage="1" promptTitle="手入力セル" prompt="反映先：報告_総括P3-5 T49,AA42,AF42…&#10;他の帳票：なし" sqref="T42"/>
    <dataValidation allowBlank="1" showInputMessage="1" promptTitle="手入力セル" prompt="反映先：報告_総括P3-5 T50,AA43,AF43…&#10;他の帳票：なし" sqref="T43"/>
    <dataValidation allowBlank="1" showInputMessage="1" promptTitle="手入力セル" prompt="反映先：報告_総括P3-5 T49,AA44,AF44…&#10;他の帳票：なし" sqref="T44"/>
    <dataValidation allowBlank="1" showInputMessage="1" promptTitle="手入力セル" prompt="反映先：報告_総括P3-5 T50,AA45,AF45…&#10;他の帳票：なし" sqref="T45"/>
    <dataValidation allowBlank="1" showInputMessage="1" promptTitle="手入力セル" prompt="反映先：報告_総括P3-5 T50,AA46,AF46…&#10;他の帳票：なし" sqref="T46"/>
    <dataValidation allowBlank="1" showInputMessage="1" promptTitle="手入力セル" prompt="反映先：報告_総括P3-5 T48,T49,AA47…&#10;他の帳票：なし" sqref="T47"/>
    <dataValidation allowBlank="1" showInputMessage="1" promptTitle="手入力セル" prompt="反映先：報告_総括P3-5 T53,AA51,AF51…&#10;他の帳票：なし" sqref="T51"/>
    <dataValidation allowBlank="1" showInputMessage="1" promptTitle="手入力セル" prompt="反映先：報告_総括P3-5 T93,AA88,AO88…&#10;他の帳票：なし" sqref="T88"/>
    <dataValidation allowBlank="1" showInputMessage="1" promptTitle="手入力セル" prompt="反映先：報告_総括P3-5 T93,AA89,AO89…&#10;他の帳票：なし" sqref="T89"/>
    <dataValidation allowBlank="1" showInputMessage="1" promptTitle="手入力セル" prompt="反映先：報告_総括P3-5 T93,AA90,AO90…&#10;他の帳票：なし" sqref="T90"/>
    <dataValidation allowBlank="1" showInputMessage="1" promptTitle="手入力セル" prompt="反映先：報告_総括P3-5 T93,AA91,AO91…&#10;他の帳票：なし" sqref="T91"/>
    <dataValidation allowBlank="1" showInputMessage="1" promptTitle="手入力セル" prompt="反映先：報告_総括P3-5 AA92,AO92,AV92&#10;他の帳票：なし" sqref="T92"/>
    <dataValidation allowBlank="1" showInputMessage="1" promptTitle="手入力セル" prompt="反映先：報告_総括P3-5 T95,AA94,AO94…&#10;他の帳票：なし" sqref="T94"/>
    <dataValidation allowBlank="1" showInputMessage="1" promptTitle="手入力セル" prompt="反映先：報告_総括P3-5 U77,AC65,AT65&#10;他の帳票：なし" sqref="U65"/>
    <dataValidation allowBlank="1" showInputMessage="1" promptTitle="手入力セル" prompt="反映先：報告_総括P3-5 AC66,AT66&#10;他の帳票：なし" sqref="U66"/>
    <dataValidation allowBlank="1" showInputMessage="1" promptTitle="手入力セル" prompt="反映先：報告_総括P3-5 U78,AC67,AT67&#10;他の帳票：なし" sqref="U67"/>
    <dataValidation allowBlank="1" showInputMessage="1" promptTitle="手入力セル" prompt="反映先：報告_総括P3-5 AC68,AT68&#10;他の帳票：なし" sqref="U68"/>
    <dataValidation allowBlank="1" showInputMessage="1" promptTitle="手入力セル" prompt="反映先：報告_総括P3-5 U78,AC69,AT69&#10;他の帳票：なし" sqref="U69"/>
    <dataValidation allowBlank="1" showInputMessage="1" promptTitle="手入力セル" prompt="反映先：報告_総括P3-5 U77,AC70,AT70&#10;他の帳票：なし" sqref="U70"/>
    <dataValidation allowBlank="1" showInputMessage="1" promptTitle="手入力セル" prompt="反映先：報告_総括P3-5 U78,AC71,AT71&#10;他の帳票：なし" sqref="U71"/>
    <dataValidation allowBlank="1" showInputMessage="1" promptTitle="手入力セル" prompt="反映先：報告_総括P3-5 U77,AC72,AT72&#10;他の帳票：なし" sqref="U72"/>
    <dataValidation allowBlank="1" showInputMessage="1" promptTitle="手入力セル" prompt="反映先：報告_総括P3-5 U78,AC73,AT73&#10;他の帳票：なし" sqref="U73"/>
    <dataValidation allowBlank="1" showInputMessage="1" promptTitle="手入力セル" prompt="反映先：報告_総括P3-5 U78,AC74,AT74&#10;他の帳票：なし" sqref="U74"/>
    <dataValidation allowBlank="1" showInputMessage="1" promptTitle="手入力セル" prompt="反映先：報告_総括P3-5 U76,U77,AC75…&#10;他の帳票：なし" sqref="U75"/>
    <dataValidation allowBlank="1" showInputMessage="1" promptTitle="手入力セル" prompt="反映先：報告_総括P3-5 V25,AA37,AA39…&#10;他の帳票：なし" sqref="V17"/>
    <dataValidation allowBlank="1" showInputMessage="1" promptTitle="手入力セル" prompt="反映先：報告_総括P3-5 V25,V28,AA41…&#10;他の帳票：なし" sqref="V19"/>
    <dataValidation allowBlank="1" showInputMessage="1" promptTitle="手入力セル" prompt="反映先：報告_総括P3-5 V25,AA42,AA43…&#10;他の帳票：なし" sqref="V20"/>
    <dataValidation allowBlank="1" showInputMessage="1" promptTitle="手入力セル" prompt="反映先：報告_総括P3-5 V25,AA44,AA45…&#10;他の帳票：なし" sqref="V21"/>
    <dataValidation allowBlank="1" showInputMessage="1" promptTitle="手入力セル" prompt="反映先：報告_総括P3-5 V25,V28,AA46…&#10;他の帳票：なし" sqref="V22"/>
    <dataValidation allowBlank="1" showInputMessage="1" promptTitle="手入力セル" prompt="反映先：報告_総括P3-5 V25,AA47,AA50…&#10;他の帳票：なし" sqref="V23"/>
    <dataValidation allowBlank="1" showInputMessage="1" promptTitle="手入力セル" prompt="反映先：報告_総括P3-5 V27,AA51,AD26…&#10;他の帳票：なし" sqref="V26"/>
    <dataValidation allowBlank="1" showInputMessage="1" promptTitle="手入力セル" prompt="反映先：報告_総括P3-5 AA38,AA40,AG18…&#10;他の帳票：なし" sqref="Y18"/>
    <dataValidation allowBlank="1" showInputMessage="1" promptTitle="手入力セル" prompt="反映先：報告_総括P3-5 AG24,AW24&#10;他の帳票：なし" sqref="Y24"/>
  </dataValidations>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3046">
        <v>52.91</v>
      </c>
      <c r="Q7" s="3047"/>
      <c r="R7" s="3047"/>
      <c r="S7" s="3047"/>
      <c r="T7" s="3047"/>
      <c r="U7" s="3047"/>
      <c r="V7" s="3047"/>
      <c r="W7" s="184"/>
      <c r="X7" s="3046">
        <v>52.91</v>
      </c>
      <c r="Y7" s="3047"/>
      <c r="Z7" s="3047"/>
      <c r="AA7" s="3047"/>
      <c r="AB7" s="3047"/>
      <c r="AC7" s="3047"/>
      <c r="AD7" s="3047"/>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3046">
        <v>52.91</v>
      </c>
      <c r="Q8" s="3047"/>
      <c r="R8" s="3047"/>
      <c r="S8" s="3047"/>
      <c r="T8" s="3047"/>
      <c r="U8" s="3047"/>
      <c r="V8" s="3047"/>
      <c r="W8" s="184"/>
      <c r="X8" s="3046">
        <v>52.91</v>
      </c>
      <c r="Y8" s="3047"/>
      <c r="Z8" s="3047"/>
      <c r="AA8" s="3047"/>
      <c r="AB8" s="3047"/>
      <c r="AC8" s="3047"/>
      <c r="AD8" s="3047"/>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3046">
        <v>52.91</v>
      </c>
      <c r="Q9" s="3047"/>
      <c r="R9" s="3047"/>
      <c r="S9" s="3047"/>
      <c r="T9" s="3047"/>
      <c r="U9" s="3047"/>
      <c r="V9" s="3047"/>
      <c r="W9" s="184"/>
      <c r="X9" s="3046">
        <v>52.91</v>
      </c>
      <c r="Y9" s="3047"/>
      <c r="Z9" s="3047"/>
      <c r="AA9" s="3047"/>
      <c r="AB9" s="3047"/>
      <c r="AC9" s="3047"/>
      <c r="AD9" s="3047"/>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3046">
        <v>52.91</v>
      </c>
      <c r="Q10" s="3047"/>
      <c r="R10" s="3047"/>
      <c r="S10" s="3047"/>
      <c r="T10" s="3047"/>
      <c r="U10" s="3047"/>
      <c r="V10" s="3047"/>
      <c r="W10" s="184"/>
      <c r="X10" s="3046">
        <v>52.91</v>
      </c>
      <c r="Y10" s="3047"/>
      <c r="Z10" s="3047"/>
      <c r="AA10" s="3047"/>
      <c r="AB10" s="3047"/>
      <c r="AC10" s="3047"/>
      <c r="AD10" s="3047"/>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3046">
        <v>2.52</v>
      </c>
      <c r="Q11" s="3047"/>
      <c r="R11" s="3047"/>
      <c r="S11" s="3047"/>
      <c r="T11" s="3047"/>
      <c r="U11" s="3047"/>
      <c r="V11" s="3047"/>
      <c r="W11" s="184"/>
      <c r="X11" s="3046">
        <v>2.52</v>
      </c>
      <c r="Y11" s="3047"/>
      <c r="Z11" s="3047"/>
      <c r="AA11" s="3047"/>
      <c r="AB11" s="3047"/>
      <c r="AC11" s="3047"/>
      <c r="AD11" s="3047"/>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3046">
        <v>105.82</v>
      </c>
      <c r="Q12" s="3047"/>
      <c r="R12" s="3047"/>
      <c r="S12" s="3047"/>
      <c r="T12" s="3047"/>
      <c r="U12" s="3047"/>
      <c r="V12" s="3047"/>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3048">
        <v>7.9</v>
      </c>
      <c r="Q19" s="3049"/>
      <c r="R19" s="3049"/>
      <c r="S19" s="3049"/>
      <c r="T19" s="3049"/>
      <c r="U19" s="3049"/>
      <c r="V19" s="3049"/>
      <c r="W19" s="195"/>
      <c r="X19" s="3048">
        <v>7.9</v>
      </c>
      <c r="Y19" s="3049"/>
      <c r="Z19" s="3049"/>
      <c r="AA19" s="3049"/>
      <c r="AB19" s="3049"/>
      <c r="AC19" s="3049"/>
      <c r="AD19" s="304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3048">
        <v>7.9</v>
      </c>
      <c r="Q20" s="3049"/>
      <c r="R20" s="3049"/>
      <c r="S20" s="3049"/>
      <c r="T20" s="3049"/>
      <c r="U20" s="3049"/>
      <c r="V20" s="3049"/>
      <c r="W20" s="195"/>
      <c r="X20" s="3048">
        <v>7.9</v>
      </c>
      <c r="Y20" s="3049"/>
      <c r="Z20" s="3049"/>
      <c r="AA20" s="3049"/>
      <c r="AB20" s="3049"/>
      <c r="AC20" s="3049"/>
      <c r="AD20" s="304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3048">
        <v>7.9</v>
      </c>
      <c r="Q21" s="3049"/>
      <c r="R21" s="3049"/>
      <c r="S21" s="3049"/>
      <c r="T21" s="3049"/>
      <c r="U21" s="3049"/>
      <c r="V21" s="3049"/>
      <c r="W21" s="195"/>
      <c r="X21" s="3048">
        <v>7.9</v>
      </c>
      <c r="Y21" s="3049"/>
      <c r="Z21" s="3049"/>
      <c r="AA21" s="3049"/>
      <c r="AB21" s="3049"/>
      <c r="AC21" s="3049"/>
      <c r="AD21" s="304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3048">
        <v>7.9</v>
      </c>
      <c r="Q22" s="3049"/>
      <c r="R22" s="3049"/>
      <c r="S22" s="3049"/>
      <c r="T22" s="3049"/>
      <c r="U22" s="3049"/>
      <c r="V22" s="3049"/>
      <c r="W22" s="195"/>
      <c r="X22" s="3048">
        <v>7.9</v>
      </c>
      <c r="Y22" s="3049"/>
      <c r="Z22" s="3049"/>
      <c r="AA22" s="3049"/>
      <c r="AB22" s="3049"/>
      <c r="AC22" s="3049"/>
      <c r="AD22" s="304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3048">
        <v>15.8</v>
      </c>
      <c r="Q23" s="3049"/>
      <c r="R23" s="3049"/>
      <c r="S23" s="3049"/>
      <c r="T23" s="3049"/>
      <c r="U23" s="3049"/>
      <c r="V23" s="304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3050" t="str">
        <f>"令和"&amp;IF((入力ガイド!$C$6-2)&gt;=10,MID("０１２３４５６７８９",INT((入力ガイド!$C$6-2)/10)+1,1),"")&amp;MID("０１２３４５６７８９",MOD((入力ガイド!$C$6-2),10)+1,1)&amp;"年度"</f>
        <v>令和５年度</v>
      </c>
      <c r="Q27" s="3050"/>
      <c r="R27" s="3050"/>
      <c r="S27" s="3050"/>
      <c r="T27" s="3050"/>
      <c r="U27" s="3050"/>
      <c r="V27" s="3050"/>
      <c r="W27" s="3050"/>
      <c r="X27" s="3050" t="str">
        <f>"令和"&amp;IF((入力ガイド!$C$6-1)&gt;=10,MID("０１２３４５６７８９",INT((入力ガイド!$C$6-1)/10)+1,1),"")&amp;MID("０１２３４５６７８９",MOD((入力ガイド!$C$6-1),10)+1,1)&amp;"年度"</f>
        <v>令和６年度</v>
      </c>
      <c r="Y27" s="3050"/>
      <c r="Z27" s="3050"/>
      <c r="AA27" s="3050"/>
      <c r="AB27" s="3050"/>
      <c r="AC27" s="3050"/>
      <c r="AD27" s="3050"/>
      <c r="AE27" s="3050"/>
      <c r="AF27" s="3050" t="str">
        <f>"令和"&amp;IF((入力ガイド!$C$6)&gt;=10,MID("０１２３４５６７８９",INT((入力ガイド!$C$6)/10)+1,1),"")&amp;MID("０１２３４５６７８９",MOD((入力ガイド!$C$6),10)+1,1)&amp;"年度"</f>
        <v>令和７年度</v>
      </c>
      <c r="AG27" s="3050"/>
      <c r="AH27" s="3050"/>
      <c r="AI27" s="3050"/>
      <c r="AJ27" s="3050"/>
      <c r="AK27" s="3050"/>
      <c r="AL27" s="3050"/>
      <c r="AM27" s="3050"/>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3050"/>
      <c r="Q28" s="3050"/>
      <c r="R28" s="3050"/>
      <c r="S28" s="3050"/>
      <c r="T28" s="3050"/>
      <c r="U28" s="3050"/>
      <c r="V28" s="3050"/>
      <c r="W28" s="3050"/>
      <c r="X28" s="3050"/>
      <c r="Y28" s="3050"/>
      <c r="Z28" s="3050"/>
      <c r="AA28" s="3050"/>
      <c r="AB28" s="3050"/>
      <c r="AC28" s="3050"/>
      <c r="AD28" s="3050"/>
      <c r="AE28" s="3050"/>
      <c r="AF28" s="3050"/>
      <c r="AG28" s="3050"/>
      <c r="AH28" s="3050"/>
      <c r="AI28" s="3050"/>
      <c r="AJ28" s="3050"/>
      <c r="AK28" s="3050"/>
      <c r="AL28" s="3050"/>
      <c r="AM28" s="3050"/>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3051">
        <f>前年度貼付!$E$54</f>
        <v>0.1</v>
      </c>
      <c r="Q29" s="3051"/>
      <c r="R29" s="3051"/>
      <c r="S29" s="3051"/>
      <c r="T29" s="3051"/>
      <c r="U29" s="3051"/>
      <c r="V29" s="3051"/>
      <c r="W29" s="195"/>
      <c r="X29" s="3051">
        <f>前年度貼付!$E$55</f>
        <v>0.1</v>
      </c>
      <c r="Y29" s="3051"/>
      <c r="Z29" s="3051"/>
      <c r="AA29" s="3051"/>
      <c r="AB29" s="3051"/>
      <c r="AC29" s="3051"/>
      <c r="AD29" s="3051"/>
      <c r="AE29" s="195"/>
      <c r="AF29" s="3052">
        <v>0.1</v>
      </c>
      <c r="AG29" s="3051"/>
      <c r="AH29" s="3051"/>
      <c r="AI29" s="3051"/>
      <c r="AJ29" s="3051"/>
      <c r="AK29" s="3051"/>
      <c r="AL29" s="3051"/>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3051">
        <f>前年度貼付!$E$56</f>
        <v>0.08</v>
      </c>
      <c r="Q30" s="3051"/>
      <c r="R30" s="3051"/>
      <c r="S30" s="3051"/>
      <c r="T30" s="3051"/>
      <c r="U30" s="3051"/>
      <c r="V30" s="3051"/>
      <c r="W30" s="195"/>
      <c r="X30" s="3051">
        <f>前年度貼付!$E$57</f>
        <v>0.74</v>
      </c>
      <c r="Y30" s="3051"/>
      <c r="Z30" s="3051"/>
      <c r="AA30" s="3051"/>
      <c r="AB30" s="3051"/>
      <c r="AC30" s="3051"/>
      <c r="AD30" s="3051"/>
      <c r="AE30" s="195"/>
      <c r="AF30" s="3052">
        <v>0.87</v>
      </c>
      <c r="AG30" s="3051"/>
      <c r="AH30" s="3051"/>
      <c r="AI30" s="3051"/>
      <c r="AJ30" s="3051"/>
      <c r="AK30" s="3051"/>
      <c r="AL30" s="3051"/>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conditionalFormatting sqref="P7 P8 P9 P10 P11 P12 P19 P20 P21 P22 P23 X7 X8 X9 X10 X11 X19 X20 X21 X22 AF29 AF30">
    <cfRule type="expression" dxfId="6" priority="2">
      <formula>AND(入力色表示=1,NOT(_xlfn.ISFORMULA(P7)))</formula>
    </cfRule>
  </conditionalFormatting>
  <dataValidations count="12">
    <dataValidation allowBlank="1" showInputMessage="1" promptTitle="手入力セル" prompt="反映先：報告_短期P6 AF7&#10;他の帳票：なし" sqref="P7 X7"/>
    <dataValidation allowBlank="1" showInputMessage="1" promptTitle="手入力セル" prompt="反映先：報告_短期P6 AF8&#10;他の帳票：なし" sqref="P8 X8"/>
    <dataValidation allowBlank="1" showInputMessage="1" promptTitle="手入力セル" prompt="反映先：報告_短期P6 AF9&#10;他の帳票：なし" sqref="P9 X9"/>
    <dataValidation allowBlank="1" showInputMessage="1" promptTitle="手入力セル" prompt="反映先：報告_短期P6 AF10&#10;他の帳票：なし" sqref="P10 X10"/>
    <dataValidation allowBlank="1" showInputMessage="1" promptTitle="手入力セル" prompt="反映先：報告_短期P6 AF11&#10;他の帳票：なし" sqref="P11 X11"/>
    <dataValidation allowBlank="1" showInputMessage="1" promptTitle="手入力セル" prompt="反映先：報告_短期P6 AF12&#10;他の帳票：なし" sqref="P12"/>
    <dataValidation allowBlank="1" showInputMessage="1" promptTitle="手入力セル" prompt="反映先：報告_短期P6 AF19&#10;他の帳票：なし" sqref="P19 X19"/>
    <dataValidation allowBlank="1" showInputMessage="1" promptTitle="手入力セル" prompt="反映先：報告_短期P6 AF20&#10;他の帳票：なし" sqref="P20 X20"/>
    <dataValidation allowBlank="1" showInputMessage="1" promptTitle="手入力セル" prompt="反映先：報告_短期P6 AF21&#10;他の帳票：なし" sqref="P21 X21"/>
    <dataValidation allowBlank="1" showInputMessage="1" promptTitle="手入力セル" prompt="反映先：報告_短期P6 AF22&#10;他の帳票：なし" sqref="P22 X22"/>
    <dataValidation allowBlank="1" showInputMessage="1" promptTitle="手入力セル" prompt="反映先：報告_短期P6 AF23&#10;他の帳票：なし" sqref="P23"/>
    <dataValidation allowBlank="1" showInputMessage="1" promptTitle="手入力セル" prompt="反映先：なし（このセルのみ）" sqref="AF29 AF30"/>
  </dataValidations>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3053">
        <v>5350860000</v>
      </c>
      <c r="BA5" s="3054"/>
      <c r="BB5" s="3054"/>
      <c r="BC5" s="3054"/>
      <c r="BD5" s="3054"/>
      <c r="BE5" s="3054"/>
      <c r="BF5" s="3054"/>
      <c r="BG5" s="3054"/>
      <c r="BH5" s="3054"/>
      <c r="BI5" s="3054"/>
      <c r="BJ5" s="3054"/>
      <c r="BK5" s="3054"/>
      <c r="BL5" s="3054"/>
      <c r="BM5" s="3054"/>
      <c r="BN5" s="3054"/>
      <c r="BO5" s="3054"/>
      <c r="BP5" s="3054"/>
      <c r="BQ5" s="3054"/>
      <c r="BR5" s="3054"/>
      <c r="BS5" s="3054"/>
      <c r="BT5" s="3054"/>
      <c r="BU5" s="3054"/>
      <c r="BV5" s="3054"/>
      <c r="BW5" s="3054"/>
      <c r="BX5" s="3054"/>
      <c r="BY5" s="3054"/>
      <c r="BZ5" s="3054"/>
      <c r="CA5" s="3054"/>
      <c r="CB5" s="3054">
        <f>'短期_財務諸表P27'!F39-CB6</f>
        <v>5553498733</v>
      </c>
      <c r="CC5" s="3054"/>
      <c r="CD5" s="3054"/>
      <c r="CE5" s="3054"/>
      <c r="CF5" s="3054"/>
      <c r="CG5" s="3054"/>
      <c r="CH5" s="3054"/>
      <c r="CI5" s="3054"/>
      <c r="CJ5" s="3054"/>
      <c r="CK5" s="3054"/>
      <c r="CL5" s="3054"/>
      <c r="CM5" s="3054"/>
      <c r="CN5" s="3054"/>
      <c r="CO5" s="3054"/>
      <c r="CP5" s="3054"/>
      <c r="CQ5" s="3054"/>
      <c r="CR5" s="3054"/>
      <c r="CS5" s="3054"/>
      <c r="CT5" s="3054"/>
      <c r="CU5" s="3054"/>
      <c r="CV5" s="3054"/>
      <c r="CW5" s="3054"/>
      <c r="CX5" s="3054"/>
      <c r="CY5" s="3054"/>
      <c r="CZ5" s="3054"/>
      <c r="DA5" s="3054"/>
      <c r="DB5" s="3054"/>
      <c r="DC5" s="305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3054">
        <f>前年度貼付!$E$58</f>
        <v>5337035666</v>
      </c>
      <c r="EG5" s="3054"/>
      <c r="EH5" s="3054"/>
      <c r="EI5" s="3054"/>
      <c r="EJ5" s="3054"/>
      <c r="EK5" s="3054"/>
      <c r="EL5" s="3054"/>
      <c r="EM5" s="3054"/>
      <c r="EN5" s="3054"/>
      <c r="EO5" s="3054"/>
      <c r="EP5" s="3054"/>
      <c r="EQ5" s="3054"/>
      <c r="ER5" s="3054"/>
      <c r="ES5" s="3054"/>
      <c r="ET5" s="3054"/>
      <c r="EU5" s="3054"/>
      <c r="EV5" s="3054"/>
      <c r="EW5" s="3054"/>
      <c r="EX5" s="3054"/>
      <c r="EY5" s="3054"/>
      <c r="EZ5" s="3054"/>
      <c r="FA5" s="3054"/>
      <c r="FB5" s="3054"/>
      <c r="FC5" s="3054"/>
      <c r="FD5" s="3054"/>
      <c r="FE5" s="3054"/>
      <c r="FF5" s="3054"/>
      <c r="FG5" s="305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3053">
        <v>67236000</v>
      </c>
      <c r="BA6" s="3054"/>
      <c r="BB6" s="3054"/>
      <c r="BC6" s="3054"/>
      <c r="BD6" s="3054"/>
      <c r="BE6" s="3054"/>
      <c r="BF6" s="3054"/>
      <c r="BG6" s="3054"/>
      <c r="BH6" s="3054"/>
      <c r="BI6" s="3054"/>
      <c r="BJ6" s="3054"/>
      <c r="BK6" s="3054"/>
      <c r="BL6" s="3054"/>
      <c r="BM6" s="3054"/>
      <c r="BN6" s="3054"/>
      <c r="BO6" s="3054"/>
      <c r="BP6" s="3054"/>
      <c r="BQ6" s="3054"/>
      <c r="BR6" s="3054"/>
      <c r="BS6" s="3054"/>
      <c r="BT6" s="3054"/>
      <c r="BU6" s="3054"/>
      <c r="BV6" s="3054"/>
      <c r="BW6" s="3054"/>
      <c r="BX6" s="3054"/>
      <c r="BY6" s="3054"/>
      <c r="BZ6" s="3054"/>
      <c r="CA6" s="3054"/>
      <c r="CB6" s="3053">
        <v>68555495</v>
      </c>
      <c r="CC6" s="3054"/>
      <c r="CD6" s="3054"/>
      <c r="CE6" s="3054"/>
      <c r="CF6" s="3054"/>
      <c r="CG6" s="3054"/>
      <c r="CH6" s="3054"/>
      <c r="CI6" s="3054"/>
      <c r="CJ6" s="3054"/>
      <c r="CK6" s="3054"/>
      <c r="CL6" s="3054"/>
      <c r="CM6" s="3054"/>
      <c r="CN6" s="3054"/>
      <c r="CO6" s="3054"/>
      <c r="CP6" s="3054"/>
      <c r="CQ6" s="3054"/>
      <c r="CR6" s="3054"/>
      <c r="CS6" s="3054"/>
      <c r="CT6" s="3054"/>
      <c r="CU6" s="3054"/>
      <c r="CV6" s="3054"/>
      <c r="CW6" s="3054"/>
      <c r="CX6" s="3054"/>
      <c r="CY6" s="3054"/>
      <c r="CZ6" s="3054"/>
      <c r="DA6" s="3054"/>
      <c r="DB6" s="3054"/>
      <c r="DC6" s="305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3054">
        <f>前年度貼付!$E$59</f>
        <v>55855362</v>
      </c>
      <c r="EG6" s="3054"/>
      <c r="EH6" s="3054"/>
      <c r="EI6" s="3054"/>
      <c r="EJ6" s="3054"/>
      <c r="EK6" s="3054"/>
      <c r="EL6" s="3054"/>
      <c r="EM6" s="3054"/>
      <c r="EN6" s="3054"/>
      <c r="EO6" s="3054"/>
      <c r="EP6" s="3054"/>
      <c r="EQ6" s="3054"/>
      <c r="ER6" s="3054"/>
      <c r="ES6" s="3054"/>
      <c r="ET6" s="3054"/>
      <c r="EU6" s="3054"/>
      <c r="EV6" s="3054"/>
      <c r="EW6" s="3054"/>
      <c r="EX6" s="3054"/>
      <c r="EY6" s="3054"/>
      <c r="EZ6" s="3054"/>
      <c r="FA6" s="3054"/>
      <c r="FB6" s="3054"/>
      <c r="FC6" s="3054"/>
      <c r="FD6" s="3054"/>
      <c r="FE6" s="3054"/>
      <c r="FF6" s="3054"/>
      <c r="FG6" s="305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3053">
        <v>467896000</v>
      </c>
      <c r="BA7" s="3054"/>
      <c r="BB7" s="3054"/>
      <c r="BC7" s="3054"/>
      <c r="BD7" s="3054"/>
      <c r="BE7" s="3054"/>
      <c r="BF7" s="3054"/>
      <c r="BG7" s="3054"/>
      <c r="BH7" s="3054"/>
      <c r="BI7" s="3054"/>
      <c r="BJ7" s="3054"/>
      <c r="BK7" s="3054"/>
      <c r="BL7" s="3054"/>
      <c r="BM7" s="3054"/>
      <c r="BN7" s="3054"/>
      <c r="BO7" s="3054"/>
      <c r="BP7" s="3054"/>
      <c r="BQ7" s="3054"/>
      <c r="BR7" s="3054"/>
      <c r="BS7" s="3054"/>
      <c r="BT7" s="3054"/>
      <c r="BU7" s="3054"/>
      <c r="BV7" s="3054"/>
      <c r="BW7" s="3054"/>
      <c r="BX7" s="3054"/>
      <c r="BY7" s="3054"/>
      <c r="BZ7" s="3054"/>
      <c r="CA7" s="3054"/>
      <c r="CB7" s="3054">
        <f>'短期_財務諸表P27'!F40</f>
        <v>496114904</v>
      </c>
      <c r="CC7" s="3054"/>
      <c r="CD7" s="3054"/>
      <c r="CE7" s="3054"/>
      <c r="CF7" s="3054"/>
      <c r="CG7" s="3054"/>
      <c r="CH7" s="3054"/>
      <c r="CI7" s="3054"/>
      <c r="CJ7" s="3054"/>
      <c r="CK7" s="3054"/>
      <c r="CL7" s="3054"/>
      <c r="CM7" s="3054"/>
      <c r="CN7" s="3054"/>
      <c r="CO7" s="3054"/>
      <c r="CP7" s="3054"/>
      <c r="CQ7" s="3054"/>
      <c r="CR7" s="3054"/>
      <c r="CS7" s="3054"/>
      <c r="CT7" s="3054"/>
      <c r="CU7" s="3054"/>
      <c r="CV7" s="3054"/>
      <c r="CW7" s="3054"/>
      <c r="CX7" s="3054"/>
      <c r="CY7" s="3054"/>
      <c r="CZ7" s="3054"/>
      <c r="DA7" s="3054"/>
      <c r="DB7" s="3054"/>
      <c r="DC7" s="305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3054">
        <f>前年度貼付!$E$60</f>
        <v>507030300</v>
      </c>
      <c r="EG7" s="3054"/>
      <c r="EH7" s="3054"/>
      <c r="EI7" s="3054"/>
      <c r="EJ7" s="3054"/>
      <c r="EK7" s="3054"/>
      <c r="EL7" s="3054"/>
      <c r="EM7" s="3054"/>
      <c r="EN7" s="3054"/>
      <c r="EO7" s="3054"/>
      <c r="EP7" s="3054"/>
      <c r="EQ7" s="3054"/>
      <c r="ER7" s="3054"/>
      <c r="ES7" s="3054"/>
      <c r="ET7" s="3054"/>
      <c r="EU7" s="3054"/>
      <c r="EV7" s="3054"/>
      <c r="EW7" s="3054"/>
      <c r="EX7" s="3054"/>
      <c r="EY7" s="3054"/>
      <c r="EZ7" s="3054"/>
      <c r="FA7" s="3054"/>
      <c r="FB7" s="3054"/>
      <c r="FC7" s="3054"/>
      <c r="FD7" s="3054"/>
      <c r="FE7" s="3054"/>
      <c r="FF7" s="3054"/>
      <c r="FG7" s="305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3053">
        <v>5350860000</v>
      </c>
      <c r="BA8" s="3054"/>
      <c r="BB8" s="3054"/>
      <c r="BC8" s="3054"/>
      <c r="BD8" s="3054"/>
      <c r="BE8" s="3054"/>
      <c r="BF8" s="3054"/>
      <c r="BG8" s="3054"/>
      <c r="BH8" s="3054"/>
      <c r="BI8" s="3054"/>
      <c r="BJ8" s="3054"/>
      <c r="BK8" s="3054"/>
      <c r="BL8" s="3054"/>
      <c r="BM8" s="3054"/>
      <c r="BN8" s="3054"/>
      <c r="BO8" s="3054"/>
      <c r="BP8" s="3054"/>
      <c r="BQ8" s="3054"/>
      <c r="BR8" s="3054"/>
      <c r="BS8" s="3054"/>
      <c r="BT8" s="3054"/>
      <c r="BU8" s="3054"/>
      <c r="BV8" s="3054"/>
      <c r="BW8" s="3054"/>
      <c r="BX8" s="3054"/>
      <c r="BY8" s="3054"/>
      <c r="BZ8" s="3054"/>
      <c r="CA8" s="3054"/>
      <c r="CB8" s="3054">
        <f>'短期_財務諸表P27'!F41</f>
        <v>5551497726</v>
      </c>
      <c r="CC8" s="3054"/>
      <c r="CD8" s="3054"/>
      <c r="CE8" s="3054"/>
      <c r="CF8" s="3054"/>
      <c r="CG8" s="3054"/>
      <c r="CH8" s="3054"/>
      <c r="CI8" s="3054"/>
      <c r="CJ8" s="3054"/>
      <c r="CK8" s="3054"/>
      <c r="CL8" s="3054"/>
      <c r="CM8" s="3054"/>
      <c r="CN8" s="3054"/>
      <c r="CO8" s="3054"/>
      <c r="CP8" s="3054"/>
      <c r="CQ8" s="3054"/>
      <c r="CR8" s="3054"/>
      <c r="CS8" s="3054"/>
      <c r="CT8" s="3054"/>
      <c r="CU8" s="3054"/>
      <c r="CV8" s="3054"/>
      <c r="CW8" s="3054"/>
      <c r="CX8" s="3054"/>
      <c r="CY8" s="3054"/>
      <c r="CZ8" s="3054"/>
      <c r="DA8" s="3054"/>
      <c r="DB8" s="3054"/>
      <c r="DC8" s="305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3054">
        <f>前年度貼付!$E$61</f>
        <v>5335292349</v>
      </c>
      <c r="EG8" s="3054"/>
      <c r="EH8" s="3054"/>
      <c r="EI8" s="3054"/>
      <c r="EJ8" s="3054"/>
      <c r="EK8" s="3054"/>
      <c r="EL8" s="3054"/>
      <c r="EM8" s="3054"/>
      <c r="EN8" s="3054"/>
      <c r="EO8" s="3054"/>
      <c r="EP8" s="3054"/>
      <c r="EQ8" s="3054"/>
      <c r="ER8" s="3054"/>
      <c r="ES8" s="3054"/>
      <c r="ET8" s="3054"/>
      <c r="EU8" s="3054"/>
      <c r="EV8" s="3054"/>
      <c r="EW8" s="3054"/>
      <c r="EX8" s="3054"/>
      <c r="EY8" s="3054"/>
      <c r="EZ8" s="3054"/>
      <c r="FA8" s="3054"/>
      <c r="FB8" s="3054"/>
      <c r="FC8" s="3054"/>
      <c r="FD8" s="3054"/>
      <c r="FE8" s="3054"/>
      <c r="FF8" s="3054"/>
      <c r="FG8" s="305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3053">
        <v>467896000</v>
      </c>
      <c r="BA9" s="3054"/>
      <c r="BB9" s="3054"/>
      <c r="BC9" s="3054"/>
      <c r="BD9" s="3054"/>
      <c r="BE9" s="3054"/>
      <c r="BF9" s="3054"/>
      <c r="BG9" s="3054"/>
      <c r="BH9" s="3054"/>
      <c r="BI9" s="3054"/>
      <c r="BJ9" s="3054"/>
      <c r="BK9" s="3054"/>
      <c r="BL9" s="3054"/>
      <c r="BM9" s="3054"/>
      <c r="BN9" s="3054"/>
      <c r="BO9" s="3054"/>
      <c r="BP9" s="3054"/>
      <c r="BQ9" s="3054"/>
      <c r="BR9" s="3054"/>
      <c r="BS9" s="3054"/>
      <c r="BT9" s="3054"/>
      <c r="BU9" s="3054"/>
      <c r="BV9" s="3054"/>
      <c r="BW9" s="3054"/>
      <c r="BX9" s="3054"/>
      <c r="BY9" s="3054"/>
      <c r="BZ9" s="3054"/>
      <c r="CA9" s="3054"/>
      <c r="CB9" s="3054">
        <f>'短期_財務諸表P27'!F42</f>
        <v>496288832</v>
      </c>
      <c r="CC9" s="3054"/>
      <c r="CD9" s="3054"/>
      <c r="CE9" s="3054"/>
      <c r="CF9" s="3054"/>
      <c r="CG9" s="3054"/>
      <c r="CH9" s="3054"/>
      <c r="CI9" s="3054"/>
      <c r="CJ9" s="3054"/>
      <c r="CK9" s="3054"/>
      <c r="CL9" s="3054"/>
      <c r="CM9" s="3054"/>
      <c r="CN9" s="3054"/>
      <c r="CO9" s="3054"/>
      <c r="CP9" s="3054"/>
      <c r="CQ9" s="3054"/>
      <c r="CR9" s="3054"/>
      <c r="CS9" s="3054"/>
      <c r="CT9" s="3054"/>
      <c r="CU9" s="3054"/>
      <c r="CV9" s="3054"/>
      <c r="CW9" s="3054"/>
      <c r="CX9" s="3054"/>
      <c r="CY9" s="3054"/>
      <c r="CZ9" s="3054"/>
      <c r="DA9" s="3054"/>
      <c r="DB9" s="3054"/>
      <c r="DC9" s="305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3054">
        <f>前年度貼付!$E$62</f>
        <v>506998331</v>
      </c>
      <c r="EG9" s="3054"/>
      <c r="EH9" s="3054"/>
      <c r="EI9" s="3054"/>
      <c r="EJ9" s="3054"/>
      <c r="EK9" s="3054"/>
      <c r="EL9" s="3054"/>
      <c r="EM9" s="3054"/>
      <c r="EN9" s="3054"/>
      <c r="EO9" s="3054"/>
      <c r="EP9" s="3054"/>
      <c r="EQ9" s="3054"/>
      <c r="ER9" s="3054"/>
      <c r="ES9" s="3054"/>
      <c r="ET9" s="3054"/>
      <c r="EU9" s="3054"/>
      <c r="EV9" s="3054"/>
      <c r="EW9" s="3054"/>
      <c r="EX9" s="3054"/>
      <c r="EY9" s="3054"/>
      <c r="EZ9" s="3054"/>
      <c r="FA9" s="3054"/>
      <c r="FB9" s="3054"/>
      <c r="FC9" s="3054"/>
      <c r="FD9" s="3054"/>
      <c r="FE9" s="3054"/>
      <c r="FF9" s="3054"/>
      <c r="FG9" s="305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3053">
        <v>92578000</v>
      </c>
      <c r="BA10" s="3054"/>
      <c r="BB10" s="3054"/>
      <c r="BC10" s="3054"/>
      <c r="BD10" s="3054"/>
      <c r="BE10" s="3054"/>
      <c r="BF10" s="3054"/>
      <c r="BG10" s="3054"/>
      <c r="BH10" s="3054"/>
      <c r="BI10" s="3054"/>
      <c r="BJ10" s="3054"/>
      <c r="BK10" s="3054"/>
      <c r="BL10" s="3054"/>
      <c r="BM10" s="3054"/>
      <c r="BN10" s="3054"/>
      <c r="BO10" s="3054"/>
      <c r="BP10" s="3054"/>
      <c r="BQ10" s="3054"/>
      <c r="BR10" s="3054"/>
      <c r="BS10" s="3054"/>
      <c r="BT10" s="3054"/>
      <c r="BU10" s="3054"/>
      <c r="BV10" s="3054"/>
      <c r="BW10" s="3054"/>
      <c r="BX10" s="3054"/>
      <c r="BY10" s="3054"/>
      <c r="BZ10" s="3054"/>
      <c r="CA10" s="3054"/>
      <c r="CB10" s="3054">
        <f>'短期_財務諸表P27'!F43</f>
        <v>96062536</v>
      </c>
      <c r="CC10" s="3054"/>
      <c r="CD10" s="3054"/>
      <c r="CE10" s="3054"/>
      <c r="CF10" s="3054"/>
      <c r="CG10" s="3054"/>
      <c r="CH10" s="3054"/>
      <c r="CI10" s="3054"/>
      <c r="CJ10" s="3054"/>
      <c r="CK10" s="3054"/>
      <c r="CL10" s="3054"/>
      <c r="CM10" s="3054"/>
      <c r="CN10" s="3054"/>
      <c r="CO10" s="3054"/>
      <c r="CP10" s="3054"/>
      <c r="CQ10" s="3054"/>
      <c r="CR10" s="3054"/>
      <c r="CS10" s="3054"/>
      <c r="CT10" s="3054"/>
      <c r="CU10" s="3054"/>
      <c r="CV10" s="3054"/>
      <c r="CW10" s="3054"/>
      <c r="CX10" s="3054"/>
      <c r="CY10" s="3054"/>
      <c r="CZ10" s="3054"/>
      <c r="DA10" s="3054"/>
      <c r="DB10" s="3054"/>
      <c r="DC10" s="305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3054">
        <f>前年度貼付!$E$63</f>
        <v>96171555</v>
      </c>
      <c r="EG10" s="3054"/>
      <c r="EH10" s="3054"/>
      <c r="EI10" s="3054"/>
      <c r="EJ10" s="3054"/>
      <c r="EK10" s="3054"/>
      <c r="EL10" s="3054"/>
      <c r="EM10" s="3054"/>
      <c r="EN10" s="3054"/>
      <c r="EO10" s="3054"/>
      <c r="EP10" s="3054"/>
      <c r="EQ10" s="3054"/>
      <c r="ER10" s="3054"/>
      <c r="ES10" s="3054"/>
      <c r="ET10" s="3054"/>
      <c r="EU10" s="3054"/>
      <c r="EV10" s="3054"/>
      <c r="EW10" s="3054"/>
      <c r="EX10" s="3054"/>
      <c r="EY10" s="3054"/>
      <c r="EZ10" s="3054"/>
      <c r="FA10" s="3054"/>
      <c r="FB10" s="3054"/>
      <c r="FC10" s="3054"/>
      <c r="FD10" s="3054"/>
      <c r="FE10" s="3054"/>
      <c r="FF10" s="3054"/>
      <c r="FG10" s="305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3053">
        <v>4729000</v>
      </c>
      <c r="BA11" s="3054"/>
      <c r="BB11" s="3054"/>
      <c r="BC11" s="3054"/>
      <c r="BD11" s="3054"/>
      <c r="BE11" s="3054"/>
      <c r="BF11" s="3054"/>
      <c r="BG11" s="3054"/>
      <c r="BH11" s="3054"/>
      <c r="BI11" s="3054"/>
      <c r="BJ11" s="3054"/>
      <c r="BK11" s="3054"/>
      <c r="BL11" s="3054"/>
      <c r="BM11" s="3054"/>
      <c r="BN11" s="3054"/>
      <c r="BO11" s="3054"/>
      <c r="BP11" s="3054"/>
      <c r="BQ11" s="3054"/>
      <c r="BR11" s="3054"/>
      <c r="BS11" s="3054"/>
      <c r="BT11" s="3054"/>
      <c r="BU11" s="3054"/>
      <c r="BV11" s="3054"/>
      <c r="BW11" s="3054"/>
      <c r="BX11" s="3054"/>
      <c r="BY11" s="3054"/>
      <c r="BZ11" s="3054"/>
      <c r="CA11" s="3054"/>
      <c r="CB11" s="3054">
        <f>'短期_財務諸表P27'!F44</f>
        <v>4793716</v>
      </c>
      <c r="CC11" s="3054"/>
      <c r="CD11" s="3054"/>
      <c r="CE11" s="3054"/>
      <c r="CF11" s="3054"/>
      <c r="CG11" s="3054"/>
      <c r="CH11" s="3054"/>
      <c r="CI11" s="3054"/>
      <c r="CJ11" s="3054"/>
      <c r="CK11" s="3054"/>
      <c r="CL11" s="3054"/>
      <c r="CM11" s="3054"/>
      <c r="CN11" s="3054"/>
      <c r="CO11" s="3054"/>
      <c r="CP11" s="3054"/>
      <c r="CQ11" s="3054"/>
      <c r="CR11" s="3054"/>
      <c r="CS11" s="3054"/>
      <c r="CT11" s="3054"/>
      <c r="CU11" s="3054"/>
      <c r="CV11" s="3054"/>
      <c r="CW11" s="3054"/>
      <c r="CX11" s="3054"/>
      <c r="CY11" s="3054"/>
      <c r="CZ11" s="3054"/>
      <c r="DA11" s="3054"/>
      <c r="DB11" s="3054"/>
      <c r="DC11" s="305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3054">
        <f>前年度貼付!$E$64</f>
        <v>6808280</v>
      </c>
      <c r="EG11" s="3054"/>
      <c r="EH11" s="3054"/>
      <c r="EI11" s="3054"/>
      <c r="EJ11" s="3054"/>
      <c r="EK11" s="3054"/>
      <c r="EL11" s="3054"/>
      <c r="EM11" s="3054"/>
      <c r="EN11" s="3054"/>
      <c r="EO11" s="3054"/>
      <c r="EP11" s="3054"/>
      <c r="EQ11" s="3054"/>
      <c r="ER11" s="3054"/>
      <c r="ES11" s="3054"/>
      <c r="ET11" s="3054"/>
      <c r="EU11" s="3054"/>
      <c r="EV11" s="3054"/>
      <c r="EW11" s="3054"/>
      <c r="EX11" s="3054"/>
      <c r="EY11" s="3054"/>
      <c r="EZ11" s="3054"/>
      <c r="FA11" s="3054"/>
      <c r="FB11" s="3054"/>
      <c r="FC11" s="3054"/>
      <c r="FD11" s="3054"/>
      <c r="FE11" s="3054"/>
      <c r="FF11" s="3054"/>
      <c r="FG11" s="305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3053">
        <v>7420000</v>
      </c>
      <c r="BA12" s="3054"/>
      <c r="BB12" s="3054"/>
      <c r="BC12" s="3054"/>
      <c r="BD12" s="3054"/>
      <c r="BE12" s="3054"/>
      <c r="BF12" s="3054"/>
      <c r="BG12" s="3054"/>
      <c r="BH12" s="3054"/>
      <c r="BI12" s="3054"/>
      <c r="BJ12" s="3054"/>
      <c r="BK12" s="3054"/>
      <c r="BL12" s="3054"/>
      <c r="BM12" s="3054"/>
      <c r="BN12" s="3054"/>
      <c r="BO12" s="3054"/>
      <c r="BP12" s="3054"/>
      <c r="BQ12" s="3054"/>
      <c r="BR12" s="3054"/>
      <c r="BS12" s="3054"/>
      <c r="BT12" s="3054"/>
      <c r="BU12" s="3054"/>
      <c r="BV12" s="3054"/>
      <c r="BW12" s="3054"/>
      <c r="BX12" s="3054"/>
      <c r="BY12" s="3054"/>
      <c r="BZ12" s="3054"/>
      <c r="CA12" s="3054"/>
      <c r="CB12" s="3054">
        <f>'短期_財務諸表P27'!F45</f>
        <v>7419879</v>
      </c>
      <c r="CC12" s="3054"/>
      <c r="CD12" s="3054"/>
      <c r="CE12" s="3054"/>
      <c r="CF12" s="3054"/>
      <c r="CG12" s="3054"/>
      <c r="CH12" s="3054"/>
      <c r="CI12" s="3054"/>
      <c r="CJ12" s="3054"/>
      <c r="CK12" s="3054"/>
      <c r="CL12" s="3054"/>
      <c r="CM12" s="3054"/>
      <c r="CN12" s="3054"/>
      <c r="CO12" s="3054"/>
      <c r="CP12" s="3054"/>
      <c r="CQ12" s="3054"/>
      <c r="CR12" s="3054"/>
      <c r="CS12" s="3054"/>
      <c r="CT12" s="3054"/>
      <c r="CU12" s="3054"/>
      <c r="CV12" s="3054"/>
      <c r="CW12" s="3054"/>
      <c r="CX12" s="3054"/>
      <c r="CY12" s="3054"/>
      <c r="CZ12" s="3054"/>
      <c r="DA12" s="3054"/>
      <c r="DB12" s="3054"/>
      <c r="DC12" s="305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3054">
        <f>前年度貼付!$E$65</f>
        <v>7979689</v>
      </c>
      <c r="EG12" s="3054"/>
      <c r="EH12" s="3054"/>
      <c r="EI12" s="3054"/>
      <c r="EJ12" s="3054"/>
      <c r="EK12" s="3054"/>
      <c r="EL12" s="3054"/>
      <c r="EM12" s="3054"/>
      <c r="EN12" s="3054"/>
      <c r="EO12" s="3054"/>
      <c r="EP12" s="3054"/>
      <c r="EQ12" s="3054"/>
      <c r="ER12" s="3054"/>
      <c r="ES12" s="3054"/>
      <c r="ET12" s="3054"/>
      <c r="EU12" s="3054"/>
      <c r="EV12" s="3054"/>
      <c r="EW12" s="3054"/>
      <c r="EX12" s="3054"/>
      <c r="EY12" s="3054"/>
      <c r="EZ12" s="3054"/>
      <c r="FA12" s="3054"/>
      <c r="FB12" s="3054"/>
      <c r="FC12" s="3054"/>
      <c r="FD12" s="3054"/>
      <c r="FE12" s="3054"/>
      <c r="FF12" s="3054"/>
      <c r="FG12" s="305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3053">
        <v>0</v>
      </c>
      <c r="BA13" s="3054"/>
      <c r="BB13" s="3054"/>
      <c r="BC13" s="3054"/>
      <c r="BD13" s="3054"/>
      <c r="BE13" s="3054"/>
      <c r="BF13" s="3054"/>
      <c r="BG13" s="3054"/>
      <c r="BH13" s="3054"/>
      <c r="BI13" s="3054"/>
      <c r="BJ13" s="3054"/>
      <c r="BK13" s="3054"/>
      <c r="BL13" s="3054"/>
      <c r="BM13" s="3054"/>
      <c r="BN13" s="3054"/>
      <c r="BO13" s="3054"/>
      <c r="BP13" s="3054"/>
      <c r="BQ13" s="3054"/>
      <c r="BR13" s="3054"/>
      <c r="BS13" s="3054"/>
      <c r="BT13" s="3054"/>
      <c r="BU13" s="3054"/>
      <c r="BV13" s="3054"/>
      <c r="BW13" s="3054"/>
      <c r="BX13" s="3054"/>
      <c r="BY13" s="3054"/>
      <c r="BZ13" s="3054"/>
      <c r="CA13" s="3054"/>
      <c r="CB13" s="3054">
        <f>'短期_財務諸表P27'!F46</f>
        <v>13759</v>
      </c>
      <c r="CC13" s="3054"/>
      <c r="CD13" s="3054"/>
      <c r="CE13" s="3054"/>
      <c r="CF13" s="3054"/>
      <c r="CG13" s="3054"/>
      <c r="CH13" s="3054"/>
      <c r="CI13" s="3054"/>
      <c r="CJ13" s="3054"/>
      <c r="CK13" s="3054"/>
      <c r="CL13" s="3054"/>
      <c r="CM13" s="3054"/>
      <c r="CN13" s="3054"/>
      <c r="CO13" s="3054"/>
      <c r="CP13" s="3054"/>
      <c r="CQ13" s="3054"/>
      <c r="CR13" s="3054"/>
      <c r="CS13" s="3054"/>
      <c r="CT13" s="3054"/>
      <c r="CU13" s="3054"/>
      <c r="CV13" s="3054"/>
      <c r="CW13" s="3054"/>
      <c r="CX13" s="3054"/>
      <c r="CY13" s="3054"/>
      <c r="CZ13" s="3054"/>
      <c r="DA13" s="3054"/>
      <c r="DB13" s="3054"/>
      <c r="DC13" s="305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3054">
        <f>前年度貼付!$E$66</f>
        <v>211390</v>
      </c>
      <c r="EG13" s="3054"/>
      <c r="EH13" s="3054"/>
      <c r="EI13" s="3054"/>
      <c r="EJ13" s="3054"/>
      <c r="EK13" s="3054"/>
      <c r="EL13" s="3054"/>
      <c r="EM13" s="3054"/>
      <c r="EN13" s="3054"/>
      <c r="EO13" s="3054"/>
      <c r="EP13" s="3054"/>
      <c r="EQ13" s="3054"/>
      <c r="ER13" s="3054"/>
      <c r="ES13" s="3054"/>
      <c r="ET13" s="3054"/>
      <c r="EU13" s="3054"/>
      <c r="EV13" s="3054"/>
      <c r="EW13" s="3054"/>
      <c r="EX13" s="3054"/>
      <c r="EY13" s="3054"/>
      <c r="EZ13" s="3054"/>
      <c r="FA13" s="3054"/>
      <c r="FB13" s="3054"/>
      <c r="FC13" s="3054"/>
      <c r="FD13" s="3054"/>
      <c r="FE13" s="3054"/>
      <c r="FF13" s="3054"/>
      <c r="FG13" s="305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3053">
        <v>0</v>
      </c>
      <c r="BA14" s="3054"/>
      <c r="BB14" s="3054"/>
      <c r="BC14" s="3054"/>
      <c r="BD14" s="3054"/>
      <c r="BE14" s="3054"/>
      <c r="BF14" s="3054"/>
      <c r="BG14" s="3054"/>
      <c r="BH14" s="3054"/>
      <c r="BI14" s="3054"/>
      <c r="BJ14" s="3054"/>
      <c r="BK14" s="3054"/>
      <c r="BL14" s="3054"/>
      <c r="BM14" s="3054"/>
      <c r="BN14" s="3054"/>
      <c r="BO14" s="3054"/>
      <c r="BP14" s="3054"/>
      <c r="BQ14" s="3054"/>
      <c r="BR14" s="3054"/>
      <c r="BS14" s="3054"/>
      <c r="BT14" s="3054"/>
      <c r="BU14" s="3054"/>
      <c r="BV14" s="3054"/>
      <c r="BW14" s="3054"/>
      <c r="BX14" s="3054"/>
      <c r="BY14" s="3054"/>
      <c r="BZ14" s="3054"/>
      <c r="CA14" s="3054"/>
      <c r="CB14" s="3053">
        <v>0</v>
      </c>
      <c r="CC14" s="3054"/>
      <c r="CD14" s="3054"/>
      <c r="CE14" s="3054"/>
      <c r="CF14" s="3054"/>
      <c r="CG14" s="3054"/>
      <c r="CH14" s="3054"/>
      <c r="CI14" s="3054"/>
      <c r="CJ14" s="3054"/>
      <c r="CK14" s="3054"/>
      <c r="CL14" s="3054"/>
      <c r="CM14" s="3054"/>
      <c r="CN14" s="3054"/>
      <c r="CO14" s="3054"/>
      <c r="CP14" s="3054"/>
      <c r="CQ14" s="3054"/>
      <c r="CR14" s="3054"/>
      <c r="CS14" s="3054"/>
      <c r="CT14" s="3054"/>
      <c r="CU14" s="3054"/>
      <c r="CV14" s="3054"/>
      <c r="CW14" s="3054"/>
      <c r="CX14" s="3054"/>
      <c r="CY14" s="3054"/>
      <c r="CZ14" s="3054"/>
      <c r="DA14" s="3054"/>
      <c r="DB14" s="3054"/>
      <c r="DC14" s="305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3054">
        <f>前年度貼付!$E$67</f>
        <v>0</v>
      </c>
      <c r="EG14" s="3054"/>
      <c r="EH14" s="3054"/>
      <c r="EI14" s="3054"/>
      <c r="EJ14" s="3054"/>
      <c r="EK14" s="3054"/>
      <c r="EL14" s="3054"/>
      <c r="EM14" s="3054"/>
      <c r="EN14" s="3054"/>
      <c r="EO14" s="3054"/>
      <c r="EP14" s="3054"/>
      <c r="EQ14" s="3054"/>
      <c r="ER14" s="3054"/>
      <c r="ES14" s="3054"/>
      <c r="ET14" s="3054"/>
      <c r="EU14" s="3054"/>
      <c r="EV14" s="3054"/>
      <c r="EW14" s="3054"/>
      <c r="EX14" s="3054"/>
      <c r="EY14" s="3054"/>
      <c r="EZ14" s="3054"/>
      <c r="FA14" s="3054"/>
      <c r="FB14" s="3054"/>
      <c r="FC14" s="3054"/>
      <c r="FD14" s="3054"/>
      <c r="FE14" s="3054"/>
      <c r="FF14" s="3054"/>
      <c r="FG14" s="305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3053">
        <v>0</v>
      </c>
      <c r="BA15" s="3054"/>
      <c r="BB15" s="3054"/>
      <c r="BC15" s="3054"/>
      <c r="BD15" s="3054"/>
      <c r="BE15" s="3054"/>
      <c r="BF15" s="3054"/>
      <c r="BG15" s="3054"/>
      <c r="BH15" s="3054"/>
      <c r="BI15" s="3054"/>
      <c r="BJ15" s="3054"/>
      <c r="BK15" s="3054"/>
      <c r="BL15" s="3054"/>
      <c r="BM15" s="3054"/>
      <c r="BN15" s="3054"/>
      <c r="BO15" s="3054"/>
      <c r="BP15" s="3054"/>
      <c r="BQ15" s="3054"/>
      <c r="BR15" s="3054"/>
      <c r="BS15" s="3054"/>
      <c r="BT15" s="3054"/>
      <c r="BU15" s="3054"/>
      <c r="BV15" s="3054"/>
      <c r="BW15" s="3054"/>
      <c r="BX15" s="3054"/>
      <c r="BY15" s="3054"/>
      <c r="BZ15" s="3054"/>
      <c r="CA15" s="3054"/>
      <c r="CB15" s="3053">
        <v>0</v>
      </c>
      <c r="CC15" s="3054"/>
      <c r="CD15" s="3054"/>
      <c r="CE15" s="3054"/>
      <c r="CF15" s="3054"/>
      <c r="CG15" s="3054"/>
      <c r="CH15" s="3054"/>
      <c r="CI15" s="3054"/>
      <c r="CJ15" s="3054"/>
      <c r="CK15" s="3054"/>
      <c r="CL15" s="3054"/>
      <c r="CM15" s="3054"/>
      <c r="CN15" s="3054"/>
      <c r="CO15" s="3054"/>
      <c r="CP15" s="3054"/>
      <c r="CQ15" s="3054"/>
      <c r="CR15" s="3054"/>
      <c r="CS15" s="3054"/>
      <c r="CT15" s="3054"/>
      <c r="CU15" s="3054"/>
      <c r="CV15" s="3054"/>
      <c r="CW15" s="3054"/>
      <c r="CX15" s="3054"/>
      <c r="CY15" s="3054"/>
      <c r="CZ15" s="3054"/>
      <c r="DA15" s="3054"/>
      <c r="DB15" s="3054"/>
      <c r="DC15" s="305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3054">
        <f>前年度貼付!$E$68</f>
        <v>0</v>
      </c>
      <c r="EG15" s="3054"/>
      <c r="EH15" s="3054"/>
      <c r="EI15" s="3054"/>
      <c r="EJ15" s="3054"/>
      <c r="EK15" s="3054"/>
      <c r="EL15" s="3054"/>
      <c r="EM15" s="3054"/>
      <c r="EN15" s="3054"/>
      <c r="EO15" s="3054"/>
      <c r="EP15" s="3054"/>
      <c r="EQ15" s="3054"/>
      <c r="ER15" s="3054"/>
      <c r="ES15" s="3054"/>
      <c r="ET15" s="3054"/>
      <c r="EU15" s="3054"/>
      <c r="EV15" s="3054"/>
      <c r="EW15" s="3054"/>
      <c r="EX15" s="3054"/>
      <c r="EY15" s="3054"/>
      <c r="EZ15" s="3054"/>
      <c r="FA15" s="3054"/>
      <c r="FB15" s="3054"/>
      <c r="FC15" s="3054"/>
      <c r="FD15" s="3054"/>
      <c r="FE15" s="3054"/>
      <c r="FF15" s="3054"/>
      <c r="FG15" s="305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3053">
        <v>0</v>
      </c>
      <c r="BA16" s="3054"/>
      <c r="BB16" s="3054"/>
      <c r="BC16" s="3054"/>
      <c r="BD16" s="3054"/>
      <c r="BE16" s="3054"/>
      <c r="BF16" s="3054"/>
      <c r="BG16" s="3054"/>
      <c r="BH16" s="3054"/>
      <c r="BI16" s="3054"/>
      <c r="BJ16" s="3054"/>
      <c r="BK16" s="3054"/>
      <c r="BL16" s="3054"/>
      <c r="BM16" s="3054"/>
      <c r="BN16" s="3054"/>
      <c r="BO16" s="3054"/>
      <c r="BP16" s="3054"/>
      <c r="BQ16" s="3054"/>
      <c r="BR16" s="3054"/>
      <c r="BS16" s="3054"/>
      <c r="BT16" s="3054"/>
      <c r="BU16" s="3054"/>
      <c r="BV16" s="3054"/>
      <c r="BW16" s="3054"/>
      <c r="BX16" s="3054"/>
      <c r="BY16" s="3054"/>
      <c r="BZ16" s="3054"/>
      <c r="CA16" s="3054"/>
      <c r="CB16" s="3053">
        <v>0</v>
      </c>
      <c r="CC16" s="3054"/>
      <c r="CD16" s="3054"/>
      <c r="CE16" s="3054"/>
      <c r="CF16" s="3054"/>
      <c r="CG16" s="3054"/>
      <c r="CH16" s="3054"/>
      <c r="CI16" s="3054"/>
      <c r="CJ16" s="3054"/>
      <c r="CK16" s="3054"/>
      <c r="CL16" s="3054"/>
      <c r="CM16" s="3054"/>
      <c r="CN16" s="3054"/>
      <c r="CO16" s="3054"/>
      <c r="CP16" s="3054"/>
      <c r="CQ16" s="3054"/>
      <c r="CR16" s="3054"/>
      <c r="CS16" s="3054"/>
      <c r="CT16" s="3054"/>
      <c r="CU16" s="3054"/>
      <c r="CV16" s="3054"/>
      <c r="CW16" s="3054"/>
      <c r="CX16" s="3054"/>
      <c r="CY16" s="3054"/>
      <c r="CZ16" s="3054"/>
      <c r="DA16" s="3054"/>
      <c r="DB16" s="3054"/>
      <c r="DC16" s="305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3054">
        <f>前年度貼付!$E$69</f>
        <v>0</v>
      </c>
      <c r="EG16" s="3054"/>
      <c r="EH16" s="3054"/>
      <c r="EI16" s="3054"/>
      <c r="EJ16" s="3054"/>
      <c r="EK16" s="3054"/>
      <c r="EL16" s="3054"/>
      <c r="EM16" s="3054"/>
      <c r="EN16" s="3054"/>
      <c r="EO16" s="3054"/>
      <c r="EP16" s="3054"/>
      <c r="EQ16" s="3054"/>
      <c r="ER16" s="3054"/>
      <c r="ES16" s="3054"/>
      <c r="ET16" s="3054"/>
      <c r="EU16" s="3054"/>
      <c r="EV16" s="3054"/>
      <c r="EW16" s="3054"/>
      <c r="EX16" s="3054"/>
      <c r="EY16" s="3054"/>
      <c r="EZ16" s="3054"/>
      <c r="FA16" s="3054"/>
      <c r="FB16" s="3054"/>
      <c r="FC16" s="3054"/>
      <c r="FD16" s="3054"/>
      <c r="FE16" s="3054"/>
      <c r="FF16" s="3054"/>
      <c r="FG16" s="305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3053">
        <v>100418000</v>
      </c>
      <c r="BA17" s="3054"/>
      <c r="BB17" s="3054"/>
      <c r="BC17" s="3054"/>
      <c r="BD17" s="3054"/>
      <c r="BE17" s="3054"/>
      <c r="BF17" s="3054"/>
      <c r="BG17" s="3054"/>
      <c r="BH17" s="3054"/>
      <c r="BI17" s="3054"/>
      <c r="BJ17" s="3054"/>
      <c r="BK17" s="3054"/>
      <c r="BL17" s="3054"/>
      <c r="BM17" s="3054"/>
      <c r="BN17" s="3054"/>
      <c r="BO17" s="3054"/>
      <c r="BP17" s="3054"/>
      <c r="BQ17" s="3054"/>
      <c r="BR17" s="3054"/>
      <c r="BS17" s="3054"/>
      <c r="BT17" s="3054"/>
      <c r="BU17" s="3054"/>
      <c r="BV17" s="3054"/>
      <c r="BW17" s="3054"/>
      <c r="BX17" s="3054"/>
      <c r="BY17" s="3054"/>
      <c r="BZ17" s="3054"/>
      <c r="CA17" s="3054"/>
      <c r="CB17" s="3054">
        <f>'短期_財務諸表P27'!F48</f>
        <v>71223000</v>
      </c>
      <c r="CC17" s="3054"/>
      <c r="CD17" s="3054"/>
      <c r="CE17" s="3054"/>
      <c r="CF17" s="3054"/>
      <c r="CG17" s="3054"/>
      <c r="CH17" s="3054"/>
      <c r="CI17" s="3054"/>
      <c r="CJ17" s="3054"/>
      <c r="CK17" s="3054"/>
      <c r="CL17" s="3054"/>
      <c r="CM17" s="3054"/>
      <c r="CN17" s="3054"/>
      <c r="CO17" s="3054"/>
      <c r="CP17" s="3054"/>
      <c r="CQ17" s="3054"/>
      <c r="CR17" s="3054"/>
      <c r="CS17" s="3054"/>
      <c r="CT17" s="3054"/>
      <c r="CU17" s="3054"/>
      <c r="CV17" s="3054"/>
      <c r="CW17" s="3054"/>
      <c r="CX17" s="3054"/>
      <c r="CY17" s="3054"/>
      <c r="CZ17" s="3054"/>
      <c r="DA17" s="3054"/>
      <c r="DB17" s="3054"/>
      <c r="DC17" s="305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3054">
        <f>前年度貼付!$E$70</f>
        <v>98548000</v>
      </c>
      <c r="EG17" s="3054"/>
      <c r="EH17" s="3054"/>
      <c r="EI17" s="3054"/>
      <c r="EJ17" s="3054"/>
      <c r="EK17" s="3054"/>
      <c r="EL17" s="3054"/>
      <c r="EM17" s="3054"/>
      <c r="EN17" s="3054"/>
      <c r="EO17" s="3054"/>
      <c r="EP17" s="3054"/>
      <c r="EQ17" s="3054"/>
      <c r="ER17" s="3054"/>
      <c r="ES17" s="3054"/>
      <c r="ET17" s="3054"/>
      <c r="EU17" s="3054"/>
      <c r="EV17" s="3054"/>
      <c r="EW17" s="3054"/>
      <c r="EX17" s="3054"/>
      <c r="EY17" s="3054"/>
      <c r="EZ17" s="3054"/>
      <c r="FA17" s="3054"/>
      <c r="FB17" s="3054"/>
      <c r="FC17" s="3054"/>
      <c r="FD17" s="3054"/>
      <c r="FE17" s="3054"/>
      <c r="FF17" s="3054"/>
      <c r="FG17" s="305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3053">
        <v>3000</v>
      </c>
      <c r="BA18" s="3054"/>
      <c r="BB18" s="3054"/>
      <c r="BC18" s="3054"/>
      <c r="BD18" s="3054"/>
      <c r="BE18" s="3054"/>
      <c r="BF18" s="3054"/>
      <c r="BG18" s="3054"/>
      <c r="BH18" s="3054"/>
      <c r="BI18" s="3054"/>
      <c r="BJ18" s="3054"/>
      <c r="BK18" s="3054"/>
      <c r="BL18" s="3054"/>
      <c r="BM18" s="3054"/>
      <c r="BN18" s="3054"/>
      <c r="BO18" s="3054"/>
      <c r="BP18" s="3054"/>
      <c r="BQ18" s="3054"/>
      <c r="BR18" s="3054"/>
      <c r="BS18" s="3054"/>
      <c r="BT18" s="3054"/>
      <c r="BU18" s="3054"/>
      <c r="BV18" s="3054"/>
      <c r="BW18" s="3054"/>
      <c r="BX18" s="3054"/>
      <c r="BY18" s="3054"/>
      <c r="BZ18" s="3054"/>
      <c r="CA18" s="3054"/>
      <c r="CB18" s="3054">
        <f>'短期_財務諸表P27'!F49</f>
        <v>0</v>
      </c>
      <c r="CC18" s="3054"/>
      <c r="CD18" s="3054"/>
      <c r="CE18" s="3054"/>
      <c r="CF18" s="3054"/>
      <c r="CG18" s="3054"/>
      <c r="CH18" s="3054"/>
      <c r="CI18" s="3054"/>
      <c r="CJ18" s="3054"/>
      <c r="CK18" s="3054"/>
      <c r="CL18" s="3054"/>
      <c r="CM18" s="3054"/>
      <c r="CN18" s="3054"/>
      <c r="CO18" s="3054"/>
      <c r="CP18" s="3054"/>
      <c r="CQ18" s="3054"/>
      <c r="CR18" s="3054"/>
      <c r="CS18" s="3054"/>
      <c r="CT18" s="3054"/>
      <c r="CU18" s="3054"/>
      <c r="CV18" s="3054"/>
      <c r="CW18" s="3054"/>
      <c r="CX18" s="3054"/>
      <c r="CY18" s="3054"/>
      <c r="CZ18" s="3054"/>
      <c r="DA18" s="3054"/>
      <c r="DB18" s="3054"/>
      <c r="DC18" s="305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3054">
        <f>前年度貼付!$E$71</f>
        <v>0</v>
      </c>
      <c r="EG18" s="3054"/>
      <c r="EH18" s="3054"/>
      <c r="EI18" s="3054"/>
      <c r="EJ18" s="3054"/>
      <c r="EK18" s="3054"/>
      <c r="EL18" s="3054"/>
      <c r="EM18" s="3054"/>
      <c r="EN18" s="3054"/>
      <c r="EO18" s="3054"/>
      <c r="EP18" s="3054"/>
      <c r="EQ18" s="3054"/>
      <c r="ER18" s="3054"/>
      <c r="ES18" s="3054"/>
      <c r="ET18" s="3054"/>
      <c r="EU18" s="3054"/>
      <c r="EV18" s="3054"/>
      <c r="EW18" s="3054"/>
      <c r="EX18" s="3054"/>
      <c r="EY18" s="3054"/>
      <c r="EZ18" s="3054"/>
      <c r="FA18" s="3054"/>
      <c r="FB18" s="3054"/>
      <c r="FC18" s="3054"/>
      <c r="FD18" s="3054"/>
      <c r="FE18" s="3054"/>
      <c r="FF18" s="3054"/>
      <c r="FG18" s="305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3055" t="s">
        <v>205</v>
      </c>
      <c r="E19" s="3055"/>
      <c r="F19" s="3055"/>
      <c r="G19" s="3055"/>
      <c r="H19" s="3055"/>
      <c r="I19" s="3055"/>
      <c r="J19" s="3055"/>
      <c r="K19" s="3055"/>
      <c r="L19" s="3055"/>
      <c r="M19" s="3055"/>
      <c r="N19" s="3055"/>
      <c r="O19" s="3055"/>
      <c r="P19" s="3055"/>
      <c r="Q19" s="3055"/>
      <c r="R19" s="3055"/>
      <c r="S19" s="3055"/>
      <c r="T19" s="3055"/>
      <c r="U19" s="3055"/>
      <c r="V19" s="3055"/>
      <c r="W19" s="3055"/>
      <c r="X19" s="3055"/>
      <c r="Y19" s="3055"/>
      <c r="Z19" s="3055"/>
      <c r="AA19" s="3055"/>
      <c r="AB19" s="3055"/>
      <c r="AC19" s="3055"/>
      <c r="AD19" s="3055"/>
      <c r="AE19" s="3055"/>
      <c r="AF19" s="3055"/>
      <c r="AG19" s="3055"/>
      <c r="AH19" s="3055"/>
      <c r="AI19" s="3055"/>
      <c r="AJ19" s="3055"/>
      <c r="AK19" s="3055"/>
      <c r="AL19" s="3055"/>
      <c r="AM19" s="3055"/>
      <c r="AN19" s="3055"/>
      <c r="AO19" s="3055"/>
      <c r="AP19" s="3055"/>
      <c r="AQ19" s="3055"/>
      <c r="AR19" s="3055"/>
      <c r="AS19" s="3055"/>
      <c r="AT19" s="3055"/>
      <c r="AU19" s="3055"/>
      <c r="AV19" s="3055"/>
      <c r="AW19" s="189"/>
      <c r="AX19" s="189"/>
      <c r="AY19" s="197"/>
      <c r="AZ19" s="3054">
        <f>AZ70+AZ71+AZ72+AZ73</f>
        <v>587192000</v>
      </c>
      <c r="BA19" s="3054"/>
      <c r="BB19" s="3054"/>
      <c r="BC19" s="3054"/>
      <c r="BD19" s="3054"/>
      <c r="BE19" s="3054"/>
      <c r="BF19" s="3054"/>
      <c r="BG19" s="3054"/>
      <c r="BH19" s="3054"/>
      <c r="BI19" s="3054"/>
      <c r="BJ19" s="3054"/>
      <c r="BK19" s="3054"/>
      <c r="BL19" s="3054"/>
      <c r="BM19" s="3054"/>
      <c r="BN19" s="3054"/>
      <c r="BO19" s="3054"/>
      <c r="BP19" s="3054"/>
      <c r="BQ19" s="3054"/>
      <c r="BR19" s="3054"/>
      <c r="BS19" s="3054"/>
      <c r="BT19" s="3054"/>
      <c r="BU19" s="3054"/>
      <c r="BV19" s="3054"/>
      <c r="BW19" s="3054"/>
      <c r="BX19" s="3054"/>
      <c r="BY19" s="3054"/>
      <c r="BZ19" s="3054"/>
      <c r="CA19" s="3054"/>
      <c r="CB19" s="3054">
        <f>'短期_財務諸表P27'!F50</f>
        <v>587326584</v>
      </c>
      <c r="CC19" s="3054"/>
      <c r="CD19" s="3054"/>
      <c r="CE19" s="3054"/>
      <c r="CF19" s="3054"/>
      <c r="CG19" s="3054"/>
      <c r="CH19" s="3054"/>
      <c r="CI19" s="3054"/>
      <c r="CJ19" s="3054"/>
      <c r="CK19" s="3054"/>
      <c r="CL19" s="3054"/>
      <c r="CM19" s="3054"/>
      <c r="CN19" s="3054"/>
      <c r="CO19" s="3054"/>
      <c r="CP19" s="3054"/>
      <c r="CQ19" s="3054"/>
      <c r="CR19" s="3054"/>
      <c r="CS19" s="3054"/>
      <c r="CT19" s="3054"/>
      <c r="CU19" s="3054"/>
      <c r="CV19" s="3054"/>
      <c r="CW19" s="3054"/>
      <c r="CX19" s="3054"/>
      <c r="CY19" s="3054"/>
      <c r="CZ19" s="3054"/>
      <c r="DA19" s="3054"/>
      <c r="DB19" s="3054"/>
      <c r="DC19" s="305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3054">
        <f>EF70+EF71+EF72+EF73</f>
        <v>512653248</v>
      </c>
      <c r="EG19" s="3054"/>
      <c r="EH19" s="3054"/>
      <c r="EI19" s="3054"/>
      <c r="EJ19" s="3054"/>
      <c r="EK19" s="3054"/>
      <c r="EL19" s="3054"/>
      <c r="EM19" s="3054"/>
      <c r="EN19" s="3054"/>
      <c r="EO19" s="3054"/>
      <c r="EP19" s="3054"/>
      <c r="EQ19" s="3054"/>
      <c r="ER19" s="3054"/>
      <c r="ES19" s="3054"/>
      <c r="ET19" s="3054"/>
      <c r="EU19" s="3054"/>
      <c r="EV19" s="3054"/>
      <c r="EW19" s="3054"/>
      <c r="EX19" s="3054"/>
      <c r="EY19" s="3054"/>
      <c r="EZ19" s="3054"/>
      <c r="FA19" s="3054"/>
      <c r="FB19" s="3054"/>
      <c r="FC19" s="3054"/>
      <c r="FD19" s="3054"/>
      <c r="FE19" s="3054"/>
      <c r="FF19" s="3054"/>
      <c r="FG19" s="305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3056">
        <v>0</v>
      </c>
      <c r="BA20" s="3057"/>
      <c r="BB20" s="3057"/>
      <c r="BC20" s="3057"/>
      <c r="BD20" s="3057"/>
      <c r="BE20" s="3057"/>
      <c r="BF20" s="3057"/>
      <c r="BG20" s="3057"/>
      <c r="BH20" s="3057"/>
      <c r="BI20" s="3057"/>
      <c r="BJ20" s="3057"/>
      <c r="BK20" s="3057"/>
      <c r="BL20" s="3057"/>
      <c r="BM20" s="3057"/>
      <c r="BN20" s="3057"/>
      <c r="BO20" s="3057"/>
      <c r="BP20" s="3057"/>
      <c r="BQ20" s="3057"/>
      <c r="BR20" s="3057"/>
      <c r="BS20" s="3057"/>
      <c r="BT20" s="3057"/>
      <c r="BU20" s="3057"/>
      <c r="BV20" s="3057"/>
      <c r="BW20" s="3057"/>
      <c r="BX20" s="3057"/>
      <c r="BY20" s="3057"/>
      <c r="BZ20" s="3057"/>
      <c r="CA20" s="3057"/>
      <c r="CB20" s="3054"/>
      <c r="CC20" s="3054"/>
      <c r="CD20" s="3054"/>
      <c r="CE20" s="3054"/>
      <c r="CF20" s="3054"/>
      <c r="CG20" s="3054"/>
      <c r="CH20" s="3054"/>
      <c r="CI20" s="3054"/>
      <c r="CJ20" s="3054"/>
      <c r="CK20" s="3054"/>
      <c r="CL20" s="3054"/>
      <c r="CM20" s="3054"/>
      <c r="CN20" s="3054"/>
      <c r="CO20" s="3054"/>
      <c r="CP20" s="3054"/>
      <c r="CQ20" s="3054"/>
      <c r="CR20" s="3054"/>
      <c r="CS20" s="3054"/>
      <c r="CT20" s="3054"/>
      <c r="CU20" s="3054"/>
      <c r="CV20" s="3054"/>
      <c r="CW20" s="3054"/>
      <c r="CX20" s="3054"/>
      <c r="CY20" s="3054"/>
      <c r="CZ20" s="3054"/>
      <c r="DA20" s="3054"/>
      <c r="DB20" s="3054"/>
      <c r="DC20" s="305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3054">
        <f>前年度貼付!$E$72</f>
        <v>0</v>
      </c>
      <c r="EG20" s="3054"/>
      <c r="EH20" s="3054"/>
      <c r="EI20" s="3054"/>
      <c r="EJ20" s="3054"/>
      <c r="EK20" s="3054"/>
      <c r="EL20" s="3054"/>
      <c r="EM20" s="3054"/>
      <c r="EN20" s="3054"/>
      <c r="EO20" s="3054"/>
      <c r="EP20" s="3054"/>
      <c r="EQ20" s="3054"/>
      <c r="ER20" s="3054"/>
      <c r="ES20" s="3054"/>
      <c r="ET20" s="3054"/>
      <c r="EU20" s="3054"/>
      <c r="EV20" s="3054"/>
      <c r="EW20" s="3054"/>
      <c r="EX20" s="3054"/>
      <c r="EY20" s="3054"/>
      <c r="EZ20" s="3054"/>
      <c r="FA20" s="3054"/>
      <c r="FB20" s="3054"/>
      <c r="FC20" s="3054"/>
      <c r="FD20" s="3054"/>
      <c r="FE20" s="3054"/>
      <c r="FF20" s="3054"/>
      <c r="FG20" s="305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3054"/>
      <c r="BA21" s="3054"/>
      <c r="BB21" s="3054"/>
      <c r="BC21" s="3054"/>
      <c r="BD21" s="3054"/>
      <c r="BE21" s="3054"/>
      <c r="BF21" s="3054"/>
      <c r="BG21" s="3054"/>
      <c r="BH21" s="3054"/>
      <c r="BI21" s="3054"/>
      <c r="BJ21" s="3054"/>
      <c r="BK21" s="3054"/>
      <c r="BL21" s="3054"/>
      <c r="BM21" s="3054"/>
      <c r="BN21" s="3054"/>
      <c r="BO21" s="3054"/>
      <c r="BP21" s="3054"/>
      <c r="BQ21" s="3054"/>
      <c r="BR21" s="3054"/>
      <c r="BS21" s="3054"/>
      <c r="BT21" s="3054"/>
      <c r="BU21" s="3054"/>
      <c r="BV21" s="3054"/>
      <c r="BW21" s="3054"/>
      <c r="BX21" s="3054"/>
      <c r="BY21" s="3054"/>
      <c r="BZ21" s="3054"/>
      <c r="CA21" s="3054"/>
      <c r="CB21" s="3054"/>
      <c r="CC21" s="3054"/>
      <c r="CD21" s="3054"/>
      <c r="CE21" s="3054"/>
      <c r="CF21" s="3054"/>
      <c r="CG21" s="3054"/>
      <c r="CH21" s="3054"/>
      <c r="CI21" s="3054"/>
      <c r="CJ21" s="3054"/>
      <c r="CK21" s="3054"/>
      <c r="CL21" s="3054"/>
      <c r="CM21" s="3054"/>
      <c r="CN21" s="3054"/>
      <c r="CO21" s="3054"/>
      <c r="CP21" s="3054"/>
      <c r="CQ21" s="3054"/>
      <c r="CR21" s="3054"/>
      <c r="CS21" s="3054"/>
      <c r="CT21" s="3054"/>
      <c r="CU21" s="3054"/>
      <c r="CV21" s="3054"/>
      <c r="CW21" s="3054"/>
      <c r="CX21" s="3054"/>
      <c r="CY21" s="3054"/>
      <c r="CZ21" s="3054"/>
      <c r="DA21" s="3054"/>
      <c r="DB21" s="3054"/>
      <c r="DC21" s="305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3054"/>
      <c r="EG21" s="3054"/>
      <c r="EH21" s="3054"/>
      <c r="EI21" s="3054"/>
      <c r="EJ21" s="3054"/>
      <c r="EK21" s="3054"/>
      <c r="EL21" s="3054"/>
      <c r="EM21" s="3054"/>
      <c r="EN21" s="3054"/>
      <c r="EO21" s="3054"/>
      <c r="EP21" s="3054"/>
      <c r="EQ21" s="3054"/>
      <c r="ER21" s="3054"/>
      <c r="ES21" s="3054"/>
      <c r="ET21" s="3054"/>
      <c r="EU21" s="3054"/>
      <c r="EV21" s="3054"/>
      <c r="EW21" s="3054"/>
      <c r="EX21" s="3054"/>
      <c r="EY21" s="3054"/>
      <c r="EZ21" s="3054"/>
      <c r="FA21" s="3054"/>
      <c r="FB21" s="3054"/>
      <c r="FC21" s="3054"/>
      <c r="FD21" s="3054"/>
      <c r="FE21" s="3054"/>
      <c r="FF21" s="3054"/>
      <c r="FG21" s="305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3056">
        <v>0</v>
      </c>
      <c r="BA22" s="3057"/>
      <c r="BB22" s="3057"/>
      <c r="BC22" s="3057"/>
      <c r="BD22" s="3057"/>
      <c r="BE22" s="3057"/>
      <c r="BF22" s="3057"/>
      <c r="BG22" s="3057"/>
      <c r="BH22" s="3057"/>
      <c r="BI22" s="3057"/>
      <c r="BJ22" s="3057"/>
      <c r="BK22" s="3057"/>
      <c r="BL22" s="3057"/>
      <c r="BM22" s="3057"/>
      <c r="BN22" s="3057"/>
      <c r="BO22" s="3057"/>
      <c r="BP22" s="3057"/>
      <c r="BQ22" s="3057"/>
      <c r="BR22" s="3057"/>
      <c r="BS22" s="3057"/>
      <c r="BT22" s="3057"/>
      <c r="BU22" s="3057"/>
      <c r="BV22" s="3057"/>
      <c r="BW22" s="3057"/>
      <c r="BX22" s="3057"/>
      <c r="BY22" s="3057"/>
      <c r="BZ22" s="3057"/>
      <c r="CA22" s="3057"/>
      <c r="CB22" s="3054"/>
      <c r="CC22" s="3054"/>
      <c r="CD22" s="3054"/>
      <c r="CE22" s="3054"/>
      <c r="CF22" s="3054"/>
      <c r="CG22" s="3054"/>
      <c r="CH22" s="3054"/>
      <c r="CI22" s="3054"/>
      <c r="CJ22" s="3054"/>
      <c r="CK22" s="3054"/>
      <c r="CL22" s="3054"/>
      <c r="CM22" s="3054"/>
      <c r="CN22" s="3054"/>
      <c r="CO22" s="3054"/>
      <c r="CP22" s="3054"/>
      <c r="CQ22" s="3054"/>
      <c r="CR22" s="3054"/>
      <c r="CS22" s="3054"/>
      <c r="CT22" s="3054"/>
      <c r="CU22" s="3054"/>
      <c r="CV22" s="3054"/>
      <c r="CW22" s="3054"/>
      <c r="CX22" s="3054"/>
      <c r="CY22" s="3054"/>
      <c r="CZ22" s="3054"/>
      <c r="DA22" s="3054"/>
      <c r="DB22" s="3054"/>
      <c r="DC22" s="305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3054">
        <f>前年度貼付!$E$73</f>
        <v>0</v>
      </c>
      <c r="EG22" s="3054"/>
      <c r="EH22" s="3054"/>
      <c r="EI22" s="3054"/>
      <c r="EJ22" s="3054"/>
      <c r="EK22" s="3054"/>
      <c r="EL22" s="3054"/>
      <c r="EM22" s="3054"/>
      <c r="EN22" s="3054"/>
      <c r="EO22" s="3054"/>
      <c r="EP22" s="3054"/>
      <c r="EQ22" s="3054"/>
      <c r="ER22" s="3054"/>
      <c r="ES22" s="3054"/>
      <c r="ET22" s="3054"/>
      <c r="EU22" s="3054"/>
      <c r="EV22" s="3054"/>
      <c r="EW22" s="3054"/>
      <c r="EX22" s="3054"/>
      <c r="EY22" s="3054"/>
      <c r="EZ22" s="3054"/>
      <c r="FA22" s="3054"/>
      <c r="FB22" s="3054"/>
      <c r="FC22" s="3054"/>
      <c r="FD22" s="3054"/>
      <c r="FE22" s="3054"/>
      <c r="FF22" s="3054"/>
      <c r="FG22" s="305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3053">
        <v>10372000</v>
      </c>
      <c r="BA23" s="3054"/>
      <c r="BB23" s="3054"/>
      <c r="BC23" s="3054"/>
      <c r="BD23" s="3054"/>
      <c r="BE23" s="3054"/>
      <c r="BF23" s="3054"/>
      <c r="BG23" s="3054"/>
      <c r="BH23" s="3054"/>
      <c r="BI23" s="3054"/>
      <c r="BJ23" s="3054"/>
      <c r="BK23" s="3054"/>
      <c r="BL23" s="3054"/>
      <c r="BM23" s="3054"/>
      <c r="BN23" s="3054"/>
      <c r="BO23" s="3054"/>
      <c r="BP23" s="3054"/>
      <c r="BQ23" s="3054"/>
      <c r="BR23" s="3054"/>
      <c r="BS23" s="3054"/>
      <c r="BT23" s="3054"/>
      <c r="BU23" s="3054"/>
      <c r="BV23" s="3054"/>
      <c r="BW23" s="3054"/>
      <c r="BX23" s="3054"/>
      <c r="BY23" s="3054"/>
      <c r="BZ23" s="3054"/>
      <c r="CA23" s="3054"/>
      <c r="CB23" s="3054">
        <f>'短期_財務諸表P27'!F51</f>
        <v>10496090</v>
      </c>
      <c r="CC23" s="3054"/>
      <c r="CD23" s="3054"/>
      <c r="CE23" s="3054"/>
      <c r="CF23" s="3054"/>
      <c r="CG23" s="3054"/>
      <c r="CH23" s="3054"/>
      <c r="CI23" s="3054"/>
      <c r="CJ23" s="3054"/>
      <c r="CK23" s="3054"/>
      <c r="CL23" s="3054"/>
      <c r="CM23" s="3054"/>
      <c r="CN23" s="3054"/>
      <c r="CO23" s="3054"/>
      <c r="CP23" s="3054"/>
      <c r="CQ23" s="3054"/>
      <c r="CR23" s="3054"/>
      <c r="CS23" s="3054"/>
      <c r="CT23" s="3054"/>
      <c r="CU23" s="3054"/>
      <c r="CV23" s="3054"/>
      <c r="CW23" s="3054"/>
      <c r="CX23" s="3054"/>
      <c r="CY23" s="3054"/>
      <c r="CZ23" s="3054"/>
      <c r="DA23" s="3054"/>
      <c r="DB23" s="3054"/>
      <c r="DC23" s="305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3054">
        <f>前年度貼付!$E$74</f>
        <v>10086976</v>
      </c>
      <c r="EG23" s="3054"/>
      <c r="EH23" s="3054"/>
      <c r="EI23" s="3054"/>
      <c r="EJ23" s="3054"/>
      <c r="EK23" s="3054"/>
      <c r="EL23" s="3054"/>
      <c r="EM23" s="3054"/>
      <c r="EN23" s="3054"/>
      <c r="EO23" s="3054"/>
      <c r="EP23" s="3054"/>
      <c r="EQ23" s="3054"/>
      <c r="ER23" s="3054"/>
      <c r="ES23" s="3054"/>
      <c r="ET23" s="3054"/>
      <c r="EU23" s="3054"/>
      <c r="EV23" s="3054"/>
      <c r="EW23" s="3054"/>
      <c r="EX23" s="3054"/>
      <c r="EY23" s="3054"/>
      <c r="EZ23" s="3054"/>
      <c r="FA23" s="3054"/>
      <c r="FB23" s="3054"/>
      <c r="FC23" s="3054"/>
      <c r="FD23" s="3054"/>
      <c r="FE23" s="3054"/>
      <c r="FF23" s="3054"/>
      <c r="FG23" s="305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3053">
        <v>0</v>
      </c>
      <c r="BA24" s="3054"/>
      <c r="BB24" s="3054"/>
      <c r="BC24" s="3054"/>
      <c r="BD24" s="3054"/>
      <c r="BE24" s="3054"/>
      <c r="BF24" s="3054"/>
      <c r="BG24" s="3054"/>
      <c r="BH24" s="3054"/>
      <c r="BI24" s="3054"/>
      <c r="BJ24" s="3054"/>
      <c r="BK24" s="3054"/>
      <c r="BL24" s="3054"/>
      <c r="BM24" s="3054"/>
      <c r="BN24" s="3054"/>
      <c r="BO24" s="3054"/>
      <c r="BP24" s="3054"/>
      <c r="BQ24" s="3054"/>
      <c r="BR24" s="3054"/>
      <c r="BS24" s="3054"/>
      <c r="BT24" s="3054"/>
      <c r="BU24" s="3054"/>
      <c r="BV24" s="3054"/>
      <c r="BW24" s="3054"/>
      <c r="BX24" s="3054"/>
      <c r="BY24" s="3054"/>
      <c r="BZ24" s="3054"/>
      <c r="CA24" s="3054"/>
      <c r="CB24" s="3054">
        <f>'短期_財務諸表P27'!F52</f>
        <v>37196000</v>
      </c>
      <c r="CC24" s="3054"/>
      <c r="CD24" s="3054"/>
      <c r="CE24" s="3054"/>
      <c r="CF24" s="3054"/>
      <c r="CG24" s="3054"/>
      <c r="CH24" s="3054"/>
      <c r="CI24" s="3054"/>
      <c r="CJ24" s="3054"/>
      <c r="CK24" s="3054"/>
      <c r="CL24" s="3054"/>
      <c r="CM24" s="3054"/>
      <c r="CN24" s="3054"/>
      <c r="CO24" s="3054"/>
      <c r="CP24" s="3054"/>
      <c r="CQ24" s="3054"/>
      <c r="CR24" s="3054"/>
      <c r="CS24" s="3054"/>
      <c r="CT24" s="3054"/>
      <c r="CU24" s="3054"/>
      <c r="CV24" s="3054"/>
      <c r="CW24" s="3054"/>
      <c r="CX24" s="3054"/>
      <c r="CY24" s="3054"/>
      <c r="CZ24" s="3054"/>
      <c r="DA24" s="3054"/>
      <c r="DB24" s="3054"/>
      <c r="DC24" s="305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3054">
        <f>前年度貼付!$E$75</f>
        <v>0</v>
      </c>
      <c r="EG24" s="3054"/>
      <c r="EH24" s="3054"/>
      <c r="EI24" s="3054"/>
      <c r="EJ24" s="3054"/>
      <c r="EK24" s="3054"/>
      <c r="EL24" s="3054"/>
      <c r="EM24" s="3054"/>
      <c r="EN24" s="3054"/>
      <c r="EO24" s="3054"/>
      <c r="EP24" s="3054"/>
      <c r="EQ24" s="3054"/>
      <c r="ER24" s="3054"/>
      <c r="ES24" s="3054"/>
      <c r="ET24" s="3054"/>
      <c r="EU24" s="3054"/>
      <c r="EV24" s="3054"/>
      <c r="EW24" s="3054"/>
      <c r="EX24" s="3054"/>
      <c r="EY24" s="3054"/>
      <c r="EZ24" s="3054"/>
      <c r="FA24" s="3054"/>
      <c r="FB24" s="3054"/>
      <c r="FC24" s="3054"/>
      <c r="FD24" s="3054"/>
      <c r="FE24" s="3054"/>
      <c r="FF24" s="3054"/>
      <c r="FG24" s="305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3053">
        <v>0</v>
      </c>
      <c r="BA25" s="3054"/>
      <c r="BB25" s="3054"/>
      <c r="BC25" s="3054"/>
      <c r="BD25" s="3054"/>
      <c r="BE25" s="3054"/>
      <c r="BF25" s="3054"/>
      <c r="BG25" s="3054"/>
      <c r="BH25" s="3054"/>
      <c r="BI25" s="3054"/>
      <c r="BJ25" s="3054"/>
      <c r="BK25" s="3054"/>
      <c r="BL25" s="3054"/>
      <c r="BM25" s="3054"/>
      <c r="BN25" s="3054"/>
      <c r="BO25" s="3054"/>
      <c r="BP25" s="3054"/>
      <c r="BQ25" s="3054"/>
      <c r="BR25" s="3054"/>
      <c r="BS25" s="3054"/>
      <c r="BT25" s="3054"/>
      <c r="BU25" s="3054"/>
      <c r="BV25" s="3054"/>
      <c r="BW25" s="3054"/>
      <c r="BX25" s="3054"/>
      <c r="BY25" s="3054"/>
      <c r="BZ25" s="3054"/>
      <c r="CA25" s="3054"/>
      <c r="CB25" s="3054">
        <f>'短期_財務諸表P27'!F54</f>
        <v>0</v>
      </c>
      <c r="CC25" s="3054"/>
      <c r="CD25" s="3054"/>
      <c r="CE25" s="3054"/>
      <c r="CF25" s="3054"/>
      <c r="CG25" s="3054"/>
      <c r="CH25" s="3054"/>
      <c r="CI25" s="3054"/>
      <c r="CJ25" s="3054"/>
      <c r="CK25" s="3054"/>
      <c r="CL25" s="3054"/>
      <c r="CM25" s="3054"/>
      <c r="CN25" s="3054"/>
      <c r="CO25" s="3054"/>
      <c r="CP25" s="3054"/>
      <c r="CQ25" s="3054"/>
      <c r="CR25" s="3054"/>
      <c r="CS25" s="3054"/>
      <c r="CT25" s="3054"/>
      <c r="CU25" s="3054"/>
      <c r="CV25" s="3054"/>
      <c r="CW25" s="3054"/>
      <c r="CX25" s="3054"/>
      <c r="CY25" s="3054"/>
      <c r="CZ25" s="3054"/>
      <c r="DA25" s="3054"/>
      <c r="DB25" s="3054"/>
      <c r="DC25" s="305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3054">
        <f>前年度貼付!$E$76</f>
        <v>0</v>
      </c>
      <c r="EG25" s="3054"/>
      <c r="EH25" s="3054"/>
      <c r="EI25" s="3054"/>
      <c r="EJ25" s="3054"/>
      <c r="EK25" s="3054"/>
      <c r="EL25" s="3054"/>
      <c r="EM25" s="3054"/>
      <c r="EN25" s="3054"/>
      <c r="EO25" s="3054"/>
      <c r="EP25" s="3054"/>
      <c r="EQ25" s="3054"/>
      <c r="ER25" s="3054"/>
      <c r="ES25" s="3054"/>
      <c r="ET25" s="3054"/>
      <c r="EU25" s="3054"/>
      <c r="EV25" s="3054"/>
      <c r="EW25" s="3054"/>
      <c r="EX25" s="3054"/>
      <c r="EY25" s="3054"/>
      <c r="EZ25" s="3054"/>
      <c r="FA25" s="3054"/>
      <c r="FB25" s="3054"/>
      <c r="FC25" s="3054"/>
      <c r="FD25" s="3054"/>
      <c r="FE25" s="3054"/>
      <c r="FF25" s="3054"/>
      <c r="FG25" s="305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3053">
        <v>0</v>
      </c>
      <c r="BA26" s="3054"/>
      <c r="BB26" s="3054"/>
      <c r="BC26" s="3054"/>
      <c r="BD26" s="3054"/>
      <c r="BE26" s="3054"/>
      <c r="BF26" s="3054"/>
      <c r="BG26" s="3054"/>
      <c r="BH26" s="3054"/>
      <c r="BI26" s="3054"/>
      <c r="BJ26" s="3054"/>
      <c r="BK26" s="3054"/>
      <c r="BL26" s="3054"/>
      <c r="BM26" s="3054"/>
      <c r="BN26" s="3054"/>
      <c r="BO26" s="3054"/>
      <c r="BP26" s="3054"/>
      <c r="BQ26" s="3054"/>
      <c r="BR26" s="3054"/>
      <c r="BS26" s="3054"/>
      <c r="BT26" s="3054"/>
      <c r="BU26" s="3054"/>
      <c r="BV26" s="3054"/>
      <c r="BW26" s="3054"/>
      <c r="BX26" s="3054"/>
      <c r="BY26" s="3054"/>
      <c r="BZ26" s="3054"/>
      <c r="CA26" s="3054"/>
      <c r="CB26" s="3053">
        <v>0</v>
      </c>
      <c r="CC26" s="3054"/>
      <c r="CD26" s="3054"/>
      <c r="CE26" s="3054"/>
      <c r="CF26" s="3054"/>
      <c r="CG26" s="3054"/>
      <c r="CH26" s="3054"/>
      <c r="CI26" s="3054"/>
      <c r="CJ26" s="3054"/>
      <c r="CK26" s="3054"/>
      <c r="CL26" s="3054"/>
      <c r="CM26" s="3054"/>
      <c r="CN26" s="3054"/>
      <c r="CO26" s="3054"/>
      <c r="CP26" s="3054"/>
      <c r="CQ26" s="3054"/>
      <c r="CR26" s="3054"/>
      <c r="CS26" s="3054"/>
      <c r="CT26" s="3054"/>
      <c r="CU26" s="3054"/>
      <c r="CV26" s="3054"/>
      <c r="CW26" s="3054"/>
      <c r="CX26" s="3054"/>
      <c r="CY26" s="3054"/>
      <c r="CZ26" s="3054"/>
      <c r="DA26" s="3054"/>
      <c r="DB26" s="3054"/>
      <c r="DC26" s="305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3054">
        <f>前年度貼付!$E$77</f>
        <v>0</v>
      </c>
      <c r="EG26" s="3054"/>
      <c r="EH26" s="3054"/>
      <c r="EI26" s="3054"/>
      <c r="EJ26" s="3054"/>
      <c r="EK26" s="3054"/>
      <c r="EL26" s="3054"/>
      <c r="EM26" s="3054"/>
      <c r="EN26" s="3054"/>
      <c r="EO26" s="3054"/>
      <c r="EP26" s="3054"/>
      <c r="EQ26" s="3054"/>
      <c r="ER26" s="3054"/>
      <c r="ES26" s="3054"/>
      <c r="ET26" s="3054"/>
      <c r="EU26" s="3054"/>
      <c r="EV26" s="3054"/>
      <c r="EW26" s="3054"/>
      <c r="EX26" s="3054"/>
      <c r="EY26" s="3054"/>
      <c r="EZ26" s="3054"/>
      <c r="FA26" s="3054"/>
      <c r="FB26" s="3054"/>
      <c r="FC26" s="3054"/>
      <c r="FD26" s="3054"/>
      <c r="FE26" s="3054"/>
      <c r="FF26" s="3054"/>
      <c r="FG26" s="305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3053">
        <v>1000</v>
      </c>
      <c r="BA27" s="3054"/>
      <c r="BB27" s="3054"/>
      <c r="BC27" s="3054"/>
      <c r="BD27" s="3054"/>
      <c r="BE27" s="3054"/>
      <c r="BF27" s="3054"/>
      <c r="BG27" s="3054"/>
      <c r="BH27" s="3054"/>
      <c r="BI27" s="3054"/>
      <c r="BJ27" s="3054"/>
      <c r="BK27" s="3054"/>
      <c r="BL27" s="3054"/>
      <c r="BM27" s="3054"/>
      <c r="BN27" s="3054"/>
      <c r="BO27" s="3054"/>
      <c r="BP27" s="3054"/>
      <c r="BQ27" s="3054"/>
      <c r="BR27" s="3054"/>
      <c r="BS27" s="3054"/>
      <c r="BT27" s="3054"/>
      <c r="BU27" s="3054"/>
      <c r="BV27" s="3054"/>
      <c r="BW27" s="3054"/>
      <c r="BX27" s="3054"/>
      <c r="BY27" s="3054"/>
      <c r="BZ27" s="3054"/>
      <c r="CA27" s="3054"/>
      <c r="CB27" s="3054">
        <f>'短期_財務諸表P27'!F55</f>
        <v>1422838</v>
      </c>
      <c r="CC27" s="3054"/>
      <c r="CD27" s="3054"/>
      <c r="CE27" s="3054"/>
      <c r="CF27" s="3054"/>
      <c r="CG27" s="3054"/>
      <c r="CH27" s="3054"/>
      <c r="CI27" s="3054"/>
      <c r="CJ27" s="3054"/>
      <c r="CK27" s="3054"/>
      <c r="CL27" s="3054"/>
      <c r="CM27" s="3054"/>
      <c r="CN27" s="3054"/>
      <c r="CO27" s="3054"/>
      <c r="CP27" s="3054"/>
      <c r="CQ27" s="3054"/>
      <c r="CR27" s="3054"/>
      <c r="CS27" s="3054"/>
      <c r="CT27" s="3054"/>
      <c r="CU27" s="3054"/>
      <c r="CV27" s="3054"/>
      <c r="CW27" s="3054"/>
      <c r="CX27" s="3054"/>
      <c r="CY27" s="3054"/>
      <c r="CZ27" s="3054"/>
      <c r="DA27" s="3054"/>
      <c r="DB27" s="3054"/>
      <c r="DC27" s="305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3054">
        <f>前年度貼付!$E$78</f>
        <v>2621295</v>
      </c>
      <c r="EG27" s="3054"/>
      <c r="EH27" s="3054"/>
      <c r="EI27" s="3054"/>
      <c r="EJ27" s="3054"/>
      <c r="EK27" s="3054"/>
      <c r="EL27" s="3054"/>
      <c r="EM27" s="3054"/>
      <c r="EN27" s="3054"/>
      <c r="EO27" s="3054"/>
      <c r="EP27" s="3054"/>
      <c r="EQ27" s="3054"/>
      <c r="ER27" s="3054"/>
      <c r="ES27" s="3054"/>
      <c r="ET27" s="3054"/>
      <c r="EU27" s="3054"/>
      <c r="EV27" s="3054"/>
      <c r="EW27" s="3054"/>
      <c r="EX27" s="3054"/>
      <c r="EY27" s="3054"/>
      <c r="EZ27" s="3054"/>
      <c r="FA27" s="3054"/>
      <c r="FB27" s="3054"/>
      <c r="FC27" s="3054"/>
      <c r="FD27" s="3054"/>
      <c r="FE27" s="3054"/>
      <c r="FF27" s="3054"/>
      <c r="FG27" s="305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3053">
        <v>902582000</v>
      </c>
      <c r="BA28" s="3054"/>
      <c r="BB28" s="3054"/>
      <c r="BC28" s="3054"/>
      <c r="BD28" s="3054"/>
      <c r="BE28" s="3054"/>
      <c r="BF28" s="3054"/>
      <c r="BG28" s="3054"/>
      <c r="BH28" s="3054"/>
      <c r="BI28" s="3054"/>
      <c r="BJ28" s="3054"/>
      <c r="BK28" s="3054"/>
      <c r="BL28" s="3054"/>
      <c r="BM28" s="3054"/>
      <c r="BN28" s="3054"/>
      <c r="BO28" s="3054"/>
      <c r="BP28" s="3054"/>
      <c r="BQ28" s="3054"/>
      <c r="BR28" s="3054"/>
      <c r="BS28" s="3054"/>
      <c r="BT28" s="3054"/>
      <c r="BU28" s="3054"/>
      <c r="BV28" s="3054"/>
      <c r="BW28" s="3054"/>
      <c r="BX28" s="3054"/>
      <c r="BY28" s="3054"/>
      <c r="BZ28" s="3054"/>
      <c r="CA28" s="3054"/>
      <c r="CB28" s="3054">
        <f>'短期_財務諸表P27'!H56</f>
        <v>876229790</v>
      </c>
      <c r="CC28" s="3054"/>
      <c r="CD28" s="3054"/>
      <c r="CE28" s="3054"/>
      <c r="CF28" s="3054"/>
      <c r="CG28" s="3054"/>
      <c r="CH28" s="3054"/>
      <c r="CI28" s="3054"/>
      <c r="CJ28" s="3054"/>
      <c r="CK28" s="3054"/>
      <c r="CL28" s="3054"/>
      <c r="CM28" s="3054"/>
      <c r="CN28" s="3054"/>
      <c r="CO28" s="3054"/>
      <c r="CP28" s="3054"/>
      <c r="CQ28" s="3054"/>
      <c r="CR28" s="3054"/>
      <c r="CS28" s="3054"/>
      <c r="CT28" s="3054"/>
      <c r="CU28" s="3054"/>
      <c r="CV28" s="3054"/>
      <c r="CW28" s="3054"/>
      <c r="CX28" s="3054"/>
      <c r="CY28" s="3054"/>
      <c r="CZ28" s="3054"/>
      <c r="DA28" s="3054"/>
      <c r="DB28" s="3054"/>
      <c r="DC28" s="305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3054">
        <f>前年度貼付!$E$79</f>
        <v>883951850</v>
      </c>
      <c r="EG28" s="3054"/>
      <c r="EH28" s="3054"/>
      <c r="EI28" s="3054"/>
      <c r="EJ28" s="3054"/>
      <c r="EK28" s="3054"/>
      <c r="EL28" s="3054"/>
      <c r="EM28" s="3054"/>
      <c r="EN28" s="3054"/>
      <c r="EO28" s="3054"/>
      <c r="EP28" s="3054"/>
      <c r="EQ28" s="3054"/>
      <c r="ER28" s="3054"/>
      <c r="ES28" s="3054"/>
      <c r="ET28" s="3054"/>
      <c r="EU28" s="3054"/>
      <c r="EV28" s="3054"/>
      <c r="EW28" s="3054"/>
      <c r="EX28" s="3054"/>
      <c r="EY28" s="3054"/>
      <c r="EZ28" s="3054"/>
      <c r="FA28" s="3054"/>
      <c r="FB28" s="3054"/>
      <c r="FC28" s="3054"/>
      <c r="FD28" s="3054"/>
      <c r="FE28" s="3054"/>
      <c r="FF28" s="3054"/>
      <c r="FG28" s="305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3053">
        <v>3326000</v>
      </c>
      <c r="BA29" s="3054"/>
      <c r="BB29" s="3054"/>
      <c r="BC29" s="3054"/>
      <c r="BD29" s="3054"/>
      <c r="BE29" s="3054"/>
      <c r="BF29" s="3054"/>
      <c r="BG29" s="3054"/>
      <c r="BH29" s="3054"/>
      <c r="BI29" s="3054"/>
      <c r="BJ29" s="3054"/>
      <c r="BK29" s="3054"/>
      <c r="BL29" s="3054"/>
      <c r="BM29" s="3054"/>
      <c r="BN29" s="3054"/>
      <c r="BO29" s="3054"/>
      <c r="BP29" s="3054"/>
      <c r="BQ29" s="3054"/>
      <c r="BR29" s="3054"/>
      <c r="BS29" s="3054"/>
      <c r="BT29" s="3054"/>
      <c r="BU29" s="3054"/>
      <c r="BV29" s="3054"/>
      <c r="BW29" s="3054"/>
      <c r="BX29" s="3054"/>
      <c r="BY29" s="3054"/>
      <c r="BZ29" s="3054"/>
      <c r="CA29" s="3054"/>
      <c r="CB29" s="3054">
        <f>'短期_財務諸表P27'!G59</f>
        <v>10567708</v>
      </c>
      <c r="CC29" s="3054"/>
      <c r="CD29" s="3054"/>
      <c r="CE29" s="3054"/>
      <c r="CF29" s="3054"/>
      <c r="CG29" s="3054"/>
      <c r="CH29" s="3054"/>
      <c r="CI29" s="3054"/>
      <c r="CJ29" s="3054"/>
      <c r="CK29" s="3054"/>
      <c r="CL29" s="3054"/>
      <c r="CM29" s="3054"/>
      <c r="CN29" s="3054"/>
      <c r="CO29" s="3054"/>
      <c r="CP29" s="3054"/>
      <c r="CQ29" s="3054"/>
      <c r="CR29" s="3054"/>
      <c r="CS29" s="3054"/>
      <c r="CT29" s="3054"/>
      <c r="CU29" s="3054"/>
      <c r="CV29" s="3054"/>
      <c r="CW29" s="3054"/>
      <c r="CX29" s="3054"/>
      <c r="CY29" s="3054"/>
      <c r="CZ29" s="3054"/>
      <c r="DA29" s="3054"/>
      <c r="DB29" s="3054"/>
      <c r="DC29" s="305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3054">
        <f>前年度貼付!$E$80</f>
        <v>2100931</v>
      </c>
      <c r="EG29" s="3054"/>
      <c r="EH29" s="3054"/>
      <c r="EI29" s="3054"/>
      <c r="EJ29" s="3054"/>
      <c r="EK29" s="3054"/>
      <c r="EL29" s="3054"/>
      <c r="EM29" s="3054"/>
      <c r="EN29" s="3054"/>
      <c r="EO29" s="3054"/>
      <c r="EP29" s="3054"/>
      <c r="EQ29" s="3054"/>
      <c r="ER29" s="3054"/>
      <c r="ES29" s="3054"/>
      <c r="ET29" s="3054"/>
      <c r="EU29" s="3054"/>
      <c r="EV29" s="3054"/>
      <c r="EW29" s="3054"/>
      <c r="EX29" s="3054"/>
      <c r="EY29" s="3054"/>
      <c r="EZ29" s="3054"/>
      <c r="FA29" s="3054"/>
      <c r="FB29" s="3054"/>
      <c r="FC29" s="3054"/>
      <c r="FD29" s="3054"/>
      <c r="FE29" s="3054"/>
      <c r="FF29" s="3054"/>
      <c r="FG29" s="305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3058">
        <f>前年度貼付!$E$81</f>
        <v>100</v>
      </c>
      <c r="EG36" s="3058"/>
      <c r="EH36" s="3058"/>
      <c r="EI36" s="3058"/>
      <c r="EJ36" s="3058"/>
      <c r="EK36" s="3058"/>
      <c r="EL36" s="3058"/>
      <c r="EM36" s="3058"/>
      <c r="EN36" s="3058"/>
      <c r="EO36" s="3058"/>
      <c r="EP36" s="3058"/>
      <c r="EQ36" s="3058"/>
      <c r="ER36" s="3058"/>
      <c r="ES36" s="3058"/>
      <c r="ET36" s="3058"/>
      <c r="EU36" s="3058"/>
      <c r="EV36" s="3058"/>
      <c r="EW36" s="3058"/>
      <c r="EX36" s="3058"/>
      <c r="EY36" s="3058"/>
      <c r="EZ36" s="3058"/>
      <c r="FA36" s="3058"/>
      <c r="FB36" s="3058"/>
      <c r="FC36" s="3058"/>
      <c r="FD36" s="3058"/>
      <c r="FE36" s="3058"/>
      <c r="FF36" s="3058"/>
      <c r="FG36" s="3058"/>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3058">
        <f>前年度貼付!$E$82</f>
        <v>100</v>
      </c>
      <c r="EG37" s="3058"/>
      <c r="EH37" s="3058"/>
      <c r="EI37" s="3058"/>
      <c r="EJ37" s="3058"/>
      <c r="EK37" s="3058"/>
      <c r="EL37" s="3058"/>
      <c r="EM37" s="3058"/>
      <c r="EN37" s="3058"/>
      <c r="EO37" s="3058"/>
      <c r="EP37" s="3058"/>
      <c r="EQ37" s="3058"/>
      <c r="ER37" s="3058"/>
      <c r="ES37" s="3058"/>
      <c r="ET37" s="3058"/>
      <c r="EU37" s="3058"/>
      <c r="EV37" s="3058"/>
      <c r="EW37" s="3058"/>
      <c r="EX37" s="3058"/>
      <c r="EY37" s="3058"/>
      <c r="EZ37" s="3058"/>
      <c r="FA37" s="3058"/>
      <c r="FB37" s="3058"/>
      <c r="FC37" s="3058"/>
      <c r="FD37" s="3058"/>
      <c r="FE37" s="3058"/>
      <c r="FF37" s="3058"/>
      <c r="FG37" s="3058"/>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3054">
        <f>AZ38-'短期_附属明細表P28-29'!G48</f>
        <v>5647505694</v>
      </c>
      <c r="CC38" s="3054"/>
      <c r="CD38" s="3054"/>
      <c r="CE38" s="3054"/>
      <c r="CF38" s="3054"/>
      <c r="CG38" s="3054"/>
      <c r="CH38" s="3054"/>
      <c r="CI38" s="3054"/>
      <c r="CJ38" s="3054"/>
      <c r="CK38" s="3054"/>
      <c r="CL38" s="3054"/>
      <c r="CM38" s="3054"/>
      <c r="CN38" s="3054"/>
      <c r="CO38" s="3054"/>
      <c r="CP38" s="3054"/>
      <c r="CQ38" s="3054"/>
      <c r="CR38" s="3054"/>
      <c r="CS38" s="3054"/>
      <c r="CT38" s="3054"/>
      <c r="CU38" s="3054"/>
      <c r="CV38" s="3054"/>
      <c r="CW38" s="3054"/>
      <c r="CX38" s="3054"/>
      <c r="CY38" s="3054"/>
      <c r="CZ38" s="3054"/>
      <c r="DA38" s="3054"/>
      <c r="DB38" s="3054"/>
      <c r="DC38" s="3054"/>
      <c r="DD38" s="3058">
        <f>ROUNDDOWN(CB38/AZ38*100,2)</f>
        <v>99.99</v>
      </c>
      <c r="DE38" s="3058"/>
      <c r="DF38" s="3058"/>
      <c r="DG38" s="3058"/>
      <c r="DH38" s="3058"/>
      <c r="DI38" s="3058"/>
      <c r="DJ38" s="3058"/>
      <c r="DK38" s="3058"/>
      <c r="DL38" s="3058"/>
      <c r="DM38" s="3058"/>
      <c r="DN38" s="3058"/>
      <c r="DO38" s="3058"/>
      <c r="DP38" s="3058"/>
      <c r="DQ38" s="3058"/>
      <c r="DR38" s="3058"/>
      <c r="DS38" s="3058"/>
      <c r="DT38" s="3058"/>
      <c r="DU38" s="3058"/>
      <c r="DV38" s="3058"/>
      <c r="DW38" s="3058"/>
      <c r="DX38" s="3058"/>
      <c r="DY38" s="3058"/>
      <c r="DZ38" s="3058"/>
      <c r="EA38" s="3058"/>
      <c r="EB38" s="3058"/>
      <c r="EC38" s="3058"/>
      <c r="ED38" s="3058"/>
      <c r="EE38" s="3058"/>
      <c r="EF38" s="3058">
        <f>前年度貼付!$E$83</f>
        <v>99.99</v>
      </c>
      <c r="EG38" s="3058"/>
      <c r="EH38" s="3058"/>
      <c r="EI38" s="3058"/>
      <c r="EJ38" s="3058"/>
      <c r="EK38" s="3058"/>
      <c r="EL38" s="3058"/>
      <c r="EM38" s="3058"/>
      <c r="EN38" s="3058"/>
      <c r="EO38" s="3058"/>
      <c r="EP38" s="3058"/>
      <c r="EQ38" s="3058"/>
      <c r="ER38" s="3058"/>
      <c r="ES38" s="3058"/>
      <c r="ET38" s="3058"/>
      <c r="EU38" s="3058"/>
      <c r="EV38" s="3058"/>
      <c r="EW38" s="3058"/>
      <c r="EX38" s="3058"/>
      <c r="EY38" s="3058"/>
      <c r="EZ38" s="3058"/>
      <c r="FA38" s="3058"/>
      <c r="FB38" s="3058"/>
      <c r="FC38" s="3058"/>
      <c r="FD38" s="3058"/>
      <c r="FE38" s="3058"/>
      <c r="FF38" s="3058"/>
      <c r="FG38" s="3058"/>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3054">
        <f>AZ39-0</f>
        <v>501082548</v>
      </c>
      <c r="CC39" s="3054"/>
      <c r="CD39" s="3054"/>
      <c r="CE39" s="3054"/>
      <c r="CF39" s="3054"/>
      <c r="CG39" s="3054"/>
      <c r="CH39" s="3054"/>
      <c r="CI39" s="3054"/>
      <c r="CJ39" s="3054"/>
      <c r="CK39" s="3054"/>
      <c r="CL39" s="3054"/>
      <c r="CM39" s="3054"/>
      <c r="CN39" s="3054"/>
      <c r="CO39" s="3054"/>
      <c r="CP39" s="3054"/>
      <c r="CQ39" s="3054"/>
      <c r="CR39" s="3054"/>
      <c r="CS39" s="3054"/>
      <c r="CT39" s="3054"/>
      <c r="CU39" s="3054"/>
      <c r="CV39" s="3054"/>
      <c r="CW39" s="3054"/>
      <c r="CX39" s="3054"/>
      <c r="CY39" s="3054"/>
      <c r="CZ39" s="3054"/>
      <c r="DA39" s="3054"/>
      <c r="DB39" s="3054"/>
      <c r="DC39" s="3054"/>
      <c r="DD39" s="3058">
        <f>CB39/AZ39*100</f>
        <v>100</v>
      </c>
      <c r="DE39" s="3058"/>
      <c r="DF39" s="3058"/>
      <c r="DG39" s="3058"/>
      <c r="DH39" s="3058"/>
      <c r="DI39" s="3058"/>
      <c r="DJ39" s="3058"/>
      <c r="DK39" s="3058"/>
      <c r="DL39" s="3058"/>
      <c r="DM39" s="3058"/>
      <c r="DN39" s="3058"/>
      <c r="DO39" s="3058"/>
      <c r="DP39" s="3058"/>
      <c r="DQ39" s="3058"/>
      <c r="DR39" s="3058"/>
      <c r="DS39" s="3058"/>
      <c r="DT39" s="3058"/>
      <c r="DU39" s="3058"/>
      <c r="DV39" s="3058"/>
      <c r="DW39" s="3058"/>
      <c r="DX39" s="3058"/>
      <c r="DY39" s="3058"/>
      <c r="DZ39" s="3058"/>
      <c r="EA39" s="3058"/>
      <c r="EB39" s="3058"/>
      <c r="EC39" s="3058"/>
      <c r="ED39" s="3058"/>
      <c r="EE39" s="3058"/>
      <c r="EF39" s="3058">
        <f>前年度貼付!$E$84</f>
        <v>99.99</v>
      </c>
      <c r="EG39" s="3058"/>
      <c r="EH39" s="3058"/>
      <c r="EI39" s="3058"/>
      <c r="EJ39" s="3058"/>
      <c r="EK39" s="3058"/>
      <c r="EL39" s="3058"/>
      <c r="EM39" s="3058"/>
      <c r="EN39" s="3058"/>
      <c r="EO39" s="3058"/>
      <c r="EP39" s="3058"/>
      <c r="EQ39" s="3058"/>
      <c r="ER39" s="3058"/>
      <c r="ES39" s="3058"/>
      <c r="ET39" s="3058"/>
      <c r="EU39" s="3058"/>
      <c r="EV39" s="3058"/>
      <c r="EW39" s="3058"/>
      <c r="EX39" s="3058"/>
      <c r="EY39" s="3058"/>
      <c r="EZ39" s="3058"/>
      <c r="FA39" s="3058"/>
      <c r="FB39" s="3058"/>
      <c r="FC39" s="3058"/>
      <c r="FD39" s="3058"/>
      <c r="FE39" s="3058"/>
      <c r="FF39" s="3058"/>
      <c r="FG39" s="3058"/>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3058">
        <f>ROUNDDOWN(CB40/AZ40*100,2)</f>
        <v>99.99</v>
      </c>
      <c r="DE40" s="3058"/>
      <c r="DF40" s="3058"/>
      <c r="DG40" s="3058"/>
      <c r="DH40" s="3058"/>
      <c r="DI40" s="3058"/>
      <c r="DJ40" s="3058"/>
      <c r="DK40" s="3058"/>
      <c r="DL40" s="3058"/>
      <c r="DM40" s="3058"/>
      <c r="DN40" s="3058"/>
      <c r="DO40" s="3058"/>
      <c r="DP40" s="3058"/>
      <c r="DQ40" s="3058"/>
      <c r="DR40" s="3058"/>
      <c r="DS40" s="3058"/>
      <c r="DT40" s="3058"/>
      <c r="DU40" s="3058"/>
      <c r="DV40" s="3058"/>
      <c r="DW40" s="3058"/>
      <c r="DX40" s="3058"/>
      <c r="DY40" s="3058"/>
      <c r="DZ40" s="3058"/>
      <c r="EA40" s="3058"/>
      <c r="EB40" s="3058"/>
      <c r="EC40" s="3058"/>
      <c r="ED40" s="3058"/>
      <c r="EE40" s="3058"/>
      <c r="EF40" s="3059">
        <f>前年度貼付!$E$85</f>
        <v>99.99</v>
      </c>
      <c r="EG40" s="3059"/>
      <c r="EH40" s="3059"/>
      <c r="EI40" s="3059"/>
      <c r="EJ40" s="3059"/>
      <c r="EK40" s="3059"/>
      <c r="EL40" s="3059"/>
      <c r="EM40" s="3059"/>
      <c r="EN40" s="3059"/>
      <c r="EO40" s="3059"/>
      <c r="EP40" s="3059"/>
      <c r="EQ40" s="3059"/>
      <c r="ER40" s="3059"/>
      <c r="ES40" s="3059"/>
      <c r="ET40" s="3059"/>
      <c r="EU40" s="3059"/>
      <c r="EV40" s="3059"/>
      <c r="EW40" s="3059"/>
      <c r="EX40" s="3059"/>
      <c r="EY40" s="3059"/>
      <c r="EZ40" s="3059"/>
      <c r="FA40" s="3059"/>
      <c r="FB40" s="3059"/>
      <c r="FC40" s="3059"/>
      <c r="FD40" s="3059"/>
      <c r="FE40" s="3059"/>
      <c r="FF40" s="3059"/>
      <c r="FG40" s="3059"/>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3058">
        <f>ROUNDDOWN(CB41/AZ41*100,2)</f>
        <v>100</v>
      </c>
      <c r="DE41" s="3058"/>
      <c r="DF41" s="3058"/>
      <c r="DG41" s="3058"/>
      <c r="DH41" s="3058"/>
      <c r="DI41" s="3058"/>
      <c r="DJ41" s="3058"/>
      <c r="DK41" s="3058"/>
      <c r="DL41" s="3058"/>
      <c r="DM41" s="3058"/>
      <c r="DN41" s="3058"/>
      <c r="DO41" s="3058"/>
      <c r="DP41" s="3058"/>
      <c r="DQ41" s="3058"/>
      <c r="DR41" s="3058"/>
      <c r="DS41" s="3058"/>
      <c r="DT41" s="3058"/>
      <c r="DU41" s="3058"/>
      <c r="DV41" s="3058"/>
      <c r="DW41" s="3058"/>
      <c r="DX41" s="3058"/>
      <c r="DY41" s="3058"/>
      <c r="DZ41" s="3058"/>
      <c r="EA41" s="3058"/>
      <c r="EB41" s="3058"/>
      <c r="EC41" s="3058"/>
      <c r="ED41" s="3058"/>
      <c r="EE41" s="3058"/>
      <c r="EF41" s="3059">
        <f>前年度貼付!$E$86</f>
        <v>99.99</v>
      </c>
      <c r="EG41" s="3059"/>
      <c r="EH41" s="3059"/>
      <c r="EI41" s="3059"/>
      <c r="EJ41" s="3059"/>
      <c r="EK41" s="3059"/>
      <c r="EL41" s="3059"/>
      <c r="EM41" s="3059"/>
      <c r="EN41" s="3059"/>
      <c r="EO41" s="3059"/>
      <c r="EP41" s="3059"/>
      <c r="EQ41" s="3059"/>
      <c r="ER41" s="3059"/>
      <c r="ES41" s="3059"/>
      <c r="ET41" s="3059"/>
      <c r="EU41" s="3059"/>
      <c r="EV41" s="3059"/>
      <c r="EW41" s="3059"/>
      <c r="EX41" s="3059"/>
      <c r="EY41" s="3059"/>
      <c r="EZ41" s="3059"/>
      <c r="FA41" s="3059"/>
      <c r="FB41" s="3059"/>
      <c r="FC41" s="3059"/>
      <c r="FD41" s="3059"/>
      <c r="FE41" s="3059"/>
      <c r="FF41" s="3059"/>
      <c r="FG41" s="3059"/>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3053">
        <v>2312372000</v>
      </c>
      <c r="BA49" s="3054"/>
      <c r="BB49" s="3054"/>
      <c r="BC49" s="3054"/>
      <c r="BD49" s="3054"/>
      <c r="BE49" s="3054"/>
      <c r="BF49" s="3054"/>
      <c r="BG49" s="3054"/>
      <c r="BH49" s="3054"/>
      <c r="BI49" s="3054"/>
      <c r="BJ49" s="3054"/>
      <c r="BK49" s="3054"/>
      <c r="BL49" s="3054"/>
      <c r="BM49" s="3054"/>
      <c r="BN49" s="3054"/>
      <c r="BO49" s="3054"/>
      <c r="BP49" s="3054"/>
      <c r="BQ49" s="3054"/>
      <c r="BR49" s="3054"/>
      <c r="BS49" s="3054"/>
      <c r="BT49" s="3054"/>
      <c r="BU49" s="3054"/>
      <c r="BV49" s="3054"/>
      <c r="BW49" s="3054"/>
      <c r="BX49" s="3054"/>
      <c r="BY49" s="3054"/>
      <c r="BZ49" s="3054"/>
      <c r="CA49" s="3054"/>
      <c r="CB49" s="3053">
        <v>2267481074</v>
      </c>
      <c r="CC49" s="3054"/>
      <c r="CD49" s="3054"/>
      <c r="CE49" s="3054"/>
      <c r="CF49" s="3054"/>
      <c r="CG49" s="3054"/>
      <c r="CH49" s="3054"/>
      <c r="CI49" s="3054"/>
      <c r="CJ49" s="3054"/>
      <c r="CK49" s="3054"/>
      <c r="CL49" s="3054"/>
      <c r="CM49" s="3054"/>
      <c r="CN49" s="3054"/>
      <c r="CO49" s="3054"/>
      <c r="CP49" s="3054"/>
      <c r="CQ49" s="3054"/>
      <c r="CR49" s="3054"/>
      <c r="CS49" s="3054"/>
      <c r="CT49" s="3054"/>
      <c r="CU49" s="3054"/>
      <c r="CV49" s="3054"/>
      <c r="CW49" s="3054"/>
      <c r="CX49" s="3054"/>
      <c r="CY49" s="3054"/>
      <c r="CZ49" s="3054"/>
      <c r="DA49" s="3054"/>
      <c r="DB49" s="3054"/>
      <c r="DC49" s="305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3054">
        <f>前年度貼付!$E$87</f>
        <v>2203762570</v>
      </c>
      <c r="EG49" s="3054"/>
      <c r="EH49" s="3054"/>
      <c r="EI49" s="3054"/>
      <c r="EJ49" s="3054"/>
      <c r="EK49" s="3054"/>
      <c r="EL49" s="3054"/>
      <c r="EM49" s="3054"/>
      <c r="EN49" s="3054"/>
      <c r="EO49" s="3054"/>
      <c r="EP49" s="3054"/>
      <c r="EQ49" s="3054"/>
      <c r="ER49" s="3054"/>
      <c r="ES49" s="3054"/>
      <c r="ET49" s="3054"/>
      <c r="EU49" s="3054"/>
      <c r="EV49" s="3054"/>
      <c r="EW49" s="3054"/>
      <c r="EX49" s="3054"/>
      <c r="EY49" s="3054"/>
      <c r="EZ49" s="3054"/>
      <c r="FA49" s="3054"/>
      <c r="FB49" s="3054"/>
      <c r="FC49" s="3054"/>
      <c r="FD49" s="3054"/>
      <c r="FE49" s="3054"/>
      <c r="FF49" s="3054"/>
      <c r="FG49" s="305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3053">
        <v>9957000</v>
      </c>
      <c r="BA50" s="3054"/>
      <c r="BB50" s="3054"/>
      <c r="BC50" s="3054"/>
      <c r="BD50" s="3054"/>
      <c r="BE50" s="3054"/>
      <c r="BF50" s="3054"/>
      <c r="BG50" s="3054"/>
      <c r="BH50" s="3054"/>
      <c r="BI50" s="3054"/>
      <c r="BJ50" s="3054"/>
      <c r="BK50" s="3054"/>
      <c r="BL50" s="3054"/>
      <c r="BM50" s="3054"/>
      <c r="BN50" s="3054"/>
      <c r="BO50" s="3054"/>
      <c r="BP50" s="3054"/>
      <c r="BQ50" s="3054"/>
      <c r="BR50" s="3054"/>
      <c r="BS50" s="3054"/>
      <c r="BT50" s="3054"/>
      <c r="BU50" s="3054"/>
      <c r="BV50" s="3054"/>
      <c r="BW50" s="3054"/>
      <c r="BX50" s="3054"/>
      <c r="BY50" s="3054"/>
      <c r="BZ50" s="3054"/>
      <c r="CA50" s="3054"/>
      <c r="CB50" s="3053">
        <v>9189131</v>
      </c>
      <c r="CC50" s="3054"/>
      <c r="CD50" s="3054"/>
      <c r="CE50" s="3054"/>
      <c r="CF50" s="3054"/>
      <c r="CG50" s="3054"/>
      <c r="CH50" s="3054"/>
      <c r="CI50" s="3054"/>
      <c r="CJ50" s="3054"/>
      <c r="CK50" s="3054"/>
      <c r="CL50" s="3054"/>
      <c r="CM50" s="3054"/>
      <c r="CN50" s="3054"/>
      <c r="CO50" s="3054"/>
      <c r="CP50" s="3054"/>
      <c r="CQ50" s="3054"/>
      <c r="CR50" s="3054"/>
      <c r="CS50" s="3054"/>
      <c r="CT50" s="3054"/>
      <c r="CU50" s="3054"/>
      <c r="CV50" s="3054"/>
      <c r="CW50" s="3054"/>
      <c r="CX50" s="3054"/>
      <c r="CY50" s="3054"/>
      <c r="CZ50" s="3054"/>
      <c r="DA50" s="3054"/>
      <c r="DB50" s="3054"/>
      <c r="DC50" s="305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3054">
        <f>前年度貼付!$E$88</f>
        <v>9157342</v>
      </c>
      <c r="EG50" s="3054"/>
      <c r="EH50" s="3054"/>
      <c r="EI50" s="3054"/>
      <c r="EJ50" s="3054"/>
      <c r="EK50" s="3054"/>
      <c r="EL50" s="3054"/>
      <c r="EM50" s="3054"/>
      <c r="EN50" s="3054"/>
      <c r="EO50" s="3054"/>
      <c r="EP50" s="3054"/>
      <c r="EQ50" s="3054"/>
      <c r="ER50" s="3054"/>
      <c r="ES50" s="3054"/>
      <c r="ET50" s="3054"/>
      <c r="EU50" s="3054"/>
      <c r="EV50" s="3054"/>
      <c r="EW50" s="3054"/>
      <c r="EX50" s="3054"/>
      <c r="EY50" s="3054"/>
      <c r="EZ50" s="3054"/>
      <c r="FA50" s="3054"/>
      <c r="FB50" s="3054"/>
      <c r="FC50" s="3054"/>
      <c r="FD50" s="3054"/>
      <c r="FE50" s="3054"/>
      <c r="FF50" s="3054"/>
      <c r="FG50" s="305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3053">
        <v>15549000</v>
      </c>
      <c r="BA51" s="3054"/>
      <c r="BB51" s="3054"/>
      <c r="BC51" s="3054"/>
      <c r="BD51" s="3054"/>
      <c r="BE51" s="3054"/>
      <c r="BF51" s="3054"/>
      <c r="BG51" s="3054"/>
      <c r="BH51" s="3054"/>
      <c r="BI51" s="3054"/>
      <c r="BJ51" s="3054"/>
      <c r="BK51" s="3054"/>
      <c r="BL51" s="3054"/>
      <c r="BM51" s="3054"/>
      <c r="BN51" s="3054"/>
      <c r="BO51" s="3054"/>
      <c r="BP51" s="3054"/>
      <c r="BQ51" s="3054"/>
      <c r="BR51" s="3054"/>
      <c r="BS51" s="3054"/>
      <c r="BT51" s="3054"/>
      <c r="BU51" s="3054"/>
      <c r="BV51" s="3054"/>
      <c r="BW51" s="3054"/>
      <c r="BX51" s="3054"/>
      <c r="BY51" s="3054"/>
      <c r="BZ51" s="3054"/>
      <c r="CA51" s="3054"/>
      <c r="CB51" s="3053">
        <v>10108630</v>
      </c>
      <c r="CC51" s="3054"/>
      <c r="CD51" s="3054"/>
      <c r="CE51" s="3054"/>
      <c r="CF51" s="3054"/>
      <c r="CG51" s="3054"/>
      <c r="CH51" s="3054"/>
      <c r="CI51" s="3054"/>
      <c r="CJ51" s="3054"/>
      <c r="CK51" s="3054"/>
      <c r="CL51" s="3054"/>
      <c r="CM51" s="3054"/>
      <c r="CN51" s="3054"/>
      <c r="CO51" s="3054"/>
      <c r="CP51" s="3054"/>
      <c r="CQ51" s="3054"/>
      <c r="CR51" s="3054"/>
      <c r="CS51" s="3054"/>
      <c r="CT51" s="3054"/>
      <c r="CU51" s="3054"/>
      <c r="CV51" s="3054"/>
      <c r="CW51" s="3054"/>
      <c r="CX51" s="3054"/>
      <c r="CY51" s="3054"/>
      <c r="CZ51" s="3054"/>
      <c r="DA51" s="3054"/>
      <c r="DB51" s="3054"/>
      <c r="DC51" s="305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3054">
        <f>前年度貼付!$E$89</f>
        <v>14713620</v>
      </c>
      <c r="EG51" s="3054"/>
      <c r="EH51" s="3054"/>
      <c r="EI51" s="3054"/>
      <c r="EJ51" s="3054"/>
      <c r="EK51" s="3054"/>
      <c r="EL51" s="3054"/>
      <c r="EM51" s="3054"/>
      <c r="EN51" s="3054"/>
      <c r="EO51" s="3054"/>
      <c r="EP51" s="3054"/>
      <c r="EQ51" s="3054"/>
      <c r="ER51" s="3054"/>
      <c r="ES51" s="3054"/>
      <c r="ET51" s="3054"/>
      <c r="EU51" s="3054"/>
      <c r="EV51" s="3054"/>
      <c r="EW51" s="3054"/>
      <c r="EX51" s="3054"/>
      <c r="EY51" s="3054"/>
      <c r="EZ51" s="3054"/>
      <c r="FA51" s="3054"/>
      <c r="FB51" s="3054"/>
      <c r="FC51" s="3054"/>
      <c r="FD51" s="3054"/>
      <c r="FE51" s="3054"/>
      <c r="FF51" s="3054"/>
      <c r="FG51" s="305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3053">
        <v>1296961000</v>
      </c>
      <c r="BA52" s="3054"/>
      <c r="BB52" s="3054"/>
      <c r="BC52" s="3054"/>
      <c r="BD52" s="3054"/>
      <c r="BE52" s="3054"/>
      <c r="BF52" s="3054"/>
      <c r="BG52" s="3054"/>
      <c r="BH52" s="3054"/>
      <c r="BI52" s="3054"/>
      <c r="BJ52" s="3054"/>
      <c r="BK52" s="3054"/>
      <c r="BL52" s="3054"/>
      <c r="BM52" s="3054"/>
      <c r="BN52" s="3054"/>
      <c r="BO52" s="3054"/>
      <c r="BP52" s="3054"/>
      <c r="BQ52" s="3054"/>
      <c r="BR52" s="3054"/>
      <c r="BS52" s="3054"/>
      <c r="BT52" s="3054"/>
      <c r="BU52" s="3054"/>
      <c r="BV52" s="3054"/>
      <c r="BW52" s="3054"/>
      <c r="BX52" s="3054"/>
      <c r="BY52" s="3054"/>
      <c r="BZ52" s="3054"/>
      <c r="CA52" s="3054"/>
      <c r="CB52" s="3053">
        <v>1228428283</v>
      </c>
      <c r="CC52" s="3054"/>
      <c r="CD52" s="3054"/>
      <c r="CE52" s="3054"/>
      <c r="CF52" s="3054"/>
      <c r="CG52" s="3054"/>
      <c r="CH52" s="3054"/>
      <c r="CI52" s="3054"/>
      <c r="CJ52" s="3054"/>
      <c r="CK52" s="3054"/>
      <c r="CL52" s="3054"/>
      <c r="CM52" s="3054"/>
      <c r="CN52" s="3054"/>
      <c r="CO52" s="3054"/>
      <c r="CP52" s="3054"/>
      <c r="CQ52" s="3054"/>
      <c r="CR52" s="3054"/>
      <c r="CS52" s="3054"/>
      <c r="CT52" s="3054"/>
      <c r="CU52" s="3054"/>
      <c r="CV52" s="3054"/>
      <c r="CW52" s="3054"/>
      <c r="CX52" s="3054"/>
      <c r="CY52" s="3054"/>
      <c r="CZ52" s="3054"/>
      <c r="DA52" s="3054"/>
      <c r="DB52" s="3054"/>
      <c r="DC52" s="305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3054">
        <f>前年度貼付!$E$90</f>
        <v>1206371250</v>
      </c>
      <c r="EG52" s="3054"/>
      <c r="EH52" s="3054"/>
      <c r="EI52" s="3054"/>
      <c r="EJ52" s="3054"/>
      <c r="EK52" s="3054"/>
      <c r="EL52" s="3054"/>
      <c r="EM52" s="3054"/>
      <c r="EN52" s="3054"/>
      <c r="EO52" s="3054"/>
      <c r="EP52" s="3054"/>
      <c r="EQ52" s="3054"/>
      <c r="ER52" s="3054"/>
      <c r="ES52" s="3054"/>
      <c r="ET52" s="3054"/>
      <c r="EU52" s="3054"/>
      <c r="EV52" s="3054"/>
      <c r="EW52" s="3054"/>
      <c r="EX52" s="3054"/>
      <c r="EY52" s="3054"/>
      <c r="EZ52" s="3054"/>
      <c r="FA52" s="3054"/>
      <c r="FB52" s="3054"/>
      <c r="FC52" s="3054"/>
      <c r="FD52" s="3054"/>
      <c r="FE52" s="3054"/>
      <c r="FF52" s="3054"/>
      <c r="FG52" s="305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3053">
        <v>26966000</v>
      </c>
      <c r="BA53" s="3054"/>
      <c r="BB53" s="3054"/>
      <c r="BC53" s="3054"/>
      <c r="BD53" s="3054"/>
      <c r="BE53" s="3054"/>
      <c r="BF53" s="3054"/>
      <c r="BG53" s="3054"/>
      <c r="BH53" s="3054"/>
      <c r="BI53" s="3054"/>
      <c r="BJ53" s="3054"/>
      <c r="BK53" s="3054"/>
      <c r="BL53" s="3054"/>
      <c r="BM53" s="3054"/>
      <c r="BN53" s="3054"/>
      <c r="BO53" s="3054"/>
      <c r="BP53" s="3054"/>
      <c r="BQ53" s="3054"/>
      <c r="BR53" s="3054"/>
      <c r="BS53" s="3054"/>
      <c r="BT53" s="3054"/>
      <c r="BU53" s="3054"/>
      <c r="BV53" s="3054"/>
      <c r="BW53" s="3054"/>
      <c r="BX53" s="3054"/>
      <c r="BY53" s="3054"/>
      <c r="BZ53" s="3054"/>
      <c r="CA53" s="3054"/>
      <c r="CB53" s="3053">
        <v>39360367</v>
      </c>
      <c r="CC53" s="3054"/>
      <c r="CD53" s="3054"/>
      <c r="CE53" s="3054"/>
      <c r="CF53" s="3054"/>
      <c r="CG53" s="3054"/>
      <c r="CH53" s="3054"/>
      <c r="CI53" s="3054"/>
      <c r="CJ53" s="3054"/>
      <c r="CK53" s="3054"/>
      <c r="CL53" s="3054"/>
      <c r="CM53" s="3054"/>
      <c r="CN53" s="3054"/>
      <c r="CO53" s="3054"/>
      <c r="CP53" s="3054"/>
      <c r="CQ53" s="3054"/>
      <c r="CR53" s="3054"/>
      <c r="CS53" s="3054"/>
      <c r="CT53" s="3054"/>
      <c r="CU53" s="3054"/>
      <c r="CV53" s="3054"/>
      <c r="CW53" s="3054"/>
      <c r="CX53" s="3054"/>
      <c r="CY53" s="3054"/>
      <c r="CZ53" s="3054"/>
      <c r="DA53" s="3054"/>
      <c r="DB53" s="3054"/>
      <c r="DC53" s="305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3054">
        <f>前年度貼付!$E$91</f>
        <v>27470107</v>
      </c>
      <c r="EG53" s="3054"/>
      <c r="EH53" s="3054"/>
      <c r="EI53" s="3054"/>
      <c r="EJ53" s="3054"/>
      <c r="EK53" s="3054"/>
      <c r="EL53" s="3054"/>
      <c r="EM53" s="3054"/>
      <c r="EN53" s="3054"/>
      <c r="EO53" s="3054"/>
      <c r="EP53" s="3054"/>
      <c r="EQ53" s="3054"/>
      <c r="ER53" s="3054"/>
      <c r="ES53" s="3054"/>
      <c r="ET53" s="3054"/>
      <c r="EU53" s="3054"/>
      <c r="EV53" s="3054"/>
      <c r="EW53" s="3054"/>
      <c r="EX53" s="3054"/>
      <c r="EY53" s="3054"/>
      <c r="EZ53" s="3054"/>
      <c r="FA53" s="3054"/>
      <c r="FB53" s="3054"/>
      <c r="FC53" s="3054"/>
      <c r="FD53" s="3054"/>
      <c r="FE53" s="3054"/>
      <c r="FF53" s="3054"/>
      <c r="FG53" s="305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3053">
        <v>392687000</v>
      </c>
      <c r="BA54" s="3054"/>
      <c r="BB54" s="3054"/>
      <c r="BC54" s="3054"/>
      <c r="BD54" s="3054"/>
      <c r="BE54" s="3054"/>
      <c r="BF54" s="3054"/>
      <c r="BG54" s="3054"/>
      <c r="BH54" s="3054"/>
      <c r="BI54" s="3054"/>
      <c r="BJ54" s="3054"/>
      <c r="BK54" s="3054"/>
      <c r="BL54" s="3054"/>
      <c r="BM54" s="3054"/>
      <c r="BN54" s="3054"/>
      <c r="BO54" s="3054"/>
      <c r="BP54" s="3054"/>
      <c r="BQ54" s="3054"/>
      <c r="BR54" s="3054"/>
      <c r="BS54" s="3054"/>
      <c r="BT54" s="3054"/>
      <c r="BU54" s="3054"/>
      <c r="BV54" s="3054"/>
      <c r="BW54" s="3054"/>
      <c r="BX54" s="3054"/>
      <c r="BY54" s="3054"/>
      <c r="BZ54" s="3054"/>
      <c r="CA54" s="3054"/>
      <c r="CB54" s="3053">
        <v>381627185</v>
      </c>
      <c r="CC54" s="3054"/>
      <c r="CD54" s="3054"/>
      <c r="CE54" s="3054"/>
      <c r="CF54" s="3054"/>
      <c r="CG54" s="3054"/>
      <c r="CH54" s="3054"/>
      <c r="CI54" s="3054"/>
      <c r="CJ54" s="3054"/>
      <c r="CK54" s="3054"/>
      <c r="CL54" s="3054"/>
      <c r="CM54" s="3054"/>
      <c r="CN54" s="3054"/>
      <c r="CO54" s="3054"/>
      <c r="CP54" s="3054"/>
      <c r="CQ54" s="3054"/>
      <c r="CR54" s="3054"/>
      <c r="CS54" s="3054"/>
      <c r="CT54" s="3054"/>
      <c r="CU54" s="3054"/>
      <c r="CV54" s="3054"/>
      <c r="CW54" s="3054"/>
      <c r="CX54" s="3054"/>
      <c r="CY54" s="3054"/>
      <c r="CZ54" s="3054"/>
      <c r="DA54" s="3054"/>
      <c r="DB54" s="3054"/>
      <c r="DC54" s="305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3054">
        <f>前年度貼付!$E$92</f>
        <v>359559292</v>
      </c>
      <c r="EG54" s="3054"/>
      <c r="EH54" s="3054"/>
      <c r="EI54" s="3054"/>
      <c r="EJ54" s="3054"/>
      <c r="EK54" s="3054"/>
      <c r="EL54" s="3054"/>
      <c r="EM54" s="3054"/>
      <c r="EN54" s="3054"/>
      <c r="EO54" s="3054"/>
      <c r="EP54" s="3054"/>
      <c r="EQ54" s="3054"/>
      <c r="ER54" s="3054"/>
      <c r="ES54" s="3054"/>
      <c r="ET54" s="3054"/>
      <c r="EU54" s="3054"/>
      <c r="EV54" s="3054"/>
      <c r="EW54" s="3054"/>
      <c r="EX54" s="3054"/>
      <c r="EY54" s="3054"/>
      <c r="EZ54" s="3054"/>
      <c r="FA54" s="3054"/>
      <c r="FB54" s="3054"/>
      <c r="FC54" s="3054"/>
      <c r="FD54" s="3054"/>
      <c r="FE54" s="3054"/>
      <c r="FF54" s="3054"/>
      <c r="FG54" s="305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3053">
        <v>23978000</v>
      </c>
      <c r="BA55" s="3054"/>
      <c r="BB55" s="3054"/>
      <c r="BC55" s="3054"/>
      <c r="BD55" s="3054"/>
      <c r="BE55" s="3054"/>
      <c r="BF55" s="3054"/>
      <c r="BG55" s="3054"/>
      <c r="BH55" s="3054"/>
      <c r="BI55" s="3054"/>
      <c r="BJ55" s="3054"/>
      <c r="BK55" s="3054"/>
      <c r="BL55" s="3054"/>
      <c r="BM55" s="3054"/>
      <c r="BN55" s="3054"/>
      <c r="BO55" s="3054"/>
      <c r="BP55" s="3054"/>
      <c r="BQ55" s="3054"/>
      <c r="BR55" s="3054"/>
      <c r="BS55" s="3054"/>
      <c r="BT55" s="3054"/>
      <c r="BU55" s="3054"/>
      <c r="BV55" s="3054"/>
      <c r="BW55" s="3054"/>
      <c r="BX55" s="3054"/>
      <c r="BY55" s="3054"/>
      <c r="BZ55" s="3054"/>
      <c r="CA55" s="3054"/>
      <c r="CB55" s="3053">
        <v>23086688</v>
      </c>
      <c r="CC55" s="3054"/>
      <c r="CD55" s="3054"/>
      <c r="CE55" s="3054"/>
      <c r="CF55" s="3054"/>
      <c r="CG55" s="3054"/>
      <c r="CH55" s="3054"/>
      <c r="CI55" s="3054"/>
      <c r="CJ55" s="3054"/>
      <c r="CK55" s="3054"/>
      <c r="CL55" s="3054"/>
      <c r="CM55" s="3054"/>
      <c r="CN55" s="3054"/>
      <c r="CO55" s="3054"/>
      <c r="CP55" s="3054"/>
      <c r="CQ55" s="3054"/>
      <c r="CR55" s="3054"/>
      <c r="CS55" s="3054"/>
      <c r="CT55" s="3054"/>
      <c r="CU55" s="3054"/>
      <c r="CV55" s="3054"/>
      <c r="CW55" s="3054"/>
      <c r="CX55" s="3054"/>
      <c r="CY55" s="3054"/>
      <c r="CZ55" s="3054"/>
      <c r="DA55" s="3054"/>
      <c r="DB55" s="3054"/>
      <c r="DC55" s="305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3054">
        <f>前年度貼付!$E$93</f>
        <v>23010577</v>
      </c>
      <c r="EG55" s="3054"/>
      <c r="EH55" s="3054"/>
      <c r="EI55" s="3054"/>
      <c r="EJ55" s="3054"/>
      <c r="EK55" s="3054"/>
      <c r="EL55" s="3054"/>
      <c r="EM55" s="3054"/>
      <c r="EN55" s="3054"/>
      <c r="EO55" s="3054"/>
      <c r="EP55" s="3054"/>
      <c r="EQ55" s="3054"/>
      <c r="ER55" s="3054"/>
      <c r="ES55" s="3054"/>
      <c r="ET55" s="3054"/>
      <c r="EU55" s="3054"/>
      <c r="EV55" s="3054"/>
      <c r="EW55" s="3054"/>
      <c r="EX55" s="3054"/>
      <c r="EY55" s="3054"/>
      <c r="EZ55" s="3054"/>
      <c r="FA55" s="3054"/>
      <c r="FB55" s="3054"/>
      <c r="FC55" s="3054"/>
      <c r="FD55" s="3054"/>
      <c r="FE55" s="3054"/>
      <c r="FF55" s="3054"/>
      <c r="FG55" s="305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3053">
        <v>9287000</v>
      </c>
      <c r="BA56" s="3054"/>
      <c r="BB56" s="3054"/>
      <c r="BC56" s="3054"/>
      <c r="BD56" s="3054"/>
      <c r="BE56" s="3054"/>
      <c r="BF56" s="3054"/>
      <c r="BG56" s="3054"/>
      <c r="BH56" s="3054"/>
      <c r="BI56" s="3054"/>
      <c r="BJ56" s="3054"/>
      <c r="BK56" s="3054"/>
      <c r="BL56" s="3054"/>
      <c r="BM56" s="3054"/>
      <c r="BN56" s="3054"/>
      <c r="BO56" s="3054"/>
      <c r="BP56" s="3054"/>
      <c r="BQ56" s="3054"/>
      <c r="BR56" s="3054"/>
      <c r="BS56" s="3054"/>
      <c r="BT56" s="3054"/>
      <c r="BU56" s="3054"/>
      <c r="BV56" s="3054"/>
      <c r="BW56" s="3054"/>
      <c r="BX56" s="3054"/>
      <c r="BY56" s="3054"/>
      <c r="BZ56" s="3054"/>
      <c r="CA56" s="3054"/>
      <c r="CB56" s="3053">
        <v>8090156</v>
      </c>
      <c r="CC56" s="3054"/>
      <c r="CD56" s="3054"/>
      <c r="CE56" s="3054"/>
      <c r="CF56" s="3054"/>
      <c r="CG56" s="3054"/>
      <c r="CH56" s="3054"/>
      <c r="CI56" s="3054"/>
      <c r="CJ56" s="3054"/>
      <c r="CK56" s="3054"/>
      <c r="CL56" s="3054"/>
      <c r="CM56" s="3054"/>
      <c r="CN56" s="3054"/>
      <c r="CO56" s="3054"/>
      <c r="CP56" s="3054"/>
      <c r="CQ56" s="3054"/>
      <c r="CR56" s="3054"/>
      <c r="CS56" s="3054"/>
      <c r="CT56" s="3054"/>
      <c r="CU56" s="3054"/>
      <c r="CV56" s="3054"/>
      <c r="CW56" s="3054"/>
      <c r="CX56" s="3054"/>
      <c r="CY56" s="3054"/>
      <c r="CZ56" s="3054"/>
      <c r="DA56" s="3054"/>
      <c r="DB56" s="3054"/>
      <c r="DC56" s="305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3054">
        <f>前年度貼付!$E$94</f>
        <v>8410255</v>
      </c>
      <c r="EG56" s="3054"/>
      <c r="EH56" s="3054"/>
      <c r="EI56" s="3054"/>
      <c r="EJ56" s="3054"/>
      <c r="EK56" s="3054"/>
      <c r="EL56" s="3054"/>
      <c r="EM56" s="3054"/>
      <c r="EN56" s="3054"/>
      <c r="EO56" s="3054"/>
      <c r="EP56" s="3054"/>
      <c r="EQ56" s="3054"/>
      <c r="ER56" s="3054"/>
      <c r="ES56" s="3054"/>
      <c r="ET56" s="3054"/>
      <c r="EU56" s="3054"/>
      <c r="EV56" s="3054"/>
      <c r="EW56" s="3054"/>
      <c r="EX56" s="3054"/>
      <c r="EY56" s="3054"/>
      <c r="EZ56" s="3054"/>
      <c r="FA56" s="3054"/>
      <c r="FB56" s="3054"/>
      <c r="FC56" s="3054"/>
      <c r="FD56" s="3054"/>
      <c r="FE56" s="3054"/>
      <c r="FF56" s="3054"/>
      <c r="FG56" s="305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3053">
        <v>27129000</v>
      </c>
      <c r="BA57" s="3054"/>
      <c r="BB57" s="3054"/>
      <c r="BC57" s="3054"/>
      <c r="BD57" s="3054"/>
      <c r="BE57" s="3054"/>
      <c r="BF57" s="3054"/>
      <c r="BG57" s="3054"/>
      <c r="BH57" s="3054"/>
      <c r="BI57" s="3054"/>
      <c r="BJ57" s="3054"/>
      <c r="BK57" s="3054"/>
      <c r="BL57" s="3054"/>
      <c r="BM57" s="3054"/>
      <c r="BN57" s="3054"/>
      <c r="BO57" s="3054"/>
      <c r="BP57" s="3054"/>
      <c r="BQ57" s="3054"/>
      <c r="BR57" s="3054"/>
      <c r="BS57" s="3054"/>
      <c r="BT57" s="3054"/>
      <c r="BU57" s="3054"/>
      <c r="BV57" s="3054"/>
      <c r="BW57" s="3054"/>
      <c r="BX57" s="3054"/>
      <c r="BY57" s="3054"/>
      <c r="BZ57" s="3054"/>
      <c r="CA57" s="3054"/>
      <c r="CB57" s="3053">
        <v>21842018</v>
      </c>
      <c r="CC57" s="3054"/>
      <c r="CD57" s="3054"/>
      <c r="CE57" s="3054"/>
      <c r="CF57" s="3054"/>
      <c r="CG57" s="3054"/>
      <c r="CH57" s="3054"/>
      <c r="CI57" s="3054"/>
      <c r="CJ57" s="3054"/>
      <c r="CK57" s="3054"/>
      <c r="CL57" s="3054"/>
      <c r="CM57" s="3054"/>
      <c r="CN57" s="3054"/>
      <c r="CO57" s="3054"/>
      <c r="CP57" s="3054"/>
      <c r="CQ57" s="3054"/>
      <c r="CR57" s="3054"/>
      <c r="CS57" s="3054"/>
      <c r="CT57" s="3054"/>
      <c r="CU57" s="3054"/>
      <c r="CV57" s="3054"/>
      <c r="CW57" s="3054"/>
      <c r="CX57" s="3054"/>
      <c r="CY57" s="3054"/>
      <c r="CZ57" s="3054"/>
      <c r="DA57" s="3054"/>
      <c r="DB57" s="3054"/>
      <c r="DC57" s="305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3054">
        <f>前年度貼付!$E$95</f>
        <v>23111980</v>
      </c>
      <c r="EG57" s="3054"/>
      <c r="EH57" s="3054"/>
      <c r="EI57" s="3054"/>
      <c r="EJ57" s="3054"/>
      <c r="EK57" s="3054"/>
      <c r="EL57" s="3054"/>
      <c r="EM57" s="3054"/>
      <c r="EN57" s="3054"/>
      <c r="EO57" s="3054"/>
      <c r="EP57" s="3054"/>
      <c r="EQ57" s="3054"/>
      <c r="ER57" s="3054"/>
      <c r="ES57" s="3054"/>
      <c r="ET57" s="3054"/>
      <c r="EU57" s="3054"/>
      <c r="EV57" s="3054"/>
      <c r="EW57" s="3054"/>
      <c r="EX57" s="3054"/>
      <c r="EY57" s="3054"/>
      <c r="EZ57" s="3054"/>
      <c r="FA57" s="3054"/>
      <c r="FB57" s="3054"/>
      <c r="FC57" s="3054"/>
      <c r="FD57" s="3054"/>
      <c r="FE57" s="3054"/>
      <c r="FF57" s="3054"/>
      <c r="FG57" s="305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3053">
        <v>0</v>
      </c>
      <c r="BA58" s="3054"/>
      <c r="BB58" s="3054"/>
      <c r="BC58" s="3054"/>
      <c r="BD58" s="3054"/>
      <c r="BE58" s="3054"/>
      <c r="BF58" s="3054"/>
      <c r="BG58" s="3054"/>
      <c r="BH58" s="3054"/>
      <c r="BI58" s="3054"/>
      <c r="BJ58" s="3054"/>
      <c r="BK58" s="3054"/>
      <c r="BL58" s="3054"/>
      <c r="BM58" s="3054"/>
      <c r="BN58" s="3054"/>
      <c r="BO58" s="3054"/>
      <c r="BP58" s="3054"/>
      <c r="BQ58" s="3054"/>
      <c r="BR58" s="3054"/>
      <c r="BS58" s="3054"/>
      <c r="BT58" s="3054"/>
      <c r="BU58" s="3054"/>
      <c r="BV58" s="3054"/>
      <c r="BW58" s="3054"/>
      <c r="BX58" s="3054"/>
      <c r="BY58" s="3054"/>
      <c r="BZ58" s="3054"/>
      <c r="CA58" s="3054"/>
      <c r="CB58" s="3053">
        <v>0</v>
      </c>
      <c r="CC58" s="3054"/>
      <c r="CD58" s="3054"/>
      <c r="CE58" s="3054"/>
      <c r="CF58" s="3054"/>
      <c r="CG58" s="3054"/>
      <c r="CH58" s="3054"/>
      <c r="CI58" s="3054"/>
      <c r="CJ58" s="3054"/>
      <c r="CK58" s="3054"/>
      <c r="CL58" s="3054"/>
      <c r="CM58" s="3054"/>
      <c r="CN58" s="3054"/>
      <c r="CO58" s="3054"/>
      <c r="CP58" s="3054"/>
      <c r="CQ58" s="3054"/>
      <c r="CR58" s="3054"/>
      <c r="CS58" s="3054"/>
      <c r="CT58" s="3054"/>
      <c r="CU58" s="3054"/>
      <c r="CV58" s="3054"/>
      <c r="CW58" s="3054"/>
      <c r="CX58" s="3054"/>
      <c r="CY58" s="3054"/>
      <c r="CZ58" s="3054"/>
      <c r="DA58" s="3054"/>
      <c r="DB58" s="3054"/>
      <c r="DC58" s="305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3054">
        <f>前年度貼付!$E$96</f>
        <v>0</v>
      </c>
      <c r="EG58" s="3054"/>
      <c r="EH58" s="3054"/>
      <c r="EI58" s="3054"/>
      <c r="EJ58" s="3054"/>
      <c r="EK58" s="3054"/>
      <c r="EL58" s="3054"/>
      <c r="EM58" s="3054"/>
      <c r="EN58" s="3054"/>
      <c r="EO58" s="3054"/>
      <c r="EP58" s="3054"/>
      <c r="EQ58" s="3054"/>
      <c r="ER58" s="3054"/>
      <c r="ES58" s="3054"/>
      <c r="ET58" s="3054"/>
      <c r="EU58" s="3054"/>
      <c r="EV58" s="3054"/>
      <c r="EW58" s="3054"/>
      <c r="EX58" s="3054"/>
      <c r="EY58" s="3054"/>
      <c r="EZ58" s="3054"/>
      <c r="FA58" s="3054"/>
      <c r="FB58" s="3054"/>
      <c r="FC58" s="3054"/>
      <c r="FD58" s="3054"/>
      <c r="FE58" s="3054"/>
      <c r="FF58" s="3054"/>
      <c r="FG58" s="305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3053">
        <v>979197000</v>
      </c>
      <c r="BA59" s="3054"/>
      <c r="BB59" s="3054"/>
      <c r="BC59" s="3054"/>
      <c r="BD59" s="3054"/>
      <c r="BE59" s="3054"/>
      <c r="BF59" s="3054"/>
      <c r="BG59" s="3054"/>
      <c r="BH59" s="3054"/>
      <c r="BI59" s="3054"/>
      <c r="BJ59" s="3054"/>
      <c r="BK59" s="3054"/>
      <c r="BL59" s="3054"/>
      <c r="BM59" s="3054"/>
      <c r="BN59" s="3054"/>
      <c r="BO59" s="3054"/>
      <c r="BP59" s="3054"/>
      <c r="BQ59" s="3054"/>
      <c r="BR59" s="3054"/>
      <c r="BS59" s="3054"/>
      <c r="BT59" s="3054"/>
      <c r="BU59" s="3054"/>
      <c r="BV59" s="3054"/>
      <c r="BW59" s="3054"/>
      <c r="BX59" s="3054"/>
      <c r="BY59" s="3054"/>
      <c r="BZ59" s="3054"/>
      <c r="CA59" s="3054"/>
      <c r="CB59" s="3053">
        <v>1057716295</v>
      </c>
      <c r="CC59" s="3054"/>
      <c r="CD59" s="3054"/>
      <c r="CE59" s="3054"/>
      <c r="CF59" s="3054"/>
      <c r="CG59" s="3054"/>
      <c r="CH59" s="3054"/>
      <c r="CI59" s="3054"/>
      <c r="CJ59" s="3054"/>
      <c r="CK59" s="3054"/>
      <c r="CL59" s="3054"/>
      <c r="CM59" s="3054"/>
      <c r="CN59" s="3054"/>
      <c r="CO59" s="3054"/>
      <c r="CP59" s="3054"/>
      <c r="CQ59" s="3054"/>
      <c r="CR59" s="3054"/>
      <c r="CS59" s="3054"/>
      <c r="CT59" s="3054"/>
      <c r="CU59" s="3054"/>
      <c r="CV59" s="3054"/>
      <c r="CW59" s="3054"/>
      <c r="CX59" s="3054"/>
      <c r="CY59" s="3054"/>
      <c r="CZ59" s="3054"/>
      <c r="DA59" s="3054"/>
      <c r="DB59" s="3054"/>
      <c r="DC59" s="305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3054">
        <f>前年度貼付!$E$97</f>
        <v>963329625</v>
      </c>
      <c r="EG59" s="3054"/>
      <c r="EH59" s="3054"/>
      <c r="EI59" s="3054"/>
      <c r="EJ59" s="3054"/>
      <c r="EK59" s="3054"/>
      <c r="EL59" s="3054"/>
      <c r="EM59" s="3054"/>
      <c r="EN59" s="3054"/>
      <c r="EO59" s="3054"/>
      <c r="EP59" s="3054"/>
      <c r="EQ59" s="3054"/>
      <c r="ER59" s="3054"/>
      <c r="ES59" s="3054"/>
      <c r="ET59" s="3054"/>
      <c r="EU59" s="3054"/>
      <c r="EV59" s="3054"/>
      <c r="EW59" s="3054"/>
      <c r="EX59" s="3054"/>
      <c r="EY59" s="3054"/>
      <c r="EZ59" s="3054"/>
      <c r="FA59" s="3054"/>
      <c r="FB59" s="3054"/>
      <c r="FC59" s="3054"/>
      <c r="FD59" s="3054"/>
      <c r="FE59" s="3054"/>
      <c r="FF59" s="3054"/>
      <c r="FG59" s="305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3053">
        <v>1000</v>
      </c>
      <c r="BA60" s="3054"/>
      <c r="BB60" s="3054"/>
      <c r="BC60" s="3054"/>
      <c r="BD60" s="3054"/>
      <c r="BE60" s="3054"/>
      <c r="BF60" s="3054"/>
      <c r="BG60" s="3054"/>
      <c r="BH60" s="3054"/>
      <c r="BI60" s="3054"/>
      <c r="BJ60" s="3054"/>
      <c r="BK60" s="3054"/>
      <c r="BL60" s="3054"/>
      <c r="BM60" s="3054"/>
      <c r="BN60" s="3054"/>
      <c r="BO60" s="3054"/>
      <c r="BP60" s="3054"/>
      <c r="BQ60" s="3054"/>
      <c r="BR60" s="3054"/>
      <c r="BS60" s="3054"/>
      <c r="BT60" s="3054"/>
      <c r="BU60" s="3054"/>
      <c r="BV60" s="3054"/>
      <c r="BW60" s="3054"/>
      <c r="BX60" s="3054"/>
      <c r="BY60" s="3054"/>
      <c r="BZ60" s="3054"/>
      <c r="CA60" s="3054"/>
      <c r="CB60" s="3053">
        <v>0</v>
      </c>
      <c r="CC60" s="3054"/>
      <c r="CD60" s="3054"/>
      <c r="CE60" s="3054"/>
      <c r="CF60" s="3054"/>
      <c r="CG60" s="3054"/>
      <c r="CH60" s="3054"/>
      <c r="CI60" s="3054"/>
      <c r="CJ60" s="3054"/>
      <c r="CK60" s="3054"/>
      <c r="CL60" s="3054"/>
      <c r="CM60" s="3054"/>
      <c r="CN60" s="3054"/>
      <c r="CO60" s="3054"/>
      <c r="CP60" s="3054"/>
      <c r="CQ60" s="3054"/>
      <c r="CR60" s="3054"/>
      <c r="CS60" s="3054"/>
      <c r="CT60" s="3054"/>
      <c r="CU60" s="3054"/>
      <c r="CV60" s="3054"/>
      <c r="CW60" s="3054"/>
      <c r="CX60" s="3054"/>
      <c r="CY60" s="3054"/>
      <c r="CZ60" s="3054"/>
      <c r="DA60" s="3054"/>
      <c r="DB60" s="3054"/>
      <c r="DC60" s="305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3054">
        <f>前年度貼付!$E$98</f>
        <v>0</v>
      </c>
      <c r="EG60" s="3054"/>
      <c r="EH60" s="3054"/>
      <c r="EI60" s="3054"/>
      <c r="EJ60" s="3054"/>
      <c r="EK60" s="3054"/>
      <c r="EL60" s="3054"/>
      <c r="EM60" s="3054"/>
      <c r="EN60" s="3054"/>
      <c r="EO60" s="3054"/>
      <c r="EP60" s="3054"/>
      <c r="EQ60" s="3054"/>
      <c r="ER60" s="3054"/>
      <c r="ES60" s="3054"/>
      <c r="ET60" s="3054"/>
      <c r="EU60" s="3054"/>
      <c r="EV60" s="3054"/>
      <c r="EW60" s="3054"/>
      <c r="EX60" s="3054"/>
      <c r="EY60" s="3054"/>
      <c r="EZ60" s="3054"/>
      <c r="FA60" s="3054"/>
      <c r="FB60" s="3054"/>
      <c r="FC60" s="3054"/>
      <c r="FD60" s="3054"/>
      <c r="FE60" s="3054"/>
      <c r="FF60" s="3054"/>
      <c r="FG60" s="305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3053">
        <v>1000</v>
      </c>
      <c r="BA61" s="3054"/>
      <c r="BB61" s="3054"/>
      <c r="BC61" s="3054"/>
      <c r="BD61" s="3054"/>
      <c r="BE61" s="3054"/>
      <c r="BF61" s="3054"/>
      <c r="BG61" s="3054"/>
      <c r="BH61" s="3054"/>
      <c r="BI61" s="3054"/>
      <c r="BJ61" s="3054"/>
      <c r="BK61" s="3054"/>
      <c r="BL61" s="3054"/>
      <c r="BM61" s="3054"/>
      <c r="BN61" s="3054"/>
      <c r="BO61" s="3054"/>
      <c r="BP61" s="3054"/>
      <c r="BQ61" s="3054"/>
      <c r="BR61" s="3054"/>
      <c r="BS61" s="3054"/>
      <c r="BT61" s="3054"/>
      <c r="BU61" s="3054"/>
      <c r="BV61" s="3054"/>
      <c r="BW61" s="3054"/>
      <c r="BX61" s="3054"/>
      <c r="BY61" s="3054"/>
      <c r="BZ61" s="3054"/>
      <c r="CA61" s="3054"/>
      <c r="CB61" s="3053">
        <v>0</v>
      </c>
      <c r="CC61" s="3054"/>
      <c r="CD61" s="3054"/>
      <c r="CE61" s="3054"/>
      <c r="CF61" s="3054"/>
      <c r="CG61" s="3054"/>
      <c r="CH61" s="3054"/>
      <c r="CI61" s="3054"/>
      <c r="CJ61" s="3054"/>
      <c r="CK61" s="3054"/>
      <c r="CL61" s="3054"/>
      <c r="CM61" s="3054"/>
      <c r="CN61" s="3054"/>
      <c r="CO61" s="3054"/>
      <c r="CP61" s="3054"/>
      <c r="CQ61" s="3054"/>
      <c r="CR61" s="3054"/>
      <c r="CS61" s="3054"/>
      <c r="CT61" s="3054"/>
      <c r="CU61" s="3054"/>
      <c r="CV61" s="3054"/>
      <c r="CW61" s="3054"/>
      <c r="CX61" s="3054"/>
      <c r="CY61" s="3054"/>
      <c r="CZ61" s="3054"/>
      <c r="DA61" s="3054"/>
      <c r="DB61" s="3054"/>
      <c r="DC61" s="305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3054">
        <f>前年度貼付!$E$99</f>
        <v>70824</v>
      </c>
      <c r="EG61" s="3054"/>
      <c r="EH61" s="3054"/>
      <c r="EI61" s="3054"/>
      <c r="EJ61" s="3054"/>
      <c r="EK61" s="3054"/>
      <c r="EL61" s="3054"/>
      <c r="EM61" s="3054"/>
      <c r="EN61" s="3054"/>
      <c r="EO61" s="3054"/>
      <c r="EP61" s="3054"/>
      <c r="EQ61" s="3054"/>
      <c r="ER61" s="3054"/>
      <c r="ES61" s="3054"/>
      <c r="ET61" s="3054"/>
      <c r="EU61" s="3054"/>
      <c r="EV61" s="3054"/>
      <c r="EW61" s="3054"/>
      <c r="EX61" s="3054"/>
      <c r="EY61" s="3054"/>
      <c r="EZ61" s="3054"/>
      <c r="FA61" s="3054"/>
      <c r="FB61" s="3054"/>
      <c r="FC61" s="3054"/>
      <c r="FD61" s="3054"/>
      <c r="FE61" s="3054"/>
      <c r="FF61" s="3054"/>
      <c r="FG61" s="305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3053">
        <v>184469000</v>
      </c>
      <c r="BA62" s="3054"/>
      <c r="BB62" s="3054"/>
      <c r="BC62" s="3054"/>
      <c r="BD62" s="3054"/>
      <c r="BE62" s="3054"/>
      <c r="BF62" s="3054"/>
      <c r="BG62" s="3054"/>
      <c r="BH62" s="3054"/>
      <c r="BI62" s="3054"/>
      <c r="BJ62" s="3054"/>
      <c r="BK62" s="3054"/>
      <c r="BL62" s="3054"/>
      <c r="BM62" s="3054"/>
      <c r="BN62" s="3054"/>
      <c r="BO62" s="3054"/>
      <c r="BP62" s="3054"/>
      <c r="BQ62" s="3054"/>
      <c r="BR62" s="3054"/>
      <c r="BS62" s="3054"/>
      <c r="BT62" s="3054"/>
      <c r="BU62" s="3054"/>
      <c r="BV62" s="3054"/>
      <c r="BW62" s="3054"/>
      <c r="BX62" s="3054"/>
      <c r="BY62" s="3054"/>
      <c r="BZ62" s="3054"/>
      <c r="CA62" s="3054"/>
      <c r="CB62" s="3053">
        <v>187759301</v>
      </c>
      <c r="CC62" s="3054"/>
      <c r="CD62" s="3054"/>
      <c r="CE62" s="3054"/>
      <c r="CF62" s="3054"/>
      <c r="CG62" s="3054"/>
      <c r="CH62" s="3054"/>
      <c r="CI62" s="3054"/>
      <c r="CJ62" s="3054"/>
      <c r="CK62" s="3054"/>
      <c r="CL62" s="3054"/>
      <c r="CM62" s="3054"/>
      <c r="CN62" s="3054"/>
      <c r="CO62" s="3054"/>
      <c r="CP62" s="3054"/>
      <c r="CQ62" s="3054"/>
      <c r="CR62" s="3054"/>
      <c r="CS62" s="3054"/>
      <c r="CT62" s="3054"/>
      <c r="CU62" s="3054"/>
      <c r="CV62" s="3054"/>
      <c r="CW62" s="3054"/>
      <c r="CX62" s="3054"/>
      <c r="CY62" s="3054"/>
      <c r="CZ62" s="3054"/>
      <c r="DA62" s="3054"/>
      <c r="DB62" s="3054"/>
      <c r="DC62" s="305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3054">
        <f>前年度貼付!$E$100</f>
        <v>181939816</v>
      </c>
      <c r="EG62" s="3054"/>
      <c r="EH62" s="3054"/>
      <c r="EI62" s="3054"/>
      <c r="EJ62" s="3054"/>
      <c r="EK62" s="3054"/>
      <c r="EL62" s="3054"/>
      <c r="EM62" s="3054"/>
      <c r="EN62" s="3054"/>
      <c r="EO62" s="3054"/>
      <c r="EP62" s="3054"/>
      <c r="EQ62" s="3054"/>
      <c r="ER62" s="3054"/>
      <c r="ES62" s="3054"/>
      <c r="ET62" s="3054"/>
      <c r="EU62" s="3054"/>
      <c r="EV62" s="3054"/>
      <c r="EW62" s="3054"/>
      <c r="EX62" s="3054"/>
      <c r="EY62" s="3054"/>
      <c r="EZ62" s="3054"/>
      <c r="FA62" s="3054"/>
      <c r="FB62" s="3054"/>
      <c r="FC62" s="3054"/>
      <c r="FD62" s="3054"/>
      <c r="FE62" s="3054"/>
      <c r="FF62" s="3054"/>
      <c r="FG62" s="305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3053">
        <v>40581000</v>
      </c>
      <c r="BA63" s="3054"/>
      <c r="BB63" s="3054"/>
      <c r="BC63" s="3054"/>
      <c r="BD63" s="3054"/>
      <c r="BE63" s="3054"/>
      <c r="BF63" s="3054"/>
      <c r="BG63" s="3054"/>
      <c r="BH63" s="3054"/>
      <c r="BI63" s="3054"/>
      <c r="BJ63" s="3054"/>
      <c r="BK63" s="3054"/>
      <c r="BL63" s="3054"/>
      <c r="BM63" s="3054"/>
      <c r="BN63" s="3054"/>
      <c r="BO63" s="3054"/>
      <c r="BP63" s="3054"/>
      <c r="BQ63" s="3054"/>
      <c r="BR63" s="3054"/>
      <c r="BS63" s="3054"/>
      <c r="BT63" s="3054"/>
      <c r="BU63" s="3054"/>
      <c r="BV63" s="3054"/>
      <c r="BW63" s="3054"/>
      <c r="BX63" s="3054"/>
      <c r="BY63" s="3054"/>
      <c r="BZ63" s="3054"/>
      <c r="CA63" s="3054"/>
      <c r="CB63" s="3053">
        <v>28863369</v>
      </c>
      <c r="CC63" s="3054"/>
      <c r="CD63" s="3054"/>
      <c r="CE63" s="3054"/>
      <c r="CF63" s="3054"/>
      <c r="CG63" s="3054"/>
      <c r="CH63" s="3054"/>
      <c r="CI63" s="3054"/>
      <c r="CJ63" s="3054"/>
      <c r="CK63" s="3054"/>
      <c r="CL63" s="3054"/>
      <c r="CM63" s="3054"/>
      <c r="CN63" s="3054"/>
      <c r="CO63" s="3054"/>
      <c r="CP63" s="3054"/>
      <c r="CQ63" s="3054"/>
      <c r="CR63" s="3054"/>
      <c r="CS63" s="3054"/>
      <c r="CT63" s="3054"/>
      <c r="CU63" s="3054"/>
      <c r="CV63" s="3054"/>
      <c r="CW63" s="3054"/>
      <c r="CX63" s="3054"/>
      <c r="CY63" s="3054"/>
      <c r="CZ63" s="3054"/>
      <c r="DA63" s="3054"/>
      <c r="DB63" s="3054"/>
      <c r="DC63" s="305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3054">
        <f>前年度貼付!$E$101</f>
        <v>41150522</v>
      </c>
      <c r="EG63" s="3054"/>
      <c r="EH63" s="3054"/>
      <c r="EI63" s="3054"/>
      <c r="EJ63" s="3054"/>
      <c r="EK63" s="3054"/>
      <c r="EL63" s="3054"/>
      <c r="EM63" s="3054"/>
      <c r="EN63" s="3054"/>
      <c r="EO63" s="3054"/>
      <c r="EP63" s="3054"/>
      <c r="EQ63" s="3054"/>
      <c r="ER63" s="3054"/>
      <c r="ES63" s="3054"/>
      <c r="ET63" s="3054"/>
      <c r="EU63" s="3054"/>
      <c r="EV63" s="3054"/>
      <c r="EW63" s="3054"/>
      <c r="EX63" s="3054"/>
      <c r="EY63" s="3054"/>
      <c r="EZ63" s="3054"/>
      <c r="FA63" s="3054"/>
      <c r="FB63" s="3054"/>
      <c r="FC63" s="3054"/>
      <c r="FD63" s="3054"/>
      <c r="FE63" s="3054"/>
      <c r="FF63" s="3054"/>
      <c r="FG63" s="305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3053">
        <v>750000</v>
      </c>
      <c r="BA64" s="3054"/>
      <c r="BB64" s="3054"/>
      <c r="BC64" s="3054"/>
      <c r="BD64" s="3054"/>
      <c r="BE64" s="3054"/>
      <c r="BF64" s="3054"/>
      <c r="BG64" s="3054"/>
      <c r="BH64" s="3054"/>
      <c r="BI64" s="3054"/>
      <c r="BJ64" s="3054"/>
      <c r="BK64" s="3054"/>
      <c r="BL64" s="3054"/>
      <c r="BM64" s="3054"/>
      <c r="BN64" s="3054"/>
      <c r="BO64" s="3054"/>
      <c r="BP64" s="3054"/>
      <c r="BQ64" s="3054"/>
      <c r="BR64" s="3054"/>
      <c r="BS64" s="3054"/>
      <c r="BT64" s="3054"/>
      <c r="BU64" s="3054"/>
      <c r="BV64" s="3054"/>
      <c r="BW64" s="3054"/>
      <c r="BX64" s="3054"/>
      <c r="BY64" s="3054"/>
      <c r="BZ64" s="3054"/>
      <c r="CA64" s="3054"/>
      <c r="CB64" s="3053">
        <v>100000</v>
      </c>
      <c r="CC64" s="3054"/>
      <c r="CD64" s="3054"/>
      <c r="CE64" s="3054"/>
      <c r="CF64" s="3054"/>
      <c r="CG64" s="3054"/>
      <c r="CH64" s="3054"/>
      <c r="CI64" s="3054"/>
      <c r="CJ64" s="3054"/>
      <c r="CK64" s="3054"/>
      <c r="CL64" s="3054"/>
      <c r="CM64" s="3054"/>
      <c r="CN64" s="3054"/>
      <c r="CO64" s="3054"/>
      <c r="CP64" s="3054"/>
      <c r="CQ64" s="3054"/>
      <c r="CR64" s="3054"/>
      <c r="CS64" s="3054"/>
      <c r="CT64" s="3054"/>
      <c r="CU64" s="3054"/>
      <c r="CV64" s="3054"/>
      <c r="CW64" s="3054"/>
      <c r="CX64" s="3054"/>
      <c r="CY64" s="3054"/>
      <c r="CZ64" s="3054"/>
      <c r="DA64" s="3054"/>
      <c r="DB64" s="3054"/>
      <c r="DC64" s="305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3054">
        <f>前年度貼付!$E$102</f>
        <v>650000</v>
      </c>
      <c r="EG64" s="3054"/>
      <c r="EH64" s="3054"/>
      <c r="EI64" s="3054"/>
      <c r="EJ64" s="3054"/>
      <c r="EK64" s="3054"/>
      <c r="EL64" s="3054"/>
      <c r="EM64" s="3054"/>
      <c r="EN64" s="3054"/>
      <c r="EO64" s="3054"/>
      <c r="EP64" s="3054"/>
      <c r="EQ64" s="3054"/>
      <c r="ER64" s="3054"/>
      <c r="ES64" s="3054"/>
      <c r="ET64" s="3054"/>
      <c r="EU64" s="3054"/>
      <c r="EV64" s="3054"/>
      <c r="EW64" s="3054"/>
      <c r="EX64" s="3054"/>
      <c r="EY64" s="3054"/>
      <c r="EZ64" s="3054"/>
      <c r="FA64" s="3054"/>
      <c r="FB64" s="3054"/>
      <c r="FC64" s="3054"/>
      <c r="FD64" s="3054"/>
      <c r="FE64" s="3054"/>
      <c r="FF64" s="3054"/>
      <c r="FG64" s="305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3053">
        <v>350000</v>
      </c>
      <c r="BA65" s="3054"/>
      <c r="BB65" s="3054"/>
      <c r="BC65" s="3054"/>
      <c r="BD65" s="3054"/>
      <c r="BE65" s="3054"/>
      <c r="BF65" s="3054"/>
      <c r="BG65" s="3054"/>
      <c r="BH65" s="3054"/>
      <c r="BI65" s="3054"/>
      <c r="BJ65" s="3054"/>
      <c r="BK65" s="3054"/>
      <c r="BL65" s="3054"/>
      <c r="BM65" s="3054"/>
      <c r="BN65" s="3054"/>
      <c r="BO65" s="3054"/>
      <c r="BP65" s="3054"/>
      <c r="BQ65" s="3054"/>
      <c r="BR65" s="3054"/>
      <c r="BS65" s="3054"/>
      <c r="BT65" s="3054"/>
      <c r="BU65" s="3054"/>
      <c r="BV65" s="3054"/>
      <c r="BW65" s="3054"/>
      <c r="BX65" s="3054"/>
      <c r="BY65" s="3054"/>
      <c r="BZ65" s="3054"/>
      <c r="CA65" s="3054"/>
      <c r="CB65" s="3053">
        <v>350000</v>
      </c>
      <c r="CC65" s="3054"/>
      <c r="CD65" s="3054"/>
      <c r="CE65" s="3054"/>
      <c r="CF65" s="3054"/>
      <c r="CG65" s="3054"/>
      <c r="CH65" s="3054"/>
      <c r="CI65" s="3054"/>
      <c r="CJ65" s="3054"/>
      <c r="CK65" s="3054"/>
      <c r="CL65" s="3054"/>
      <c r="CM65" s="3054"/>
      <c r="CN65" s="3054"/>
      <c r="CO65" s="3054"/>
      <c r="CP65" s="3054"/>
      <c r="CQ65" s="3054"/>
      <c r="CR65" s="3054"/>
      <c r="CS65" s="3054"/>
      <c r="CT65" s="3054"/>
      <c r="CU65" s="3054"/>
      <c r="CV65" s="3054"/>
      <c r="CW65" s="3054"/>
      <c r="CX65" s="3054"/>
      <c r="CY65" s="3054"/>
      <c r="CZ65" s="3054"/>
      <c r="DA65" s="3054"/>
      <c r="DB65" s="3054"/>
      <c r="DC65" s="305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3054">
        <f>前年度貼付!$E$103</f>
        <v>250000</v>
      </c>
      <c r="EG65" s="3054"/>
      <c r="EH65" s="3054"/>
      <c r="EI65" s="3054"/>
      <c r="EJ65" s="3054"/>
      <c r="EK65" s="3054"/>
      <c r="EL65" s="3054"/>
      <c r="EM65" s="3054"/>
      <c r="EN65" s="3054"/>
      <c r="EO65" s="3054"/>
      <c r="EP65" s="3054"/>
      <c r="EQ65" s="3054"/>
      <c r="ER65" s="3054"/>
      <c r="ES65" s="3054"/>
      <c r="ET65" s="3054"/>
      <c r="EU65" s="3054"/>
      <c r="EV65" s="3054"/>
      <c r="EW65" s="3054"/>
      <c r="EX65" s="3054"/>
      <c r="EY65" s="3054"/>
      <c r="EZ65" s="3054"/>
      <c r="FA65" s="3054"/>
      <c r="FB65" s="3054"/>
      <c r="FC65" s="3054"/>
      <c r="FD65" s="3054"/>
      <c r="FE65" s="3054"/>
      <c r="FF65" s="3054"/>
      <c r="FG65" s="305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3053">
        <v>88208000</v>
      </c>
      <c r="BA67" s="3054"/>
      <c r="BB67" s="3054"/>
      <c r="BC67" s="3054"/>
      <c r="BD67" s="3054"/>
      <c r="BE67" s="3054"/>
      <c r="BF67" s="3054"/>
      <c r="BG67" s="3054"/>
      <c r="BH67" s="3054"/>
      <c r="BI67" s="3054"/>
      <c r="BJ67" s="3054"/>
      <c r="BK67" s="3054"/>
      <c r="BL67" s="3054"/>
      <c r="BM67" s="3054"/>
      <c r="BN67" s="3054"/>
      <c r="BO67" s="3054"/>
      <c r="BP67" s="3054"/>
      <c r="BQ67" s="3054"/>
      <c r="BR67" s="3054"/>
      <c r="BS67" s="3054"/>
      <c r="BT67" s="3054"/>
      <c r="BU67" s="3054"/>
      <c r="BV67" s="3054"/>
      <c r="BW67" s="3054"/>
      <c r="BX67" s="3054"/>
      <c r="BY67" s="3054"/>
      <c r="BZ67" s="3054"/>
      <c r="CA67" s="3054"/>
      <c r="CB67" s="3053">
        <v>62042212</v>
      </c>
      <c r="CC67" s="3054"/>
      <c r="CD67" s="3054"/>
      <c r="CE67" s="3054"/>
      <c r="CF67" s="3054"/>
      <c r="CG67" s="3054"/>
      <c r="CH67" s="3054"/>
      <c r="CI67" s="3054"/>
      <c r="CJ67" s="3054"/>
      <c r="CK67" s="3054"/>
      <c r="CL67" s="3054"/>
      <c r="CM67" s="3054"/>
      <c r="CN67" s="3054"/>
      <c r="CO67" s="3054"/>
      <c r="CP67" s="3054"/>
      <c r="CQ67" s="3054"/>
      <c r="CR67" s="3054"/>
      <c r="CS67" s="3054"/>
      <c r="CT67" s="3054"/>
      <c r="CU67" s="3054"/>
      <c r="CV67" s="3054"/>
      <c r="CW67" s="3054"/>
      <c r="CX67" s="3054"/>
      <c r="CY67" s="3054"/>
      <c r="CZ67" s="3054"/>
      <c r="DA67" s="3054"/>
      <c r="DB67" s="3054"/>
      <c r="DC67" s="305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3054">
        <f>前年度貼付!$E$104</f>
        <v>83681239</v>
      </c>
      <c r="EG67" s="3054"/>
      <c r="EH67" s="3054"/>
      <c r="EI67" s="3054"/>
      <c r="EJ67" s="3054"/>
      <c r="EK67" s="3054"/>
      <c r="EL67" s="3054"/>
      <c r="EM67" s="3054"/>
      <c r="EN67" s="3054"/>
      <c r="EO67" s="3054"/>
      <c r="EP67" s="3054"/>
      <c r="EQ67" s="3054"/>
      <c r="ER67" s="3054"/>
      <c r="ES67" s="3054"/>
      <c r="ET67" s="3054"/>
      <c r="EU67" s="3054"/>
      <c r="EV67" s="3054"/>
      <c r="EW67" s="3054"/>
      <c r="EX67" s="3054"/>
      <c r="EY67" s="3054"/>
      <c r="EZ67" s="3054"/>
      <c r="FA67" s="3054"/>
      <c r="FB67" s="3054"/>
      <c r="FC67" s="3054"/>
      <c r="FD67" s="3054"/>
      <c r="FE67" s="3054"/>
      <c r="FF67" s="3054"/>
      <c r="FG67" s="305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3053">
        <v>1071000</v>
      </c>
      <c r="BA68" s="3054"/>
      <c r="BB68" s="3054"/>
      <c r="BC68" s="3054"/>
      <c r="BD68" s="3054"/>
      <c r="BE68" s="3054"/>
      <c r="BF68" s="3054"/>
      <c r="BG68" s="3054"/>
      <c r="BH68" s="3054"/>
      <c r="BI68" s="3054"/>
      <c r="BJ68" s="3054"/>
      <c r="BK68" s="3054"/>
      <c r="BL68" s="3054"/>
      <c r="BM68" s="3054"/>
      <c r="BN68" s="3054"/>
      <c r="BO68" s="3054"/>
      <c r="BP68" s="3054"/>
      <c r="BQ68" s="3054"/>
      <c r="BR68" s="3054"/>
      <c r="BS68" s="3054"/>
      <c r="BT68" s="3054"/>
      <c r="BU68" s="3054"/>
      <c r="BV68" s="3054"/>
      <c r="BW68" s="3054"/>
      <c r="BX68" s="3054"/>
      <c r="BY68" s="3054"/>
      <c r="BZ68" s="3054"/>
      <c r="CA68" s="3054"/>
      <c r="CB68" s="3053">
        <v>965439</v>
      </c>
      <c r="CC68" s="3054"/>
      <c r="CD68" s="3054"/>
      <c r="CE68" s="3054"/>
      <c r="CF68" s="3054"/>
      <c r="CG68" s="3054"/>
      <c r="CH68" s="3054"/>
      <c r="CI68" s="3054"/>
      <c r="CJ68" s="3054"/>
      <c r="CK68" s="3054"/>
      <c r="CL68" s="3054"/>
      <c r="CM68" s="3054"/>
      <c r="CN68" s="3054"/>
      <c r="CO68" s="3054"/>
      <c r="CP68" s="3054"/>
      <c r="CQ68" s="3054"/>
      <c r="CR68" s="3054"/>
      <c r="CS68" s="3054"/>
      <c r="CT68" s="3054"/>
      <c r="CU68" s="3054"/>
      <c r="CV68" s="3054"/>
      <c r="CW68" s="3054"/>
      <c r="CX68" s="3054"/>
      <c r="CY68" s="3054"/>
      <c r="CZ68" s="3054"/>
      <c r="DA68" s="3054"/>
      <c r="DB68" s="3054"/>
      <c r="DC68" s="305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3054">
        <f>前年度貼付!$E$105</f>
        <v>575890</v>
      </c>
      <c r="EG68" s="3054"/>
      <c r="EH68" s="3054"/>
      <c r="EI68" s="3054"/>
      <c r="EJ68" s="3054"/>
      <c r="EK68" s="3054"/>
      <c r="EL68" s="3054"/>
      <c r="EM68" s="3054"/>
      <c r="EN68" s="3054"/>
      <c r="EO68" s="3054"/>
      <c r="EP68" s="3054"/>
      <c r="EQ68" s="3054"/>
      <c r="ER68" s="3054"/>
      <c r="ES68" s="3054"/>
      <c r="ET68" s="3054"/>
      <c r="EU68" s="3054"/>
      <c r="EV68" s="3054"/>
      <c r="EW68" s="3054"/>
      <c r="EX68" s="3054"/>
      <c r="EY68" s="3054"/>
      <c r="EZ68" s="3054"/>
      <c r="FA68" s="3054"/>
      <c r="FB68" s="3054"/>
      <c r="FC68" s="3054"/>
      <c r="FD68" s="3054"/>
      <c r="FE68" s="3054"/>
      <c r="FF68" s="3054"/>
      <c r="FG68" s="305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3053">
        <v>1000</v>
      </c>
      <c r="BA69" s="3054"/>
      <c r="BB69" s="3054"/>
      <c r="BC69" s="3054"/>
      <c r="BD69" s="3054"/>
      <c r="BE69" s="3054"/>
      <c r="BF69" s="3054"/>
      <c r="BG69" s="3054"/>
      <c r="BH69" s="3054"/>
      <c r="BI69" s="3054"/>
      <c r="BJ69" s="3054"/>
      <c r="BK69" s="3054"/>
      <c r="BL69" s="3054"/>
      <c r="BM69" s="3054"/>
      <c r="BN69" s="3054"/>
      <c r="BO69" s="3054"/>
      <c r="BP69" s="3054"/>
      <c r="BQ69" s="3054"/>
      <c r="BR69" s="3054"/>
      <c r="BS69" s="3054"/>
      <c r="BT69" s="3054"/>
      <c r="BU69" s="3054"/>
      <c r="BV69" s="3054"/>
      <c r="BW69" s="3054"/>
      <c r="BX69" s="3054"/>
      <c r="BY69" s="3054"/>
      <c r="BZ69" s="3054"/>
      <c r="CA69" s="3054"/>
      <c r="CB69" s="3053">
        <v>0</v>
      </c>
      <c r="CC69" s="3054"/>
      <c r="CD69" s="3054"/>
      <c r="CE69" s="3054"/>
      <c r="CF69" s="3054"/>
      <c r="CG69" s="3054"/>
      <c r="CH69" s="3054"/>
      <c r="CI69" s="3054"/>
      <c r="CJ69" s="3054"/>
      <c r="CK69" s="3054"/>
      <c r="CL69" s="3054"/>
      <c r="CM69" s="3054"/>
      <c r="CN69" s="3054"/>
      <c r="CO69" s="3054"/>
      <c r="CP69" s="3054"/>
      <c r="CQ69" s="3054"/>
      <c r="CR69" s="3054"/>
      <c r="CS69" s="3054"/>
      <c r="CT69" s="3054"/>
      <c r="CU69" s="3054"/>
      <c r="CV69" s="3054"/>
      <c r="CW69" s="3054"/>
      <c r="CX69" s="3054"/>
      <c r="CY69" s="3054"/>
      <c r="CZ69" s="3054"/>
      <c r="DA69" s="3054"/>
      <c r="DB69" s="3054"/>
      <c r="DC69" s="305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3054">
        <f>前年度貼付!$E$106</f>
        <v>0</v>
      </c>
      <c r="EG69" s="3054"/>
      <c r="EH69" s="3054"/>
      <c r="EI69" s="3054"/>
      <c r="EJ69" s="3054"/>
      <c r="EK69" s="3054"/>
      <c r="EL69" s="3054"/>
      <c r="EM69" s="3054"/>
      <c r="EN69" s="3054"/>
      <c r="EO69" s="3054"/>
      <c r="EP69" s="3054"/>
      <c r="EQ69" s="3054"/>
      <c r="ER69" s="3054"/>
      <c r="ES69" s="3054"/>
      <c r="ET69" s="3054"/>
      <c r="EU69" s="3054"/>
      <c r="EV69" s="3054"/>
      <c r="EW69" s="3054"/>
      <c r="EX69" s="3054"/>
      <c r="EY69" s="3054"/>
      <c r="EZ69" s="3054"/>
      <c r="FA69" s="3054"/>
      <c r="FB69" s="3054"/>
      <c r="FC69" s="3054"/>
      <c r="FD69" s="3054"/>
      <c r="FE69" s="3054"/>
      <c r="FF69" s="3054"/>
      <c r="FG69" s="305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3053">
        <v>569000000</v>
      </c>
      <c r="BA70" s="3054"/>
      <c r="BB70" s="3054"/>
      <c r="BC70" s="3054"/>
      <c r="BD70" s="3054"/>
      <c r="BE70" s="3054"/>
      <c r="BF70" s="3054"/>
      <c r="BG70" s="3054"/>
      <c r="BH70" s="3054"/>
      <c r="BI70" s="3054"/>
      <c r="BJ70" s="3054"/>
      <c r="BK70" s="3054"/>
      <c r="BL70" s="3054"/>
      <c r="BM70" s="3054"/>
      <c r="BN70" s="3054"/>
      <c r="BO70" s="3054"/>
      <c r="BP70" s="3054"/>
      <c r="BQ70" s="3054"/>
      <c r="BR70" s="3054"/>
      <c r="BS70" s="3054"/>
      <c r="BT70" s="3054"/>
      <c r="BU70" s="3054"/>
      <c r="BV70" s="3054"/>
      <c r="BW70" s="3054"/>
      <c r="BX70" s="3054"/>
      <c r="BY70" s="3054"/>
      <c r="BZ70" s="3054"/>
      <c r="CA70" s="3054"/>
      <c r="CB70" s="3053">
        <v>568913474</v>
      </c>
      <c r="CC70" s="3054"/>
      <c r="CD70" s="3054"/>
      <c r="CE70" s="3054"/>
      <c r="CF70" s="3054"/>
      <c r="CG70" s="3054"/>
      <c r="CH70" s="3054"/>
      <c r="CI70" s="3054"/>
      <c r="CJ70" s="3054"/>
      <c r="CK70" s="3054"/>
      <c r="CL70" s="3054"/>
      <c r="CM70" s="3054"/>
      <c r="CN70" s="3054"/>
      <c r="CO70" s="3054"/>
      <c r="CP70" s="3054"/>
      <c r="CQ70" s="3054"/>
      <c r="CR70" s="3054"/>
      <c r="CS70" s="3054"/>
      <c r="CT70" s="3054"/>
      <c r="CU70" s="3054"/>
      <c r="CV70" s="3054"/>
      <c r="CW70" s="3054"/>
      <c r="CX70" s="3054"/>
      <c r="CY70" s="3054"/>
      <c r="CZ70" s="3054"/>
      <c r="DA70" s="3054"/>
      <c r="DB70" s="3054"/>
      <c r="DC70" s="305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3054">
        <f>前年度貼付!$E$107</f>
        <v>510785757</v>
      </c>
      <c r="EG70" s="3054"/>
      <c r="EH70" s="3054"/>
      <c r="EI70" s="3054"/>
      <c r="EJ70" s="3054"/>
      <c r="EK70" s="3054"/>
      <c r="EL70" s="3054"/>
      <c r="EM70" s="3054"/>
      <c r="EN70" s="3054"/>
      <c r="EO70" s="3054"/>
      <c r="EP70" s="3054"/>
      <c r="EQ70" s="3054"/>
      <c r="ER70" s="3054"/>
      <c r="ES70" s="3054"/>
      <c r="ET70" s="3054"/>
      <c r="EU70" s="3054"/>
      <c r="EV70" s="3054"/>
      <c r="EW70" s="3054"/>
      <c r="EX70" s="3054"/>
      <c r="EY70" s="3054"/>
      <c r="EZ70" s="3054"/>
      <c r="FA70" s="3054"/>
      <c r="FB70" s="3054"/>
      <c r="FC70" s="3054"/>
      <c r="FD70" s="3054"/>
      <c r="FE70" s="3054"/>
      <c r="FF70" s="3054"/>
      <c r="FG70" s="305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3055" t="s">
        <v>72</v>
      </c>
      <c r="N71" s="3055"/>
      <c r="O71" s="3055"/>
      <c r="P71" s="3055"/>
      <c r="Q71" s="3055"/>
      <c r="R71" s="3055"/>
      <c r="S71" s="3055"/>
      <c r="T71" s="3055"/>
      <c r="U71" s="3055"/>
      <c r="V71" s="3055"/>
      <c r="W71" s="3055"/>
      <c r="X71" s="3055"/>
      <c r="Y71" s="3055"/>
      <c r="Z71" s="3055"/>
      <c r="AA71" s="3055"/>
      <c r="AB71" s="3055"/>
      <c r="AC71" s="3055"/>
      <c r="AD71" s="3055"/>
      <c r="AE71" s="3055"/>
      <c r="AF71" s="3055"/>
      <c r="AG71" s="3055"/>
      <c r="AH71" s="3055"/>
      <c r="AI71" s="3055"/>
      <c r="AJ71" s="3055"/>
      <c r="AK71" s="3055"/>
      <c r="AL71" s="3055"/>
      <c r="AM71" s="3055"/>
      <c r="AN71" s="3055"/>
      <c r="AO71" s="3055"/>
      <c r="AP71" s="3055"/>
      <c r="AQ71" s="3055"/>
      <c r="AR71" s="3055"/>
      <c r="AS71" s="3055"/>
      <c r="AT71" s="3055"/>
      <c r="AU71" s="3055"/>
      <c r="AV71" s="3055"/>
      <c r="AW71" s="3055"/>
      <c r="AX71" s="189"/>
      <c r="AY71" s="189"/>
      <c r="AZ71" s="3053">
        <v>9725000</v>
      </c>
      <c r="BA71" s="3054"/>
      <c r="BB71" s="3054"/>
      <c r="BC71" s="3054"/>
      <c r="BD71" s="3054"/>
      <c r="BE71" s="3054"/>
      <c r="BF71" s="3054"/>
      <c r="BG71" s="3054"/>
      <c r="BH71" s="3054"/>
      <c r="BI71" s="3054"/>
      <c r="BJ71" s="3054"/>
      <c r="BK71" s="3054"/>
      <c r="BL71" s="3054"/>
      <c r="BM71" s="3054"/>
      <c r="BN71" s="3054"/>
      <c r="BO71" s="3054"/>
      <c r="BP71" s="3054"/>
      <c r="BQ71" s="3054"/>
      <c r="BR71" s="3054"/>
      <c r="BS71" s="3054"/>
      <c r="BT71" s="3054"/>
      <c r="BU71" s="3054"/>
      <c r="BV71" s="3054"/>
      <c r="BW71" s="3054"/>
      <c r="BX71" s="3054"/>
      <c r="BY71" s="3054"/>
      <c r="BZ71" s="3054"/>
      <c r="CA71" s="3054"/>
      <c r="CB71" s="3053">
        <v>9328251</v>
      </c>
      <c r="CC71" s="3054"/>
      <c r="CD71" s="3054"/>
      <c r="CE71" s="3054"/>
      <c r="CF71" s="3054"/>
      <c r="CG71" s="3054"/>
      <c r="CH71" s="3054"/>
      <c r="CI71" s="3054"/>
      <c r="CJ71" s="3054"/>
      <c r="CK71" s="3054"/>
      <c r="CL71" s="3054"/>
      <c r="CM71" s="3054"/>
      <c r="CN71" s="3054"/>
      <c r="CO71" s="3054"/>
      <c r="CP71" s="3054"/>
      <c r="CQ71" s="3054"/>
      <c r="CR71" s="3054"/>
      <c r="CS71" s="3054"/>
      <c r="CT71" s="3054"/>
      <c r="CU71" s="3054"/>
      <c r="CV71" s="3054"/>
      <c r="CW71" s="3054"/>
      <c r="CX71" s="3054"/>
      <c r="CY71" s="3054"/>
      <c r="CZ71" s="3054"/>
      <c r="DA71" s="3054"/>
      <c r="DB71" s="3054"/>
      <c r="DC71" s="305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3054">
        <f>前年度貼付!$E$108</f>
        <v>0</v>
      </c>
      <c r="EG71" s="3054"/>
      <c r="EH71" s="3054"/>
      <c r="EI71" s="3054"/>
      <c r="EJ71" s="3054"/>
      <c r="EK71" s="3054"/>
      <c r="EL71" s="3054"/>
      <c r="EM71" s="3054"/>
      <c r="EN71" s="3054"/>
      <c r="EO71" s="3054"/>
      <c r="EP71" s="3054"/>
      <c r="EQ71" s="3054"/>
      <c r="ER71" s="3054"/>
      <c r="ES71" s="3054"/>
      <c r="ET71" s="3054"/>
      <c r="EU71" s="3054"/>
      <c r="EV71" s="3054"/>
      <c r="EW71" s="3054"/>
      <c r="EX71" s="3054"/>
      <c r="EY71" s="3054"/>
      <c r="EZ71" s="3054"/>
      <c r="FA71" s="3054"/>
      <c r="FB71" s="3054"/>
      <c r="FC71" s="3054"/>
      <c r="FD71" s="3054"/>
      <c r="FE71" s="3054"/>
      <c r="FF71" s="3054"/>
      <c r="FG71" s="305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3053">
        <v>4215000</v>
      </c>
      <c r="BA72" s="3054"/>
      <c r="BB72" s="3054"/>
      <c r="BC72" s="3054"/>
      <c r="BD72" s="3054"/>
      <c r="BE72" s="3054"/>
      <c r="BF72" s="3054"/>
      <c r="BG72" s="3054"/>
      <c r="BH72" s="3054"/>
      <c r="BI72" s="3054"/>
      <c r="BJ72" s="3054"/>
      <c r="BK72" s="3054"/>
      <c r="BL72" s="3054"/>
      <c r="BM72" s="3054"/>
      <c r="BN72" s="3054"/>
      <c r="BO72" s="3054"/>
      <c r="BP72" s="3054"/>
      <c r="BQ72" s="3054"/>
      <c r="BR72" s="3054"/>
      <c r="BS72" s="3054"/>
      <c r="BT72" s="3054"/>
      <c r="BU72" s="3054"/>
      <c r="BV72" s="3054"/>
      <c r="BW72" s="3054"/>
      <c r="BX72" s="3054"/>
      <c r="BY72" s="3054"/>
      <c r="BZ72" s="3054"/>
      <c r="CA72" s="3054"/>
      <c r="CB72" s="3053">
        <v>3608457</v>
      </c>
      <c r="CC72" s="3054"/>
      <c r="CD72" s="3054"/>
      <c r="CE72" s="3054"/>
      <c r="CF72" s="3054"/>
      <c r="CG72" s="3054"/>
      <c r="CH72" s="3054"/>
      <c r="CI72" s="3054"/>
      <c r="CJ72" s="3054"/>
      <c r="CK72" s="3054"/>
      <c r="CL72" s="3054"/>
      <c r="CM72" s="3054"/>
      <c r="CN72" s="3054"/>
      <c r="CO72" s="3054"/>
      <c r="CP72" s="3054"/>
      <c r="CQ72" s="3054"/>
      <c r="CR72" s="3054"/>
      <c r="CS72" s="3054"/>
      <c r="CT72" s="3054"/>
      <c r="CU72" s="3054"/>
      <c r="CV72" s="3054"/>
      <c r="CW72" s="3054"/>
      <c r="CX72" s="3054"/>
      <c r="CY72" s="3054"/>
      <c r="CZ72" s="3054"/>
      <c r="DA72" s="3054"/>
      <c r="DB72" s="3054"/>
      <c r="DC72" s="305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3054">
        <f>前年度貼付!$E$109</f>
        <v>1867491</v>
      </c>
      <c r="EG72" s="3054"/>
      <c r="EH72" s="3054"/>
      <c r="EI72" s="3054"/>
      <c r="EJ72" s="3054"/>
      <c r="EK72" s="3054"/>
      <c r="EL72" s="3054"/>
      <c r="EM72" s="3054"/>
      <c r="EN72" s="3054"/>
      <c r="EO72" s="3054"/>
      <c r="EP72" s="3054"/>
      <c r="EQ72" s="3054"/>
      <c r="ER72" s="3054"/>
      <c r="ES72" s="3054"/>
      <c r="ET72" s="3054"/>
      <c r="EU72" s="3054"/>
      <c r="EV72" s="3054"/>
      <c r="EW72" s="3054"/>
      <c r="EX72" s="3054"/>
      <c r="EY72" s="3054"/>
      <c r="EZ72" s="3054"/>
      <c r="FA72" s="3054"/>
      <c r="FB72" s="3054"/>
      <c r="FC72" s="3054"/>
      <c r="FD72" s="3054"/>
      <c r="FE72" s="3054"/>
      <c r="FF72" s="3054"/>
      <c r="FG72" s="305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3055" t="s">
        <v>74</v>
      </c>
      <c r="N73" s="3055"/>
      <c r="O73" s="3055"/>
      <c r="P73" s="3055"/>
      <c r="Q73" s="3055"/>
      <c r="R73" s="3055"/>
      <c r="S73" s="3055"/>
      <c r="T73" s="3055"/>
      <c r="U73" s="3055"/>
      <c r="V73" s="3055"/>
      <c r="W73" s="3055"/>
      <c r="X73" s="3055"/>
      <c r="Y73" s="3055"/>
      <c r="Z73" s="3055"/>
      <c r="AA73" s="3055"/>
      <c r="AB73" s="3055"/>
      <c r="AC73" s="3055"/>
      <c r="AD73" s="3055"/>
      <c r="AE73" s="3055"/>
      <c r="AF73" s="3055"/>
      <c r="AG73" s="3055"/>
      <c r="AH73" s="3055"/>
      <c r="AI73" s="3055"/>
      <c r="AJ73" s="3055"/>
      <c r="AK73" s="3055"/>
      <c r="AL73" s="3055"/>
      <c r="AM73" s="3055"/>
      <c r="AN73" s="3055"/>
      <c r="AO73" s="3055"/>
      <c r="AP73" s="3055"/>
      <c r="AQ73" s="3055"/>
      <c r="AR73" s="3055"/>
      <c r="AS73" s="3055"/>
      <c r="AT73" s="3055"/>
      <c r="AU73" s="3055"/>
      <c r="AV73" s="3055"/>
      <c r="AW73" s="3055"/>
      <c r="AX73" s="211"/>
      <c r="AY73" s="211"/>
      <c r="AZ73" s="3053">
        <v>4252000</v>
      </c>
      <c r="BA73" s="3054"/>
      <c r="BB73" s="3054"/>
      <c r="BC73" s="3054"/>
      <c r="BD73" s="3054"/>
      <c r="BE73" s="3054"/>
      <c r="BF73" s="3054"/>
      <c r="BG73" s="3054"/>
      <c r="BH73" s="3054"/>
      <c r="BI73" s="3054"/>
      <c r="BJ73" s="3054"/>
      <c r="BK73" s="3054"/>
      <c r="BL73" s="3054"/>
      <c r="BM73" s="3054"/>
      <c r="BN73" s="3054"/>
      <c r="BO73" s="3054"/>
      <c r="BP73" s="3054"/>
      <c r="BQ73" s="3054"/>
      <c r="BR73" s="3054"/>
      <c r="BS73" s="3054"/>
      <c r="BT73" s="3054"/>
      <c r="BU73" s="3054"/>
      <c r="BV73" s="3054"/>
      <c r="BW73" s="3054"/>
      <c r="BX73" s="3054"/>
      <c r="BY73" s="3054"/>
      <c r="BZ73" s="3054"/>
      <c r="CA73" s="3054"/>
      <c r="CB73" s="3053">
        <v>5476402</v>
      </c>
      <c r="CC73" s="3054"/>
      <c r="CD73" s="3054"/>
      <c r="CE73" s="3054"/>
      <c r="CF73" s="3054"/>
      <c r="CG73" s="3054"/>
      <c r="CH73" s="3054"/>
      <c r="CI73" s="3054"/>
      <c r="CJ73" s="3054"/>
      <c r="CK73" s="3054"/>
      <c r="CL73" s="3054"/>
      <c r="CM73" s="3054"/>
      <c r="CN73" s="3054"/>
      <c r="CO73" s="3054"/>
      <c r="CP73" s="3054"/>
      <c r="CQ73" s="3054"/>
      <c r="CR73" s="3054"/>
      <c r="CS73" s="3054"/>
      <c r="CT73" s="3054"/>
      <c r="CU73" s="3054"/>
      <c r="CV73" s="3054"/>
      <c r="CW73" s="3054"/>
      <c r="CX73" s="3054"/>
      <c r="CY73" s="3054"/>
      <c r="CZ73" s="3054"/>
      <c r="DA73" s="3054"/>
      <c r="DB73" s="3054"/>
      <c r="DC73" s="305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3054">
        <f>前年度貼付!$E$110</f>
        <v>0</v>
      </c>
      <c r="EG73" s="3054"/>
      <c r="EH73" s="3054"/>
      <c r="EI73" s="3054"/>
      <c r="EJ73" s="3054"/>
      <c r="EK73" s="3054"/>
      <c r="EL73" s="3054"/>
      <c r="EM73" s="3054"/>
      <c r="EN73" s="3054"/>
      <c r="EO73" s="3054"/>
      <c r="EP73" s="3054"/>
      <c r="EQ73" s="3054"/>
      <c r="ER73" s="3054"/>
      <c r="ES73" s="3054"/>
      <c r="ET73" s="3054"/>
      <c r="EU73" s="3054"/>
      <c r="EV73" s="3054"/>
      <c r="EW73" s="3054"/>
      <c r="EX73" s="3054"/>
      <c r="EY73" s="3054"/>
      <c r="EZ73" s="3054"/>
      <c r="FA73" s="3054"/>
      <c r="FB73" s="3054"/>
      <c r="FC73" s="3054"/>
      <c r="FD73" s="3054"/>
      <c r="FE73" s="3054"/>
      <c r="FF73" s="3054"/>
      <c r="FG73" s="305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3053">
        <v>1000</v>
      </c>
      <c r="BA75" s="3054"/>
      <c r="BB75" s="3054"/>
      <c r="BC75" s="3054"/>
      <c r="BD75" s="3054"/>
      <c r="BE75" s="3054"/>
      <c r="BF75" s="3054"/>
      <c r="BG75" s="3054"/>
      <c r="BH75" s="3054"/>
      <c r="BI75" s="3054"/>
      <c r="BJ75" s="3054"/>
      <c r="BK75" s="3054"/>
      <c r="BL75" s="3054"/>
      <c r="BM75" s="3054"/>
      <c r="BN75" s="3054"/>
      <c r="BO75" s="3054"/>
      <c r="BP75" s="3054"/>
      <c r="BQ75" s="3054"/>
      <c r="BR75" s="3054"/>
      <c r="BS75" s="3054"/>
      <c r="BT75" s="3054"/>
      <c r="BU75" s="3054"/>
      <c r="BV75" s="3054"/>
      <c r="BW75" s="3054"/>
      <c r="BX75" s="3054"/>
      <c r="BY75" s="3054"/>
      <c r="BZ75" s="3054"/>
      <c r="CA75" s="3054"/>
      <c r="CB75" s="3053">
        <v>0</v>
      </c>
      <c r="CC75" s="3054"/>
      <c r="CD75" s="3054"/>
      <c r="CE75" s="3054"/>
      <c r="CF75" s="3054"/>
      <c r="CG75" s="3054"/>
      <c r="CH75" s="3054"/>
      <c r="CI75" s="3054"/>
      <c r="CJ75" s="3054"/>
      <c r="CK75" s="3054"/>
      <c r="CL75" s="3054"/>
      <c r="CM75" s="3054"/>
      <c r="CN75" s="3054"/>
      <c r="CO75" s="3054"/>
      <c r="CP75" s="3054"/>
      <c r="CQ75" s="3054"/>
      <c r="CR75" s="3054"/>
      <c r="CS75" s="3054"/>
      <c r="CT75" s="3054"/>
      <c r="CU75" s="3054"/>
      <c r="CV75" s="3054"/>
      <c r="CW75" s="3054"/>
      <c r="CX75" s="3054"/>
      <c r="CY75" s="3054"/>
      <c r="CZ75" s="3054"/>
      <c r="DA75" s="3054"/>
      <c r="DB75" s="3054"/>
      <c r="DC75" s="305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3054">
        <f>前年度貼付!$E$111</f>
        <v>0</v>
      </c>
      <c r="EG75" s="3054"/>
      <c r="EH75" s="3054"/>
      <c r="EI75" s="3054"/>
      <c r="EJ75" s="3054"/>
      <c r="EK75" s="3054"/>
      <c r="EL75" s="3054"/>
      <c r="EM75" s="3054"/>
      <c r="EN75" s="3054"/>
      <c r="EO75" s="3054"/>
      <c r="EP75" s="3054"/>
      <c r="EQ75" s="3054"/>
      <c r="ER75" s="3054"/>
      <c r="ES75" s="3054"/>
      <c r="ET75" s="3054"/>
      <c r="EU75" s="3054"/>
      <c r="EV75" s="3054"/>
      <c r="EW75" s="3054"/>
      <c r="EX75" s="3054"/>
      <c r="EY75" s="3054"/>
      <c r="EZ75" s="3054"/>
      <c r="FA75" s="3054"/>
      <c r="FB75" s="3054"/>
      <c r="FC75" s="3054"/>
      <c r="FD75" s="3054"/>
      <c r="FE75" s="3054"/>
      <c r="FF75" s="3054"/>
      <c r="FG75" s="305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3053">
        <v>1000</v>
      </c>
      <c r="BA76" s="3054"/>
      <c r="BB76" s="3054"/>
      <c r="BC76" s="3054"/>
      <c r="BD76" s="3054"/>
      <c r="BE76" s="3054"/>
      <c r="BF76" s="3054"/>
      <c r="BG76" s="3054"/>
      <c r="BH76" s="3054"/>
      <c r="BI76" s="3054"/>
      <c r="BJ76" s="3054"/>
      <c r="BK76" s="3054"/>
      <c r="BL76" s="3054"/>
      <c r="BM76" s="3054"/>
      <c r="BN76" s="3054"/>
      <c r="BO76" s="3054"/>
      <c r="BP76" s="3054"/>
      <c r="BQ76" s="3054"/>
      <c r="BR76" s="3054"/>
      <c r="BS76" s="3054"/>
      <c r="BT76" s="3054"/>
      <c r="BU76" s="3054"/>
      <c r="BV76" s="3054"/>
      <c r="BW76" s="3054"/>
      <c r="BX76" s="3054"/>
      <c r="BY76" s="3054"/>
      <c r="BZ76" s="3054"/>
      <c r="CA76" s="3054"/>
      <c r="CB76" s="3053">
        <v>0</v>
      </c>
      <c r="CC76" s="3054"/>
      <c r="CD76" s="3054"/>
      <c r="CE76" s="3054"/>
      <c r="CF76" s="3054"/>
      <c r="CG76" s="3054"/>
      <c r="CH76" s="3054"/>
      <c r="CI76" s="3054"/>
      <c r="CJ76" s="3054"/>
      <c r="CK76" s="3054"/>
      <c r="CL76" s="3054"/>
      <c r="CM76" s="3054"/>
      <c r="CN76" s="3054"/>
      <c r="CO76" s="3054"/>
      <c r="CP76" s="3054"/>
      <c r="CQ76" s="3054"/>
      <c r="CR76" s="3054"/>
      <c r="CS76" s="3054"/>
      <c r="CT76" s="3054"/>
      <c r="CU76" s="3054"/>
      <c r="CV76" s="3054"/>
      <c r="CW76" s="3054"/>
      <c r="CX76" s="3054"/>
      <c r="CY76" s="3054"/>
      <c r="CZ76" s="3054"/>
      <c r="DA76" s="3054"/>
      <c r="DB76" s="3054"/>
      <c r="DC76" s="305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3054">
        <f>前年度貼付!$E$112</f>
        <v>0</v>
      </c>
      <c r="EG76" s="3054"/>
      <c r="EH76" s="3054"/>
      <c r="EI76" s="3054"/>
      <c r="EJ76" s="3054"/>
      <c r="EK76" s="3054"/>
      <c r="EL76" s="3054"/>
      <c r="EM76" s="3054"/>
      <c r="EN76" s="3054"/>
      <c r="EO76" s="3054"/>
      <c r="EP76" s="3054"/>
      <c r="EQ76" s="3054"/>
      <c r="ER76" s="3054"/>
      <c r="ES76" s="3054"/>
      <c r="ET76" s="3054"/>
      <c r="EU76" s="3054"/>
      <c r="EV76" s="3054"/>
      <c r="EW76" s="3054"/>
      <c r="EX76" s="3054"/>
      <c r="EY76" s="3054"/>
      <c r="EZ76" s="3054"/>
      <c r="FA76" s="3054"/>
      <c r="FB76" s="3054"/>
      <c r="FC76" s="3054"/>
      <c r="FD76" s="3054"/>
      <c r="FE76" s="3054"/>
      <c r="FF76" s="3054"/>
      <c r="FG76" s="305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3053">
        <v>1000</v>
      </c>
      <c r="BA77" s="3054"/>
      <c r="BB77" s="3054"/>
      <c r="BC77" s="3054"/>
      <c r="BD77" s="3054"/>
      <c r="BE77" s="3054"/>
      <c r="BF77" s="3054"/>
      <c r="BG77" s="3054"/>
      <c r="BH77" s="3054"/>
      <c r="BI77" s="3054"/>
      <c r="BJ77" s="3054"/>
      <c r="BK77" s="3054"/>
      <c r="BL77" s="3054"/>
      <c r="BM77" s="3054"/>
      <c r="BN77" s="3054"/>
      <c r="BO77" s="3054"/>
      <c r="BP77" s="3054"/>
      <c r="BQ77" s="3054"/>
      <c r="BR77" s="3054"/>
      <c r="BS77" s="3054"/>
      <c r="BT77" s="3054"/>
      <c r="BU77" s="3054"/>
      <c r="BV77" s="3054"/>
      <c r="BW77" s="3054"/>
      <c r="BX77" s="3054"/>
      <c r="BY77" s="3054"/>
      <c r="BZ77" s="3054"/>
      <c r="CA77" s="3054"/>
      <c r="CB77" s="3053">
        <v>0</v>
      </c>
      <c r="CC77" s="3054"/>
      <c r="CD77" s="3054"/>
      <c r="CE77" s="3054"/>
      <c r="CF77" s="3054"/>
      <c r="CG77" s="3054"/>
      <c r="CH77" s="3054"/>
      <c r="CI77" s="3054"/>
      <c r="CJ77" s="3054"/>
      <c r="CK77" s="3054"/>
      <c r="CL77" s="3054"/>
      <c r="CM77" s="3054"/>
      <c r="CN77" s="3054"/>
      <c r="CO77" s="3054"/>
      <c r="CP77" s="3054"/>
      <c r="CQ77" s="3054"/>
      <c r="CR77" s="3054"/>
      <c r="CS77" s="3054"/>
      <c r="CT77" s="3054"/>
      <c r="CU77" s="3054"/>
      <c r="CV77" s="3054"/>
      <c r="CW77" s="3054"/>
      <c r="CX77" s="3054"/>
      <c r="CY77" s="3054"/>
      <c r="CZ77" s="3054"/>
      <c r="DA77" s="3054"/>
      <c r="DB77" s="3054"/>
      <c r="DC77" s="305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3054">
        <f>前年度貼付!$E$113</f>
        <v>0</v>
      </c>
      <c r="EG77" s="3054"/>
      <c r="EH77" s="3054"/>
      <c r="EI77" s="3054"/>
      <c r="EJ77" s="3054"/>
      <c r="EK77" s="3054"/>
      <c r="EL77" s="3054"/>
      <c r="EM77" s="3054"/>
      <c r="EN77" s="3054"/>
      <c r="EO77" s="3054"/>
      <c r="EP77" s="3054"/>
      <c r="EQ77" s="3054"/>
      <c r="ER77" s="3054"/>
      <c r="ES77" s="3054"/>
      <c r="ET77" s="3054"/>
      <c r="EU77" s="3054"/>
      <c r="EV77" s="3054"/>
      <c r="EW77" s="3054"/>
      <c r="EX77" s="3054"/>
      <c r="EY77" s="3054"/>
      <c r="EZ77" s="3054"/>
      <c r="FA77" s="3054"/>
      <c r="FB77" s="3054"/>
      <c r="FC77" s="3054"/>
      <c r="FD77" s="3054"/>
      <c r="FE77" s="3054"/>
      <c r="FF77" s="3054"/>
      <c r="FG77" s="305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'短期_財務諸表P27'!B43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'短期_財務諸表P27'!B44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'短期_財務諸表P27'!B47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'短期_財務諸表P27'!B45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'短期_財務諸表P27'!B46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'短期_財務諸表P27'!B48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'短期_財務諸表P27'!B49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'短期_財務諸表P27'!B50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'短期_財務諸表P27'!B51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'短期_財務諸表P27'!B52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'短期_財務諸表P27'!C57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'短期_財務諸表P27'!G13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'短期_財務諸表P27'!H56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'短期_財務諸表P27'!C61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conditionalFormatting sqref="D19 M71 M73 AZ5 AZ6 AZ7 AZ8 AZ9 AZ10 AZ11 AZ12 AZ13 AZ14 AZ15 AZ16 AZ17 AZ18 AZ20 AZ21 AZ22 AZ23 AZ24 AZ25 AZ26 AZ27 AZ28 AZ29 AZ49 AZ50 AZ51 AZ52 AZ53 AZ54 AZ55 AZ56 AZ57 AZ58 AZ59 AZ60 AZ61 AZ62 AZ63 AZ64 AZ65 AZ67 AZ68 AZ69 AZ70 AZ71 AZ72 AZ73 AZ75 AZ76 AZ77 AZ82 AZ83 AZ84 AZ85 AZ86 AZ87 AZ88 AZ90 AZ91 AZ92 AZ93 AZ94 AZ95 AZ96 AZ97 AZ98 AZ99 AZ100 AZ101 AZ103 AZ104 AZ106 AZ108 AZ109 AZ136 AZ137 AZ138 AZ139 AZ141 AZ142 AZ143 AZ145 AZ146 AZ147 AZ148 AZ150 AZ151 AZ152 AZ154 BW136 BW137 BW138 BW139 BW141 BW142 BW145 BW146 BW147 BW148 BW150 BW151 CB6 CB14 CB15 CB16 CB20 CB21 CB22 CB26 CB49 CB50 CB51 CB52 CB53 CB54 CB55 CB56 CB57 CB58 CB59 CB60 CB61 CB62 CB63 CB64 CB65 CB67 CB68 CB69 CB70 CB71 CB72 CB73 CB75 CB76 CB77 CB82 CB83 CB84 CB85 CB86 CB87 CB88 CB100 CB101 CB103 CB104 CP136 CP137 CP138 CP139 CP141 CP143 CP145 CP146 CP147 CP148 CP150 CP152 EF21">
    <cfRule type="expression" dxfId="6" priority="2">
      <formula>AND(入力色表示=1,NOT(_xlfn.ISFORMULA(D19)))</formula>
    </cfRule>
  </conditionalFormatting>
  <dataValidations count="156">
    <dataValidation allowBlank="1" showInputMessage="1" promptTitle="手入力セル" prompt="反映先：報告_短期P7-10 AZ30,DD5&#10;他の帳票：なし" sqref="AZ5"/>
    <dataValidation allowBlank="1" showInputMessage="1" promptTitle="手入力セル" prompt="反映先：報告_短期P7-10 AZ30,DD6&#10;他の帳票：なし" sqref="AZ6"/>
    <dataValidation allowBlank="1" showInputMessage="1" promptTitle="手入力セル" prompt="反映先：報告_短期P7-10 AZ30,DD7&#10;他の帳票：なし" sqref="AZ7"/>
    <dataValidation allowBlank="1" showInputMessage="1" promptTitle="手入力セル" prompt="反映先：報告_短期P7-10 AZ30,DD8&#10;他の帳票：なし" sqref="AZ8"/>
    <dataValidation allowBlank="1" showInputMessage="1" promptTitle="手入力セル" prompt="反映先：報告_短期P7-10 AZ30,DD9&#10;他の帳票：なし" sqref="AZ9"/>
    <dataValidation allowBlank="1" showInputMessage="1" promptTitle="手入力セル" prompt="反映先：報告_短期P7-10 AZ30,DD10&#10;他の帳票：なし" sqref="AZ10"/>
    <dataValidation allowBlank="1" showInputMessage="1" promptTitle="手入力セル" prompt="反映先：報告_短期P7-10 AZ30,DD11&#10;他の帳票：なし" sqref="AZ11"/>
    <dataValidation allowBlank="1" showInputMessage="1" promptTitle="手入力セル" prompt="反映先：報告_短期P7-10 AZ30,DD12&#10;他の帳票：なし" sqref="AZ12"/>
    <dataValidation allowBlank="1" showInputMessage="1" promptTitle="手入力セル" prompt="反映先：報告_短期P7-10 AZ30,DD13&#10;他の帳票：なし" sqref="AZ13"/>
    <dataValidation allowBlank="1" showInputMessage="1" promptTitle="手入力セル" prompt="反映先：報告_短期P7-10 AZ30,DD14&#10;他の帳票：なし" sqref="AZ14"/>
    <dataValidation allowBlank="1" showInputMessage="1" promptTitle="手入力セル" prompt="反映先：報告_短期P7-10 AZ30,DD15&#10;他の帳票：なし" sqref="AZ15"/>
    <dataValidation allowBlank="1" showInputMessage="1" promptTitle="手入力セル" prompt="反映先：報告_短期P7-10 AZ30,DD16&#10;他の帳票：なし" sqref="AZ16"/>
    <dataValidation allowBlank="1" showInputMessage="1" promptTitle="手入力セル" prompt="反映先：報告_短期P7-10 AZ30,DD17&#10;他の帳票：なし" sqref="AZ17"/>
    <dataValidation allowBlank="1" showInputMessage="1" promptTitle="手入力セル" prompt="反映先：報告_短期P7-10 AZ30,DD18&#10;他の帳票：なし" sqref="AZ18"/>
    <dataValidation allowBlank="1" showInputMessage="1" promptTitle="手入力セル" prompt="反映先：報告_短期P7-10 AZ30,DD20&#10;他の帳票：なし" sqref="AZ20"/>
    <dataValidation allowBlank="1" showInputMessage="1" promptTitle="手入力セル" prompt="反映先：報告_短期P7-10 AZ30,DD22&#10;他の帳票：なし" sqref="AZ22"/>
    <dataValidation allowBlank="1" showInputMessage="1" promptTitle="手入力セル" prompt="反映先：報告_短期P7-10 AZ30,DD23&#10;他の帳票：なし" sqref="AZ23"/>
    <dataValidation allowBlank="1" showInputMessage="1" promptTitle="手入力セル" prompt="反映先：報告_短期P7-10 AZ30,DD24&#10;他の帳票：なし" sqref="AZ24"/>
    <dataValidation allowBlank="1" showInputMessage="1" promptTitle="手入力セル" prompt="反映先：報告_短期P7-10 AZ30,DD25&#10;他の帳票：なし" sqref="AZ25"/>
    <dataValidation allowBlank="1" showInputMessage="1" promptTitle="手入力セル" prompt="反映先：報告_短期P7-10 AZ30,DD26&#10;他の帳票：なし" sqref="AZ26"/>
    <dataValidation allowBlank="1" showInputMessage="1" promptTitle="手入力セル" prompt="反映先：報告_短期P7-10 AZ30,DD27&#10;他の帳票：なし" sqref="AZ27"/>
    <dataValidation allowBlank="1" showInputMessage="1" promptTitle="手入力セル" prompt="反映先：報告_短期P7-10 AZ30,DD28&#10;他の帳票：なし" sqref="AZ28"/>
    <dataValidation allowBlank="1" showInputMessage="1" promptTitle="手入力セル" prompt="反映先：報告_短期P7-10 AZ30,DD29&#10;他の帳票：なし" sqref="AZ29"/>
    <dataValidation allowBlank="1" showInputMessage="1" promptTitle="手入力セル" prompt="反映先：報告_短期P7-10 AZ66,DD49&#10;他の帳票：なし" sqref="AZ49"/>
    <dataValidation allowBlank="1" showInputMessage="1" promptTitle="手入力セル" prompt="反映先：報告_短期P7-10 AZ66,DD50&#10;他の帳票：なし" sqref="AZ50"/>
    <dataValidation allowBlank="1" showInputMessage="1" promptTitle="手入力セル" prompt="反映先：報告_短期P7-10 AZ66,DD51&#10;他の帳票：なし" sqref="AZ51"/>
    <dataValidation allowBlank="1" showInputMessage="1" promptTitle="手入力セル" prompt="反映先：報告_短期P7-10 AZ66,DD52&#10;他の帳票：なし" sqref="AZ52"/>
    <dataValidation allowBlank="1" showInputMessage="1" promptTitle="手入力セル" prompt="反映先：報告_短期P7-10 AZ66,DD53&#10;他の帳票：なし" sqref="AZ53"/>
    <dataValidation allowBlank="1" showInputMessage="1" promptTitle="手入力セル" prompt="反映先：報告_短期P7-10 AZ66,DD54&#10;他の帳票：なし" sqref="AZ54"/>
    <dataValidation allowBlank="1" showInputMessage="1" promptTitle="手入力セル" prompt="反映先：報告_短期P7-10 AZ66,DD55&#10;他の帳票：なし" sqref="AZ55"/>
    <dataValidation allowBlank="1" showInputMessage="1" promptTitle="手入力セル" prompt="反映先：報告_短期P7-10 AZ66,DD56&#10;他の帳票：なし" sqref="AZ56"/>
    <dataValidation allowBlank="1" showInputMessage="1" promptTitle="手入力セル" prompt="反映先：報告_短期P7-10 AZ66,DD57&#10;他の帳票：なし" sqref="AZ57"/>
    <dataValidation allowBlank="1" showInputMessage="1" promptTitle="手入力セル" prompt="反映先：報告_短期P7-10 AZ66,DD58&#10;他の帳票：なし" sqref="AZ58"/>
    <dataValidation allowBlank="1" showInputMessage="1" promptTitle="手入力セル" prompt="反映先：報告_短期P7-10 AZ66,DD59&#10;他の帳票：なし" sqref="AZ59"/>
    <dataValidation allowBlank="1" showInputMessage="1" promptTitle="手入力セル" prompt="反映先：報告_短期P7-10 AZ66,DD60&#10;他の帳票：なし" sqref="AZ60"/>
    <dataValidation allowBlank="1" showInputMessage="1" promptTitle="手入力セル" prompt="反映先：報告_短期P7-10 AZ66,DD61&#10;他の帳票：なし" sqref="AZ61"/>
    <dataValidation allowBlank="1" showInputMessage="1" promptTitle="手入力セル" prompt="反映先：報告_短期P7-10 AZ66,DD62&#10;他の帳票：なし" sqref="AZ62"/>
    <dataValidation allowBlank="1" showInputMessage="1" promptTitle="手入力セル" prompt="反映先：報告_短期P7-10 AZ66,DD63&#10;他の帳票：なし" sqref="AZ63"/>
    <dataValidation allowBlank="1" showInputMessage="1" promptTitle="手入力セル" prompt="反映先：報告_短期P7-10 AZ66,DD64&#10;他の帳票：なし" sqref="AZ64"/>
    <dataValidation allowBlank="1" showInputMessage="1" promptTitle="手入力セル" prompt="反映先：報告_短期P7-10 AZ66,DD65&#10;他の帳票：なし" sqref="AZ65"/>
    <dataValidation allowBlank="1" showInputMessage="1" promptTitle="手入力セル" prompt="反映先：報告_短期P7-10 AZ74,DD67&#10;他の帳票：なし" sqref="AZ67"/>
    <dataValidation allowBlank="1" showInputMessage="1" promptTitle="手入力セル" prompt="反映先：報告_短期P7-10 AZ74,DD68&#10;他の帳票：なし" sqref="AZ68"/>
    <dataValidation allowBlank="1" showInputMessage="1" promptTitle="手入力セル" prompt="反映先：報告_短期P7-10 AZ74,DD69&#10;他の帳票：なし" sqref="AZ69"/>
    <dataValidation allowBlank="1" showInputMessage="1" promptTitle="手入力セル" prompt="反映先：報告_短期P7-10 AZ19,AZ74,DD70&#10;他の帳票：なし" sqref="AZ70"/>
    <dataValidation allowBlank="1" showInputMessage="1" promptTitle="手入力セル" prompt="反映先：報告_短期P7-10 AZ19,AZ74,DD71&#10;他の帳票：なし" sqref="AZ71"/>
    <dataValidation allowBlank="1" showInputMessage="1" promptTitle="手入力セル" prompt="反映先：報告_短期P7-10 AZ19,AZ74,DD72&#10;他の帳票：なし" sqref="AZ72"/>
    <dataValidation allowBlank="1" showInputMessage="1" promptTitle="手入力セル" prompt="反映先：報告_短期P7-10 AZ19,AZ74,DD73&#10;他の帳票：なし" sqref="AZ73"/>
    <dataValidation allowBlank="1" showInputMessage="1" promptTitle="手入力セル" prompt="反映先：報告_短期P7-10 AZ78,DD75&#10;他の帳票：なし" sqref="AZ75"/>
    <dataValidation allowBlank="1" showInputMessage="1" promptTitle="手入力セル" prompt="反映先：報告_短期P7-10 AZ78,DD76&#10;他の帳票：なし" sqref="AZ76"/>
    <dataValidation allowBlank="1" showInputMessage="1" promptTitle="手入力セル" prompt="反映先：報告_短期P7-10 AZ78,DD77&#10;他の帳票：なし" sqref="AZ77"/>
    <dataValidation allowBlank="1" showInputMessage="1" promptTitle="手入力セル" prompt="反映先：報告_短期P7-10 AZ89,DD82&#10;他の帳票：なし" sqref="AZ82"/>
    <dataValidation allowBlank="1" showInputMessage="1" promptTitle="手入力セル" prompt="反映先：報告_短期P7-10 AZ89,DD83&#10;他の帳票：なし" sqref="AZ83"/>
    <dataValidation allowBlank="1" showInputMessage="1" promptTitle="手入力セル" prompt="反映先：報告_短期P7-10 AZ89,DD84&#10;他の帳票：なし" sqref="AZ84"/>
    <dataValidation allowBlank="1" showInputMessage="1" promptTitle="手入力セル" prompt="反映先：報告_短期P7-10 AZ89,DD85&#10;他の帳票：なし" sqref="AZ85"/>
    <dataValidation allowBlank="1" showInputMessage="1" promptTitle="手入力セル" prompt="反映先：報告_短期P7-10 AZ89,DD86&#10;他の帳票：なし" sqref="AZ86"/>
    <dataValidation allowBlank="1" showInputMessage="1" promptTitle="手入力セル" prompt="反映先：報告_短期P7-10 AZ89,DD87&#10;他の帳票：なし" sqref="AZ87"/>
    <dataValidation allowBlank="1" showInputMessage="1" promptTitle="手入力セル" prompt="反映先：報告_短期P7-10 AZ89,DD88&#10;他の帳票：なし" sqref="AZ88"/>
    <dataValidation allowBlank="1" showInputMessage="1" promptTitle="手入力セル" prompt="反映先：報告_短期P7-10 AZ107,DD90&#10;他の帳票：なし" sqref="AZ90"/>
    <dataValidation allowBlank="1" showInputMessage="1" promptTitle="手入力セル" prompt="反映先：報告_短期P7-10 AZ107,DD91&#10;他の帳票：なし" sqref="AZ91"/>
    <dataValidation allowBlank="1" showInputMessage="1" promptTitle="手入力セル" prompt="反映先：報告_短期P7-10 AZ107,DD92&#10;他の帳票：なし" sqref="AZ92"/>
    <dataValidation allowBlank="1" showInputMessage="1" promptTitle="手入力セル" prompt="反映先：報告_短期P7-10 AZ107,DD93&#10;他の帳票：なし" sqref="AZ93"/>
    <dataValidation allowBlank="1" showInputMessage="1" promptTitle="手入力セル" prompt="反映先：報告_短期P7-10 AZ107,DD94&#10;他の帳票：なし" sqref="AZ94"/>
    <dataValidation allowBlank="1" showInputMessage="1" promptTitle="手入力セル" prompt="反映先：報告_短期P7-10 AZ107,DD95&#10;他の帳票：なし" sqref="AZ95"/>
    <dataValidation allowBlank="1" showInputMessage="1" promptTitle="手入力セル" prompt="反映先：報告_短期P7-10 AZ107,DD96&#10;他の帳票：なし" sqref="AZ96"/>
    <dataValidation allowBlank="1" showInputMessage="1" promptTitle="手入力セル" prompt="反映先：報告_短期P7-10 AZ107,DD97&#10;他の帳票：なし" sqref="AZ97"/>
    <dataValidation allowBlank="1" showInputMessage="1" promptTitle="手入力セル" prompt="反映先：報告_短期P7-10 AZ107,DD98&#10;他の帳票：なし" sqref="AZ98"/>
    <dataValidation allowBlank="1" showInputMessage="1" promptTitle="手入力セル" prompt="反映先：報告_短期P7-10 AZ107,DD99&#10;他の帳票：なし" sqref="AZ99"/>
    <dataValidation allowBlank="1" showInputMessage="1" promptTitle="手入力セル" prompt="反映先：報告_短期P7-10 AZ102,DD100&#10;他の帳票：なし" sqref="AZ100"/>
    <dataValidation allowBlank="1" showInputMessage="1" promptTitle="手入力セル" prompt="反映先：報告_短期P7-10 AZ102,DD101&#10;他の帳票：なし" sqref="AZ101"/>
    <dataValidation allowBlank="1" showInputMessage="1" promptTitle="手入力セル" prompt="反映先：報告_短期P7-10 AZ105,DD103&#10;他の帳票：なし" sqref="AZ103"/>
    <dataValidation allowBlank="1" showInputMessage="1" promptTitle="手入力セル" prompt="反映先：報告_短期P7-10 AZ105,DD104&#10;他の帳票：なし" sqref="AZ104"/>
    <dataValidation allowBlank="1" showInputMessage="1" promptTitle="手入力セル" prompt="反映先：報告_短期P7-10 AZ107,DD106&#10;他の帳票：なし" sqref="AZ106"/>
    <dataValidation allowBlank="1" showInputMessage="1" promptTitle="手入力セル" prompt="反映先：報告_短期P7-10 AZ110,DD108&#10;他の帳票：なし" sqref="AZ108"/>
    <dataValidation allowBlank="1" showInputMessage="1" promptTitle="手入力セル" prompt="反映先：報告_短期P7-10 AZ110,DD109&#10;他の帳票：なし" sqref="AZ109"/>
    <dataValidation allowBlank="1" showInputMessage="1" promptTitle="手入力セル" prompt="反映先：報告_短期P7-10 AZ144、報告_短期P11-13 DL4,DL43&#10;他の帳票：報告_短期P11-13" sqref="AZ136"/>
    <dataValidation allowBlank="1" showInputMessage="1" promptTitle="手入力セル" prompt="反映先：報告_短期P7-10 AZ144、報告_短期P11-13 DL5,DL44&#10;他の帳票：報告_短期P11-13" sqref="AZ137"/>
    <dataValidation allowBlank="1" showInputMessage="1" promptTitle="手入力セル" prompt="反映先：報告_短期P7-10 AZ144、報告_短期P11-13 DL6,DL45&#10;他の帳票：報告_短期P11-13" sqref="AZ138"/>
    <dataValidation allowBlank="1" showInputMessage="1" promptTitle="手入力セル" prompt="反映先：報告_短期P11-13 DL7,DL46&#10;他の帳票：報告_短期P11-13" sqref="AZ139"/>
    <dataValidation allowBlank="1" showInputMessage="1" promptTitle="手入力セル" prompt="反映先：報告_短期P11-13 DL9,DL48&#10;他の帳票：報告_短期P11-13" sqref="AZ141"/>
    <dataValidation allowBlank="1" showInputMessage="1" promptTitle="手入力セル" prompt="反映先：報告_短期P11-13 DL10,DL49&#10;他の帳票：報告_短期P11-13" sqref="AZ142"/>
    <dataValidation allowBlank="1" showInputMessage="1" promptTitle="手入力セル" prompt="反映先：報告_短期P7-10 AZ144、報告_短期P11-13 DL11,DL50&#10;他の帳票：報告_短期P11-13" sqref="AZ143"/>
    <dataValidation allowBlank="1" showInputMessage="1" promptTitle="手入力セル" prompt="反映先：報告_短期P7-10 AZ153、報告_短期P11-13 DL13,DL52&#10;他の帳票：報告_短期P11-13" sqref="AZ145"/>
    <dataValidation allowBlank="1" showInputMessage="1" promptTitle="手入力セル" prompt="反映先：報告_短期P7-10 AZ153、報告_短期P11-13 DL14,DL53&#10;他の帳票：報告_短期P11-13" sqref="AZ146"/>
    <dataValidation allowBlank="1" showInputMessage="1" promptTitle="手入力セル" prompt="反映先：報告_短期P7-10 AZ153、報告_短期P11-13 DL15,DL54&#10;他の帳票：報告_短期P11-13" sqref="AZ147"/>
    <dataValidation allowBlank="1" showInputMessage="1" promptTitle="手入力セル" prompt="反映先：報告_短期P11-13 DL16,DL55&#10;他の帳票：報告_短期P11-13" sqref="AZ148"/>
    <dataValidation allowBlank="1" showInputMessage="1" promptTitle="手入力セル" prompt="反映先：報告_短期P11-13 DL18,DL57&#10;他の帳票：報告_短期P11-13" sqref="AZ150"/>
    <dataValidation allowBlank="1" showInputMessage="1" promptTitle="手入力セル" prompt="反映先：報告_短期P11-13 DL19,DL58&#10;他の帳票：報告_短期P11-13" sqref="AZ151"/>
    <dataValidation allowBlank="1" showInputMessage="1" promptTitle="手入力セル" prompt="反映先：報告_短期P7-10 AZ153、報告_短期P11-13 DL20,DL59&#10;他の帳票：報告_短期P11-13" sqref="AZ152"/>
    <dataValidation allowBlank="1" showInputMessage="1" promptTitle="手入力セル" prompt="反映先：報告_短期P7-10 AZ155、報告_短期P11-13 DL22,DL61&#10;他の帳票：報告_短期P11-13" sqref="AZ154"/>
    <dataValidation allowBlank="1" showInputMessage="1" promptTitle="手入力セル" prompt="反映先：報告_短期P7-10 BW144、報告_短期P11-13 EI4,EI43&#10;他の帳票：報告_短期P11-13" sqref="BW136"/>
    <dataValidation allowBlank="1" showInputMessage="1" promptTitle="手入力セル" prompt="反映先：報告_短期P7-10 BW144、報告_短期P11-13 EI5,EI44&#10;他の帳票：報告_短期P11-13" sqref="BW137"/>
    <dataValidation allowBlank="1" showInputMessage="1" promptTitle="手入力セル" prompt="反映先：報告_短期P7-10 BW144、報告_短期P11-13 EI6,EI45&#10;他の帳票：報告_短期P11-13" sqref="BW138"/>
    <dataValidation allowBlank="1" showInputMessage="1" promptTitle="手入力セル" prompt="反映先：報告_短期P11-13 EI7,EI46&#10;他の帳票：報告_短期P11-13" sqref="BW139"/>
    <dataValidation allowBlank="1" showInputMessage="1" promptTitle="手入力セル" prompt="反映先：報告_短期P11-13 EI9,EI48&#10;他の帳票：報告_短期P11-13" sqref="BW141"/>
    <dataValidation allowBlank="1" showInputMessage="1" promptTitle="手入力セル" prompt="反映先：報告_短期P7-10 BW144、報告_短期P11-13 EI10,EI49&#10;他の帳票：報告_短期P11-13" sqref="BW142"/>
    <dataValidation allowBlank="1" showInputMessage="1" promptTitle="手入力セル" prompt="反映先：報告_短期P7-10 BW153、報告_短期P11-13 EI13,EI52&#10;他の帳票：報告_短期P11-13" sqref="BW145"/>
    <dataValidation allowBlank="1" showInputMessage="1" promptTitle="手入力セル" prompt="反映先：報告_短期P7-10 BW153、報告_短期P11-13 EI14,EI53&#10;他の帳票：報告_短期P11-13" sqref="BW146"/>
    <dataValidation allowBlank="1" showInputMessage="1" promptTitle="手入力セル" prompt="反映先：報告_短期P7-10 BW153、報告_短期P11-13 EI15,EI54&#10;他の帳票：報告_短期P11-13" sqref="BW147"/>
    <dataValidation allowBlank="1" showInputMessage="1" promptTitle="手入力セル" prompt="反映先：報告_短期P11-13 EI16,EI55&#10;他の帳票：報告_短期P11-13" sqref="BW148"/>
    <dataValidation allowBlank="1" showInputMessage="1" promptTitle="手入力セル" prompt="反映先：報告_短期P11-13 EI18,EI57&#10;他の帳票：報告_短期P11-13" sqref="BW150"/>
    <dataValidation allowBlank="1" showInputMessage="1" promptTitle="手入力セル" prompt="反映先：報告_短期P7-10 BW153、報告_短期P11-13 EI19,EI58&#10;他の帳票：報告_短期P11-13" sqref="BW151"/>
    <dataValidation allowBlank="1" showInputMessage="1" promptTitle="手入力セル" prompt="反映先：報告_短期P7-10 AZ36,CB5,CB30…、報告_P8グラフデータ F5&#10;他の帳票：報告_P8グラフデータ" sqref="CB6"/>
    <dataValidation allowBlank="1" showInputMessage="1" promptTitle="手入力セル" prompt="反映先：報告_短期P7-10 CB30,DD14,FH14&#10;他の帳票：なし" sqref="CB14"/>
    <dataValidation allowBlank="1" showInputMessage="1" promptTitle="手入力セル" prompt="反映先：報告_短期P7-10 CB30,DD15,FH15&#10;他の帳票：なし" sqref="CB15"/>
    <dataValidation allowBlank="1" showInputMessage="1" promptTitle="手入力セル" prompt="反映先：報告_短期P7-10 CB30,DD16,FH16&#10;他の帳票：なし" sqref="CB16"/>
    <dataValidation allowBlank="1" showInputMessage="1" promptTitle="手入力セル" prompt="反映先：報告_短期P7-10 CB30,DD26,FH26&#10;他の帳票：なし" sqref="CB26"/>
    <dataValidation allowBlank="1" showInputMessage="1" promptTitle="手入力セル" prompt="反映先：報告_短期P7-10 CB66,DD49,FH49&#10;他の帳票：報告_短期P11-13、報告_P8グラフデータ、短期_財務諸表P27、短期_附属明細表P28-29 ほか1シート" sqref="CB49"/>
    <dataValidation allowBlank="1" showInputMessage="1" promptTitle="手入力セル" prompt="反映先：報告_短期P7-10 CB66,DD50,FH50&#10;他の帳票：報告_短期P11-13、報告_P8グラフデータ、短期_財務諸表P27、短期_附属明細表P28-29 ほか1シート" sqref="CB50"/>
    <dataValidation allowBlank="1" showInputMessage="1" promptTitle="手入力セル" prompt="反映先：報告_短期P7-10 CB66,CP142,DD51…&#10;他の帳票：報告_短期P11-13、報告_P8グラフデータ、短期_財務諸表P27、短期_附属明細表P28-29 ほか1シート" sqref="CB51"/>
    <dataValidation allowBlank="1" showInputMessage="1" promptTitle="手入力セル" prompt="反映先：報告_短期P7-10 CB66,DD52,FH52&#10;他の帳票：報告_短期P11-13、報告_P8グラフデータ、短期_財務諸表P27、短期_附属明細表P28-29 ほか1シート" sqref="CB52"/>
    <dataValidation allowBlank="1" showInputMessage="1" promptTitle="手入力セル" prompt="反映先：報告_短期P7-10 CB66,CP151,DD53…&#10;他の帳票：報告_短期P11-13、報告_P8グラフデータ、短期_財務諸表P27、短期_附属明細表P28-29 ほか1シート" sqref="CB53"/>
    <dataValidation allowBlank="1" showInputMessage="1" promptTitle="手入力セル" prompt="反映先：報告_短期P7-10 CB66,CP154,DD54…&#10;他の帳票：報告_短期P11-13、報告_P8グラフデータ、短期_財務諸表P27、短期_附属明細表P28-29 ほか1シート" sqref="CB54"/>
    <dataValidation allowBlank="1" showInputMessage="1" promptTitle="手入力セル" prompt="反映先：報告_短期P7-10 CB66,DD55,FH55&#10;他の帳票：報告_短期P11-13、報告_P8グラフデータ、短期_財務諸表P27、短期_附属明細表P28-29 ほか1シート" sqref="CB55"/>
    <dataValidation allowBlank="1" showInputMessage="1" promptTitle="手入力セル" prompt="反映先：報告_短期P7-10 CB66,DD56,FH56&#10;他の帳票：報告_短期P11-13、報告_P8グラフデータ、短期_財務諸表P27、短期_附属明細表P28-29 ほか1シート" sqref="CB56"/>
    <dataValidation allowBlank="1" showInputMessage="1" promptTitle="手入力セル" prompt="反映先：報告_短期P7-10 CB66,CP154,DD57…&#10;他の帳票：報告_短期P11-13、報告_P8グラフデータ、短期_財務諸表P27、短期_附属明細表P28-29 ほか1シート" sqref="CB57"/>
    <dataValidation allowBlank="1" showInputMessage="1" promptTitle="手入力セル" prompt="反映先：報告_短期P7-10 CB66,DD58,FH58&#10;他の帳票：報告_短期P11-13、報告_P8グラフデータ、短期_財務諸表P27、短期_附属明細表P28-29 ほか1シート" sqref="CB58"/>
    <dataValidation allowBlank="1" showInputMessage="1" promptTitle="手入力セル" prompt="反映先：報告_短期P7-10 CB66,DD59,FH59&#10;他の帳票：報告_短期P11-13、報告_P8グラフデータ、短期_財務諸表P27、短期_附属明細表P28-29 ほか1シート" sqref="CB59"/>
    <dataValidation allowBlank="1" showInputMessage="1" promptTitle="手入力セル" prompt="反映先：報告_短期P7-10 CB66,DD60,FH60&#10;他の帳票：報告_短期P11-13、報告_P8グラフデータ、短期_財務諸表P27、短期_附属明細表P28-29 ほか1シート" sqref="CB60"/>
    <dataValidation allowBlank="1" showInputMessage="1" promptTitle="手入力セル" prompt="反映先：報告_短期P7-10 CB66,DD61,FH61&#10;他の帳票：報告_短期P11-13、報告_P8グラフデータ、短期_財務諸表P27、短期_附属明細表P28-29 ほか1シート" sqref="CB61"/>
    <dataValidation allowBlank="1" showInputMessage="1" promptTitle="手入力セル" prompt="反映先：報告_短期P7-10 CB66,DD62,FH62&#10;他の帳票：報告_短期P11-13、報告_P8グラフデータ、短期_財務諸表P27、短期_附属明細表P28-29 ほか1シート" sqref="CB62"/>
    <dataValidation allowBlank="1" showInputMessage="1" promptTitle="手入力セル" prompt="反映先：報告_短期P7-10 CB66,DD63,FH63&#10;他の帳票：報告_短期P11-13、報告_P8グラフデータ、短期_財務諸表P27、短期_附属明細表P28-29 ほか1シート" sqref="CB63"/>
    <dataValidation allowBlank="1" showInputMessage="1" promptTitle="手入力セル" prompt="反映先：報告_短期P7-10 CB66,DD64,FH64&#10;他の帳票：報告_短期P11-13、報告_P8グラフデータ、短期_財務諸表P27、短期_附属明細表P28-29 ほか1シート" sqref="CB64"/>
    <dataValidation allowBlank="1" showInputMessage="1" promptTitle="手入力セル" prompt="反映先：報告_短期P7-10 CB66,DD65,FH65&#10;他の帳票：報告_短期P11-13、報告_P8グラフデータ、短期_財務諸表P27、短期_附属明細表P28-29 ほか1シート" sqref="CB65"/>
    <dataValidation allowBlank="1" showInputMessage="1" promptTitle="手入力セル" prompt="反映先：報告_短期P7-10 CB74,DD67,FH67&#10;他の帳票：報告_短期P11-13、報告_P8グラフデータ、短期_財務諸表P27、短期_附属明細表P28-29 ほか1シート" sqref="CB67"/>
    <dataValidation allowBlank="1" showInputMessage="1" promptTitle="手入力セル" prompt="反映先：報告_短期P7-10 CB74,DD68,FH68&#10;他の帳票：報告_短期P11-13、報告_P8グラフデータ、短期_財務諸表P27、短期_附属明細表P28-29 ほか1シート" sqref="CB68"/>
    <dataValidation allowBlank="1" showInputMessage="1" promptTitle="手入力セル" prompt="反映先：報告_短期P7-10 CB74,DD69,FH69&#10;他の帳票：報告_短期P11-13、報告_P8グラフデータ、短期_財務諸表P27、短期_附属明細表P28-29 ほか1シート" sqref="CB69"/>
    <dataValidation allowBlank="1" showInputMessage="1" promptTitle="手入力セル" prompt="反映先：報告_短期P7-10 CB74,DD70,FH70&#10;他の帳票：報告_短期P11-13、報告_P8グラフデータ、短期_財務諸表P27、短期_附属明細表P28-29 ほか1シート" sqref="CB70"/>
    <dataValidation allowBlank="1" showInputMessage="1" promptTitle="手入力セル" prompt="反映先：報告_短期P7-10 CB74,DD71,FH71&#10;他の帳票：報告_短期P11-13、報告_P8グラフデータ、短期_財務諸表P27、短期_附属明細表P28-29 ほか1シート" sqref="CB71"/>
    <dataValidation allowBlank="1" showInputMessage="1" promptTitle="手入力セル" prompt="反映先：報告_短期P7-10 CB74,DD72,FH72&#10;他の帳票：報告_短期P11-13、報告_P8グラフデータ、短期_財務諸表P27、短期_附属明細表P28-29 ほか1シート" sqref="CB72"/>
    <dataValidation allowBlank="1" showInputMessage="1" promptTitle="手入力セル" prompt="反映先：報告_短期P7-10 CB74,DD73,FH73&#10;他の帳票：報告_短期P11-13、報告_P8グラフデータ、短期_財務諸表P27、短期_附属明細表P28-29 ほか1シート" sqref="CB73"/>
    <dataValidation allowBlank="1" showInputMessage="1" promptTitle="手入力セル" prompt="反映先：報告_短期P7-10 CB78,DD75,FH75&#10;他の帳票：報告_P8グラフデータ" sqref="CB75"/>
    <dataValidation allowBlank="1" showInputMessage="1" promptTitle="手入力セル" prompt="反映先：報告_短期P7-10 CB78,DD76,FH76&#10;他の帳票：報告_P8グラフデータ" sqref="CB76"/>
    <dataValidation allowBlank="1" showInputMessage="1" promptTitle="手入力セル" prompt="反映先：報告_短期P7-10 CB78,DD77,FH77&#10;他の帳票：報告_P8グラフデータ" sqref="CB77"/>
    <dataValidation allowBlank="1" showInputMessage="1" promptTitle="手入力セル" prompt="反映先：報告_短期P7-10 CB89,DD82,FH82&#10;他の帳票：報告_短期P11-13、報告_P8グラフデータ、短期_財務諸表P27、短期_附属明細表P28-29 ほか1シート" sqref="CB82"/>
    <dataValidation allowBlank="1" showInputMessage="1" promptTitle="手入力セル" prompt="反映先：報告_短期P7-10 CB89,DD83,FH83&#10;他の帳票：報告_短期P11-13、報告_P8グラフデータ、短期_財務諸表P27、短期_附属明細表P28-29 ほか1シート" sqref="CB83"/>
    <dataValidation allowBlank="1" showInputMessage="1" promptTitle="手入力セル" prompt="反映先：報告_短期P7-10 CB89,DD84,FH84&#10;他の帳票：報告_短期P11-13、報告_P8グラフデータ、短期_財務諸表P27、短期_附属明細表P28-29 ほか1シート" sqref="CB84"/>
    <dataValidation allowBlank="1" showInputMessage="1" promptTitle="手入力セル" prompt="反映先：報告_短期P7-10 CB89,DD85,FH85&#10;他の帳票：報告_短期P11-13、報告_P8グラフデータ、短期_財務諸表P27、短期_附属明細表P28-29 ほか1シート" sqref="CB85"/>
    <dataValidation allowBlank="1" showInputMessage="1" promptTitle="手入力セル" prompt="反映先：報告_短期P7-10 CB89,DD86,FH86&#10;他の帳票：報告_短期P11-13、報告_P8グラフデータ、短期_財務諸表P27、短期_附属明細表P28-29 ほか1シート" sqref="CB86"/>
    <dataValidation allowBlank="1" showInputMessage="1" promptTitle="手入力セル" prompt="反映先：報告_短期P7-10 CB89,DD87,FH87&#10;他の帳票：報告_短期P11-13、報告_P8グラフデータ、短期_財務諸表P27、短期_附属明細表P28-29 ほか1シート" sqref="CB87"/>
    <dataValidation allowBlank="1" showInputMessage="1" promptTitle="手入力セル" prompt="反映先：報告_短期P7-10 CB89,DD88,FH88&#10;他の帳票：報告_短期P11-13、報告_P8グラフデータ、短期_財務諸表P27、短期_附属明細表P28-29 ほか1シート" sqref="CB88"/>
    <dataValidation allowBlank="1" showInputMessage="1" promptTitle="手入力セル" prompt="反映先：報告_短期P7-10 CB102,DD100,FH100&#10;他の帳票：報告_短期P11-13、報告_P8グラフデータ、短期_財務諸表P27、短期_附属明細表P28-29 ほか1シート" sqref="CB100"/>
    <dataValidation allowBlank="1" showInputMessage="1" promptTitle="手入力セル" prompt="反映先：報告_短期P7-10 CB102,DD101,FH101&#10;他の帳票：報告_短期P11-13、報告_P8グラフデータ、短期_財務諸表P27、短期_附属明細表P28-29 ほか1シート" sqref="CB101"/>
    <dataValidation allowBlank="1" showInputMessage="1" promptTitle="手入力セル" prompt="反映先：報告_短期P7-10 CB105,DD103,FH103&#10;他の帳票：報告_短期P11-13、報告_P8グラフデータ、短期_財務諸表P27、短期_附属明細表P28-29 ほか1シート" sqref="CB103"/>
    <dataValidation allowBlank="1" showInputMessage="1" promptTitle="手入力セル" prompt="反映先：報告_短期P7-10 CB105,DD104,FH104&#10;他の帳票：報告_短期P11-13、報告_P8グラフデータ、短期_財務諸表P27、短期_附属明細表P28-29 ほか1シート" sqref="CB104"/>
    <dataValidation allowBlank="1" showInputMessage="1" promptTitle="手入力セル" prompt="反映先：報告_短期P7-10 CP144、報告_短期P11-13 FB4,FB43&#10;他の帳票：報告_短期P11-13" sqref="CP136"/>
    <dataValidation allowBlank="1" showInputMessage="1" promptTitle="手入力セル" prompt="反映先：報告_短期P7-10 CP144、報告_短期P11-13 FB5,FB44&#10;他の帳票：報告_短期P11-13" sqref="CP137"/>
    <dataValidation allowBlank="1" showInputMessage="1" promptTitle="手入力セル" prompt="反映先：報告_短期P7-10 CP144、報告_短期P11-13 FB6,FB45&#10;他の帳票：報告_短期P11-13" sqref="CP138"/>
    <dataValidation allowBlank="1" showInputMessage="1" promptTitle="手入力セル" prompt="反映先：報告_短期P7-10 CP144、報告_短期P11-13 FB7,FB46&#10;他の帳票：報告_短期P11-13" sqref="CP139"/>
    <dataValidation allowBlank="1" showInputMessage="1" promptTitle="手入力セル" prompt="反映先：報告_短期P7-10 CP144、報告_短期P11-13 FB9,FB48&#10;他の帳票：報告_短期P11-13" sqref="CP141"/>
    <dataValidation allowBlank="1" showInputMessage="1" promptTitle="手入力セル" prompt="反映先：報告_短期P7-10 CP144、報告_短期P11-13 FB11,FB50&#10;他の帳票：報告_短期P11-13" sqref="CP143"/>
    <dataValidation allowBlank="1" showInputMessage="1" promptTitle="手入力セル" prompt="反映先：報告_短期P7-10 CP153、報告_短期P11-13 FB13,FB52&#10;他の帳票：報告_短期P11-13" sqref="CP145"/>
    <dataValidation allowBlank="1" showInputMessage="1" promptTitle="手入力セル" prompt="反映先：報告_短期P7-10 CP153、報告_短期P11-13 FB14,FB53&#10;他の帳票：報告_短期P11-13" sqref="CP146"/>
    <dataValidation allowBlank="1" showInputMessage="1" promptTitle="手入力セル" prompt="反映先：報告_短期P7-10 CP153、報告_短期P11-13 FB15,FB54&#10;他の帳票：報告_短期P11-13" sqref="CP147"/>
    <dataValidation allowBlank="1" showInputMessage="1" promptTitle="手入力セル" prompt="反映先：報告_短期P7-10 CP153、報告_短期P11-13 FB16,FB55&#10;他の帳票：報告_短期P11-13" sqref="CP148"/>
    <dataValidation allowBlank="1" showInputMessage="1" promptTitle="手入力セル" prompt="反映先：報告_短期P7-10 CP153、報告_短期P11-13 FB18,FB57&#10;他の帳票：報告_短期P11-13" sqref="CP150"/>
    <dataValidation allowBlank="1" showInputMessage="1" promptTitle="手入力セル" prompt="反映先：報告_短期P7-10 CP153、報告_短期P11-13 FB20,FB59&#10;他の帳票：報告_短期P11-13" sqref="CP152"/>
  </dataValidations>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'短期_財務諸表P27'!G13</f>
        <v>907739421</v>
      </c>
      <c r="Y90" s="2032"/>
      <c r="Z90" s="2032"/>
      <c r="AA90" s="2032"/>
      <c r="AB90" s="2032"/>
      <c r="AC90" s="2032"/>
      <c r="AD90" s="2032"/>
      <c r="AE90" s="2032"/>
      <c r="AF90" s="2032"/>
      <c r="AG90" s="2032"/>
      <c r="AH90" s="2032"/>
      <c r="AI90" s="2032"/>
      <c r="AJ90" s="2032"/>
      <c r="AK90" s="2032"/>
      <c r="AL90" s="2032"/>
      <c r="AM90" s="226"/>
      <c r="AN90" s="2032">
        <f>'短期_財務諸表P27'!H56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'短期_財務諸表P27'!F19</f>
        <v>533584212</v>
      </c>
      <c r="Y91" s="2032"/>
      <c r="Z91" s="2032"/>
      <c r="AA91" s="2032"/>
      <c r="AB91" s="2032"/>
      <c r="AC91" s="2032"/>
      <c r="AD91" s="2032"/>
      <c r="AE91" s="2032"/>
      <c r="AF91" s="2032"/>
      <c r="AG91" s="2032"/>
      <c r="AH91" s="2032"/>
      <c r="AI91" s="2032"/>
      <c r="AJ91" s="2032"/>
      <c r="AK91" s="2032"/>
      <c r="AL91" s="2032"/>
      <c r="AM91" s="226"/>
      <c r="AN91" s="2032">
        <f>'短期_附属明細表P28-29'!E99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'短期_財務諸表P27'!F20</f>
        <v>2358068031</v>
      </c>
      <c r="Y95" s="2032"/>
      <c r="Z95" s="2032"/>
      <c r="AA95" s="2032"/>
      <c r="AB95" s="2032"/>
      <c r="AC95" s="2032"/>
      <c r="AD95" s="2032"/>
      <c r="AE95" s="2032"/>
      <c r="AF95" s="2032"/>
      <c r="AG95" s="2032"/>
      <c r="AH95" s="2032"/>
      <c r="AI95" s="2032"/>
      <c r="AJ95" s="2032"/>
      <c r="AK95" s="2032"/>
      <c r="AL95" s="2032"/>
      <c r="AM95" s="226"/>
      <c r="AN95" s="2032">
        <f>'短期_附属明細表P28-29'!K109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'短期_財務諸表P27'!F21</f>
        <v>158483531</v>
      </c>
      <c r="Y97" s="2037"/>
      <c r="Z97" s="2037"/>
      <c r="AA97" s="2037"/>
      <c r="AB97" s="2037"/>
      <c r="AC97" s="2037"/>
      <c r="AD97" s="2037"/>
      <c r="AE97" s="2037"/>
      <c r="AF97" s="2037"/>
      <c r="AG97" s="2037"/>
      <c r="AH97" s="2037"/>
      <c r="AI97" s="2037"/>
      <c r="AJ97" s="2037"/>
      <c r="AK97" s="2037"/>
      <c r="AL97" s="2037"/>
      <c r="AM97" s="226"/>
      <c r="AN97" s="2037">
        <f>'短期_附属明細表P28-29'!E101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P27'!C63=0,"0",IF('短期_財務諸表P27'!C63&gt;=100000000,TEXT(INT('短期_財務諸表P27'!C63/100000000),"#,##0")&amp;"億","")&amp;IF(MOD(INT('短期_財務諸表P27'!C63/10000),10000)&gt;0,TEXT(MOD(INT('短期_財務諸表P27'!C63/10000),10000),"#,##0")&amp;"万","")&amp;IF(MOD('短期_財務諸表P27'!C63,10000)&gt;0,TEXT(MOD('短期_財務諸表P27'!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P28-29'!I99=0,"0",IF('短期_附属明細表P28-29'!I99&gt;=100000000,TEXT(INT('短期_附属明細表P28-29'!I99/100000000),"#,##0")&amp;"億","")&amp;IF(MOD(INT('短期_附属明細表P28-29'!I99/10000),10000)&gt;0,TEXT(MOD(INT('短期_附属明細表P28-29'!I99/10000),10000),"#,##0")&amp;"万","")&amp;IF(MOD('短期_附属明細表P28-29'!I99,10000)&gt;0,TEXT(MOD('短期_附属明細表P28-29'!I99,10000),"#,##0"),""))&amp;"円"&amp;"を積み立て法定額とし、"&amp;IF('短期_附属明細表P28-29'!I100=0,"0",IF('短期_附属明細表P28-29'!I100&gt;=100000000,TEXT(INT('短期_附属明細表P28-29'!I100/100000000),"#,##0")&amp;"億","")&amp;IF(MOD(INT('短期_附属明細表P28-29'!I100/10000),10000)&gt;0,TEXT(MOD(INT('短期_附属明細表P28-29'!I100/10000),10000),"#,##0")&amp;"万","")&amp;IF(MOD('短期_附属明細表P28-29'!I100,10000)&gt;0,TEXT(MOD('短期_附属明細表P28-29'!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P28-29'!E99=0,"0",IF('短期_附属明細表P28-29'!E99&gt;=100000000,TEXT(INT('短期_附属明細表P28-29'!E99/100000000),"#,##0")&amp;"億","")&amp;IF(MOD(INT('短期_附属明細表P28-29'!E99/10000),10000)&gt;0,TEXT(MOD(INT('短期_附属明細表P28-29'!E99/10000),10000),"#,##0")&amp;"万","")&amp;IF(MOD('短期_附属明細表P28-29'!E99,10000)&gt;0,TEXT(MOD('短期_附属明細表P28-29'!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P28-29'!Q99=0,"0",IF('短期_附属明細表P28-29'!Q99&gt;=100000000,TEXT(INT('短期_附属明細表P28-29'!Q99/100000000),"#,##0")&amp;"億","")&amp;IF(MOD(INT('短期_附属明細表P28-29'!Q99/10000),10000)&gt;0,TEXT(MOD(INT('短期_附属明細表P28-29'!Q99/10000),10000),"#,##0")&amp;"万","")&amp;IF(MOD('短期_附属明細表P28-29'!Q99,10000)&gt;0,TEXT(MOD('短期_附属明細表P28-29'!Q99,10000),"#,##0"),""))&amp;"円"&amp;"となり、また、前年度より繰り越した短期積立金"&amp;IF('短期_附属明細表P28-29'!E100=0,"0",IF('短期_附属明細表P28-29'!E100&gt;=100000000,TEXT(INT('短期_附属明細表P28-29'!E100/100000000),"#,##0")&amp;"億","")&amp;IF(MOD(INT('短期_附属明細表P28-29'!E100/10000),10000)&gt;0,TEXT(MOD(INT('短期_附属明細表P28-29'!E100/10000),10000),"#,##0")&amp;"万","")&amp;IF(MOD('短期_附属明細表P28-29'!E100,10000)&gt;0,TEXT(MOD('短期_附属明細表P28-29'!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P28-29'!Q100=0,"0",IF('短期_附属明細表P28-29'!Q100&gt;=100000000,TEXT(INT('短期_附属明細表P28-29'!Q100/100000000),"#,##0")&amp;"億","")&amp;IF(MOD(INT('短期_附属明細表P28-29'!Q100/10000),10000)&gt;0,TEXT(MOD(INT('短期_附属明細表P28-29'!Q100/10000),10000),"#,##0")&amp;"万","")&amp;IF(MOD('短期_附属明細表P28-29'!Q100,10000)&gt;0,TEXT(MOD('短期_附属明細表P28-29'!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P27'!C64=0,"0",IF('短期_財務諸表P27'!C64&gt;=100000000,TEXT(INT('短期_財務諸表P27'!C64/100000000),"#,##0")&amp;"億","")&amp;IF(MOD(INT('短期_財務諸表P27'!C64/10000),10000)&gt;0,TEXT(MOD(INT('短期_財務諸表P27'!C64/10000),10000),"#,##0")&amp;"万","")&amp;IF(MOD('短期_財務諸表P27'!C64,10000)&gt;0,TEXT(MOD('短期_財務諸表P27'!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P28-29'!E101=0,"0",IF('短期_附属明細表P28-29'!E101&gt;=100000000,TEXT(INT('短期_附属明細表P28-29'!E101/100000000),"#,##0")&amp;"億","")&amp;IF(MOD(INT('短期_附属明細表P28-29'!E101/10000),10000)&gt;0,TEXT(MOD(INT('短期_附属明細表P28-29'!E101/10000),10000),"#,##0")&amp;"万","")&amp;IF(MOD('短期_附属明細表P28-29'!E101,10000)&gt;0,TEXT(MOD('短期_附属明細表P28-29'!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P28-29'!Q101=0,"0",IF('短期_附属明細表P28-29'!Q101&gt;=100000000,TEXT(INT('短期_附属明細表P28-29'!Q101/100000000),"#,##0")&amp;"億","")&amp;IF(MOD(INT('短期_附属明細表P28-29'!Q101/10000),10000)&gt;0,TEXT(MOD(INT('短期_附属明細表P28-29'!Q101/10000),10000),"#,##0")&amp;"万","")&amp;IF(MOD('短期_附属明細表P28-29'!Q101,10000)&gt;0,TEXT(MOD('短期_附属明細表P28-29'!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P28-29'!Q102=0,"0",IF('短期_附属明細表P28-29'!Q102&gt;=100000000,TEXT(INT('短期_附属明細表P28-29'!Q102/100000000),"#,##0")&amp;"億","")&amp;IF(MOD(INT('短期_附属明細表P28-29'!Q102/10000),10000)&gt;0,TEXT(MOD(INT('短期_附属明細表P28-29'!Q102/10000),10000),"#,##0")&amp;"万","")&amp;IF(MOD('短期_附属明細表P28-29'!Q102,10000)&gt;0,TEXT(MOD('短期_附属明細表P28-29'!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conditionalFormatting sqref="H85 S85 AD85 AY85 DE28 DE66 EB28 EB66">
    <cfRule type="expression" dxfId="6" priority="2">
      <formula>AND(入力色表示=1,NOT(_xlfn.ISFORMULA(H85)))</formula>
    </cfRule>
  </conditionalFormatting>
  <conditionalFormatting sqref="AD18 AA49 AP49">
    <cfRule type="expression" dxfId="7" priority="1">
      <formula>入力色表示=1</formula>
    </cfRule>
  </conditionalFormatting>
  <dataValidations count="5">
    <dataValidation allowBlank="1" showInputMessage="1" promptTitle="手入力セル" prompt="反映先：報告_短期P11-13 AO85&#10;他の帳票：なし" sqref="H85 S85 AD85"/>
    <dataValidation allowBlank="1" showInputMessage="1" promptTitle="手入力セル" prompt="反映先：報告_短期P11-13 AX4,AX5,AX6…&#10;他の帳票：なし" sqref="DE28"/>
    <dataValidation allowBlank="1" showInputMessage="1" promptTitle="手入力セル" prompt="反映先：報告_短期P11-13 L80,Q61,V58…&#10;他の帳票：報告_P8グラフデータ" sqref="DE66"/>
    <dataValidation allowBlank="1" showInputMessage="1" promptTitle="手入力セル" prompt="反映先：報告_短期P11-13 AX12,AX13,AX14…&#10;他の帳票：なし" sqref="EB28"/>
    <dataValidation allowBlank="1" showInputMessage="1" promptTitle="手入力セル" prompt="反映先：報告_短期P11-13 Z80,EY66&#10;他の帳票：なし" sqref="EB66"/>
  </dataValidations>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tabColor rgb="FFA6A6A6"/>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3060">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61">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61">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61">
        <f>'報告_短期P7-10'!CB25</f>
        <v>0</v>
      </c>
      <c r="G7" s="306">
        <f t="shared" si="2"/>
        <v>0</v>
      </c>
      <c r="H7" s="307">
        <f t="shared" si="3"/>
        <v>0</v>
      </c>
    </row>
    <row r="8" spans="1:8" ht="18" customHeight="1">
      <c r="A8" s="297" t="s">
        <v>107</v>
      </c>
      <c r="B8" s="1668">
        <f t="shared" si="0"/>
        <v>36503</v>
      </c>
      <c r="C8" s="303">
        <f t="shared" si="1"/>
        <v>5.41</v>
      </c>
      <c r="E8" s="304" t="s">
        <v>562</v>
      </c>
      <c r="F8" s="3061">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61">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61">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61">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61">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61">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61">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61">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61">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61">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61">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conditionalFormatting sqref="B8 B11">
    <cfRule type="expression" dxfId="7" priority="1">
      <formula>入力色表示=1</formula>
    </cfRule>
  </conditionalFormatting>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conditionalFormatting sqref="B9 M33 M34 M35 M36 M38 M39 M40 M57 N9 N22 W33 W34 W35 W36 W38 W39 W40 W57">
    <cfRule type="expression" dxfId="6" priority="2">
      <formula>AND(入力色表示=1,NOT(_xlfn.ISFORMULA(B9)))</formula>
    </cfRule>
  </conditionalFormatting>
  <dataValidations count="17">
    <dataValidation allowBlank="1" showInputMessage="1" promptTitle="手入力セル" prompt="反映先：なし（このセルのみ）" sqref="B9 N9 N22"/>
    <dataValidation allowBlank="1" showInputMessage="1" promptTitle="手入力セル" prompt="反映先：報告_厚生年金P14 M32,AG33&#10;他の帳票：なし" sqref="M33"/>
    <dataValidation allowBlank="1" showInputMessage="1" promptTitle="手入力セル" prompt="反映先：報告_厚生年金P14 M32,AG34&#10;他の帳票：なし" sqref="M34"/>
    <dataValidation allowBlank="1" showInputMessage="1" promptTitle="手入力セル" prompt="反映先：報告_厚生年金P14 M32,AG35&#10;他の帳票：なし" sqref="M35"/>
    <dataValidation allowBlank="1" showInputMessage="1" promptTitle="手入力セル" prompt="反映先：報告_厚生年金P14 M32,AG36&#10;他の帳票：なし" sqref="M36"/>
    <dataValidation allowBlank="1" showInputMessage="1" promptTitle="手入力セル" prompt="反映先：報告_厚生年金P14 M37,AG38&#10;他の帳票：なし" sqref="M38"/>
    <dataValidation allowBlank="1" showInputMessage="1" promptTitle="手入力セル" prompt="反映先：報告_厚生年金P14 M37,AG39&#10;他の帳票：なし" sqref="M39"/>
    <dataValidation allowBlank="1" showInputMessage="1" promptTitle="手入力セル" prompt="反映先：報告_厚生年金P14 AG40&#10;他の帳票：なし" sqref="M40"/>
    <dataValidation allowBlank="1" showInputMessage="1" promptTitle="手入力セル" prompt="反映先：報告_厚生年金P14 M58,AG57&#10;他の帳票：なし" sqref="M57"/>
    <dataValidation allowBlank="1" showInputMessage="1" promptTitle="手入力セル" prompt="反映先：報告_厚生年金P14 W32,AG33,BA33&#10;他の帳票：厚生_貸借・損益P31、厚生_決算精算表P33" sqref="W33"/>
    <dataValidation allowBlank="1" showInputMessage="1" promptTitle="手入力セル" prompt="反映先：報告_厚生年金P14 W32,AG34,BA34&#10;他の帳票：厚生_貸借・損益P31、厚生_決算精算表P33" sqref="W34"/>
    <dataValidation allowBlank="1" showInputMessage="1" promptTitle="手入力セル" prompt="反映先：報告_厚生年金P14 W32,AG35,BA35&#10;他の帳票：厚生_貸借・損益P31、厚生_決算精算表P33" sqref="W35"/>
    <dataValidation allowBlank="1" showInputMessage="1" promptTitle="手入力セル" prompt="反映先：報告_厚生年金P14 W32,AG36,BA36&#10;他の帳票：厚生_貸借・損益P31、厚生_決算精算表P33" sqref="W36"/>
    <dataValidation allowBlank="1" showInputMessage="1" promptTitle="手入力セル" prompt="反映先：報告_厚生年金P14 W37,AG38,BA38&#10;他の帳票：厚生_貸借・損益P31、厚生_決算精算表P33" sqref="W38"/>
    <dataValidation allowBlank="1" showInputMessage="1" promptTitle="手入力セル" prompt="反映先：報告_厚生年金P14 W37,AG39,BA39&#10;他の帳票：厚生_貸借・損益P31、厚生_決算精算表P33" sqref="W39"/>
    <dataValidation allowBlank="1" showInputMessage="1" promptTitle="手入力セル" prompt="反映先：報告_厚生年金P14 AG40,BA40&#10;他の帳票：なし" sqref="W40"/>
    <dataValidation allowBlank="1" showInputMessage="1" promptTitle="手入力セル" prompt="反映先：報告_厚生年金P14 W58,AG57,BA57&#10;他の帳票：なし" sqref="W57"/>
  </dataValidations>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conditionalFormatting sqref="B10 M20 M21 M23 M24 M25 M42 N10 W20 W21 W23 W24 W25 W42">
    <cfRule type="expression" dxfId="6" priority="2">
      <formula>AND(入力色表示=1,NOT(_xlfn.ISFORMULA(B10)))</formula>
    </cfRule>
  </conditionalFormatting>
  <dataValidations count="13">
    <dataValidation allowBlank="1" showInputMessage="1" promptTitle="手入力セル" prompt="反映先：なし（このセルのみ）" sqref="B10 N10"/>
    <dataValidation allowBlank="1" showInputMessage="1" promptTitle="手入力セル" prompt="反映先：報告_退職等年金P15 M19,AG20&#10;他の帳票：なし" sqref="M20"/>
    <dataValidation allowBlank="1" showInputMessage="1" promptTitle="手入力セル" prompt="反映先：報告_退職等年金P15 M19,AG21&#10;他の帳票：なし" sqref="M21"/>
    <dataValidation allowBlank="1" showInputMessage="1" promptTitle="手入力セル" prompt="反映先：報告_退職等年金P15 M22,AG23&#10;他の帳票：なし" sqref="M23"/>
    <dataValidation allowBlank="1" showInputMessage="1" promptTitle="手入力セル" prompt="反映先：報告_退職等年金P15 M22,AG24&#10;他の帳票：なし" sqref="M24"/>
    <dataValidation allowBlank="1" showInputMessage="1" promptTitle="手入力セル" prompt="反映先：報告_退職等年金P15 AG25&#10;他の帳票：なし" sqref="M25"/>
    <dataValidation allowBlank="1" showInputMessage="1" promptTitle="手入力セル" prompt="反映先：報告_退職等年金P15 M43,AG42&#10;他の帳票：なし" sqref="M42"/>
    <dataValidation allowBlank="1" showInputMessage="1" promptTitle="手入力セル" prompt="反映先：報告_退職等年金P15 W19,AG20,BA20&#10;他の帳票：退職等_貸借・損益P35、退職等_決算精算表P37" sqref="W20"/>
    <dataValidation allowBlank="1" showInputMessage="1" promptTitle="手入力セル" prompt="反映先：報告_退職等年金P15 W19,AG21,BA21&#10;他の帳票：退職等_貸借・損益P35、退職等_決算精算表P37" sqref="W21"/>
    <dataValidation allowBlank="1" showInputMessage="1" promptTitle="手入力セル" prompt="反映先：報告_退職等年金P15 W22,AG23,BA23&#10;他の帳票：退職等_貸借・損益P35、退職等_決算精算表P37" sqref="W23"/>
    <dataValidation allowBlank="1" showInputMessage="1" promptTitle="手入力セル" prompt="反映先：報告_退職等年金P15 W22,AG24,BA24&#10;他の帳票：退職等_貸借・損益P35、退職等_決算精算表P37" sqref="W24"/>
    <dataValidation allowBlank="1" showInputMessage="1" promptTitle="手入力セル" prompt="反映先：報告_退職等年金P15 AG25,BA25&#10;他の帳票：なし" sqref="W25"/>
    <dataValidation allowBlank="1" showInputMessage="1" promptTitle="手入力セル" prompt="反映先：報告_退職等年金P15 W43,AG42,BA42&#10;他の帳票：なし" sqref="W42"/>
  </dataValidations>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conditionalFormatting sqref="B10 M26 M27 M28 M29 M30 M44 N16 W26 W27 W28 W29 W30">
    <cfRule type="expression" dxfId="6" priority="2">
      <formula>AND(入力色表示=1,NOT(_xlfn.ISFORMULA(B10)))</formula>
    </cfRule>
  </conditionalFormatting>
  <dataValidations count="12">
    <dataValidation allowBlank="1" showInputMessage="1" promptTitle="手入力セル" prompt="反映先：なし（このセルのみ）" sqref="B10 N16"/>
    <dataValidation allowBlank="1" showInputMessage="1" promptTitle="手入力セル" prompt="反映先：報告_経過的長期P16 M25,AG26&#10;他の帳票：なし" sqref="M26"/>
    <dataValidation allowBlank="1" showInputMessage="1" promptTitle="手入力セル" prompt="反映先：報告_経過的長期P16 M25,AG27&#10;他の帳票：なし" sqref="M27"/>
    <dataValidation allowBlank="1" showInputMessage="1" promptTitle="手入力セル" prompt="反映先：報告_経過的長期P16 M25,AG28&#10;他の帳票：なし" sqref="M28"/>
    <dataValidation allowBlank="1" showInputMessage="1" promptTitle="手入力セル" prompt="反映先：報告_経過的長期P16 M25,AG29&#10;他の帳票：なし" sqref="M29"/>
    <dataValidation allowBlank="1" showInputMessage="1" promptTitle="手入力セル" prompt="反映先：報告_経過的長期P16 AG30&#10;他の帳票：なし" sqref="M30"/>
    <dataValidation allowBlank="1" showInputMessage="1" promptTitle="手入力セル" prompt="反映先：報告_経過的長期P16 M45,AG44&#10;他の帳票：なし" sqref="M44"/>
    <dataValidation allowBlank="1" showInputMessage="1" promptTitle="手入力セル" prompt="反映先：報告_経過的長期P16 W25,AG26,BA26&#10;他の帳票：経過的_貸借・損益P39、経過的_決算精算表P41" sqref="W26"/>
    <dataValidation allowBlank="1" showInputMessage="1" promptTitle="手入力セル" prompt="反映先：報告_経過的長期P16 W25,AG27,BA27&#10;他の帳票：経過的_貸借・損益P39、経過的_決算精算表P41" sqref="W27"/>
    <dataValidation allowBlank="1" showInputMessage="1" promptTitle="手入力セル" prompt="反映先：報告_経過的長期P16 W25,AG28,BA28&#10;他の帳票：経過的_貸借・損益P39、経過的_決算精算表P41" sqref="W28"/>
    <dataValidation allowBlank="1" showInputMessage="1" promptTitle="手入力セル" prompt="反映先：報告_経過的長期P16 W25,AG29,BA29&#10;他の帳票：経過的_貸借・損益P39、経過的_決算精算表P41" sqref="W29"/>
    <dataValidation allowBlank="1" showInputMessage="1" promptTitle="手入力セル" prompt="反映先：報告_経過的長期P16 AG30,BA30&#10;他の帳票：なし" sqref="W30"/>
  </dataValidations>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'預託金_貸借・損益P43'!K27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'預託金_貸借・損益P43'!D27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'預託金_預金・未収・貸付・預託金P44'!C21</f>
        <v>105000000</v>
      </c>
      <c r="G25" s="389">
        <f>'預託金_預金・未収・貸付・預託金P44'!F21</f>
        <v>0</v>
      </c>
      <c r="H25" s="389">
        <f>'預託金_預金・未収・貸付・預託金P44'!I21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conditionalFormatting sqref="F8 F9 F18 G9 G18 J25">
    <cfRule type="expression" dxfId="6" priority="2">
      <formula>AND(入力色表示=1,NOT(_xlfn.ISFORMULA(F8)))</formula>
    </cfRule>
  </conditionalFormatting>
  <dataValidations count="5">
    <dataValidation allowBlank="1" showInputMessage="1" promptTitle="手入力セル" prompt="反映先：報告_預託金P17 F10,F17,H8&#10;他の帳票：なし" sqref="F8"/>
    <dataValidation allowBlank="1" showInputMessage="1" promptTitle="手入力セル" prompt="反映先：報告_預託金P17 F10,H9&#10;他の帳票：なし" sqref="F9"/>
    <dataValidation allowBlank="1" showInputMessage="1" promptTitle="手入力セル" prompt="反映先：報告_預託金P17 F19,H18&#10;他の帳票：なし" sqref="F18"/>
    <dataValidation allowBlank="1" showInputMessage="1" promptTitle="手入力セル" prompt="反映先：報告_預託金P17 G10,H9,J9&#10;他の帳票：なし" sqref="G9"/>
    <dataValidation allowBlank="1" showInputMessage="1" promptTitle="手入力セル" prompt="反映先：報告_預託金P17 G19,H18,J18&#10;他の帳票：なし" sqref="G18"/>
  </dataValidations>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'預託金_預金・未収・貸付・預託金P44'!F8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'預託金_預金・未収・貸付・預託金P44'!C15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'預託金_預金・未収・貸付・預託金P44'!M22</f>
        <v>0</v>
      </c>
      <c r="G9" s="412">
        <f t="shared" si="1"/>
        <v>0</v>
      </c>
      <c r="H9" s="413">
        <f t="shared" si="2"/>
        <v>0</v>
      </c>
      <c r="I9" s="412">
        <f t="shared" si="2"/>
        <v>0</v>
      </c>
      <c r="J9" s="411">
        <f>'預託金_預金・未収・貸付・預託金P44'!C21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conditionalFormatting sqref="D6 D7 D9 D10 F10">
    <cfRule type="expression" dxfId="6" priority="2">
      <formula>AND(入力色表示=1,NOT(_xlfn.ISFORMULA(D6)))</formula>
    </cfRule>
  </conditionalFormatting>
  <dataValidations count="5">
    <dataValidation allowBlank="1" showInputMessage="1" promptTitle="手入力セル" prompt="反映先：報告_預託金のカメラ D8,E6,H6&#10;他の帳票：なし" sqref="D6"/>
    <dataValidation allowBlank="1" showInputMessage="1" promptTitle="手入力セル" prompt="反映先：報告_預託金のカメラ D8,E7,H7&#10;他の帳票：なし" sqref="D7"/>
    <dataValidation allowBlank="1" showInputMessage="1" promptTitle="手入力セル" prompt="反映先：報告_預託金のカメラ D11,E9,H9&#10;他の帳票：なし" sqref="D9"/>
    <dataValidation allowBlank="1" showInputMessage="1" promptTitle="手入力セル" prompt="反映先：報告_預託金のカメラ D11,E10,H10&#10;他の帳票：なし" sqref="D10"/>
    <dataValidation allowBlank="1" showInputMessage="1" promptTitle="手入力セル" prompt="反映先：報告_預託金のカメラ F11,G10,H10…&#10;他の帳票：なし" sqref="F10"/>
  </dataValidations>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'業務_財務諸表P47'!F38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'業務_財務諸表P47'!F42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'業務_財務諸表P47'!G43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'業務_財務諸表P47'!G47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'業務_財務諸表P47'!F39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conditionalFormatting sqref="M27 M28 M29 M30 M31 AJ7 AJ8 AJ9 AJ10 AJ11 AJ21">
    <cfRule type="expression" dxfId="6" priority="2">
      <formula>AND(入力色表示=1,NOT(_xlfn.ISFORMULA(M27)))</formula>
    </cfRule>
  </conditionalFormatting>
  <dataValidations count="11">
    <dataValidation allowBlank="1" showInputMessage="1" promptTitle="手入力セル" prompt="反映先：報告_業務P18 M32,AE27&#10;他の帳票：なし" sqref="M27"/>
    <dataValidation allowBlank="1" showInputMessage="1" promptTitle="手入力セル" prompt="反映先：報告_業務P18 M32,AE28&#10;他の帳票：なし" sqref="M28"/>
    <dataValidation allowBlank="1" showInputMessage="1" promptTitle="手入力セル" prompt="反映先：報告_業務P18 M32,AE29&#10;他の帳票：なし" sqref="M29"/>
    <dataValidation allowBlank="1" showInputMessage="1" promptTitle="手入力セル" prompt="反映先：報告_業務P18 M32,AE30&#10;他の帳票：なし" sqref="M30"/>
    <dataValidation allowBlank="1" showInputMessage="1" promptTitle="手入力セル" prompt="反映先：報告_業務P18 M32,AE31&#10;他の帳票：なし" sqref="M31"/>
    <dataValidation allowBlank="1" showInputMessage="1" promptTitle="手入力セル" prompt="反映先：報告_業務P18 AU7&#10;他の帳票：なし" sqref="AJ7"/>
    <dataValidation allowBlank="1" showInputMessage="1" promptTitle="手入力セル" prompt="反映先：報告_業務P18 AJ6,AU8&#10;他の帳票：なし" sqref="AJ8"/>
    <dataValidation allowBlank="1" showInputMessage="1" promptTitle="手入力セル" prompt="反映先：報告_業務P18 AJ6,AU9&#10;他の帳票：なし" sqref="AJ9"/>
    <dataValidation allowBlank="1" showInputMessage="1" promptTitle="手入力セル" prompt="反映先：報告_業務P18 AJ6,AU10&#10;他の帳票：なし" sqref="AJ10"/>
    <dataValidation allowBlank="1" showInputMessage="1" promptTitle="手入力セル" prompt="反映先：報告_業務P18 AJ6,AU11&#10;他の帳票：なし" sqref="AJ11"/>
    <dataValidation allowBlank="1" showInputMessage="1" promptTitle="手入力セル" prompt="反映先：報告_業務P18 AU21&#10;他の帳票：なし" sqref="AJ21"/>
  </dataValidations>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'業務_財務諸表P47'!B38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'業務_財務諸表P47'!B39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'業務_財務諸表P47'!B40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'業務_財務諸表P47'!B41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'業務_財務諸表P47'!B42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'業務_財務諸表P47'!B43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'業務_財務諸表P47'!B44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'業務_財務諸表P47'!B45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'業務_財務諸表P47'!B46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'業務_財務諸表P47'!B47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'業務_財務諸表P47'!B48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'業務_財務諸表P47'!B49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'業務_財務諸表P47'!B50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'業務_財務諸表P47'!B51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'業務_財務諸表P47'!B52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'業務_財務諸表P47'!C54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'業務_決算精算表P51'!A36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IF('業務_財務諸表P47'!G54&gt;0,"　　本年度における収支決算を行った結果、当期損失金として"&amp;IF('業務_財務諸表P47'!G54=0,"0",IF('業務_財務諸表P47'!G54&gt;=100000000,TEXT(INT('業務_財務諸表P47'!G54/100000000),"#,##0")&amp;"億","")&amp;IF(MOD(INT('業務_財務諸表P47'!G54/10000),10000)&gt;0,TEXT(MOD(INT('業務_財務諸表P47'!G54/10000),10000),"#,##0")&amp;"万","")&amp;IF(MOD('業務_財務諸表P47'!G54,10000)&gt;0,TEXT(MOD('業務_財務諸表P47'!G54,10000),"#,##0"),""))&amp;"円を生じたが、","　　本年度における収支決算を行った結果、当期利益金として"&amp;IF('業務_財務諸表P47'!C57=0,"0",IF('業務_財務諸表P47'!C57&gt;=100000000,TEXT(INT('業務_財務諸表P47'!C57/100000000),"#,##0")&amp;"億","")&amp;IF(MOD(INT('業務_財務諸表P47'!C57/10000),10000)&gt;0,TEXT(MOD(INT('業務_財務諸表P47'!C57/10000),10000),"#,##0")&amp;"万","")&amp;IF(MOD('業務_財務諸表P47'!C57,10000)&gt;0,TEXT(MOD('業務_財務諸表P47'!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IF('業務_財務諸表P47'!G54&gt;0,"　　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を取り崩して補てんした。なお、翌年度へ繰り越す積立金は、","　　この利益金に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P48-50'!Q91=0,"0",IF('業務_附属明細表P48-50'!Q91&gt;=100000000,TEXT(INT('業務_附属明細表P48-50'!Q91/100000000),"#,##0")&amp;"億","")&amp;IF(MOD(INT('業務_附属明細表P48-50'!Q91/10000),10000)&gt;0,TEXT(MOD(INT('業務_附属明細表P48-50'!Q91/10000),10000),"#,##0")&amp;"万","")&amp;IF(MOD('業務_附属明細表P48-50'!Q91,10000)&gt;0,TEXT(MOD('業務_附属明細表P48-50'!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3062" t="s">
        <v>662</v>
      </c>
      <c r="C47" s="3063"/>
      <c r="D47" s="3063"/>
      <c r="E47" s="3063"/>
      <c r="F47" s="3063"/>
      <c r="G47" s="3063"/>
      <c r="H47" s="3063"/>
    </row>
    <row r="48" spans="1:57" ht="17.25" customHeight="1">
      <c r="A48" s="463"/>
      <c r="B48" s="3062" t="s">
        <v>663</v>
      </c>
      <c r="C48" s="3063"/>
      <c r="D48" s="3063"/>
      <c r="E48" s="3063"/>
      <c r="F48" s="3063"/>
      <c r="G48" s="3063"/>
      <c r="H48" s="3063"/>
    </row>
    <row r="49" spans="1:8" ht="17.25" customHeight="1">
      <c r="A49" s="463"/>
      <c r="B49" s="3062" t="s">
        <v>664</v>
      </c>
      <c r="C49" s="3063"/>
      <c r="D49" s="3063"/>
      <c r="E49" s="3063"/>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3062" t="s">
        <v>666</v>
      </c>
      <c r="C54" s="3063"/>
      <c r="D54" s="3063"/>
      <c r="E54" s="3063"/>
      <c r="F54" s="3063"/>
      <c r="G54" s="3063"/>
      <c r="H54" s="3063"/>
    </row>
    <row r="55" spans="1:8" ht="17.25" customHeight="1">
      <c r="A55" s="463"/>
      <c r="B55" s="3062" t="s">
        <v>667</v>
      </c>
      <c r="C55" s="3063"/>
      <c r="D55" s="3063"/>
      <c r="E55" s="3063"/>
      <c r="F55" s="3063"/>
      <c r="G55" s="3063"/>
      <c r="H55" s="3063"/>
    </row>
    <row r="56" spans="1:8" ht="17.25" customHeight="1">
      <c r="A56" s="463"/>
      <c r="B56" s="3062" t="s">
        <v>668</v>
      </c>
      <c r="C56" s="3063"/>
      <c r="D56" s="3063"/>
      <c r="E56" s="3063"/>
      <c r="F56" s="463"/>
      <c r="G56" s="463"/>
      <c r="H56" s="463"/>
    </row>
    <row r="57" spans="1:8" ht="17.25" customHeight="1">
      <c r="A57" s="463"/>
      <c r="B57" s="463"/>
      <c r="C57" s="463"/>
      <c r="D57" s="463"/>
      <c r="E57" s="463"/>
      <c r="F57" s="463"/>
      <c r="G57" s="463"/>
      <c r="H57" s="463"/>
    </row>
    <row r="58" spans="1:8" ht="17.25" customHeight="1">
      <c r="A58" s="463"/>
      <c r="B58" s="3062" t="s">
        <v>666</v>
      </c>
      <c r="C58" s="3063"/>
      <c r="D58" s="3063"/>
      <c r="E58" s="3063"/>
      <c r="F58" s="3063"/>
      <c r="G58" s="3063"/>
      <c r="H58" s="3063"/>
    </row>
    <row r="59" spans="1:8" ht="17.25" customHeight="1">
      <c r="A59" s="463"/>
      <c r="B59" s="3062" t="s">
        <v>669</v>
      </c>
      <c r="C59" s="3063"/>
      <c r="D59" s="3063"/>
      <c r="E59" s="3063"/>
      <c r="F59" s="3063"/>
      <c r="G59" s="3063"/>
      <c r="H59" s="3063"/>
    </row>
    <row r="60" spans="1:8" ht="17.25" customHeight="1">
      <c r="A60" s="463"/>
      <c r="B60" s="3062"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conditionalFormatting sqref="B47 B48 B49 B54 B55 B56 B58 B59 B60 M5 M6 M7 M8 M9 M10 M11 M12 M13 M14 M15 M16 M17 M19 M20 M21 M23 M24 M25 V12 V17">
    <cfRule type="expression" dxfId="6" priority="2">
      <formula>AND(入力色表示=1,NOT(_xlfn.ISFORMULA(B47)))</formula>
    </cfRule>
  </conditionalFormatting>
  <dataValidations count="21">
    <dataValidation allowBlank="1" showInputMessage="1" promptTitle="手入力セル" prompt="反映先：報告_業務P19 M26,AE5、業務_附属明細表P48-50 E122&#10;他の帳票：業務_附属明細表P48-50" sqref="M5"/>
    <dataValidation allowBlank="1" showInputMessage="1" promptTitle="手入力セル" prompt="反映先：報告_業務P19 M26,AE6、業務_附属明細表P48-50 E123&#10;他の帳票：業務_附属明細表P48-50" sqref="M6"/>
    <dataValidation allowBlank="1" showInputMessage="1" promptTitle="手入力セル" prompt="反映先：報告_業務P19 M26,AE7&#10;他の帳票：なし" sqref="M7"/>
    <dataValidation allowBlank="1" showInputMessage="1" promptTitle="手入力セル" prompt="反映先：報告_業務P19 M26,AE8、業務_附属明細表P48-50 E124&#10;他の帳票：業務_附属明細表P48-50" sqref="M8"/>
    <dataValidation allowBlank="1" showInputMessage="1" promptTitle="手入力セル" prompt="反映先：報告_業務P19 M26,AE9&#10;他の帳票：なし" sqref="M9"/>
    <dataValidation allowBlank="1" showInputMessage="1" promptTitle="手入力セル" prompt="反映先：報告_業務P19 M26,AE10&#10;他の帳票：なし" sqref="M10"/>
    <dataValidation allowBlank="1" showInputMessage="1" promptTitle="手入力セル" prompt="反映先：報告_業務P19 M26,AE11&#10;他の帳票：なし" sqref="M11"/>
    <dataValidation allowBlank="1" showInputMessage="1" promptTitle="手入力セル" prompt="反映先：報告_業務P19 M26,AE12&#10;他の帳票：なし" sqref="M12"/>
    <dataValidation allowBlank="1" showInputMessage="1" promptTitle="手入力セル" prompt="反映先：報告_業務P19 M26,AE13&#10;他の帳票：なし" sqref="M13"/>
    <dataValidation allowBlank="1" showInputMessage="1" promptTitle="手入力セル" prompt="反映先：報告_業務P19 M26,AE14&#10;他の帳票：なし" sqref="M14"/>
    <dataValidation allowBlank="1" showInputMessage="1" promptTitle="手入力セル" prompt="反映先：報告_業務P19 M26,AE15&#10;他の帳票：なし" sqref="M15"/>
    <dataValidation allowBlank="1" showInputMessage="1" promptTitle="手入力セル" prompt="反映先：報告_業務P19 M26,AE16&#10;他の帳票：なし" sqref="M16"/>
    <dataValidation allowBlank="1" showInputMessage="1" promptTitle="手入力セル" prompt="反映先：報告_業務P19 M26,AE17&#10;他の帳票：なし" sqref="M17"/>
    <dataValidation allowBlank="1" showInputMessage="1" promptTitle="手入力セル" prompt="反映先：報告_業務P19 M26,AE19&#10;他の帳票：なし" sqref="M19"/>
    <dataValidation allowBlank="1" showInputMessage="1" promptTitle="手入力セル" prompt="反映先：報告_業務P19 M26,AE20&#10;他の帳票：なし" sqref="M20"/>
    <dataValidation allowBlank="1" showInputMessage="1" promptTitle="手入力セル" prompt="反映先：報告_業務P19 M26,AE21&#10;他の帳票：なし" sqref="M21"/>
    <dataValidation allowBlank="1" showInputMessage="1" promptTitle="手入力セル" prompt="反映先：報告_業務P19 M26,AE23&#10;他の帳票：なし" sqref="M23"/>
    <dataValidation allowBlank="1" showInputMessage="1" promptTitle="手入力セル" prompt="反映先：報告_業務P19 M26,AE24&#10;他の帳票：なし" sqref="M24"/>
    <dataValidation allowBlank="1" showInputMessage="1" promptTitle="手入力セル" prompt="反映先：報告_業務P19 M26,AE25&#10;他の帳票：なし" sqref="M25"/>
    <dataValidation allowBlank="1" showInputMessage="1" promptTitle="手入力セル" prompt="反映先：報告_業務P19 V26,AE12,AW12&#10;他の帳票：なし" sqref="V12"/>
    <dataValidation allowBlank="1" showInputMessage="1" promptTitle="手入力セル" prompt="反映先：報告_業務P19 V26,AE17,AW17&#10;他の帳票：なし" sqref="V17"/>
  </dataValidations>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3064">
        <v>2.1</v>
      </c>
      <c r="P9" s="3065"/>
      <c r="Q9" s="3065"/>
      <c r="R9" s="3065"/>
      <c r="S9" s="3065"/>
      <c r="T9" s="3065"/>
      <c r="U9" s="472"/>
      <c r="V9" s="471"/>
      <c r="W9" s="3064">
        <v>2.1</v>
      </c>
      <c r="X9" s="3065"/>
      <c r="Y9" s="3065"/>
      <c r="Z9" s="3065"/>
      <c r="AA9" s="3065"/>
      <c r="AB9" s="306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3064">
        <v>2.1</v>
      </c>
      <c r="P10" s="3065"/>
      <c r="Q10" s="3065"/>
      <c r="R10" s="3065"/>
      <c r="S10" s="3065"/>
      <c r="T10" s="3065"/>
      <c r="U10" s="472"/>
      <c r="V10" s="471"/>
      <c r="W10" s="3064">
        <v>2.1</v>
      </c>
      <c r="X10" s="3065"/>
      <c r="Y10" s="3065"/>
      <c r="Z10" s="3065"/>
      <c r="AA10" s="3065"/>
      <c r="AB10" s="306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3066">
        <v>2.1</v>
      </c>
      <c r="P11" s="3067"/>
      <c r="Q11" s="3067"/>
      <c r="R11" s="3067"/>
      <c r="S11" s="3067"/>
      <c r="T11" s="3067"/>
      <c r="U11" s="474"/>
      <c r="V11" s="473"/>
      <c r="W11" s="3066">
        <v>2.1</v>
      </c>
      <c r="X11" s="3067"/>
      <c r="Y11" s="3067"/>
      <c r="Z11" s="3067"/>
      <c r="AA11" s="3067"/>
      <c r="AB11" s="3067"/>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3064">
        <v>2.1</v>
      </c>
      <c r="P12" s="3065"/>
      <c r="Q12" s="3065"/>
      <c r="R12" s="3065"/>
      <c r="S12" s="3065"/>
      <c r="T12" s="3065"/>
      <c r="U12" s="472"/>
      <c r="V12" s="471"/>
      <c r="W12" s="3064">
        <v>2.1</v>
      </c>
      <c r="X12" s="3065"/>
      <c r="Y12" s="3065"/>
      <c r="Z12" s="3065"/>
      <c r="AA12" s="3065"/>
      <c r="AB12" s="306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3064">
        <v>4.2</v>
      </c>
      <c r="P13" s="3065"/>
      <c r="Q13" s="3065"/>
      <c r="R13" s="3065"/>
      <c r="S13" s="3065"/>
      <c r="T13" s="306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3068">
        <v>166308000</v>
      </c>
      <c r="N21" s="3069"/>
      <c r="O21" s="3069"/>
      <c r="P21" s="3069"/>
      <c r="Q21" s="3069"/>
      <c r="R21" s="3069"/>
      <c r="S21" s="3069"/>
      <c r="T21" s="3069"/>
      <c r="U21" s="481"/>
      <c r="V21" s="3070">
        <v>166275659</v>
      </c>
      <c r="W21" s="3071"/>
      <c r="X21" s="3071"/>
      <c r="Y21" s="3071"/>
      <c r="Z21" s="3071"/>
      <c r="AA21" s="3071"/>
      <c r="AB21" s="3071"/>
      <c r="AC21" s="3071"/>
      <c r="AD21" s="482"/>
      <c r="AE21" s="2260">
        <f t="shared" si="0"/>
        <v>-32341</v>
      </c>
      <c r="AF21" s="2260"/>
      <c r="AG21" s="2260"/>
      <c r="AH21" s="2260"/>
      <c r="AI21" s="2260"/>
      <c r="AJ21" s="2260"/>
      <c r="AK21" s="2260"/>
      <c r="AL21" s="2260"/>
      <c r="AM21" s="483"/>
      <c r="AN21" s="3071">
        <f>前年度貼付!$E$249</f>
        <v>160536624</v>
      </c>
      <c r="AO21" s="3071"/>
      <c r="AP21" s="3071"/>
      <c r="AQ21" s="3071"/>
      <c r="AR21" s="3071"/>
      <c r="AS21" s="3071"/>
      <c r="AT21" s="3071"/>
      <c r="AU21" s="3071"/>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3072">
        <v>46069000</v>
      </c>
      <c r="N22" s="3073"/>
      <c r="O22" s="3073"/>
      <c r="P22" s="3073"/>
      <c r="Q22" s="3073"/>
      <c r="R22" s="3073"/>
      <c r="S22" s="3073"/>
      <c r="T22" s="3073"/>
      <c r="U22" s="486"/>
      <c r="V22" s="3072">
        <v>54143045</v>
      </c>
      <c r="W22" s="3073"/>
      <c r="X22" s="3073"/>
      <c r="Y22" s="3073"/>
      <c r="Z22" s="3073"/>
      <c r="AA22" s="3073"/>
      <c r="AB22" s="3073"/>
      <c r="AC22" s="3073"/>
      <c r="AD22" s="487"/>
      <c r="AE22" s="2270">
        <f t="shared" si="0"/>
        <v>8074045</v>
      </c>
      <c r="AF22" s="2270"/>
      <c r="AG22" s="2270"/>
      <c r="AH22" s="2270"/>
      <c r="AI22" s="2270"/>
      <c r="AJ22" s="2270"/>
      <c r="AK22" s="2270"/>
      <c r="AL22" s="2270"/>
      <c r="AM22" s="486"/>
      <c r="AN22" s="3073">
        <f>前年度貼付!$E$250</f>
        <v>51290649</v>
      </c>
      <c r="AO22" s="3073"/>
      <c r="AP22" s="3073"/>
      <c r="AQ22" s="3073"/>
      <c r="AR22" s="3073"/>
      <c r="AS22" s="3073"/>
      <c r="AT22" s="3073"/>
      <c r="AU22" s="3073"/>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3074">
        <v>164412000</v>
      </c>
      <c r="N23" s="3075"/>
      <c r="O23" s="3075"/>
      <c r="P23" s="3075"/>
      <c r="Q23" s="3075"/>
      <c r="R23" s="3075"/>
      <c r="S23" s="3075"/>
      <c r="T23" s="3075"/>
      <c r="U23" s="490"/>
      <c r="V23" s="3074">
        <v>184749787</v>
      </c>
      <c r="W23" s="3075"/>
      <c r="X23" s="3075"/>
      <c r="Y23" s="3075"/>
      <c r="Z23" s="3075"/>
      <c r="AA23" s="3075"/>
      <c r="AB23" s="3075"/>
      <c r="AC23" s="3075"/>
      <c r="AD23" s="491"/>
      <c r="AE23" s="2218">
        <f t="shared" si="0"/>
        <v>20337787</v>
      </c>
      <c r="AF23" s="2218"/>
      <c r="AG23" s="2218"/>
      <c r="AH23" s="2218"/>
      <c r="AI23" s="2218"/>
      <c r="AJ23" s="2218"/>
      <c r="AK23" s="2218"/>
      <c r="AL23" s="2218"/>
      <c r="AM23" s="490"/>
      <c r="AN23" s="3075">
        <f>前年度貼付!$E$251</f>
        <v>181517142</v>
      </c>
      <c r="AO23" s="3075"/>
      <c r="AP23" s="3075"/>
      <c r="AQ23" s="3075"/>
      <c r="AR23" s="3075"/>
      <c r="AS23" s="3075"/>
      <c r="AT23" s="3075"/>
      <c r="AU23" s="3075"/>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3068">
        <v>169982000</v>
      </c>
      <c r="N25" s="3069"/>
      <c r="O25" s="3069"/>
      <c r="P25" s="3069"/>
      <c r="Q25" s="3069"/>
      <c r="R25" s="3069"/>
      <c r="S25" s="3069"/>
      <c r="T25" s="3069"/>
      <c r="U25" s="483"/>
      <c r="V25" s="3068">
        <v>169993600</v>
      </c>
      <c r="W25" s="3069"/>
      <c r="X25" s="3069"/>
      <c r="Y25" s="3069"/>
      <c r="Z25" s="3069"/>
      <c r="AA25" s="3069"/>
      <c r="AB25" s="3069"/>
      <c r="AC25" s="3069"/>
      <c r="AD25" s="483"/>
      <c r="AE25" s="2260">
        <f t="shared" si="0"/>
        <v>11600</v>
      </c>
      <c r="AF25" s="2260"/>
      <c r="AG25" s="2260"/>
      <c r="AH25" s="2260"/>
      <c r="AI25" s="2260"/>
      <c r="AJ25" s="2260"/>
      <c r="AK25" s="2260"/>
      <c r="AL25" s="2260"/>
      <c r="AM25" s="483"/>
      <c r="AN25" s="3069">
        <f>前年度貼付!$E$252</f>
        <v>164263385</v>
      </c>
      <c r="AO25" s="3069"/>
      <c r="AP25" s="3069"/>
      <c r="AQ25" s="3069"/>
      <c r="AR25" s="3069"/>
      <c r="AS25" s="3069"/>
      <c r="AT25" s="3069"/>
      <c r="AU25" s="3069"/>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3076">
        <v>46069000</v>
      </c>
      <c r="N26" s="3077"/>
      <c r="O26" s="3077"/>
      <c r="P26" s="3077"/>
      <c r="Q26" s="3077"/>
      <c r="R26" s="3077"/>
      <c r="S26" s="3077"/>
      <c r="T26" s="3077"/>
      <c r="U26" s="493"/>
      <c r="V26" s="3076">
        <v>54160380</v>
      </c>
      <c r="W26" s="3077"/>
      <c r="X26" s="3077"/>
      <c r="Y26" s="3077"/>
      <c r="Z26" s="3077"/>
      <c r="AA26" s="3077"/>
      <c r="AB26" s="3077"/>
      <c r="AC26" s="3077"/>
      <c r="AD26" s="493"/>
      <c r="AE26" s="2264">
        <f t="shared" si="0"/>
        <v>8091380</v>
      </c>
      <c r="AF26" s="2264"/>
      <c r="AG26" s="2264"/>
      <c r="AH26" s="2264"/>
      <c r="AI26" s="2264"/>
      <c r="AJ26" s="2264"/>
      <c r="AK26" s="2264"/>
      <c r="AL26" s="2264"/>
      <c r="AM26" s="493"/>
      <c r="AN26" s="3077">
        <f>前年度貼付!$E$253</f>
        <v>51306562</v>
      </c>
      <c r="AO26" s="3077"/>
      <c r="AP26" s="3077"/>
      <c r="AQ26" s="3077"/>
      <c r="AR26" s="3077"/>
      <c r="AS26" s="3077"/>
      <c r="AT26" s="3077"/>
      <c r="AU26" s="3077"/>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3078">
        <v>0</v>
      </c>
      <c r="N27" s="3079"/>
      <c r="O27" s="3079"/>
      <c r="P27" s="3079"/>
      <c r="Q27" s="3079"/>
      <c r="R27" s="3079"/>
      <c r="S27" s="3079"/>
      <c r="T27" s="3079"/>
      <c r="U27" s="478"/>
      <c r="V27" s="3080">
        <v>0</v>
      </c>
      <c r="W27" s="3081"/>
      <c r="X27" s="3081"/>
      <c r="Y27" s="3081"/>
      <c r="Z27" s="3081"/>
      <c r="AA27" s="3081"/>
      <c r="AB27" s="3081"/>
      <c r="AC27" s="3081"/>
      <c r="AD27" s="478"/>
      <c r="AE27" s="2215">
        <f t="shared" si="0"/>
        <v>0</v>
      </c>
      <c r="AF27" s="2215"/>
      <c r="AG27" s="2215"/>
      <c r="AH27" s="2215"/>
      <c r="AI27" s="2215"/>
      <c r="AJ27" s="2215"/>
      <c r="AK27" s="2215"/>
      <c r="AL27" s="2215"/>
      <c r="AM27" s="478"/>
      <c r="AN27" s="3081">
        <f>前年度貼付!$E$254</f>
        <v>0</v>
      </c>
      <c r="AO27" s="3081"/>
      <c r="AP27" s="3081"/>
      <c r="AQ27" s="3081"/>
      <c r="AR27" s="3081"/>
      <c r="AS27" s="3081"/>
      <c r="AT27" s="3081"/>
      <c r="AU27" s="3081"/>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3080">
        <v>0</v>
      </c>
      <c r="W28" s="3081"/>
      <c r="X28" s="3081"/>
      <c r="Y28" s="3081"/>
      <c r="Z28" s="3081"/>
      <c r="AA28" s="3081"/>
      <c r="AB28" s="3081"/>
      <c r="AC28" s="3081"/>
      <c r="AD28" s="478"/>
      <c r="AE28" s="2215">
        <f t="shared" si="0"/>
        <v>0</v>
      </c>
      <c r="AF28" s="2215"/>
      <c r="AG28" s="2215"/>
      <c r="AH28" s="2215"/>
      <c r="AI28" s="2215"/>
      <c r="AJ28" s="2215"/>
      <c r="AK28" s="2215"/>
      <c r="AL28" s="2215"/>
      <c r="AM28" s="478"/>
      <c r="AN28" s="3081">
        <f>前年度貼付!$E$255</f>
        <v>0</v>
      </c>
      <c r="AO28" s="3081"/>
      <c r="AP28" s="3081"/>
      <c r="AQ28" s="3081"/>
      <c r="AR28" s="3081"/>
      <c r="AS28" s="3081"/>
      <c r="AT28" s="3081"/>
      <c r="AU28" s="3081"/>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3074">
        <v>0</v>
      </c>
      <c r="N29" s="3075"/>
      <c r="O29" s="3075"/>
      <c r="P29" s="3075"/>
      <c r="Q29" s="3075"/>
      <c r="R29" s="3075"/>
      <c r="S29" s="3075"/>
      <c r="T29" s="3075"/>
      <c r="U29" s="490"/>
      <c r="V29" s="3082">
        <f>'保健_財務諸表P53'!F41</f>
        <v>0</v>
      </c>
      <c r="W29" s="3082"/>
      <c r="X29" s="3082"/>
      <c r="Y29" s="3082"/>
      <c r="Z29" s="3082"/>
      <c r="AA29" s="3082"/>
      <c r="AB29" s="3082"/>
      <c r="AC29" s="3082"/>
      <c r="AD29" s="491"/>
      <c r="AE29" s="2252">
        <f t="shared" si="0"/>
        <v>0</v>
      </c>
      <c r="AF29" s="2252"/>
      <c r="AG29" s="2252"/>
      <c r="AH29" s="2252"/>
      <c r="AI29" s="2252"/>
      <c r="AJ29" s="2252"/>
      <c r="AK29" s="2252"/>
      <c r="AL29" s="2252"/>
      <c r="AM29" s="481"/>
      <c r="AN29" s="3082">
        <f>前年度貼付!$E$256</f>
        <v>0</v>
      </c>
      <c r="AO29" s="3082"/>
      <c r="AP29" s="3082"/>
      <c r="AQ29" s="3082"/>
      <c r="AR29" s="3082"/>
      <c r="AS29" s="3082"/>
      <c r="AT29" s="3082"/>
      <c r="AU29" s="3082"/>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3068">
        <v>0</v>
      </c>
      <c r="N30" s="3069"/>
      <c r="O30" s="3069"/>
      <c r="P30" s="3069"/>
      <c r="Q30" s="3069"/>
      <c r="R30" s="3069"/>
      <c r="S30" s="3069"/>
      <c r="T30" s="3069"/>
      <c r="U30" s="478"/>
      <c r="V30" s="3080">
        <v>0</v>
      </c>
      <c r="W30" s="3081"/>
      <c r="X30" s="3081"/>
      <c r="Y30" s="3081"/>
      <c r="Z30" s="3081"/>
      <c r="AA30" s="3081"/>
      <c r="AB30" s="3081"/>
      <c r="AC30" s="3081"/>
      <c r="AD30" s="478"/>
      <c r="AE30" s="2215">
        <f t="shared" si="0"/>
        <v>0</v>
      </c>
      <c r="AF30" s="2215"/>
      <c r="AG30" s="2215"/>
      <c r="AH30" s="2215"/>
      <c r="AI30" s="2215"/>
      <c r="AJ30" s="2215"/>
      <c r="AK30" s="2215"/>
      <c r="AL30" s="2215"/>
      <c r="AM30" s="478"/>
      <c r="AN30" s="3081">
        <f>前年度貼付!$E$257</f>
        <v>0</v>
      </c>
      <c r="AO30" s="3081"/>
      <c r="AP30" s="3081"/>
      <c r="AQ30" s="3081"/>
      <c r="AR30" s="3081"/>
      <c r="AS30" s="3081"/>
      <c r="AT30" s="3081"/>
      <c r="AU30" s="3081"/>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3078">
        <v>0</v>
      </c>
      <c r="N31" s="3079"/>
      <c r="O31" s="3079"/>
      <c r="P31" s="3079"/>
      <c r="Q31" s="3079"/>
      <c r="R31" s="3079"/>
      <c r="S31" s="3079"/>
      <c r="T31" s="3079"/>
      <c r="U31" s="478"/>
      <c r="V31" s="3081">
        <f>'保健_財務諸表P53'!F44</f>
        <v>0</v>
      </c>
      <c r="W31" s="3081"/>
      <c r="X31" s="3081"/>
      <c r="Y31" s="3081"/>
      <c r="Z31" s="3081"/>
      <c r="AA31" s="3081"/>
      <c r="AB31" s="3081"/>
      <c r="AC31" s="3081"/>
      <c r="AD31" s="479"/>
      <c r="AE31" s="2245">
        <f t="shared" si="0"/>
        <v>0</v>
      </c>
      <c r="AF31" s="2245"/>
      <c r="AG31" s="2245"/>
      <c r="AH31" s="2245"/>
      <c r="AI31" s="2245"/>
      <c r="AJ31" s="2245"/>
      <c r="AK31" s="2245"/>
      <c r="AL31" s="2245"/>
      <c r="AM31" s="478"/>
      <c r="AN31" s="3081">
        <f>前年度貼付!$E$258</f>
        <v>0</v>
      </c>
      <c r="AO31" s="3081"/>
      <c r="AP31" s="3081"/>
      <c r="AQ31" s="3081"/>
      <c r="AR31" s="3081"/>
      <c r="AS31" s="3081"/>
      <c r="AT31" s="3081"/>
      <c r="AU31" s="3081"/>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3074">
        <v>0</v>
      </c>
      <c r="N32" s="3075"/>
      <c r="O32" s="3075"/>
      <c r="P32" s="3075"/>
      <c r="Q32" s="3075"/>
      <c r="R32" s="3075"/>
      <c r="S32" s="3075"/>
      <c r="T32" s="3075"/>
      <c r="U32" s="490"/>
      <c r="V32" s="3082">
        <f>'保健_財務諸表P53'!G47</f>
        <v>104640</v>
      </c>
      <c r="W32" s="3082"/>
      <c r="X32" s="3082"/>
      <c r="Y32" s="3082"/>
      <c r="Z32" s="3082"/>
      <c r="AA32" s="3082"/>
      <c r="AB32" s="3082"/>
      <c r="AC32" s="3082"/>
      <c r="AD32" s="491"/>
      <c r="AE32" s="2218">
        <f t="shared" si="0"/>
        <v>104640</v>
      </c>
      <c r="AF32" s="2218"/>
      <c r="AG32" s="2218"/>
      <c r="AH32" s="2218"/>
      <c r="AI32" s="2218"/>
      <c r="AJ32" s="2218"/>
      <c r="AK32" s="2218"/>
      <c r="AL32" s="2218"/>
      <c r="AM32" s="490"/>
      <c r="AN32" s="3082">
        <f>前年度貼付!$E$259</f>
        <v>0</v>
      </c>
      <c r="AO32" s="3082"/>
      <c r="AP32" s="3082"/>
      <c r="AQ32" s="3082"/>
      <c r="AR32" s="3082"/>
      <c r="AS32" s="3082"/>
      <c r="AT32" s="3082"/>
      <c r="AU32" s="3082"/>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3083">
        <v>7146000</v>
      </c>
      <c r="N46" s="3084"/>
      <c r="O46" s="3084"/>
      <c r="P46" s="3084"/>
      <c r="Q46" s="3084"/>
      <c r="R46" s="3084"/>
      <c r="S46" s="3084"/>
      <c r="T46" s="3084"/>
      <c r="U46" s="502"/>
      <c r="V46" s="3085">
        <f>'保健_財務諸表P53'!B39</f>
        <v>6510030</v>
      </c>
      <c r="W46" s="3085"/>
      <c r="X46" s="3085"/>
      <c r="Y46" s="3085"/>
      <c r="Z46" s="3085"/>
      <c r="AA46" s="3085"/>
      <c r="AB46" s="3085"/>
      <c r="AC46" s="3085"/>
      <c r="AD46" s="503"/>
      <c r="AE46" s="2225">
        <f t="shared" ref="AE46:AE65" si="2">V46-M46</f>
        <v>-635970</v>
      </c>
      <c r="AF46" s="2225"/>
      <c r="AG46" s="2225"/>
      <c r="AH46" s="2225"/>
      <c r="AI46" s="2225"/>
      <c r="AJ46" s="2225"/>
      <c r="AK46" s="2225"/>
      <c r="AL46" s="2225"/>
      <c r="AM46" s="502"/>
      <c r="AN46" s="3085">
        <f>前年度貼付!$E$263</f>
        <v>6040584</v>
      </c>
      <c r="AO46" s="3085"/>
      <c r="AP46" s="3085"/>
      <c r="AQ46" s="3085"/>
      <c r="AR46" s="3085"/>
      <c r="AS46" s="3085"/>
      <c r="AT46" s="3085"/>
      <c r="AU46" s="3085"/>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3083">
        <v>560810000</v>
      </c>
      <c r="N47" s="3084"/>
      <c r="O47" s="3084"/>
      <c r="P47" s="3084"/>
      <c r="Q47" s="3084"/>
      <c r="R47" s="3084"/>
      <c r="S47" s="3084"/>
      <c r="T47" s="3084"/>
      <c r="U47" s="189"/>
      <c r="V47" s="3085">
        <f>'保健_財務諸表P53'!B40</f>
        <v>574362302</v>
      </c>
      <c r="W47" s="3085"/>
      <c r="X47" s="3085"/>
      <c r="Y47" s="3085"/>
      <c r="Z47" s="3085"/>
      <c r="AA47" s="3085"/>
      <c r="AB47" s="3085"/>
      <c r="AC47" s="3085"/>
      <c r="AD47" s="197"/>
      <c r="AE47" s="2225">
        <f t="shared" si="2"/>
        <v>13552302</v>
      </c>
      <c r="AF47" s="2225"/>
      <c r="AG47" s="2225"/>
      <c r="AH47" s="2225"/>
      <c r="AI47" s="2225"/>
      <c r="AJ47" s="2225"/>
      <c r="AK47" s="2225"/>
      <c r="AL47" s="2225"/>
      <c r="AM47" s="189"/>
      <c r="AN47" s="3085">
        <f>前年度貼付!$E$264</f>
        <v>550775667</v>
      </c>
      <c r="AO47" s="3085"/>
      <c r="AP47" s="3085"/>
      <c r="AQ47" s="3085"/>
      <c r="AR47" s="3085"/>
      <c r="AS47" s="3085"/>
      <c r="AT47" s="3085"/>
      <c r="AU47" s="3085"/>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3083">
        <v>34605000</v>
      </c>
      <c r="N48" s="3084"/>
      <c r="O48" s="3084"/>
      <c r="P48" s="3084"/>
      <c r="Q48" s="3084"/>
      <c r="R48" s="3084"/>
      <c r="S48" s="3084"/>
      <c r="T48" s="3084"/>
      <c r="U48" s="189"/>
      <c r="V48" s="3085">
        <f>'保健_財務諸表P53'!B41</f>
        <v>20355535</v>
      </c>
      <c r="W48" s="3085"/>
      <c r="X48" s="3085"/>
      <c r="Y48" s="3085"/>
      <c r="Z48" s="3085"/>
      <c r="AA48" s="3085"/>
      <c r="AB48" s="3085"/>
      <c r="AC48" s="3085"/>
      <c r="AD48" s="197"/>
      <c r="AE48" s="2225">
        <f t="shared" si="2"/>
        <v>-14249465</v>
      </c>
      <c r="AF48" s="2225"/>
      <c r="AG48" s="2225"/>
      <c r="AH48" s="2225"/>
      <c r="AI48" s="2225"/>
      <c r="AJ48" s="2225"/>
      <c r="AK48" s="2225"/>
      <c r="AL48" s="2225"/>
      <c r="AM48" s="189"/>
      <c r="AN48" s="3085">
        <f>前年度貼付!$E$265</f>
        <v>19290386</v>
      </c>
      <c r="AO48" s="3085"/>
      <c r="AP48" s="3085"/>
      <c r="AQ48" s="3085"/>
      <c r="AR48" s="3085"/>
      <c r="AS48" s="3085"/>
      <c r="AT48" s="3085"/>
      <c r="AU48" s="3085"/>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3083">
        <v>110000</v>
      </c>
      <c r="N49" s="3084"/>
      <c r="O49" s="3084"/>
      <c r="P49" s="3084"/>
      <c r="Q49" s="3084"/>
      <c r="R49" s="3084"/>
      <c r="S49" s="3084"/>
      <c r="T49" s="3084"/>
      <c r="U49" s="189"/>
      <c r="V49" s="3086">
        <v>0</v>
      </c>
      <c r="W49" s="3085"/>
      <c r="X49" s="3085"/>
      <c r="Y49" s="3085"/>
      <c r="Z49" s="3085"/>
      <c r="AA49" s="3085"/>
      <c r="AB49" s="3085"/>
      <c r="AC49" s="3085"/>
      <c r="AD49" s="197"/>
      <c r="AE49" s="2225">
        <f t="shared" si="2"/>
        <v>-110000</v>
      </c>
      <c r="AF49" s="2225"/>
      <c r="AG49" s="2225"/>
      <c r="AH49" s="2225"/>
      <c r="AI49" s="2225"/>
      <c r="AJ49" s="2225"/>
      <c r="AK49" s="2225"/>
      <c r="AL49" s="2225"/>
      <c r="AM49" s="189"/>
      <c r="AN49" s="3085">
        <f>前年度貼付!$E$266</f>
        <v>0</v>
      </c>
      <c r="AO49" s="3085"/>
      <c r="AP49" s="3085"/>
      <c r="AQ49" s="3085"/>
      <c r="AR49" s="3085"/>
      <c r="AS49" s="3085"/>
      <c r="AT49" s="3085"/>
      <c r="AU49" s="3085"/>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3083">
        <v>700000</v>
      </c>
      <c r="N50" s="3084"/>
      <c r="O50" s="3084"/>
      <c r="P50" s="3084"/>
      <c r="Q50" s="3084"/>
      <c r="R50" s="3084"/>
      <c r="S50" s="3084"/>
      <c r="T50" s="3084"/>
      <c r="U50" s="167"/>
      <c r="V50" s="3085">
        <f>'保健_財務諸表P53'!B42</f>
        <v>543780</v>
      </c>
      <c r="W50" s="3085"/>
      <c r="X50" s="3085"/>
      <c r="Y50" s="3085"/>
      <c r="Z50" s="3085"/>
      <c r="AA50" s="3085"/>
      <c r="AB50" s="3085"/>
      <c r="AC50" s="3085"/>
      <c r="AD50" s="218"/>
      <c r="AE50" s="2225">
        <f t="shared" si="2"/>
        <v>-156220</v>
      </c>
      <c r="AF50" s="2225"/>
      <c r="AG50" s="2225"/>
      <c r="AH50" s="2225"/>
      <c r="AI50" s="2225"/>
      <c r="AJ50" s="2225"/>
      <c r="AK50" s="2225"/>
      <c r="AL50" s="2225"/>
      <c r="AM50" s="167"/>
      <c r="AN50" s="3085">
        <f>前年度貼付!$E$267</f>
        <v>418088</v>
      </c>
      <c r="AO50" s="3085"/>
      <c r="AP50" s="3085"/>
      <c r="AQ50" s="3085"/>
      <c r="AR50" s="3085"/>
      <c r="AS50" s="3085"/>
      <c r="AT50" s="3085"/>
      <c r="AU50" s="3085"/>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3083">
        <v>186000</v>
      </c>
      <c r="N51" s="3084"/>
      <c r="O51" s="3084"/>
      <c r="P51" s="3084"/>
      <c r="Q51" s="3084"/>
      <c r="R51" s="3084"/>
      <c r="S51" s="3084"/>
      <c r="T51" s="3084"/>
      <c r="U51" s="189"/>
      <c r="V51" s="3085">
        <f>'保健_財務諸表P53'!B43</f>
        <v>170673</v>
      </c>
      <c r="W51" s="3085"/>
      <c r="X51" s="3085"/>
      <c r="Y51" s="3085"/>
      <c r="Z51" s="3085"/>
      <c r="AA51" s="3085"/>
      <c r="AB51" s="3085"/>
      <c r="AC51" s="3085"/>
      <c r="AD51" s="197"/>
      <c r="AE51" s="2225">
        <f t="shared" si="2"/>
        <v>-15327</v>
      </c>
      <c r="AF51" s="2225"/>
      <c r="AG51" s="2225"/>
      <c r="AH51" s="2225"/>
      <c r="AI51" s="2225"/>
      <c r="AJ51" s="2225"/>
      <c r="AK51" s="2225"/>
      <c r="AL51" s="2225"/>
      <c r="AM51" s="189"/>
      <c r="AN51" s="3085">
        <f>前年度貼付!$E$268</f>
        <v>108839</v>
      </c>
      <c r="AO51" s="3085"/>
      <c r="AP51" s="3085"/>
      <c r="AQ51" s="3085"/>
      <c r="AR51" s="3085"/>
      <c r="AS51" s="3085"/>
      <c r="AT51" s="3085"/>
      <c r="AU51" s="3085"/>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3083">
        <v>0</v>
      </c>
      <c r="N52" s="3084"/>
      <c r="O52" s="3084"/>
      <c r="P52" s="3084"/>
      <c r="Q52" s="3084"/>
      <c r="R52" s="3084"/>
      <c r="S52" s="3084"/>
      <c r="T52" s="3084"/>
      <c r="U52" s="189"/>
      <c r="V52" s="3085">
        <f>'保健_財務諸表P53'!B44</f>
        <v>0</v>
      </c>
      <c r="W52" s="3085"/>
      <c r="X52" s="3085"/>
      <c r="Y52" s="3085"/>
      <c r="Z52" s="3085"/>
      <c r="AA52" s="3085"/>
      <c r="AB52" s="3085"/>
      <c r="AC52" s="3085"/>
      <c r="AD52" s="197"/>
      <c r="AE52" s="2225">
        <f t="shared" si="2"/>
        <v>0</v>
      </c>
      <c r="AF52" s="2225"/>
      <c r="AG52" s="2225"/>
      <c r="AH52" s="2225"/>
      <c r="AI52" s="2225"/>
      <c r="AJ52" s="2225"/>
      <c r="AK52" s="2225"/>
      <c r="AL52" s="2225"/>
      <c r="AM52" s="189"/>
      <c r="AN52" s="3085">
        <f>前年度貼付!$E$269</f>
        <v>0</v>
      </c>
      <c r="AO52" s="3085"/>
      <c r="AP52" s="3085"/>
      <c r="AQ52" s="3085"/>
      <c r="AR52" s="3085"/>
      <c r="AS52" s="3085"/>
      <c r="AT52" s="3085"/>
      <c r="AU52" s="3085"/>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3083">
        <v>5240000</v>
      </c>
      <c r="N53" s="3084"/>
      <c r="O53" s="3084"/>
      <c r="P53" s="3084"/>
      <c r="Q53" s="3084"/>
      <c r="R53" s="3084"/>
      <c r="S53" s="3084"/>
      <c r="T53" s="3084"/>
      <c r="U53" s="167"/>
      <c r="V53" s="3085">
        <f>'保健_財務諸表P53'!B45</f>
        <v>4535066</v>
      </c>
      <c r="W53" s="3085"/>
      <c r="X53" s="3085"/>
      <c r="Y53" s="3085"/>
      <c r="Z53" s="3085"/>
      <c r="AA53" s="3085"/>
      <c r="AB53" s="3085"/>
      <c r="AC53" s="3085"/>
      <c r="AD53" s="218"/>
      <c r="AE53" s="2225">
        <f t="shared" si="2"/>
        <v>-704934</v>
      </c>
      <c r="AF53" s="2225"/>
      <c r="AG53" s="2225"/>
      <c r="AH53" s="2225"/>
      <c r="AI53" s="2225"/>
      <c r="AJ53" s="2225"/>
      <c r="AK53" s="2225"/>
      <c r="AL53" s="2225"/>
      <c r="AM53" s="167"/>
      <c r="AN53" s="3085">
        <f>前年度貼付!$E$270</f>
        <v>26431455</v>
      </c>
      <c r="AO53" s="3085"/>
      <c r="AP53" s="3085"/>
      <c r="AQ53" s="3085"/>
      <c r="AR53" s="3085"/>
      <c r="AS53" s="3085"/>
      <c r="AT53" s="3085"/>
      <c r="AU53" s="3085"/>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3083">
        <v>0</v>
      </c>
      <c r="N54" s="3084"/>
      <c r="O54" s="3084"/>
      <c r="P54" s="3084"/>
      <c r="Q54" s="3084"/>
      <c r="R54" s="3084"/>
      <c r="S54" s="3084"/>
      <c r="T54" s="3084"/>
      <c r="U54" s="189"/>
      <c r="V54" s="3085">
        <f>'保健_財務諸表P53'!B46</f>
        <v>0</v>
      </c>
      <c r="W54" s="3085"/>
      <c r="X54" s="3085"/>
      <c r="Y54" s="3085"/>
      <c r="Z54" s="3085"/>
      <c r="AA54" s="3085"/>
      <c r="AB54" s="3085"/>
      <c r="AC54" s="3085"/>
      <c r="AD54" s="197"/>
      <c r="AE54" s="2225">
        <f t="shared" si="2"/>
        <v>0</v>
      </c>
      <c r="AF54" s="2225"/>
      <c r="AG54" s="2225"/>
      <c r="AH54" s="2225"/>
      <c r="AI54" s="2225"/>
      <c r="AJ54" s="2225"/>
      <c r="AK54" s="2225"/>
      <c r="AL54" s="2225"/>
      <c r="AM54" s="189"/>
      <c r="AN54" s="3085">
        <f>前年度貼付!$E$271</f>
        <v>59832</v>
      </c>
      <c r="AO54" s="3085"/>
      <c r="AP54" s="3085"/>
      <c r="AQ54" s="3085"/>
      <c r="AR54" s="3085"/>
      <c r="AS54" s="3085"/>
      <c r="AT54" s="3085"/>
      <c r="AU54" s="3085"/>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3083">
        <v>0</v>
      </c>
      <c r="N55" s="3084"/>
      <c r="O55" s="3084"/>
      <c r="P55" s="3084"/>
      <c r="Q55" s="3084"/>
      <c r="R55" s="3084"/>
      <c r="S55" s="3084"/>
      <c r="T55" s="3084"/>
      <c r="U55" s="167"/>
      <c r="V55" s="3085">
        <f>'保健_財務諸表P53'!B47</f>
        <v>0</v>
      </c>
      <c r="W55" s="3085"/>
      <c r="X55" s="3085"/>
      <c r="Y55" s="3085"/>
      <c r="Z55" s="3085"/>
      <c r="AA55" s="3085"/>
      <c r="AB55" s="3085"/>
      <c r="AC55" s="3085"/>
      <c r="AD55" s="218"/>
      <c r="AE55" s="2225">
        <f t="shared" si="2"/>
        <v>0</v>
      </c>
      <c r="AF55" s="2225"/>
      <c r="AG55" s="2225"/>
      <c r="AH55" s="2225"/>
      <c r="AI55" s="2225"/>
      <c r="AJ55" s="2225"/>
      <c r="AK55" s="2225"/>
      <c r="AL55" s="2225"/>
      <c r="AM55" s="167"/>
      <c r="AN55" s="3085">
        <f>前年度貼付!$E$272</f>
        <v>0</v>
      </c>
      <c r="AO55" s="3085"/>
      <c r="AP55" s="3085"/>
      <c r="AQ55" s="3085"/>
      <c r="AR55" s="3085"/>
      <c r="AS55" s="3085"/>
      <c r="AT55" s="3085"/>
      <c r="AU55" s="3085"/>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3083">
        <v>26000</v>
      </c>
      <c r="N56" s="3084"/>
      <c r="O56" s="3084"/>
      <c r="P56" s="3084"/>
      <c r="Q56" s="3084"/>
      <c r="R56" s="3084"/>
      <c r="S56" s="3084"/>
      <c r="T56" s="3084"/>
      <c r="U56" s="189"/>
      <c r="V56" s="3085">
        <f>'保健_財務諸表P53'!B48</f>
        <v>28027</v>
      </c>
      <c r="W56" s="3085"/>
      <c r="X56" s="3085"/>
      <c r="Y56" s="3085"/>
      <c r="Z56" s="3085"/>
      <c r="AA56" s="3085"/>
      <c r="AB56" s="3085"/>
      <c r="AC56" s="3085"/>
      <c r="AD56" s="197"/>
      <c r="AE56" s="2225">
        <f t="shared" si="2"/>
        <v>2027</v>
      </c>
      <c r="AF56" s="2225"/>
      <c r="AG56" s="2225"/>
      <c r="AH56" s="2225"/>
      <c r="AI56" s="2225"/>
      <c r="AJ56" s="2225"/>
      <c r="AK56" s="2225"/>
      <c r="AL56" s="2225"/>
      <c r="AM56" s="189"/>
      <c r="AN56" s="3085">
        <f>前年度貼付!$E$273</f>
        <v>24585</v>
      </c>
      <c r="AO56" s="3085"/>
      <c r="AP56" s="3085"/>
      <c r="AQ56" s="3085"/>
      <c r="AR56" s="3085"/>
      <c r="AS56" s="3085"/>
      <c r="AT56" s="3085"/>
      <c r="AU56" s="3085"/>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3087">
        <v>3363000</v>
      </c>
      <c r="N57" s="3088"/>
      <c r="O57" s="3088"/>
      <c r="P57" s="3088"/>
      <c r="Q57" s="3088"/>
      <c r="R57" s="3088"/>
      <c r="S57" s="3088"/>
      <c r="T57" s="3088"/>
      <c r="U57" s="189"/>
      <c r="V57" s="3088">
        <f>'保健_財務諸表P53'!B49</f>
        <v>3453940</v>
      </c>
      <c r="W57" s="3088"/>
      <c r="X57" s="3088"/>
      <c r="Y57" s="3088"/>
      <c r="Z57" s="3088"/>
      <c r="AA57" s="3088"/>
      <c r="AB57" s="3088"/>
      <c r="AC57" s="3088"/>
      <c r="AD57" s="197"/>
      <c r="AE57" s="2215">
        <f t="shared" si="2"/>
        <v>90940</v>
      </c>
      <c r="AF57" s="2215"/>
      <c r="AG57" s="2215"/>
      <c r="AH57" s="2215"/>
      <c r="AI57" s="2215"/>
      <c r="AJ57" s="2215"/>
      <c r="AK57" s="2215"/>
      <c r="AL57" s="2215"/>
      <c r="AM57" s="189"/>
      <c r="AN57" s="3088">
        <f>前年度貼付!$E$274</f>
        <v>4888697</v>
      </c>
      <c r="AO57" s="3088"/>
      <c r="AP57" s="3088"/>
      <c r="AQ57" s="3088"/>
      <c r="AR57" s="3088"/>
      <c r="AS57" s="3088"/>
      <c r="AT57" s="3088"/>
      <c r="AU57" s="3088"/>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3087">
        <v>0</v>
      </c>
      <c r="N58" s="3088"/>
      <c r="O58" s="3088"/>
      <c r="P58" s="3088"/>
      <c r="Q58" s="3088"/>
      <c r="R58" s="3088"/>
      <c r="S58" s="3088"/>
      <c r="T58" s="3088"/>
      <c r="U58" s="189"/>
      <c r="V58" s="3088">
        <f>'保健_財務諸表P53'!B50</f>
        <v>0</v>
      </c>
      <c r="W58" s="3088"/>
      <c r="X58" s="3088"/>
      <c r="Y58" s="3088"/>
      <c r="Z58" s="3088"/>
      <c r="AA58" s="3088"/>
      <c r="AB58" s="3088"/>
      <c r="AC58" s="3088"/>
      <c r="AD58" s="197"/>
      <c r="AE58" s="2215">
        <f t="shared" si="2"/>
        <v>0</v>
      </c>
      <c r="AF58" s="2215"/>
      <c r="AG58" s="2215"/>
      <c r="AH58" s="2215"/>
      <c r="AI58" s="2215"/>
      <c r="AJ58" s="2215"/>
      <c r="AK58" s="2215"/>
      <c r="AL58" s="2215"/>
      <c r="AM58" s="189"/>
      <c r="AN58" s="3088">
        <f>前年度貼付!$E$275</f>
        <v>74014</v>
      </c>
      <c r="AO58" s="3088"/>
      <c r="AP58" s="3088"/>
      <c r="AQ58" s="3088"/>
      <c r="AR58" s="3088"/>
      <c r="AS58" s="3088"/>
      <c r="AT58" s="3088"/>
      <c r="AU58" s="3088"/>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3087">
        <v>2077000</v>
      </c>
      <c r="N59" s="3088"/>
      <c r="O59" s="3088"/>
      <c r="P59" s="3088"/>
      <c r="Q59" s="3088"/>
      <c r="R59" s="3088"/>
      <c r="S59" s="3088"/>
      <c r="T59" s="3088"/>
      <c r="U59" s="189"/>
      <c r="V59" s="3088">
        <f>'保健_財務諸表P53'!B51</f>
        <v>1768131</v>
      </c>
      <c r="W59" s="3088"/>
      <c r="X59" s="3088"/>
      <c r="Y59" s="3088"/>
      <c r="Z59" s="3088"/>
      <c r="AA59" s="3088"/>
      <c r="AB59" s="3088"/>
      <c r="AC59" s="3088"/>
      <c r="AD59" s="197"/>
      <c r="AE59" s="2215">
        <f t="shared" si="2"/>
        <v>-308869</v>
      </c>
      <c r="AF59" s="2215"/>
      <c r="AG59" s="2215"/>
      <c r="AH59" s="2215"/>
      <c r="AI59" s="2215"/>
      <c r="AJ59" s="2215"/>
      <c r="AK59" s="2215"/>
      <c r="AL59" s="2215"/>
      <c r="AM59" s="189"/>
      <c r="AN59" s="3088">
        <f>前年度貼付!$E$276</f>
        <v>2058419</v>
      </c>
      <c r="AO59" s="3088"/>
      <c r="AP59" s="3088"/>
      <c r="AQ59" s="3088"/>
      <c r="AR59" s="3088"/>
      <c r="AS59" s="3088"/>
      <c r="AT59" s="3088"/>
      <c r="AU59" s="3088"/>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3089">
        <v>593000</v>
      </c>
      <c r="N60" s="3090"/>
      <c r="O60" s="3090"/>
      <c r="P60" s="3090"/>
      <c r="Q60" s="3090"/>
      <c r="R60" s="3090"/>
      <c r="S60" s="3090"/>
      <c r="T60" s="3090"/>
      <c r="U60" s="189"/>
      <c r="V60" s="3088">
        <f>'保健_財務諸表P53'!B52</f>
        <v>565872</v>
      </c>
      <c r="W60" s="3088"/>
      <c r="X60" s="3088"/>
      <c r="Y60" s="3088"/>
      <c r="Z60" s="3088"/>
      <c r="AA60" s="3088"/>
      <c r="AB60" s="3088"/>
      <c r="AC60" s="3088"/>
      <c r="AD60" s="197"/>
      <c r="AE60" s="2215">
        <f t="shared" si="2"/>
        <v>-27128</v>
      </c>
      <c r="AF60" s="2215"/>
      <c r="AG60" s="2215"/>
      <c r="AH60" s="2215"/>
      <c r="AI60" s="2215"/>
      <c r="AJ60" s="2215"/>
      <c r="AK60" s="2215"/>
      <c r="AL60" s="2215"/>
      <c r="AM60" s="189"/>
      <c r="AN60" s="3088">
        <f>前年度貼付!$E$277</f>
        <v>725721</v>
      </c>
      <c r="AO60" s="3088"/>
      <c r="AP60" s="3088"/>
      <c r="AQ60" s="3088"/>
      <c r="AR60" s="3088"/>
      <c r="AS60" s="3088"/>
      <c r="AT60" s="3088"/>
      <c r="AU60" s="3088"/>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3083">
        <v>2726000</v>
      </c>
      <c r="N61" s="3084"/>
      <c r="O61" s="3084"/>
      <c r="P61" s="3084"/>
      <c r="Q61" s="3084"/>
      <c r="R61" s="3084"/>
      <c r="S61" s="3084"/>
      <c r="T61" s="3084"/>
      <c r="U61" s="189"/>
      <c r="V61" s="3085">
        <f>'保健_財務諸表P53'!B53</f>
        <v>2868615</v>
      </c>
      <c r="W61" s="3085"/>
      <c r="X61" s="3085"/>
      <c r="Y61" s="3085"/>
      <c r="Z61" s="3085"/>
      <c r="AA61" s="3085"/>
      <c r="AB61" s="3085"/>
      <c r="AC61" s="3085"/>
      <c r="AD61" s="197"/>
      <c r="AE61" s="2225">
        <f t="shared" si="2"/>
        <v>142615</v>
      </c>
      <c r="AF61" s="2225"/>
      <c r="AG61" s="2225"/>
      <c r="AH61" s="2225"/>
      <c r="AI61" s="2225"/>
      <c r="AJ61" s="2225"/>
      <c r="AK61" s="2225"/>
      <c r="AL61" s="2225"/>
      <c r="AM61" s="189"/>
      <c r="AN61" s="3085">
        <f>前年度貼付!$E$278</f>
        <v>2767401</v>
      </c>
      <c r="AO61" s="3085"/>
      <c r="AP61" s="3085"/>
      <c r="AQ61" s="3085"/>
      <c r="AR61" s="3085"/>
      <c r="AS61" s="3085"/>
      <c r="AT61" s="3085"/>
      <c r="AU61" s="3085"/>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3091">
        <v>0</v>
      </c>
      <c r="N62" s="3092"/>
      <c r="O62" s="3092"/>
      <c r="P62" s="3092"/>
      <c r="Q62" s="3092"/>
      <c r="R62" s="3092"/>
      <c r="S62" s="3092"/>
      <c r="T62" s="3092"/>
      <c r="U62" s="189"/>
      <c r="V62" s="3088">
        <f>'保健_附属明細表P54-57'!I116</f>
        <v>0</v>
      </c>
      <c r="W62" s="3088"/>
      <c r="X62" s="3088"/>
      <c r="Y62" s="3088"/>
      <c r="Z62" s="3088"/>
      <c r="AA62" s="3088"/>
      <c r="AB62" s="3088"/>
      <c r="AC62" s="3088"/>
      <c r="AD62" s="197"/>
      <c r="AE62" s="2215">
        <f t="shared" si="2"/>
        <v>0</v>
      </c>
      <c r="AF62" s="2215"/>
      <c r="AG62" s="2215"/>
      <c r="AH62" s="2215"/>
      <c r="AI62" s="2215"/>
      <c r="AJ62" s="2215"/>
      <c r="AK62" s="2215"/>
      <c r="AL62" s="2215"/>
      <c r="AM62" s="189"/>
      <c r="AN62" s="3088">
        <f>前年度貼付!$E$279</f>
        <v>0</v>
      </c>
      <c r="AO62" s="3088"/>
      <c r="AP62" s="3088"/>
      <c r="AQ62" s="3088"/>
      <c r="AR62" s="3088"/>
      <c r="AS62" s="3088"/>
      <c r="AT62" s="3088"/>
      <c r="AU62" s="3088"/>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3091">
        <v>0</v>
      </c>
      <c r="N63" s="3092"/>
      <c r="O63" s="3092"/>
      <c r="P63" s="3092"/>
      <c r="Q63" s="3092"/>
      <c r="R63" s="3092"/>
      <c r="S63" s="3092"/>
      <c r="T63" s="3092"/>
      <c r="U63" s="189"/>
      <c r="V63" s="3088">
        <f>'保健_財務諸表P53'!C56</f>
        <v>0</v>
      </c>
      <c r="W63" s="3088"/>
      <c r="X63" s="3088"/>
      <c r="Y63" s="3088"/>
      <c r="Z63" s="3088"/>
      <c r="AA63" s="3088"/>
      <c r="AB63" s="3088"/>
      <c r="AC63" s="3088"/>
      <c r="AD63" s="197"/>
      <c r="AE63" s="2215">
        <f t="shared" si="2"/>
        <v>0</v>
      </c>
      <c r="AF63" s="2215"/>
      <c r="AG63" s="2215"/>
      <c r="AH63" s="2215"/>
      <c r="AI63" s="2215"/>
      <c r="AJ63" s="2215"/>
      <c r="AK63" s="2215"/>
      <c r="AL63" s="2215"/>
      <c r="AM63" s="189"/>
      <c r="AN63" s="3088">
        <f>前年度貼付!$E$280</f>
        <v>0</v>
      </c>
      <c r="AO63" s="3088"/>
      <c r="AP63" s="3088"/>
      <c r="AQ63" s="3088"/>
      <c r="AR63" s="3088"/>
      <c r="AS63" s="3088"/>
      <c r="AT63" s="3088"/>
      <c r="AU63" s="3088"/>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3091">
        <v>0</v>
      </c>
      <c r="N64" s="3092"/>
      <c r="O64" s="3092"/>
      <c r="P64" s="3092"/>
      <c r="Q64" s="3092"/>
      <c r="R64" s="3092"/>
      <c r="S64" s="3092"/>
      <c r="T64" s="3092"/>
      <c r="U64" s="189"/>
      <c r="V64" s="3088">
        <f>'保健_財務諸表P53'!C57</f>
        <v>0</v>
      </c>
      <c r="W64" s="3088"/>
      <c r="X64" s="3088"/>
      <c r="Y64" s="3088"/>
      <c r="Z64" s="3088"/>
      <c r="AA64" s="3088"/>
      <c r="AB64" s="3088"/>
      <c r="AC64" s="3088"/>
      <c r="AD64" s="197"/>
      <c r="AE64" s="2215">
        <f t="shared" si="2"/>
        <v>0</v>
      </c>
      <c r="AF64" s="2215"/>
      <c r="AG64" s="2215"/>
      <c r="AH64" s="2215"/>
      <c r="AI64" s="2215"/>
      <c r="AJ64" s="2215"/>
      <c r="AK64" s="2215"/>
      <c r="AL64" s="2215"/>
      <c r="AM64" s="189"/>
      <c r="AN64" s="3088">
        <f>前年度貼付!$E$281</f>
        <v>538895</v>
      </c>
      <c r="AO64" s="3088"/>
      <c r="AP64" s="3088"/>
      <c r="AQ64" s="3088"/>
      <c r="AR64" s="3088"/>
      <c r="AS64" s="3088"/>
      <c r="AT64" s="3088"/>
      <c r="AU64" s="3088"/>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3093">
        <v>492252000</v>
      </c>
      <c r="Q71" s="3094"/>
      <c r="R71" s="3094"/>
      <c r="S71" s="3094"/>
      <c r="T71" s="3094"/>
      <c r="U71" s="3094"/>
      <c r="V71" s="3094"/>
      <c r="W71" s="3094"/>
      <c r="X71" s="3093">
        <v>519738662</v>
      </c>
      <c r="Y71" s="3094"/>
      <c r="Z71" s="3094"/>
      <c r="AA71" s="3094"/>
      <c r="AB71" s="3094"/>
      <c r="AC71" s="3094"/>
      <c r="AD71" s="3094"/>
      <c r="AE71" s="3094"/>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3095">
        <v>1000</v>
      </c>
      <c r="Q73" s="3096"/>
      <c r="R73" s="3096"/>
      <c r="S73" s="3096"/>
      <c r="T73" s="3096"/>
      <c r="U73" s="3096"/>
      <c r="V73" s="3096"/>
      <c r="W73" s="3096"/>
      <c r="X73" s="3093">
        <v>0</v>
      </c>
      <c r="Y73" s="3094"/>
      <c r="Z73" s="3094"/>
      <c r="AA73" s="3094"/>
      <c r="AB73" s="3094"/>
      <c r="AC73" s="3094"/>
      <c r="AD73" s="3094"/>
      <c r="AE73" s="3094"/>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3095">
        <v>2000</v>
      </c>
      <c r="Q74" s="3096"/>
      <c r="R74" s="3096"/>
      <c r="S74" s="3096"/>
      <c r="T74" s="3096"/>
      <c r="U74" s="3096"/>
      <c r="V74" s="3096"/>
      <c r="W74" s="3096"/>
      <c r="X74" s="3093">
        <v>0</v>
      </c>
      <c r="Y74" s="3094"/>
      <c r="Z74" s="3094"/>
      <c r="AA74" s="3094"/>
      <c r="AB74" s="3094"/>
      <c r="AC74" s="3094"/>
      <c r="AD74" s="3094"/>
      <c r="AE74" s="3094"/>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3095">
        <v>2000</v>
      </c>
      <c r="Q75" s="3096"/>
      <c r="R75" s="3096"/>
      <c r="S75" s="3096"/>
      <c r="T75" s="3096"/>
      <c r="U75" s="3096"/>
      <c r="V75" s="3096"/>
      <c r="W75" s="3096"/>
      <c r="X75" s="3093">
        <v>0</v>
      </c>
      <c r="Y75" s="3094"/>
      <c r="Z75" s="3094"/>
      <c r="AA75" s="3094"/>
      <c r="AB75" s="3094"/>
      <c r="AC75" s="3094"/>
      <c r="AD75" s="3094"/>
      <c r="AE75" s="3094"/>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3093">
        <v>18180000</v>
      </c>
      <c r="Q76" s="3094"/>
      <c r="R76" s="3094"/>
      <c r="S76" s="3094"/>
      <c r="T76" s="3094"/>
      <c r="U76" s="3094"/>
      <c r="V76" s="3094"/>
      <c r="W76" s="3094"/>
      <c r="X76" s="3093">
        <v>16486080</v>
      </c>
      <c r="Y76" s="3094"/>
      <c r="Z76" s="3094"/>
      <c r="AA76" s="3094"/>
      <c r="AB76" s="3094"/>
      <c r="AC76" s="3094"/>
      <c r="AD76" s="3094"/>
      <c r="AE76" s="3094"/>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3093">
        <v>207000</v>
      </c>
      <c r="Q77" s="3094"/>
      <c r="R77" s="3094"/>
      <c r="S77" s="3094"/>
      <c r="T77" s="3094"/>
      <c r="U77" s="3094"/>
      <c r="V77" s="3094"/>
      <c r="W77" s="3094"/>
      <c r="X77" s="3093">
        <v>116500</v>
      </c>
      <c r="Y77" s="3094"/>
      <c r="Z77" s="3094"/>
      <c r="AA77" s="3094"/>
      <c r="AB77" s="3094"/>
      <c r="AC77" s="3094"/>
      <c r="AD77" s="3094"/>
      <c r="AE77" s="3094"/>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3093">
        <v>10741000</v>
      </c>
      <c r="Q78" s="3094"/>
      <c r="R78" s="3094"/>
      <c r="S78" s="3094"/>
      <c r="T78" s="3094"/>
      <c r="U78" s="3094"/>
      <c r="V78" s="3094"/>
      <c r="W78" s="3094"/>
      <c r="X78" s="3093">
        <v>2658535</v>
      </c>
      <c r="Y78" s="3094"/>
      <c r="Z78" s="3094"/>
      <c r="AA78" s="3094"/>
      <c r="AB78" s="3094"/>
      <c r="AC78" s="3094"/>
      <c r="AD78" s="3094"/>
      <c r="AE78" s="3094"/>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3093">
        <v>4529000</v>
      </c>
      <c r="Q79" s="3094"/>
      <c r="R79" s="3094"/>
      <c r="S79" s="3094"/>
      <c r="T79" s="3094"/>
      <c r="U79" s="3094"/>
      <c r="V79" s="3094"/>
      <c r="W79" s="3094"/>
      <c r="X79" s="3093">
        <v>3814577</v>
      </c>
      <c r="Y79" s="3094"/>
      <c r="Z79" s="3094"/>
      <c r="AA79" s="3094"/>
      <c r="AB79" s="3094"/>
      <c r="AC79" s="3094"/>
      <c r="AD79" s="3094"/>
      <c r="AE79" s="3094"/>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3093">
        <v>5378000</v>
      </c>
      <c r="Q80" s="3094"/>
      <c r="R80" s="3094"/>
      <c r="S80" s="3094"/>
      <c r="T80" s="3094"/>
      <c r="U80" s="3094"/>
      <c r="V80" s="3094"/>
      <c r="W80" s="3094"/>
      <c r="X80" s="3093">
        <v>4512573</v>
      </c>
      <c r="Y80" s="3094"/>
      <c r="Z80" s="3094"/>
      <c r="AA80" s="3094"/>
      <c r="AB80" s="3094"/>
      <c r="AC80" s="3094"/>
      <c r="AD80" s="3094"/>
      <c r="AE80" s="3094"/>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3093">
        <v>0</v>
      </c>
      <c r="Q82" s="3094"/>
      <c r="R82" s="3094"/>
      <c r="S82" s="3094"/>
      <c r="T82" s="3094"/>
      <c r="U82" s="3094"/>
      <c r="V82" s="3094"/>
      <c r="W82" s="3094"/>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3093">
        <v>0</v>
      </c>
      <c r="Q84" s="3094"/>
      <c r="R84" s="3094"/>
      <c r="S84" s="3094"/>
      <c r="T84" s="3094"/>
      <c r="U84" s="3094"/>
      <c r="V84" s="3094"/>
      <c r="W84" s="3094"/>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3093">
        <v>0</v>
      </c>
      <c r="Q86" s="3094"/>
      <c r="R86" s="3094"/>
      <c r="S86" s="3094"/>
      <c r="T86" s="3094"/>
      <c r="U86" s="3094"/>
      <c r="V86" s="3094"/>
      <c r="W86" s="3094"/>
      <c r="X86" s="3093">
        <v>0</v>
      </c>
      <c r="Y86" s="3094"/>
      <c r="Z86" s="3094"/>
      <c r="AA86" s="3094"/>
      <c r="AB86" s="3094"/>
      <c r="AC86" s="3094"/>
      <c r="AD86" s="3094"/>
      <c r="AE86" s="3094"/>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3095">
        <v>2077000</v>
      </c>
      <c r="Q87" s="3096"/>
      <c r="R87" s="3096"/>
      <c r="S87" s="3096"/>
      <c r="T87" s="3096"/>
      <c r="U87" s="3096"/>
      <c r="V87" s="3096"/>
      <c r="W87" s="3096"/>
      <c r="X87" s="3095">
        <v>1768131</v>
      </c>
      <c r="Y87" s="3096"/>
      <c r="Z87" s="3096"/>
      <c r="AA87" s="3096"/>
      <c r="AB87" s="3096"/>
      <c r="AC87" s="3096"/>
      <c r="AD87" s="3096"/>
      <c r="AE87" s="3096"/>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3093">
        <v>557000</v>
      </c>
      <c r="Q88" s="3094"/>
      <c r="R88" s="3094"/>
      <c r="S88" s="3094"/>
      <c r="T88" s="3094"/>
      <c r="U88" s="3094"/>
      <c r="V88" s="3094"/>
      <c r="W88" s="3094"/>
      <c r="X88" s="3093">
        <v>356493</v>
      </c>
      <c r="Y88" s="3094"/>
      <c r="Z88" s="3094"/>
      <c r="AA88" s="3094"/>
      <c r="AB88" s="3094"/>
      <c r="AC88" s="3094"/>
      <c r="AD88" s="3094"/>
      <c r="AE88" s="3094"/>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3093">
        <v>12588000</v>
      </c>
      <c r="Q90" s="3094"/>
      <c r="R90" s="3094"/>
      <c r="S90" s="3094"/>
      <c r="T90" s="3094"/>
      <c r="U90" s="3094"/>
      <c r="V90" s="3094"/>
      <c r="W90" s="3094"/>
      <c r="X90" s="3093">
        <v>9572043</v>
      </c>
      <c r="Y90" s="3094"/>
      <c r="Z90" s="3094"/>
      <c r="AA90" s="3094"/>
      <c r="AB90" s="3094"/>
      <c r="AC90" s="3094"/>
      <c r="AD90" s="3094"/>
      <c r="AE90" s="3094"/>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3093">
        <v>22204000</v>
      </c>
      <c r="Q91" s="3094"/>
      <c r="R91" s="3094"/>
      <c r="S91" s="3094"/>
      <c r="T91" s="3094"/>
      <c r="U91" s="3094"/>
      <c r="V91" s="3094"/>
      <c r="W91" s="3094"/>
      <c r="X91" s="3093">
        <v>10938482</v>
      </c>
      <c r="Y91" s="3094"/>
      <c r="Z91" s="3094"/>
      <c r="AA91" s="3094"/>
      <c r="AB91" s="3094"/>
      <c r="AC91" s="3094"/>
      <c r="AD91" s="3094"/>
      <c r="AE91" s="3094"/>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3093">
        <v>2582000</v>
      </c>
      <c r="Q93" s="3094"/>
      <c r="R93" s="3094"/>
      <c r="S93" s="3094"/>
      <c r="T93" s="3094"/>
      <c r="U93" s="3094"/>
      <c r="V93" s="3094"/>
      <c r="W93" s="3094"/>
      <c r="X93" s="3093">
        <v>2719220</v>
      </c>
      <c r="Y93" s="3094"/>
      <c r="Z93" s="3094"/>
      <c r="AA93" s="3094"/>
      <c r="AB93" s="3094"/>
      <c r="AC93" s="3094"/>
      <c r="AD93" s="3094"/>
      <c r="AE93" s="3094"/>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3093">
        <v>4082000</v>
      </c>
      <c r="Q94" s="3094"/>
      <c r="R94" s="3094"/>
      <c r="S94" s="3094"/>
      <c r="T94" s="3094"/>
      <c r="U94" s="3094"/>
      <c r="V94" s="3094"/>
      <c r="W94" s="3094"/>
      <c r="X94" s="3095">
        <v>2200200</v>
      </c>
      <c r="Y94" s="3096"/>
      <c r="Z94" s="3096"/>
      <c r="AA94" s="3096"/>
      <c r="AB94" s="3096"/>
      <c r="AC94" s="3096"/>
      <c r="AD94" s="3096"/>
      <c r="AE94" s="3096"/>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3093">
        <v>35623000</v>
      </c>
      <c r="Q95" s="3094"/>
      <c r="R95" s="3094"/>
      <c r="S95" s="3094"/>
      <c r="T95" s="3094"/>
      <c r="U95" s="3094"/>
      <c r="V95" s="3094"/>
      <c r="W95" s="3094"/>
      <c r="X95" s="3095">
        <v>32378192</v>
      </c>
      <c r="Y95" s="3096"/>
      <c r="Z95" s="3096"/>
      <c r="AA95" s="3096"/>
      <c r="AB95" s="3096"/>
      <c r="AC95" s="3096"/>
      <c r="AD95" s="3096"/>
      <c r="AE95" s="3096"/>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3093">
        <v>6577000</v>
      </c>
      <c r="Q96" s="3094"/>
      <c r="R96" s="3094"/>
      <c r="S96" s="3094"/>
      <c r="T96" s="3094"/>
      <c r="U96" s="3094"/>
      <c r="V96" s="3094"/>
      <c r="W96" s="3094"/>
      <c r="X96" s="3095">
        <v>7902283</v>
      </c>
      <c r="Y96" s="3096"/>
      <c r="Z96" s="3096"/>
      <c r="AA96" s="3096"/>
      <c r="AB96" s="3096"/>
      <c r="AC96" s="3096"/>
      <c r="AD96" s="3096"/>
      <c r="AE96" s="3096"/>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3097" t="str">
        <f>IF('保健_財務諸表P53'!G50&gt;0,"　　本年度における収支決算を行った結果、当期損失金として"&amp;IF('保健_財務諸表P53'!G50=0,"0",IF('保健_財務諸表P53'!G50&gt;=100000000,TEXT(INT('保健_財務諸表P53'!G50/100000000),"#,##0")&amp;"億","")&amp;IF(MOD(INT('保健_財務諸表P53'!G50/10000),10000)&gt;0,TEXT(MOD(INT('保健_財務諸表P53'!G50/10000),10000),"#,##0")&amp;"万","")&amp;IF(MOD('保健_財務諸表P53'!G50,10000)&gt;0,TEXT(MOD('保健_財務諸表P53'!G50,10000),"#,##0"),""))&amp;"円を生じたが、","　　本年度における収支決算を行った結果、当期利益金として"&amp;IF('保健_財務諸表P53'!C60=0,"0",IF('保健_財務諸表P53'!C60&gt;=100000000,TEXT(INT('保健_財務諸表P53'!C60/100000000),"#,##0")&amp;"億","")&amp;IF(MOD(INT('保健_財務諸表P53'!C60/10000),10000)&gt;0,TEXT(MOD(INT('保健_財務諸表P53'!C60/10000),10000),"#,##0")&amp;"万","")&amp;IF(MOD('保健_財務諸表P53'!C60,10000)&gt;0,TEXT(MOD('保健_財務諸表P53'!C60,10000),"#,##0"),""))&amp;"円"&amp;"を生じた。")</f>
        <v>　　本年度における収支決算を行った結果、当期利益金として1,426万5,140円を生じた。</v>
      </c>
      <c r="B101" s="3098"/>
      <c r="C101" s="3098"/>
      <c r="D101" s="3098"/>
      <c r="E101" s="3098"/>
      <c r="F101" s="3098"/>
      <c r="G101" s="3098"/>
      <c r="H101" s="3098"/>
      <c r="I101" s="3098"/>
      <c r="J101" s="3098"/>
      <c r="K101" s="3098"/>
      <c r="L101" s="3098"/>
      <c r="M101" s="3098"/>
      <c r="N101" s="3098"/>
      <c r="O101" s="3098"/>
      <c r="P101" s="3098"/>
      <c r="Q101" s="3098"/>
      <c r="R101" s="3098"/>
      <c r="S101" s="3098"/>
      <c r="T101" s="3098"/>
      <c r="U101" s="3098"/>
      <c r="V101" s="3098"/>
      <c r="W101" s="3098"/>
      <c r="X101" s="3098"/>
      <c r="Y101" s="3098"/>
      <c r="Z101" s="3098"/>
      <c r="AA101" s="3098"/>
      <c r="AB101" s="3098"/>
      <c r="AC101" s="3098"/>
      <c r="AD101" s="3098"/>
      <c r="AE101" s="3098"/>
      <c r="AF101" s="3098"/>
      <c r="AG101" s="3098"/>
      <c r="AH101" s="3098"/>
      <c r="AI101" s="3098"/>
      <c r="AJ101" s="3098"/>
      <c r="AK101" s="3098"/>
      <c r="AL101" s="3098"/>
      <c r="AM101" s="3098"/>
      <c r="AN101" s="3098"/>
      <c r="AO101" s="3098"/>
      <c r="AP101" s="3098"/>
      <c r="AQ101" s="3098"/>
      <c r="AR101" s="3098"/>
      <c r="AS101" s="3098"/>
      <c r="AT101" s="3098"/>
      <c r="AU101" s="3098"/>
      <c r="AV101" s="3098"/>
      <c r="AW101" s="3098"/>
      <c r="AX101" s="3098"/>
      <c r="AY101" s="3098"/>
      <c r="AZ101" s="3098"/>
      <c r="BA101" s="3098"/>
      <c r="BB101" s="3098"/>
      <c r="BC101" s="3098"/>
      <c r="BD101" s="3098"/>
      <c r="BE101" s="3098"/>
    </row>
    <row r="102" spans="1:57" s="359" customFormat="1" ht="24.9" customHeight="1">
      <c r="A102" s="3097" t="str">
        <f>IF('保健_財務諸表P53'!G50&gt;0,"　　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を取り崩して補てんした。なお、翌年度に繰り越す積立金は、","　　この利益金に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amp;"を合わせ、翌年度に繰り越す積立金は、")</f>
        <v>　　この利益金に前年度より繰り越した積立金2億7,094万7,604円を合わせ、翌年度に繰り越す積立金は、</v>
      </c>
      <c r="B102" s="3098"/>
      <c r="C102" s="3098"/>
      <c r="D102" s="3098"/>
      <c r="E102" s="3098"/>
      <c r="F102" s="3098"/>
      <c r="G102" s="3098"/>
      <c r="H102" s="3098"/>
      <c r="I102" s="3098"/>
      <c r="J102" s="3098"/>
      <c r="K102" s="3098"/>
      <c r="L102" s="3098"/>
      <c r="M102" s="3098"/>
      <c r="N102" s="3098"/>
      <c r="O102" s="3098"/>
      <c r="P102" s="3098"/>
      <c r="Q102" s="3098"/>
      <c r="R102" s="3098"/>
      <c r="S102" s="3098"/>
      <c r="T102" s="3098"/>
      <c r="U102" s="3098"/>
      <c r="V102" s="3098"/>
      <c r="W102" s="3098"/>
      <c r="X102" s="3098"/>
      <c r="Y102" s="3098"/>
      <c r="Z102" s="3098"/>
      <c r="AA102" s="3098"/>
      <c r="AB102" s="3098"/>
      <c r="AC102" s="3098"/>
      <c r="AD102" s="3098"/>
      <c r="AE102" s="3098"/>
      <c r="AF102" s="3098"/>
      <c r="AG102" s="3098"/>
      <c r="AH102" s="3098"/>
      <c r="AI102" s="3098"/>
      <c r="AJ102" s="3099"/>
      <c r="AK102" s="3099"/>
      <c r="AL102" s="3099"/>
      <c r="AM102" s="3099"/>
      <c r="AN102" s="3099"/>
      <c r="AO102" s="3099"/>
      <c r="AP102" s="3099"/>
      <c r="AQ102" s="3099"/>
      <c r="AR102" s="3099"/>
      <c r="AS102" s="3099"/>
      <c r="AT102" s="3099"/>
      <c r="AU102" s="3099"/>
      <c r="AV102" s="3099"/>
      <c r="AW102" s="3099"/>
      <c r="AX102" s="3099"/>
      <c r="AY102" s="3099"/>
      <c r="AZ102" s="3099"/>
      <c r="BA102" s="3099"/>
      <c r="BB102" s="3099"/>
      <c r="BC102" s="3098"/>
      <c r="BD102" s="3098"/>
      <c r="BE102" s="3098"/>
    </row>
    <row r="103" spans="1:57" s="359" customFormat="1" ht="24.9" customHeight="1">
      <c r="A103" s="3097" t="str">
        <f>"　"&amp;IF('保健_附属明細表P54-57'!Q147=0,"0",IF('保健_附属明細表P54-57'!Q147&gt;=100000000,TEXT(INT('保健_附属明細表P54-57'!Q147/100000000),"#,##0")&amp;"億","")&amp;IF(MOD(INT('保健_附属明細表P54-57'!Q147/10000),10000)&gt;0,TEXT(MOD(INT('保健_附属明細表P54-57'!Q147/10000),10000),"#,##0")&amp;"万","")&amp;IF(MOD('保健_附属明細表P54-57'!Q147,10000)&gt;0,TEXT(MOD('保健_附属明細表P54-57'!Q147,10000),"#,##0"),""))&amp;"円"&amp;"となる。"</f>
        <v>　2億8,521万2,744円となる。</v>
      </c>
      <c r="B103" s="3098"/>
      <c r="C103" s="3098"/>
      <c r="D103" s="3098"/>
      <c r="E103" s="3098"/>
      <c r="F103" s="3098"/>
      <c r="G103" s="3098"/>
      <c r="H103" s="3098"/>
      <c r="I103" s="3098"/>
      <c r="J103" s="3098"/>
      <c r="K103" s="3098"/>
      <c r="L103" s="3098"/>
      <c r="M103" s="3098"/>
      <c r="N103" s="3098"/>
      <c r="O103" s="3098"/>
      <c r="P103" s="3098"/>
      <c r="Q103" s="3098"/>
      <c r="R103" s="3098"/>
      <c r="S103" s="3098"/>
      <c r="T103" s="3098"/>
      <c r="U103" s="3098"/>
      <c r="V103" s="3098"/>
      <c r="W103" s="3098"/>
      <c r="X103" s="3098"/>
      <c r="Y103" s="3098"/>
      <c r="Z103" s="3098"/>
      <c r="AA103" s="3098"/>
      <c r="AB103" s="3098"/>
      <c r="AC103" s="3098"/>
      <c r="AD103" s="3098"/>
      <c r="AE103" s="3098"/>
      <c r="AF103" s="3098"/>
      <c r="AG103" s="3098"/>
      <c r="AH103" s="3098"/>
      <c r="AI103" s="3098"/>
      <c r="AJ103" s="3099"/>
      <c r="AK103" s="3099"/>
      <c r="AL103" s="3099"/>
      <c r="AM103" s="3099"/>
      <c r="AN103" s="3099"/>
      <c r="AO103" s="3099"/>
      <c r="AP103" s="3099"/>
      <c r="AQ103" s="3099"/>
      <c r="AR103" s="3099"/>
      <c r="AS103" s="3099"/>
      <c r="AT103" s="3099"/>
      <c r="AU103" s="3099"/>
      <c r="AV103" s="3099"/>
      <c r="AW103" s="3099"/>
      <c r="AX103" s="3099"/>
      <c r="AY103" s="3099"/>
      <c r="AZ103" s="3099"/>
      <c r="BA103" s="3099"/>
      <c r="BB103" s="3099"/>
      <c r="BC103" s="3098"/>
      <c r="BD103" s="3098"/>
      <c r="BE103" s="3098"/>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conditionalFormatting sqref="M21 M22 M23 M25 M26 M27 M28 M29 M30 M31 M32 M46 M47 M48 M49 M50 M51 M52 M53 M54 M55 M56 M57 M58 M59 M60 M61 M62 M63 M64 O9 O10 O11 O12 O13 P71 P73 P74 P75 P76 P77 P78 P79 P80 P82 P84 P86 P87 P88 P90 P91 P93 P94 P95 P96 V21 V22 V23 V25 V26 V27 V28 V30 V49 W9 W10 W11 W12 X71 X73 X74 X75 X76 X77 X78 X79 X80 X82 X84 X86 X87 X88 X90 X91 X93 X94 X95 X96 AF73 AF74 AF75 AF77 AF78 AF87 AF94 AF95 AF96 AG71 AG72 AG76 AG79 AG80 AG82 AG84 AG86 AG88 AG90 AG91 AG93">
    <cfRule type="expression" dxfId="6" priority="2">
      <formula>AND(入力色表示=1,NOT(_xlfn.ISFORMULA(M21)))</formula>
    </cfRule>
  </conditionalFormatting>
  <dataValidations count="58">
    <dataValidation allowBlank="1" showInputMessage="1" promptTitle="手入力セル" prompt="反映先：報告_保健P20-22 M20,AE21&#10;他の帳票：なし" sqref="M21"/>
    <dataValidation allowBlank="1" showInputMessage="1" promptTitle="手入力セル" prompt="反映先：報告_保健P20-22 M20,AE22&#10;他の帳票：なし" sqref="M22"/>
    <dataValidation allowBlank="1" showInputMessage="1" promptTitle="手入力セル" prompt="反映先：報告_保健P20-22 M20,AE23&#10;他の帳票：なし" sqref="M23"/>
    <dataValidation allowBlank="1" showInputMessage="1" promptTitle="手入力セル" prompt="反映先：報告_保健P20-22 M24,AE25&#10;他の帳票：なし" sqref="M25"/>
    <dataValidation allowBlank="1" showInputMessage="1" promptTitle="手入力セル" prompt="反映先：報告_保健P20-22 M24,AE26&#10;他の帳票：なし" sqref="M26"/>
    <dataValidation allowBlank="1" showInputMessage="1" promptTitle="手入力セル" prompt="反映先：報告_保健P20-22 M33,AE27&#10;他の帳票：なし" sqref="M27"/>
    <dataValidation allowBlank="1" showInputMessage="1" promptTitle="手入力セル" prompt="反映先：報告_保健P20-22 M33,AE28&#10;他の帳票：なし" sqref="M28"/>
    <dataValidation allowBlank="1" showInputMessage="1" promptTitle="手入力セル" prompt="反映先：報告_保健P20-22 M33,AE29&#10;他の帳票：なし" sqref="M29"/>
    <dataValidation allowBlank="1" showInputMessage="1" promptTitle="手入力セル" prompt="反映先：報告_保健P20-22 AE30&#10;他の帳票：なし" sqref="M30"/>
    <dataValidation allowBlank="1" showInputMessage="1" promptTitle="手入力セル" prompt="反映先：報告_保健P20-22 M33,AE31&#10;他の帳票：なし" sqref="M31"/>
    <dataValidation allowBlank="1" showInputMessage="1" promptTitle="手入力セル" prompt="反映先：報告_保健P20-22 M33,AE32&#10;他の帳票：なし" sqref="M32"/>
    <dataValidation allowBlank="1" showInputMessage="1" promptTitle="手入力セル" prompt="反映先：報告_保健P20-22 M65,AE46、保健_附属明細表P54-57 E136&#10;他の帳票：保健_附属明細表P54-57" sqref="M46"/>
    <dataValidation allowBlank="1" showInputMessage="1" promptTitle="手入力セル" prompt="反映先：報告_保健P20-22 M65,AE47&#10;他の帳票：なし" sqref="M47"/>
    <dataValidation allowBlank="1" showInputMessage="1" promptTitle="手入力セル" prompt="反映先：報告_保健P20-22 M65,AE48&#10;他の帳票：なし" sqref="M48"/>
    <dataValidation allowBlank="1" showInputMessage="1" promptTitle="手入力セル" prompt="反映先：報告_保健P20-22 M65,AE49、保健_附属明細表P54-57 E137&#10;他の帳票：保健_附属明細表P54-57" sqref="M49"/>
    <dataValidation allowBlank="1" showInputMessage="1" promptTitle="手入力セル" prompt="反映先：報告_保健P20-22 M65,AE50、保健_附属明細表P54-57 E138&#10;他の帳票：保健_附属明細表P54-57" sqref="M50"/>
    <dataValidation allowBlank="1" showInputMessage="1" promptTitle="手入力セル" prompt="反映先：報告_保健P20-22 M65,AE51&#10;他の帳票：なし" sqref="M51"/>
    <dataValidation allowBlank="1" showInputMessage="1" promptTitle="手入力セル" prompt="反映先：報告_保健P20-22 M65,AE52&#10;他の帳票：なし" sqref="M52"/>
    <dataValidation allowBlank="1" showInputMessage="1" promptTitle="手入力セル" prompt="反映先：報告_保健P20-22 M65,AE53&#10;他の帳票：なし" sqref="M53"/>
    <dataValidation allowBlank="1" showInputMessage="1" promptTitle="手入力セル" prompt="反映先：報告_保健P20-22 M65,AE54&#10;他の帳票：なし" sqref="M54"/>
    <dataValidation allowBlank="1" showInputMessage="1" promptTitle="手入力セル" prompt="反映先：報告_保健P20-22 M65,AE55&#10;他の帳票：なし" sqref="M55"/>
    <dataValidation allowBlank="1" showInputMessage="1" promptTitle="手入力セル" prompt="反映先：報告_保健P20-22 M65,AE56&#10;他の帳票：なし" sqref="M56"/>
    <dataValidation allowBlank="1" showInputMessage="1" promptTitle="手入力セル" prompt="反映先：報告_保健P20-22 M65,AE57&#10;他の帳票：なし" sqref="M57"/>
    <dataValidation allowBlank="1" showInputMessage="1" promptTitle="手入力セル" prompt="反映先：報告_保健P20-22 M65,AE58&#10;他の帳票：なし" sqref="M58"/>
    <dataValidation allowBlank="1" showInputMessage="1" promptTitle="手入力セル" prompt="反映先：報告_保健P20-22 M65,AE59&#10;他の帳票：なし" sqref="M59"/>
    <dataValidation allowBlank="1" showInputMessage="1" promptTitle="手入力セル" prompt="反映先：報告_保健P20-22 M65,AE60&#10;他の帳票：なし" sqref="M60"/>
    <dataValidation allowBlank="1" showInputMessage="1" promptTitle="手入力セル" prompt="反映先：報告_保健P20-22 M65,AE61&#10;他の帳票：なし" sqref="M61"/>
    <dataValidation allowBlank="1" showInputMessage="1" promptTitle="手入力セル" prompt="反映先：報告_保健P20-22 M65,AE62&#10;他の帳票：なし" sqref="M62"/>
    <dataValidation allowBlank="1" showInputMessage="1" promptTitle="手入力セル" prompt="反映先：報告_保健P20-22 M65,AE63&#10;他の帳票：なし" sqref="M63"/>
    <dataValidation allowBlank="1" showInputMessage="1" promptTitle="手入力セル" prompt="反映先：報告_保健P20-22 M65,AE64&#10;他の帳票：なし" sqref="M64"/>
    <dataValidation allowBlank="1" showInputMessage="1" promptTitle="手入力セル" prompt="反映先：報告_保健P20-22 AE9&#10;他の帳票：なし" sqref="O9 W9"/>
    <dataValidation allowBlank="1" showInputMessage="1" promptTitle="手入力セル" prompt="反映先：報告_保健P20-22 AE10&#10;他の帳票：なし" sqref="O10 W10"/>
    <dataValidation allowBlank="1" showInputMessage="1" promptTitle="手入力セル" prompt="反映先：報告_保健P20-22 AE11&#10;他の帳票：なし" sqref="O11 W11"/>
    <dataValidation allowBlank="1" showInputMessage="1" promptTitle="手入力セル" prompt="反映先：報告_保健P20-22 AE12&#10;他の帳票：なし" sqref="O12 W12"/>
    <dataValidation allowBlank="1" showInputMessage="1" promptTitle="手入力セル" prompt="反映先：報告_保健P20-22 AE13&#10;他の帳票：なし" sqref="O13"/>
    <dataValidation allowBlank="1" showInputMessage="1" promptTitle="手入力セル" prompt="反映先：報告_保健P20-22 P81&#10;他の帳票：なし" sqref="P71 P76 P77 P78 P79 P80"/>
    <dataValidation allowBlank="1" showInputMessage="1" promptTitle="手入力セル" prompt="反映先：報告_保健P20-22 P72&#10;他の帳票：なし" sqref="P73 P74 P75"/>
    <dataValidation allowBlank="1" showInputMessage="1" promptTitle="手入力セル" prompt="反映先：報告_保健P20-22 P83&#10;他の帳票：なし" sqref="P82"/>
    <dataValidation allowBlank="1" showInputMessage="1" promptTitle="手入力セル" prompt="反映先：報告_保健P20-22 P85&#10;他の帳票：なし" sqref="P84"/>
    <dataValidation allowBlank="1" showInputMessage="1" promptTitle="手入力セル" prompt="反映先：報告_保健P20-22 P89&#10;他の帳票：なし" sqref="P86 P87 P88"/>
    <dataValidation allowBlank="1" showInputMessage="1" promptTitle="手入力セル" prompt="反映先：報告_保健P20-22 P92&#10;他の帳票：なし" sqref="P90 P91"/>
    <dataValidation allowBlank="1" showInputMessage="1" promptTitle="手入力セル" prompt="反映先：報告_保健P20-22 P97&#10;他の帳票：なし" sqref="P93 P94 P95 P96"/>
    <dataValidation allowBlank="1" showInputMessage="1" promptTitle="手入力セル" prompt="反映先：報告_保健P20-22 V20,AE21,AW21&#10;他の帳票：保健_財務諸表P53、保健_附属明細表P54-57、保健_決算精算表P58" sqref="V21"/>
    <dataValidation allowBlank="1" showInputMessage="1" promptTitle="手入力セル" prompt="反映先：報告_保健P20-22 V20,AE22,AW22&#10;他の帳票：保健_財務諸表P53、保健_附属明細表P54-57、保健_決算精算表P58" sqref="V22"/>
    <dataValidation allowBlank="1" showInputMessage="1" promptTitle="手入力セル" prompt="反映先：報告_保健P20-22 V20,AE23,AW23&#10;他の帳票：保健_財務諸表P53、保健_附属明細表P54-57、保健_決算精算表P58" sqref="V23"/>
    <dataValidation allowBlank="1" showInputMessage="1" promptTitle="手入力セル" prompt="反映先：報告_保健P20-22 V24,AE25,AW25&#10;他の帳票：保健_財務諸表P53、保健_附属明細表P54-57、保健_決算精算表P58" sqref="V25"/>
    <dataValidation allowBlank="1" showInputMessage="1" promptTitle="手入力セル" prompt="反映先：報告_保健P20-22 V24,AE26,AW26&#10;他の帳票：保健_財務諸表P53、保健_附属明細表P54-57、保健_決算精算表P58" sqref="V26"/>
    <dataValidation allowBlank="1" showInputMessage="1" promptTitle="手入力セル" prompt="反映先：報告_保健P20-22 V33,AE27,AW27&#10;他の帳票：なし" sqref="V27"/>
    <dataValidation allowBlank="1" showInputMessage="1" promptTitle="手入力セル" prompt="反映先：報告_保健P20-22 V33,AE28,AW28&#10;他の帳票：なし" sqref="V28"/>
    <dataValidation allowBlank="1" showInputMessage="1" promptTitle="手入力セル" prompt="反映先：報告_保健P20-22 V33,AE30,AW30&#10;他の帳票：なし" sqref="V30"/>
    <dataValidation allowBlank="1" showInputMessage="1" promptTitle="手入力セル" prompt="反映先：報告_保健P20-22 V65,AE49,AW49&#10;他の帳票：なし" sqref="V49"/>
    <dataValidation allowBlank="1" showInputMessage="1" promptTitle="手入力セル" prompt="反映先：報告_保健P20-22 X81&#10;他の帳票：なし" sqref="X71 X76 X77 X78 X79 X80"/>
    <dataValidation allowBlank="1" showInputMessage="1" promptTitle="手入力セル" prompt="反映先：報告_保健P20-22 X72&#10;他の帳票：なし" sqref="X73 X74 X75"/>
    <dataValidation allowBlank="1" showInputMessage="1" promptTitle="手入力セル" prompt="反映先：報告_保健P20-22 X83&#10;他の帳票：なし" sqref="X82"/>
    <dataValidation allowBlank="1" showInputMessage="1" promptTitle="手入力セル" prompt="反映先：報告_保健P20-22 X85&#10;他の帳票：なし" sqref="X84"/>
    <dataValidation allowBlank="1" showInputMessage="1" promptTitle="手入力セル" prompt="反映先：報告_保健P20-22 X89&#10;他の帳票：なし" sqref="X86 X87 X88"/>
    <dataValidation allowBlank="1" showInputMessage="1" promptTitle="手入力セル" prompt="反映先：報告_保健P20-22 X92&#10;他の帳票：なし" sqref="X90 X91"/>
    <dataValidation allowBlank="1" showInputMessage="1" promptTitle="手入力セル" prompt="反映先：報告_保健P20-22 X97&#10;他の帳票：なし" sqref="X93 X94 X95 X96"/>
  </dataValidations>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'貸付_財務諸表P59'!F37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'貸付_財務諸表P59'!F41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'貸付_財務諸表P59'!F44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'貸付_財務諸表P59'!B37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'貸付_財務諸表P59'!B38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'貸付_財務諸表P59'!B39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'貸付_財務諸表P59'!B40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'貸付_財務諸表P59'!B41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'貸付_財務諸表P59'!B42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'貸付_財務諸表P59'!B43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'貸付_財務諸表P59'!B44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'貸付_財務諸表P59'!B45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'貸付_財務諸表P59'!B46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'貸付_附属明細表P60-62'!H84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'貸付_財務諸表P59'!C50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'貸付_附属明細表P60-62'!F20</f>
        <v>105000000</v>
      </c>
      <c r="N38" s="2309"/>
      <c r="O38" s="2309"/>
      <c r="P38" s="2309"/>
      <c r="Q38" s="2309"/>
      <c r="R38" s="2309"/>
      <c r="S38" s="2309"/>
      <c r="T38" s="2309"/>
      <c r="U38" s="2309"/>
      <c r="V38" s="1878">
        <f>'貸付_附属明細表P60-62'!J20</f>
        <v>0</v>
      </c>
      <c r="W38" s="1878"/>
      <c r="X38" s="1878"/>
      <c r="Y38" s="1878"/>
      <c r="Z38" s="1878"/>
      <c r="AA38" s="1878"/>
      <c r="AB38" s="1878"/>
      <c r="AC38" s="1878"/>
      <c r="AD38" s="2366">
        <f>'貸付_附属明細表P60-62'!N20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'貸付_附属明細表P60-62'!F13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'貸付_附属明細表P60-62'!N13</f>
        <v>234813316</v>
      </c>
      <c r="AE40" s="2366"/>
      <c r="AF40" s="2366"/>
      <c r="AG40" s="2366"/>
      <c r="AH40" s="2366"/>
      <c r="AI40" s="2366"/>
      <c r="AJ40" s="2366"/>
      <c r="AK40" s="2366"/>
      <c r="AL40" s="2368">
        <f>'貸付_財務諸表P59'!B19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IF('貸付_財務諸表P59'!C54&gt;0,"  　本年度における収支決算を行った結果、当期利益金として"&amp;IF('貸付_財務諸表P59'!C54=0,"0",IF('貸付_財務諸表P59'!C54&gt;=100000000,TEXT(INT('貸付_財務諸表P59'!C54/100000000),"#,##0")&amp;"億","")&amp;IF(MOD(INT('貸付_財務諸表P59'!C54/10000),10000)&gt;0,TEXT(MOD(INT('貸付_財務諸表P59'!C54/10000),10000),"#,##0")&amp;"万","")&amp;IF(MOD('貸付_財務諸表P59'!C54,10000)&gt;0,TEXT(MOD('貸付_財務諸表P59'!C54,10000),"#,##0"),""))&amp;"円を生じた。","  　本年度における収支決算を行った結果、当期損失金として"&amp;IF('貸付_財務諸表P59'!G47=0,"0",IF('貸付_財務諸表P59'!G47&gt;=100000000,TEXT(INT('貸付_財務諸表P59'!G47/100000000),"#,##0")&amp;"億","")&amp;IF(MOD(INT('貸付_財務諸表P59'!G47/10000),10000)&gt;0,TEXT(MOD(INT('貸付_財務諸表P59'!G47/10000),10000),"#,##0")&amp;"万","")&amp;IF(MOD('貸付_財務諸表P59'!G47,10000)&gt;0,TEXT(MOD('貸付_財務諸表P59'!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IF('貸付_財務諸表P59'!C54&gt;0,"　この利益金に前年度より繰り越した積立金"&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を合わせ、","　"&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IF('貸付_財務諸表P59'!C54&gt;0,"　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となる。","　なお、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3062" t="s">
        <v>662</v>
      </c>
      <c r="B113" s="3063"/>
      <c r="C113" s="3063"/>
      <c r="D113" s="3063"/>
      <c r="E113" s="3063"/>
      <c r="F113" s="3063"/>
      <c r="G113" s="3063"/>
      <c r="H113" s="3063"/>
      <c r="I113" s="3063"/>
      <c r="J113" s="3100"/>
      <c r="K113" s="576"/>
      <c r="L113" s="576"/>
      <c r="M113" s="576"/>
    </row>
    <row r="114" spans="1:60" ht="18.75" customHeight="1">
      <c r="A114" s="3062" t="s">
        <v>663</v>
      </c>
      <c r="B114" s="3063"/>
      <c r="C114" s="3063"/>
      <c r="D114" s="3063"/>
      <c r="E114" s="3063"/>
      <c r="F114" s="3063"/>
      <c r="G114" s="3063"/>
      <c r="H114" s="3063"/>
      <c r="I114" s="3063"/>
      <c r="J114" s="3100"/>
      <c r="K114" s="576"/>
      <c r="L114" s="576"/>
      <c r="M114" s="576"/>
    </row>
    <row r="115" spans="1:60" ht="18.75" customHeight="1">
      <c r="A115" s="3062" t="s">
        <v>664</v>
      </c>
      <c r="B115" s="3063"/>
      <c r="C115" s="3063"/>
      <c r="D115" s="3063"/>
      <c r="E115" s="3063"/>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3062" t="s">
        <v>666</v>
      </c>
      <c r="B119" s="3063"/>
      <c r="C119" s="3063"/>
      <c r="D119" s="3063"/>
      <c r="E119" s="3063"/>
      <c r="F119" s="3063"/>
      <c r="G119" s="3063"/>
      <c r="H119" s="3063"/>
      <c r="I119" s="3063"/>
      <c r="J119" s="3101"/>
      <c r="K119" s="574"/>
      <c r="L119" s="574"/>
      <c r="M119" s="574"/>
    </row>
    <row r="120" spans="1:60" ht="18.75" customHeight="1">
      <c r="A120" s="3062" t="s">
        <v>667</v>
      </c>
      <c r="B120" s="3063"/>
      <c r="C120" s="3063"/>
      <c r="D120" s="3063"/>
      <c r="E120" s="3063"/>
      <c r="F120" s="3063"/>
      <c r="G120" s="3063"/>
      <c r="H120" s="3063"/>
      <c r="I120" s="3063"/>
      <c r="J120" s="3101"/>
      <c r="K120" s="574"/>
      <c r="L120" s="574"/>
      <c r="M120" s="574"/>
    </row>
    <row r="121" spans="1:60" ht="18.75" customHeight="1">
      <c r="A121" s="3062" t="s">
        <v>668</v>
      </c>
      <c r="B121" s="3063"/>
      <c r="C121" s="3063"/>
      <c r="D121" s="3063"/>
      <c r="E121" s="3063"/>
      <c r="F121" s="3063"/>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3062" t="s">
        <v>666</v>
      </c>
      <c r="B123" s="3063"/>
      <c r="C123" s="3063"/>
      <c r="D123" s="3063"/>
      <c r="E123" s="3063"/>
      <c r="F123" s="3063"/>
      <c r="G123" s="3063"/>
      <c r="H123" s="3063"/>
      <c r="I123" s="3101"/>
      <c r="J123" s="3101"/>
      <c r="K123" s="574"/>
      <c r="L123" s="574"/>
      <c r="M123" s="574"/>
    </row>
    <row r="124" spans="1:60" ht="18.75" customHeight="1">
      <c r="A124" s="3062" t="s">
        <v>669</v>
      </c>
      <c r="B124" s="3063"/>
      <c r="C124" s="3063"/>
      <c r="D124" s="3063"/>
      <c r="E124" s="3063"/>
      <c r="F124" s="3063"/>
      <c r="G124" s="3063"/>
      <c r="H124" s="3063"/>
      <c r="I124" s="3101"/>
      <c r="J124" s="3101"/>
      <c r="K124" s="574"/>
      <c r="L124" s="574"/>
      <c r="M124" s="574"/>
    </row>
    <row r="125" spans="1:60" ht="18.75" customHeight="1">
      <c r="A125" s="3062" t="s">
        <v>670</v>
      </c>
      <c r="B125" s="3063"/>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3102" t="s">
        <v>761</v>
      </c>
      <c r="B127" s="3103"/>
      <c r="C127" s="3103"/>
      <c r="D127" s="3103"/>
      <c r="E127" s="3103"/>
      <c r="F127" s="3103"/>
      <c r="G127" s="3103"/>
      <c r="H127" s="3103"/>
      <c r="I127" s="3103"/>
      <c r="J127" s="3103"/>
      <c r="K127" s="3103"/>
      <c r="L127" s="3103"/>
      <c r="M127" s="3103"/>
      <c r="N127" s="3103"/>
      <c r="O127" s="3103"/>
      <c r="P127" s="3103"/>
      <c r="Q127" s="3103"/>
      <c r="R127" s="3103"/>
      <c r="S127" s="3103"/>
      <c r="T127" s="3103"/>
      <c r="U127" s="3103"/>
      <c r="V127" s="3103"/>
      <c r="W127" s="3103"/>
      <c r="X127" s="3103"/>
      <c r="Y127" s="3103"/>
      <c r="Z127" s="3103"/>
      <c r="AA127" s="3103"/>
      <c r="AB127" s="3103"/>
      <c r="AC127" s="3103"/>
      <c r="AD127" s="3103"/>
      <c r="AE127" s="3103"/>
      <c r="AF127" s="3103"/>
      <c r="AG127" s="3103"/>
      <c r="AH127" s="3103"/>
      <c r="AI127" s="3103"/>
      <c r="AJ127" s="3103"/>
      <c r="AK127" s="3103"/>
      <c r="AL127" s="3103"/>
      <c r="AM127" s="3103"/>
      <c r="AN127" s="3103"/>
      <c r="AO127" s="3103"/>
      <c r="AP127" s="3103"/>
      <c r="AQ127" s="3103"/>
      <c r="AR127" s="3103"/>
      <c r="AS127" s="3103"/>
      <c r="AT127" s="3103"/>
      <c r="AU127" s="3103"/>
      <c r="AV127" s="3103"/>
      <c r="AW127" s="3103"/>
      <c r="AX127" s="3103"/>
      <c r="AY127" s="3103"/>
      <c r="AZ127" s="3103"/>
      <c r="BA127" s="3103"/>
      <c r="BB127" s="3103"/>
      <c r="BC127" s="3103"/>
      <c r="BD127" s="3103"/>
      <c r="BE127" s="3103"/>
      <c r="BF127" s="3103"/>
      <c r="BG127" s="3103"/>
      <c r="BH127" s="3103"/>
    </row>
    <row r="128" spans="1:60" ht="24.9" customHeight="1">
      <c r="A128" s="3102" t="s">
        <v>762</v>
      </c>
      <c r="B128" s="3103"/>
      <c r="C128" s="3103"/>
      <c r="D128" s="3103"/>
      <c r="E128" s="3103"/>
      <c r="F128" s="3103"/>
      <c r="G128" s="3103"/>
      <c r="H128" s="3103"/>
      <c r="I128" s="3103"/>
      <c r="J128" s="3103"/>
      <c r="K128" s="3103"/>
      <c r="L128" s="3103"/>
      <c r="M128" s="3103"/>
      <c r="N128" s="3103"/>
      <c r="O128" s="3103"/>
      <c r="P128" s="3103"/>
      <c r="Q128" s="3103"/>
      <c r="R128" s="3103"/>
      <c r="S128" s="3103"/>
      <c r="T128" s="3103"/>
      <c r="U128" s="3103"/>
      <c r="V128" s="3103"/>
      <c r="W128" s="3103"/>
      <c r="X128" s="3103"/>
      <c r="Y128" s="3103"/>
      <c r="Z128" s="3103"/>
      <c r="AA128" s="3103"/>
      <c r="AB128" s="3103"/>
      <c r="AC128" s="3103"/>
      <c r="AD128" s="3103"/>
      <c r="AE128" s="3103"/>
      <c r="AF128" s="3103"/>
      <c r="AG128" s="3103"/>
      <c r="AH128" s="3103"/>
      <c r="AI128" s="3103"/>
      <c r="AJ128" s="3103"/>
      <c r="AK128" s="3103"/>
      <c r="AL128" s="3103"/>
      <c r="AM128" s="3103"/>
      <c r="AN128" s="3103"/>
      <c r="AO128" s="3103"/>
      <c r="AP128" s="3103"/>
      <c r="AQ128" s="3103"/>
      <c r="AR128" s="3103"/>
      <c r="AS128" s="3103"/>
      <c r="AT128" s="3103"/>
      <c r="AU128" s="3103"/>
      <c r="AV128" s="3103"/>
      <c r="AW128" s="3103"/>
      <c r="AX128" s="3103"/>
      <c r="AY128" s="3103"/>
      <c r="AZ128" s="3103"/>
      <c r="BA128" s="3103"/>
      <c r="BB128" s="3103"/>
      <c r="BC128" s="3103"/>
      <c r="BD128" s="3103"/>
      <c r="BE128" s="3103"/>
      <c r="BF128" s="3103"/>
      <c r="BG128" s="3103"/>
      <c r="BH128" s="3103"/>
    </row>
    <row r="129" spans="1:60" ht="24.9" customHeight="1">
      <c r="A129" s="3102" t="s">
        <v>752</v>
      </c>
      <c r="B129" s="3102" t="s">
        <v>763</v>
      </c>
      <c r="C129" s="3103"/>
      <c r="D129" s="3103"/>
      <c r="E129" s="3103"/>
      <c r="F129" s="3103"/>
      <c r="G129" s="3103"/>
      <c r="H129" s="3103"/>
      <c r="I129" s="3103"/>
      <c r="J129" s="3103"/>
      <c r="K129" s="3103"/>
      <c r="L129" s="3103"/>
      <c r="M129" s="3103"/>
      <c r="N129" s="3103"/>
      <c r="O129" s="3103"/>
      <c r="P129" s="3103"/>
      <c r="Q129" s="3103"/>
      <c r="R129" s="3103"/>
      <c r="S129" s="3103"/>
      <c r="T129" s="3103"/>
      <c r="U129" s="3103"/>
      <c r="V129" s="3103"/>
      <c r="W129" s="3103"/>
      <c r="X129" s="3103"/>
      <c r="Y129" s="3103"/>
      <c r="Z129" s="3103"/>
      <c r="AA129" s="3103"/>
      <c r="AB129" s="3103"/>
      <c r="AC129" s="3103"/>
      <c r="AD129" s="3103"/>
      <c r="AE129" s="3103"/>
      <c r="AF129" s="3103"/>
      <c r="AG129" s="3103"/>
      <c r="AH129" s="3103"/>
      <c r="AI129" s="3103"/>
      <c r="AJ129" s="3103"/>
      <c r="AK129" s="3103"/>
      <c r="AL129" s="3103"/>
      <c r="AM129" s="3103"/>
      <c r="AN129" s="3103"/>
      <c r="AO129" s="3104"/>
      <c r="AP129" s="3104"/>
      <c r="AQ129" s="3104"/>
      <c r="AR129" s="3104"/>
      <c r="AS129" s="3104"/>
      <c r="AT129" s="3104"/>
      <c r="AU129" s="3104"/>
      <c r="AV129" s="3104"/>
      <c r="AW129" s="3104"/>
      <c r="AX129" s="3104"/>
      <c r="AY129" s="3104"/>
      <c r="AZ129" s="3104"/>
      <c r="BA129" s="3104"/>
      <c r="BB129" s="3104"/>
      <c r="BC129" s="3104"/>
      <c r="BD129" s="3104"/>
      <c r="BE129" s="3104"/>
      <c r="BF129" s="3104"/>
      <c r="BG129" s="3104"/>
      <c r="BH129" s="3104"/>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conditionalFormatting sqref="A113 A114 A115 A119 A120 A121 A123 A124 A125 A127 A128 B129 P6 P7 P8 P16 P19 P20 P21 P22 P23 P24 P25 P26 P27 P28 P29 P30 P31 T47 T48 T49 T50 T51 T52 T53 T54 T55 T56 T57 T58 T59 T60 T61 T62 T63 T64 T65 T66 T67 T68 W47 W49 W51 W53 W55 W57 W59 W61 W65 W67 Y21 Y23 Y25 Y28 Y29 AC78 AC79 AC80 AC81 AC82 AC83 AC85 AC86 AC87 AC88 AC89 AC91 AD63 AG47 AG49 AG51 AG53 AG55 AG57 AG59 AG61 AG63 AG65 AG67 AG78 AG79 AG80 AG81 AG82 AG83 AG85 AG86 AG87 AG88 AG89 AG91 AY47 AY48 AY52 AY54 AY56 AY58 AY59 AY60 AY61 AY62 AY63 AY64 AY65 AY66 AY67 AY68 AY69 AY70 AZ49 AZ50 AZ51 AZ53 AZ55 AZ57">
    <cfRule type="expression" dxfId="6" priority="2">
      <formula>AND(入力色表示=1,NOT(_xlfn.ISFORMULA(A113)))</formula>
    </cfRule>
  </conditionalFormatting>
  <dataValidations count="47">
    <dataValidation allowBlank="1" showInputMessage="1" promptTitle="手入力セル" prompt="反映先：報告_貸付P23-25 P9,AH6&#10;他の帳票：なし" sqref="P6"/>
    <dataValidation allowBlank="1" showInputMessage="1" promptTitle="手入力セル" prompt="反映先：報告_貸付P23-25 P9,AH7&#10;他の帳票：なし" sqref="P7"/>
    <dataValidation allowBlank="1" showInputMessage="1" promptTitle="手入力セル" prompt="反映先：報告_貸付P23-25 P9,AH8&#10;他の帳票：なし" sqref="P8"/>
    <dataValidation allowBlank="1" showInputMessage="1" promptTitle="手入力セル" prompt="反映先：報告_貸付P23-25 P32,AH16&#10;他の帳票：なし" sqref="P16"/>
    <dataValidation allowBlank="1" showInputMessage="1" promptTitle="手入力セル" prompt="反映先：報告_貸付P23-25 P32,AH19&#10;他の帳票：なし" sqref="P19"/>
    <dataValidation allowBlank="1" showInputMessage="1" promptTitle="手入力セル" prompt="反映先：報告_貸付P23-25 P32,AH20&#10;他の帳票：なし" sqref="P20"/>
    <dataValidation allowBlank="1" showInputMessage="1" promptTitle="手入力セル" prompt="反映先：報告_貸付P23-25 P32,AH21&#10;他の帳票：なし" sqref="P21"/>
    <dataValidation allowBlank="1" showInputMessage="1" promptTitle="手入力セル" prompt="反映先：報告_貸付P23-25 P32,AH22&#10;他の帳票：なし" sqref="P22"/>
    <dataValidation allowBlank="1" showInputMessage="1" promptTitle="手入力セル" prompt="反映先：報告_貸付P23-25 P32,AH23&#10;他の帳票：なし" sqref="P23"/>
    <dataValidation allowBlank="1" showInputMessage="1" promptTitle="手入力セル" prompt="反映先：報告_貸付P23-25 P32,AH24&#10;他の帳票：なし" sqref="P24"/>
    <dataValidation allowBlank="1" showInputMessage="1" promptTitle="手入力セル" prompt="反映先：報告_貸付P23-25 P32,AH25&#10;他の帳票：なし" sqref="P25"/>
    <dataValidation allowBlank="1" showInputMessage="1" promptTitle="手入力セル" prompt="反映先：報告_貸付P23-25 P32,AH26&#10;他の帳票：なし" sqref="P26"/>
    <dataValidation allowBlank="1" showInputMessage="1" promptTitle="手入力セル" prompt="反映先：報告_貸付P23-25 P32,AH27&#10;他の帳票：なし" sqref="P27"/>
    <dataValidation allowBlank="1" showInputMessage="1" promptTitle="手入力セル" prompt="反映先：報告_貸付P23-25 P32,AH28&#10;他の帳票：なし" sqref="P28"/>
    <dataValidation allowBlank="1" showInputMessage="1" promptTitle="手入力セル" prompt="反映先：報告_貸付P23-25 P32,AH29&#10;他の帳票：なし" sqref="P29"/>
    <dataValidation allowBlank="1" showInputMessage="1" promptTitle="手入力セル" prompt="反映先：報告_貸付P23-25 P32,AH30&#10;他の帳票：なし" sqref="P30"/>
    <dataValidation allowBlank="1" showInputMessage="1" promptTitle="手入力セル" prompt="反映先：報告_貸付P23-25 P32,AH31&#10;他の帳票：なし" sqref="P31"/>
    <dataValidation allowBlank="1" showInputMessage="1" promptTitle="手入力セル" prompt="反映先：なし（このセルのみ）" sqref="T47 T48 T49 T50 T51 T52 T53 T54 T55 T56 T57 T58 T59 T60 T61 T62 T63 T64 T65 T66 T67 T68 W47 W49 W51 W53 W55 W57 W59 W61 W65 W67 AD63 AG47 AG49 AG51 AG53 AG55 AG57 AG59 AG61 AG63 AG65 AG67"/>
    <dataValidation allowBlank="1" showInputMessage="1" promptTitle="手入力セル" prompt="反映先：報告_貸付P23-25 Y32,AH21,AZ21&#10;他の帳票：なし" sqref="Y21"/>
    <dataValidation allowBlank="1" showInputMessage="1" promptTitle="手入力セル" prompt="反映先：報告_貸付P23-25 Y32,AH23,AZ23&#10;他の帳票：なし" sqref="Y23"/>
    <dataValidation allowBlank="1" showInputMessage="1" promptTitle="手入力セル" prompt="反映先：報告_貸付P23-25 Y32,AH25,AZ25&#10;他の帳票：なし" sqref="Y25"/>
    <dataValidation allowBlank="1" showInputMessage="1" promptTitle="手入力セル" prompt="反映先：報告_貸付P23-25 Y32,AH28,AZ28&#10;他の帳票：なし" sqref="Y28"/>
    <dataValidation allowBlank="1" showInputMessage="1" promptTitle="手入力セル" prompt="反映先：報告_貸付P23-25 Y32,AH29,AZ29&#10;他の帳票：なし" sqref="Y29"/>
    <dataValidation allowBlank="1" showInputMessage="1" promptTitle="手入力セル" prompt="反映先：報告_貸付P23-25 AC92,AS78&#10;他の帳票：なし" sqref="AC78"/>
    <dataValidation allowBlank="1" showInputMessage="1" promptTitle="手入力セル" prompt="反映先：報告_貸付P23-25 AC92,AS79&#10;他の帳票：なし" sqref="AC79"/>
    <dataValidation allowBlank="1" showInputMessage="1" promptTitle="手入力セル" prompt="反映先：報告_貸付P23-25 AC92,AS80&#10;他の帳票：なし" sqref="AC80"/>
    <dataValidation allowBlank="1" showInputMessage="1" promptTitle="手入力セル" prompt="反映先：報告_貸付P23-25 AC84,AS81&#10;他の帳票：なし" sqref="AC81"/>
    <dataValidation allowBlank="1" showInputMessage="1" promptTitle="手入力セル" prompt="反映先：報告_貸付P23-25 AC84,AS82&#10;他の帳票：なし" sqref="AC82"/>
    <dataValidation allowBlank="1" showInputMessage="1" promptTitle="手入力セル" prompt="反映先：報告_貸付P23-25 AC84,AS83&#10;他の帳票：なし" sqref="AC83"/>
    <dataValidation allowBlank="1" showInputMessage="1" promptTitle="手入力セル" prompt="反映先：報告_貸付P23-25 AC90,AS85&#10;他の帳票：なし" sqref="AC85"/>
    <dataValidation allowBlank="1" showInputMessage="1" promptTitle="手入力セル" prompt="反映先：報告_貸付P23-25 AC90,AS86&#10;他の帳票：なし" sqref="AC86"/>
    <dataValidation allowBlank="1" showInputMessage="1" promptTitle="手入力セル" prompt="反映先：報告_貸付P23-25 AC90,AS87&#10;他の帳票：なし" sqref="AC87"/>
    <dataValidation allowBlank="1" showInputMessage="1" promptTitle="手入力セル" prompt="反映先：報告_貸付P23-25 AC90,AS88&#10;他の帳票：なし" sqref="AC88"/>
    <dataValidation allowBlank="1" showInputMessage="1" promptTitle="手入力セル" prompt="反映先：報告_貸付P23-25 AC90,AS89&#10;他の帳票：なし" sqref="AC89"/>
    <dataValidation allowBlank="1" showInputMessage="1" promptTitle="手入力セル" prompt="反映先：報告_貸付P23-25 AC92,AS91&#10;他の帳票：なし" sqref="AC91"/>
    <dataValidation allowBlank="1" showInputMessage="1" promptTitle="手入力セル" prompt="反映先：報告_貸付P23-25 AG92,AO78,AW78…&#10;他の帳票：貸付_入力" sqref="AG78"/>
    <dataValidation allowBlank="1" showInputMessage="1" promptTitle="手入力セル" prompt="反映先：報告_貸付P23-25 AG92,AL41,AO79…&#10;他の帳票：貸付_入力" sqref="AG79"/>
    <dataValidation allowBlank="1" showInputMessage="1" promptTitle="手入力セル" prompt="反映先：報告_貸付P23-25 AG92,AL41,AO80…&#10;他の帳票：貸付_入力" sqref="AG80"/>
    <dataValidation allowBlank="1" showInputMessage="1" promptTitle="手入力セル" prompt="反映先：報告_貸付P23-25 AG84,AO81,AW81…&#10;他の帳票：貸付_入力" sqref="AG81"/>
    <dataValidation allowBlank="1" showInputMessage="1" promptTitle="手入力セル" prompt="反映先：報告_貸付P23-25 AG84,AO82,AW82…&#10;他の帳票：貸付_入力" sqref="AG82"/>
    <dataValidation allowBlank="1" showInputMessage="1" promptTitle="手入力セル" prompt="反映先：報告_貸付P23-25 AG84,AO83,AW83…&#10;他の帳票：貸付_入力" sqref="AG83"/>
    <dataValidation allowBlank="1" showInputMessage="1" promptTitle="手入力セル" prompt="反映先：報告_貸付P23-25 AG90,AO85,AW85…&#10;他の帳票：貸付_入力" sqref="AG85"/>
    <dataValidation allowBlank="1" showInputMessage="1" promptTitle="手入力セル" prompt="反映先：報告_貸付P23-25 AG90,AO86,AW86…&#10;他の帳票：貸付_入力" sqref="AG86"/>
    <dataValidation allowBlank="1" showInputMessage="1" promptTitle="手入力セル" prompt="反映先：報告_貸付P23-25 AG90,AO87,AW87…&#10;他の帳票：貸付_入力" sqref="AG87"/>
    <dataValidation allowBlank="1" showInputMessage="1" promptTitle="手入力セル" prompt="反映先：報告_貸付P23-25 AG90,AO88,AW88…&#10;他の帳票：貸付_入力" sqref="AG88"/>
    <dataValidation allowBlank="1" showInputMessage="1" promptTitle="手入力セル" prompt="反映先：報告_貸付P23-25 AG90,AO89,AW89…&#10;他の帳票：貸付_入力" sqref="AG89"/>
    <dataValidation allowBlank="1" showInputMessage="1" promptTitle="手入力セル" prompt="反映先：報告_貸付P23-25 AG92,AO91,AW91&#10;他の帳票：貸付_入力" sqref="AG91"/>
  </dataValidations>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'短期_附属明細表P28-29'!M9</f>
        <v>3976508883</v>
      </c>
      <c r="D7" s="599"/>
      <c r="E7" s="607" t="s">
        <v>769</v>
      </c>
      <c r="F7" s="605"/>
      <c r="G7" s="601">
        <f>'短期_附属明細表P28-29'!G75</f>
        <v>41640951</v>
      </c>
      <c r="H7" s="603"/>
    </row>
    <row r="8" spans="1:8" ht="13.2" customHeight="1">
      <c r="A8" s="604" t="s">
        <v>234</v>
      </c>
      <c r="B8" s="605"/>
      <c r="C8" s="606">
        <f>'短期_附属明細表P28-29'!M16</f>
        <v>0</v>
      </c>
      <c r="D8" s="599"/>
      <c r="E8" s="607" t="s">
        <v>770</v>
      </c>
      <c r="F8" s="605"/>
      <c r="G8" s="601">
        <f>'短期_附属明細表P28-29'!G81</f>
        <v>6050</v>
      </c>
      <c r="H8" s="603"/>
    </row>
    <row r="9" spans="1:8" ht="13.2" customHeight="1">
      <c r="A9" s="604" t="s">
        <v>771</v>
      </c>
      <c r="B9" s="605"/>
      <c r="C9" s="606">
        <f>'短期_附属明細表P28-29'!M25</f>
        <v>0</v>
      </c>
      <c r="D9" s="599"/>
      <c r="E9" s="607" t="s">
        <v>772</v>
      </c>
      <c r="F9" s="605"/>
      <c r="G9" s="601">
        <f>'短期_附属明細表P28-29'!R92</f>
        <v>36468255</v>
      </c>
      <c r="H9" s="603"/>
    </row>
    <row r="10" spans="1:8" ht="13.2" customHeight="1">
      <c r="A10" s="604" t="s">
        <v>773</v>
      </c>
      <c r="B10" s="605"/>
      <c r="C10" s="606">
        <f>'短期_附属明細表P28-29'!G32</f>
        <v>0</v>
      </c>
      <c r="D10" s="599"/>
      <c r="F10" s="608"/>
      <c r="H10" s="603"/>
    </row>
    <row r="11" spans="1:8" ht="13.2" customHeight="1">
      <c r="A11" s="604" t="s">
        <v>774</v>
      </c>
      <c r="B11" s="605"/>
      <c r="C11" s="606">
        <f>'短期_附属明細表P28-29'!G42</f>
        <v>0</v>
      </c>
      <c r="D11" s="599"/>
      <c r="E11" s="607"/>
      <c r="F11" s="605"/>
      <c r="G11" s="601"/>
      <c r="H11" s="603"/>
    </row>
    <row r="12" spans="1:8" ht="13.2" customHeight="1">
      <c r="A12" s="604" t="s">
        <v>775</v>
      </c>
      <c r="B12" s="605"/>
      <c r="C12" s="606">
        <f>'短期_附属明細表P28-29'!G49</f>
        <v>54568</v>
      </c>
      <c r="D12" s="599"/>
      <c r="E12" s="600" t="s">
        <v>776</v>
      </c>
      <c r="F12" s="605"/>
      <c r="G12" s="601"/>
      <c r="H12" s="603">
        <f>SUM(G13)</f>
        <v>907739421</v>
      </c>
    </row>
    <row r="13" spans="1:8" ht="13.2" customHeight="1">
      <c r="A13" s="609" t="s">
        <v>197</v>
      </c>
      <c r="B13" s="610"/>
      <c r="C13" s="606">
        <f>'短期_附属明細表P28-29'!G56</f>
        <v>59427000</v>
      </c>
      <c r="D13" s="599"/>
      <c r="E13" s="611" t="s">
        <v>204</v>
      </c>
      <c r="F13" s="605"/>
      <c r="G13" s="601">
        <f>'短期_決算精算表P30'!I49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'短期_附属明細表P28-29'!Q99</f>
        <v>533584212</v>
      </c>
      <c r="G19" s="602"/>
      <c r="H19" s="603"/>
    </row>
    <row r="20" spans="1:12" ht="13.2" customHeight="1">
      <c r="A20" s="596"/>
      <c r="B20" s="601"/>
      <c r="C20" s="619"/>
      <c r="D20" s="617"/>
      <c r="E20" s="607" t="s">
        <v>202</v>
      </c>
      <c r="F20" s="601">
        <f>'短期_附属明細表P28-29'!Q100</f>
        <v>2358068031</v>
      </c>
      <c r="G20" s="601"/>
      <c r="H20" s="603"/>
    </row>
    <row r="21" spans="1:12" ht="13.2" customHeight="1">
      <c r="A21" s="596"/>
      <c r="B21" s="601"/>
      <c r="C21" s="619"/>
      <c r="D21" s="617"/>
      <c r="E21" s="607" t="s">
        <v>203</v>
      </c>
      <c r="F21" s="601">
        <f>'短期_附属明細表P28-29'!Q101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'短期_決算精算表P30'!A23</f>
        <v>5264002497</v>
      </c>
      <c r="C39" s="602"/>
      <c r="D39" s="617"/>
      <c r="E39" s="652" t="s">
        <v>798</v>
      </c>
      <c r="F39" s="601">
        <f>'短期_決算精算表P30'!G44</f>
        <v>5622054228</v>
      </c>
      <c r="G39" s="602"/>
      <c r="H39" s="603"/>
      <c r="K39" s="653"/>
      <c r="L39" s="626">
        <f>F40+F42+F44</f>
        <v>997197452</v>
      </c>
      <c r="M39" s="605" t="s">
        <v>799</v>
      </c>
      <c r="N39" s="650"/>
    </row>
    <row r="40" spans="1:14" ht="15.6" customHeight="1">
      <c r="A40" s="651" t="s">
        <v>436</v>
      </c>
      <c r="B40" s="601">
        <f>'短期_決算精算表P30'!A24</f>
        <v>650334235</v>
      </c>
      <c r="C40" s="602"/>
      <c r="D40" s="617"/>
      <c r="E40" s="652" t="s">
        <v>31</v>
      </c>
      <c r="F40" s="601">
        <f>'短期_決算精算表P30'!G45</f>
        <v>496114904</v>
      </c>
      <c r="G40" s="602"/>
      <c r="H40" s="603"/>
      <c r="K40" s="648" t="s">
        <v>795</v>
      </c>
      <c r="L40" s="649" t="s">
        <v>800</v>
      </c>
      <c r="M40" s="649"/>
      <c r="N40" s="650"/>
    </row>
    <row r="41" spans="1:14" ht="15.6" customHeight="1">
      <c r="A41" s="651" t="s">
        <v>801</v>
      </c>
      <c r="B41" s="601">
        <f>'短期_決算精算表P30'!A25</f>
        <v>0</v>
      </c>
      <c r="C41" s="602"/>
      <c r="D41" s="617"/>
      <c r="E41" s="652" t="s">
        <v>802</v>
      </c>
      <c r="F41" s="601">
        <f>'短期_決算精算表P30'!G46</f>
        <v>5551497726</v>
      </c>
      <c r="G41" s="602"/>
      <c r="H41" s="603"/>
      <c r="K41" s="653"/>
      <c r="L41" s="1674">
        <v>0</v>
      </c>
      <c r="M41" s="605" t="s">
        <v>803</v>
      </c>
      <c r="N41" s="650"/>
    </row>
    <row r="42" spans="1:14" ht="15.6" customHeight="1">
      <c r="A42" s="651" t="s">
        <v>804</v>
      </c>
      <c r="B42" s="601">
        <f>'短期_決算精算表P30'!A26</f>
        <v>36346677</v>
      </c>
      <c r="C42" s="602"/>
      <c r="D42" s="617"/>
      <c r="E42" s="652" t="s">
        <v>805</v>
      </c>
      <c r="F42" s="601">
        <f>'短期_決算精算表P30'!G47</f>
        <v>496288832</v>
      </c>
      <c r="G42" s="602"/>
      <c r="H42" s="603"/>
      <c r="K42" s="648" t="s">
        <v>806</v>
      </c>
      <c r="L42" s="649" t="s">
        <v>807</v>
      </c>
      <c r="M42" s="649"/>
      <c r="N42" s="650"/>
    </row>
    <row r="43" spans="1:14" ht="15.6" customHeight="1">
      <c r="A43" s="654" t="s">
        <v>85</v>
      </c>
      <c r="B43" s="601">
        <f>'短期_決算精算表P30'!A27</f>
        <v>2096611727</v>
      </c>
      <c r="C43" s="602"/>
      <c r="D43" s="617"/>
      <c r="E43" s="621" t="s">
        <v>34</v>
      </c>
      <c r="F43" s="601">
        <f>'短期_決算精算表P30'!G48</f>
        <v>96062536</v>
      </c>
      <c r="G43" s="602"/>
      <c r="H43" s="603"/>
      <c r="K43" s="653"/>
      <c r="L43" s="626">
        <f>B48</f>
        <v>949753680</v>
      </c>
      <c r="M43" s="605" t="s">
        <v>808</v>
      </c>
      <c r="N43" s="650"/>
    </row>
    <row r="44" spans="1:14" ht="15.6" customHeight="1">
      <c r="A44" s="654" t="s">
        <v>86</v>
      </c>
      <c r="B44" s="601">
        <f>'短期_決算精算表P30'!A28</f>
        <v>2306088269</v>
      </c>
      <c r="C44" s="602"/>
      <c r="D44" s="617"/>
      <c r="E44" s="621" t="s">
        <v>35</v>
      </c>
      <c r="F44" s="601">
        <f>'短期_決算精算表P30'!G49</f>
        <v>4793716</v>
      </c>
      <c r="G44" s="602"/>
      <c r="H44" s="603"/>
      <c r="K44" s="653"/>
      <c r="L44" s="626"/>
      <c r="M44" s="649"/>
      <c r="N44" s="650"/>
    </row>
    <row r="45" spans="1:14" s="660" customFormat="1" ht="16.5" customHeight="1">
      <c r="A45" s="655" t="s">
        <v>809</v>
      </c>
      <c r="B45" s="601">
        <f>'短期_決算精算表P30'!A29</f>
        <v>0</v>
      </c>
      <c r="C45" s="656"/>
      <c r="D45" s="657"/>
      <c r="E45" s="658" t="s">
        <v>36</v>
      </c>
      <c r="F45" s="601">
        <f>'短期_決算精算表P30'!G50</f>
        <v>7419879</v>
      </c>
      <c r="G45" s="656"/>
      <c r="H45" s="659"/>
      <c r="K45" s="661"/>
      <c r="L45" s="662"/>
      <c r="M45" s="663"/>
      <c r="N45" s="664"/>
    </row>
    <row r="46" spans="1:14" ht="15.6" customHeight="1">
      <c r="A46" s="654" t="s">
        <v>89</v>
      </c>
      <c r="B46" s="601">
        <f>'短期_決算精算表P30'!A30</f>
        <v>871</v>
      </c>
      <c r="C46" s="602"/>
      <c r="D46" s="617"/>
      <c r="E46" s="665" t="s">
        <v>37</v>
      </c>
      <c r="F46" s="601">
        <f>'短期_決算精算表P30'!G51</f>
        <v>13759</v>
      </c>
      <c r="G46" s="602"/>
      <c r="H46" s="603"/>
      <c r="K46" s="648" t="s">
        <v>810</v>
      </c>
      <c r="L46" s="605" t="s">
        <v>811</v>
      </c>
      <c r="M46" s="649"/>
      <c r="N46" s="650"/>
    </row>
    <row r="47" spans="1:14" ht="15.6" customHeight="1">
      <c r="A47" s="654" t="s">
        <v>87</v>
      </c>
      <c r="B47" s="601">
        <f>'短期_決算精算表P30'!A31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'短期_決算精算表P30'!A32</f>
        <v>949753680</v>
      </c>
      <c r="C48" s="602"/>
      <c r="D48" s="617"/>
      <c r="E48" s="621" t="s">
        <v>41</v>
      </c>
      <c r="F48" s="601">
        <f>'短期_決算精算表P30'!G52</f>
        <v>71223000</v>
      </c>
      <c r="G48" s="602"/>
      <c r="H48" s="603"/>
      <c r="K48" s="668"/>
      <c r="L48" s="669"/>
      <c r="M48" s="669"/>
      <c r="N48" s="670"/>
    </row>
    <row r="49" spans="1:16" ht="16.5" customHeight="1">
      <c r="A49" s="655" t="s">
        <v>813</v>
      </c>
      <c r="B49" s="601">
        <f>'短期_決算精算表P30'!A33</f>
        <v>0</v>
      </c>
      <c r="C49" s="602"/>
      <c r="D49" s="617"/>
      <c r="E49" s="621" t="s">
        <v>42</v>
      </c>
      <c r="F49" s="601">
        <f>'短期_決算精算表P30'!G53</f>
        <v>0</v>
      </c>
      <c r="G49" s="602"/>
      <c r="H49" s="603"/>
      <c r="K49" s="633"/>
      <c r="L49" s="633"/>
      <c r="M49" s="633"/>
      <c r="N49" s="633"/>
    </row>
    <row r="50" spans="1:16" ht="16.5" customHeight="1">
      <c r="A50" s="654" t="s">
        <v>92</v>
      </c>
      <c r="B50" s="601">
        <f>'短期_決算精算表P30'!A34</f>
        <v>83079703</v>
      </c>
      <c r="C50" s="602"/>
      <c r="D50" s="617"/>
      <c r="E50" s="671" t="s">
        <v>205</v>
      </c>
      <c r="F50" s="601">
        <f>'短期_決算精算表P30'!G54</f>
        <v>587326584</v>
      </c>
      <c r="G50" s="614"/>
      <c r="H50" s="603"/>
      <c r="K50" s="633"/>
      <c r="L50" s="633"/>
      <c r="M50" s="633"/>
      <c r="N50" s="633"/>
    </row>
    <row r="51" spans="1:16" ht="17.25" customHeight="1">
      <c r="A51" s="654" t="s">
        <v>814</v>
      </c>
      <c r="B51" s="601">
        <f>'短期_決算精算表P30'!A35</f>
        <v>0</v>
      </c>
      <c r="C51" s="602"/>
      <c r="D51" s="617"/>
      <c r="E51" s="672" t="s">
        <v>45</v>
      </c>
      <c r="F51" s="601">
        <f>'短期_決算精算表P30'!G55</f>
        <v>10496090</v>
      </c>
      <c r="G51" s="614"/>
      <c r="H51" s="603"/>
      <c r="K51" s="633"/>
      <c r="L51" s="633"/>
      <c r="M51" s="633"/>
      <c r="N51" s="633"/>
    </row>
    <row r="52" spans="1:16" ht="15.6" customHeight="1">
      <c r="A52" s="654" t="s">
        <v>815</v>
      </c>
      <c r="B52" s="601">
        <f>'短期_決算精算表P30'!A36</f>
        <v>0</v>
      </c>
      <c r="C52" s="602"/>
      <c r="D52" s="617"/>
      <c r="E52" s="607" t="s">
        <v>816</v>
      </c>
      <c r="F52" s="601">
        <f>'短期_決算精算表P30'!G56</f>
        <v>37196000</v>
      </c>
      <c r="G52" s="602"/>
      <c r="H52" s="603"/>
      <c r="K52" s="633"/>
      <c r="L52" s="633"/>
      <c r="M52" s="633"/>
      <c r="N52" s="633"/>
    </row>
    <row r="53" spans="1:16" ht="15.6" customHeight="1">
      <c r="A53" s="651" t="s">
        <v>175</v>
      </c>
      <c r="B53" s="601">
        <f>'短期_決算精算表P30'!A37</f>
        <v>137606038</v>
      </c>
      <c r="C53" s="602"/>
      <c r="D53" s="617"/>
      <c r="E53" s="646" t="s">
        <v>817</v>
      </c>
      <c r="F53" s="601"/>
      <c r="G53" s="602">
        <f>SUM(F54:F55)</f>
        <v>1422838</v>
      </c>
      <c r="H53" s="603"/>
      <c r="K53" s="633"/>
      <c r="L53" s="633"/>
      <c r="M53" s="633"/>
      <c r="N53" s="633"/>
    </row>
    <row r="54" spans="1:16" ht="18" customHeight="1">
      <c r="A54" s="651" t="s">
        <v>818</v>
      </c>
      <c r="B54" s="601">
        <f>'短期_決算精算表P30'!A38</f>
        <v>612540010</v>
      </c>
      <c r="C54" s="602"/>
      <c r="D54" s="617"/>
      <c r="E54" s="621" t="s">
        <v>819</v>
      </c>
      <c r="F54" s="601">
        <f>'短期_決算精算表P30'!G57</f>
        <v>0</v>
      </c>
      <c r="G54" s="602"/>
      <c r="H54" s="603"/>
      <c r="K54" s="633"/>
      <c r="L54" s="633"/>
      <c r="M54" s="633"/>
      <c r="N54" s="633"/>
    </row>
    <row r="55" spans="1:16" ht="15.6" customHeight="1">
      <c r="A55" s="612"/>
      <c r="B55" s="608"/>
      <c r="C55" s="602"/>
      <c r="D55" s="617"/>
      <c r="E55" s="607" t="s">
        <v>820</v>
      </c>
      <c r="F55" s="601">
        <f>'短期_決算精算表P30'!G58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'短期_決算精算表P30'!A39</f>
        <v>11834281</v>
      </c>
      <c r="D57" s="617"/>
      <c r="E57" s="674" t="s">
        <v>50</v>
      </c>
      <c r="F57" s="601"/>
      <c r="G57" s="602">
        <f>'短期_決算精算表P30'!G59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'短期_決算精算表P30'!A40</f>
        <v>907739421</v>
      </c>
      <c r="D59" s="617"/>
      <c r="E59" s="677" t="s">
        <v>51</v>
      </c>
      <c r="F59" s="602"/>
      <c r="G59" s="602">
        <f>'短期_決算精算表P30'!G60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'短期_決算精算表P30'!A41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conditionalFormatting sqref="L41 L65">
    <cfRule type="expression" dxfId="6" priority="2">
      <formula>AND(入力色表示=1,NOT(_xlfn.ISFORMULA(L41)))</formula>
    </cfRule>
  </conditionalFormatting>
  <dataValidations count="2">
    <dataValidation allowBlank="1" showInputMessage="1" promptTitle="手入力セル" prompt="反映先：短期_財務諸表P27 L47&#10;他の帳票：報告_短期P11-13、短期_附属明細表P28-29、短期_決算精算表P30" sqref="L41"/>
    <dataValidation allowBlank="1" showInputMessage="1" promptTitle="手入力セル" prompt="反映先：短期_財務諸表P27 L67&#10;他の帳票：報告_短期P11-13、短期_附属明細表P28-29、短期_決算精算表P30" sqref="L65"/>
  </dataValidations>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3105">
        <v>3939589431</v>
      </c>
      <c r="N5" s="3106"/>
      <c r="O5" s="3106"/>
      <c r="P5" s="3106"/>
      <c r="Q5" s="3106"/>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3107">
        <v>36919452</v>
      </c>
      <c r="N7" s="3108"/>
      <c r="O7" s="3108"/>
      <c r="P7" s="3108"/>
      <c r="Q7" s="3108"/>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3109">
        <v>54568</v>
      </c>
      <c r="H48" s="3110"/>
      <c r="I48" s="3110"/>
      <c r="J48" s="3110"/>
      <c r="K48" s="3110"/>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3105">
        <v>59427000</v>
      </c>
      <c r="H55" s="3106"/>
      <c r="I55" s="3106"/>
      <c r="J55" s="3106"/>
      <c r="K55" s="3106"/>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3109">
        <v>12773988</v>
      </c>
      <c r="H69" s="3110"/>
      <c r="I69" s="3110"/>
      <c r="J69" s="3110"/>
      <c r="K69" s="3110"/>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3109">
        <v>3156259</v>
      </c>
      <c r="H70" s="3110"/>
      <c r="I70" s="3110"/>
      <c r="J70" s="3110"/>
      <c r="K70" s="3110"/>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3109">
        <v>2861495</v>
      </c>
      <c r="H71" s="3110"/>
      <c r="I71" s="3110"/>
      <c r="J71" s="3110"/>
      <c r="K71" s="3110"/>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3109">
        <v>6392500</v>
      </c>
      <c r="H72" s="3110"/>
      <c r="I72" s="3110"/>
      <c r="J72" s="3110"/>
      <c r="K72" s="3110"/>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3109">
        <v>4622428</v>
      </c>
      <c r="H73" s="3110"/>
      <c r="I73" s="3110"/>
      <c r="J73" s="3110"/>
      <c r="K73" s="3110"/>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3109">
        <v>11834281</v>
      </c>
      <c r="H74" s="3110"/>
      <c r="I74" s="3110"/>
      <c r="J74" s="3110"/>
      <c r="K74" s="3110"/>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3105">
        <v>6050</v>
      </c>
      <c r="H81" s="3106"/>
      <c r="I81" s="3106"/>
      <c r="J81" s="3106"/>
      <c r="K81" s="3106"/>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3111" t="str">
        <f>"任意継続組合員の"&amp;CHAR(10)&amp;"令和"&amp;TEXT((入力ガイド!$C$6+1),"0")&amp;"年度"&amp;"分前納"</f>
        <v>任意継続組合員の
令和8年度分前納</v>
      </c>
      <c r="F89" s="3111"/>
      <c r="G89" s="3111"/>
      <c r="H89" s="3111"/>
      <c r="I89" s="3112" t="s">
        <v>869</v>
      </c>
      <c r="J89" s="3112"/>
      <c r="K89" s="3112"/>
      <c r="L89" s="3112" t="s">
        <v>870</v>
      </c>
      <c r="M89" s="3112"/>
      <c r="N89" s="3112"/>
      <c r="O89" s="3113">
        <v>34502619</v>
      </c>
      <c r="P89" s="3114"/>
      <c r="Q89" s="3114"/>
      <c r="R89" s="2434">
        <f>O89</f>
        <v>34502619</v>
      </c>
      <c r="S89" s="2434"/>
      <c r="T89" s="2434"/>
      <c r="U89" s="2434"/>
      <c r="V89" s="2427"/>
      <c r="W89" s="2427"/>
      <c r="X89" s="2427"/>
    </row>
    <row r="90" spans="1:24" s="743" customFormat="1" ht="22.5" customHeight="1">
      <c r="A90" s="2435" t="s">
        <v>35</v>
      </c>
      <c r="B90" s="2435"/>
      <c r="C90" s="2435"/>
      <c r="D90" s="2435"/>
      <c r="E90" s="3115" t="str">
        <f>"任意継続組合員の"&amp;CHAR(10)&amp;"令和"&amp;TEXT((入力ガイド!$C$6+1),"0")&amp;"年度"&amp;"分前納"</f>
        <v>任意継続組合員の
令和8年度分前納</v>
      </c>
      <c r="F90" s="3115"/>
      <c r="G90" s="3115"/>
      <c r="H90" s="3115"/>
      <c r="I90" s="3112" t="s">
        <v>869</v>
      </c>
      <c r="J90" s="3112"/>
      <c r="K90" s="3112"/>
      <c r="L90" s="3112" t="s">
        <v>870</v>
      </c>
      <c r="M90" s="3112"/>
      <c r="N90" s="3112"/>
      <c r="O90" s="3113">
        <v>1200582</v>
      </c>
      <c r="P90" s="3114"/>
      <c r="Q90" s="3114"/>
      <c r="R90" s="2426">
        <f>O90</f>
        <v>1200582</v>
      </c>
      <c r="S90" s="2426"/>
      <c r="T90" s="2426"/>
      <c r="U90" s="2426"/>
      <c r="V90" s="2427"/>
      <c r="W90" s="2427"/>
      <c r="X90" s="2427"/>
    </row>
    <row r="91" spans="1:24" s="743" customFormat="1" ht="22.5" customHeight="1">
      <c r="A91" s="2421" t="s">
        <v>871</v>
      </c>
      <c r="B91" s="2421"/>
      <c r="C91" s="2421"/>
      <c r="D91" s="2421"/>
      <c r="E91" s="3115" t="str">
        <f>"任意継続組合員の"&amp;CHAR(10)&amp;"令和"&amp;TEXT((入力ガイド!$C$6+1),"0")&amp;"年度"&amp;"分前納"</f>
        <v>任意継続組合員の
令和8年度分前納</v>
      </c>
      <c r="F91" s="3115"/>
      <c r="G91" s="3115"/>
      <c r="H91" s="3115"/>
      <c r="I91" s="3112" t="s">
        <v>869</v>
      </c>
      <c r="J91" s="3112"/>
      <c r="K91" s="3112"/>
      <c r="L91" s="3112" t="s">
        <v>870</v>
      </c>
      <c r="M91" s="3112"/>
      <c r="N91" s="3112"/>
      <c r="O91" s="3113">
        <v>765054</v>
      </c>
      <c r="P91" s="3114"/>
      <c r="Q91" s="3114"/>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3116">
        <f>前年度貼付!$E$180</f>
        <v>480287584</v>
      </c>
      <c r="F99" s="3116"/>
      <c r="G99" s="3116"/>
      <c r="H99" s="3116"/>
      <c r="I99" s="3117">
        <v>53296628</v>
      </c>
      <c r="J99" s="3118"/>
      <c r="K99" s="3118"/>
      <c r="L99" s="3118"/>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3116">
        <f>前年度貼付!$E$181</f>
        <v>1646038250</v>
      </c>
      <c r="F100" s="3116"/>
      <c r="G100" s="3116"/>
      <c r="H100" s="3116"/>
      <c r="I100" s="3118">
        <f>'短期_財務諸表P27'!C63-'短期_財務諸表P27'!G61-I99</f>
        <v>712029781</v>
      </c>
      <c r="J100" s="3118"/>
      <c r="K100" s="3118"/>
      <c r="L100" s="3118"/>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3119">
        <f>前年度貼付!$E$182</f>
        <v>111039759</v>
      </c>
      <c r="F101" s="3119"/>
      <c r="G101" s="3119"/>
      <c r="H101" s="3119"/>
      <c r="I101" s="3118">
        <f>'短期_財務諸表P27'!C64-'短期_財務諸表P27'!G62</f>
        <v>47443772</v>
      </c>
      <c r="J101" s="3118"/>
      <c r="K101" s="3118"/>
      <c r="L101" s="3118"/>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3120"/>
      <c r="I106" s="3120"/>
      <c r="J106" s="3120"/>
      <c r="K106" s="3120"/>
      <c r="L106" s="3120"/>
      <c r="M106" s="3120"/>
      <c r="N106" s="3120"/>
      <c r="O106" s="3120"/>
      <c r="P106" s="3120"/>
      <c r="Q106" s="3120"/>
      <c r="R106" s="3120"/>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IF('短期_財務諸表P27'!G61&gt;0,"当期短期損失金（△）","当期短期利益金")</f>
        <v>当期短期利益金</v>
      </c>
      <c r="F112" s="748"/>
      <c r="G112" s="748"/>
      <c r="H112" s="748"/>
      <c r="I112" s="748"/>
      <c r="J112" s="748"/>
      <c r="K112" s="2391">
        <f>'短期_財務諸表P27'!C63-'短期_財務諸表P27'!G61</f>
        <v>765326409</v>
      </c>
      <c r="L112" s="2391"/>
      <c r="M112" s="2391"/>
      <c r="N112" s="2391"/>
      <c r="O112" s="753" t="s">
        <v>551</v>
      </c>
      <c r="P112" s="753"/>
      <c r="Q112" s="753"/>
      <c r="R112" s="753"/>
      <c r="S112" s="753"/>
    </row>
    <row r="113" spans="1:23" s="752" customFormat="1" ht="20.25" customHeight="1">
      <c r="D113" s="747"/>
      <c r="E113" s="748" t="str">
        <f>IF('短期_財務諸表P27'!G62&gt;0,"当期介護損失金（△）","当期介護利益金")</f>
        <v>当期介護利益金</v>
      </c>
      <c r="F113" s="748"/>
      <c r="G113" s="748"/>
      <c r="H113" s="748"/>
      <c r="I113" s="748"/>
      <c r="J113" s="748"/>
      <c r="K113" s="2391">
        <f>'短期_財務諸表P27'!C64-'短期_財務諸表P27'!G62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conditionalFormatting sqref="A5 A7 A15 A22 A23 A24 A31 A38 A39 A40 A41 A48 A55 A61 A62 A69 A70 A71 A72 A73 A74 A81 A89 A90 A91 A99 A100 A101 G5 G7 G15 G22 G23 G24 G38 G39 G40 G41 G48 G55 G61 G62 G69 G70 G71 G72 G73 G74 G81 I89 I90 I91 I99 L89 L90 L91 M5 M7 M15 M22 M23 M24 M31 M38 M39 M40 M41 M48 M55 M61 M62 M69 M70 M71 M72 M73 M74 M81 O89 O90 O91 S5 S7 S15 S22 S23 S24 S31 S38 S39 S40 S41 S48 S55 S61 S62 S69 S70 S71 S72 S73 S74 S81 U99 U100 U101 V89 V90 V91">
    <cfRule type="expression" dxfId="6" priority="2">
      <formula>AND(入力色表示=1,NOT(_xlfn.ISFORMULA(A5)))</formula>
    </cfRule>
  </conditionalFormatting>
  <conditionalFormatting sqref="E110">
    <cfRule type="expression" dxfId="7" priority="1">
      <formula>入力色表示=1</formula>
    </cfRule>
  </conditionalFormatting>
  <dataValidations count="19">
    <dataValidation allowBlank="1" showInputMessage="1" promptTitle="手入力セル" prompt="反映先：短期_附属明細表P28-29 G42&#10;他の帳票：短期_財務諸表P27" sqref="G38 G39 G40 G41"/>
    <dataValidation allowBlank="1" showInputMessage="1" promptTitle="手入力セル" prompt="反映先：報告_短期P7-10 CB38、短期_附属明細表P28-29 G49、短期_決算精算表P30 F48&#10;他の帳票：報告_短期P7-10、報告_短期P11-13、報告_P8グラフデータ、短期_財務諸表P27 ほか1シート" sqref="G48"/>
    <dataValidation allowBlank="1" showInputMessage="1" promptTitle="手入力セル" prompt="反映先：短期_附属明細表P28-29 G56&#10;他の帳票：短期_財務諸表P27、短期_決算精算表P30" sqref="G55"/>
    <dataValidation allowBlank="1" showInputMessage="1" promptTitle="手入力セル" prompt="反映先：短期_附属明細表P28-29 G63&#10;他の帳票：なし" sqref="G61 G62"/>
    <dataValidation allowBlank="1" showInputMessage="1" promptTitle="手入力セル" prompt="反映先：短期_附属明細表P28-29 G75、短期_決算精算表P30 B23&#10;他の帳票：報告_短期P11-13、短期_財務諸表P27、短期_決算精算表P30" sqref="G69"/>
    <dataValidation allowBlank="1" showInputMessage="1" promptTitle="手入力セル" prompt="反映先：短期_附属明細表P28-29 G75、短期_決算精算表P30 B24&#10;他の帳票：報告_短期P11-13、短期_財務諸表P27、短期_決算精算表P30" sqref="G70"/>
    <dataValidation allowBlank="1" showInputMessage="1" promptTitle="手入力セル" prompt="反映先：短期_附属明細表P28-29 G75、短期_決算精算表P30 B26&#10;他の帳票：報告_短期P11-13、短期_財務諸表P27、短期_決算精算表P30" sqref="G71"/>
    <dataValidation allowBlank="1" showInputMessage="1" promptTitle="手入力セル" prompt="反映先：短期_附属明細表P28-29 G75、短期_決算精算表P30 B34&#10;他の帳票：報告_短期P7-10、報告_短期P11-13、報告_P8グラフデータ、短期_財務諸表P27 ほか1シート" sqref="G72"/>
    <dataValidation allowBlank="1" showInputMessage="1" promptTitle="手入力セル" prompt="反映先：短期_附属明細表P28-29 G75、短期_決算精算表P30 B37&#10;他の帳票：報告_短期P11-13、短期_財務諸表P27、短期_決算精算表P30" sqref="G73"/>
    <dataValidation allowBlank="1" showInputMessage="1" promptTitle="手入力セル" prompt="反映先：短期_附属明細表P28-29 G75、短期_決算精算表P30 B39、業務_附属明細表P48-50 G31&#10;他の帳票：報告_短期P7-10、報告_短期P11-13、報告_P8グラフデータ、報告_業務P18 ほか6シート" sqref="G74"/>
    <dataValidation allowBlank="1" showInputMessage="1" promptTitle="手入力セル" prompt="反映先：短期_財務諸表P27 G8、短期_附属明細表P28-29 G82&#10;他の帳票：短期_財務諸表P27" sqref="G81"/>
    <dataValidation allowBlank="1" showInputMessage="1" promptTitle="手入力セル" prompt="反映先：報告_短期P11-13 C108、短期_附属明細表P28-29 I100,I102,K115…&#10;他の帳票：報告_短期P11-13、短期_財務諸表P27" sqref="I99"/>
    <dataValidation allowBlank="1" showInputMessage="1" promptTitle="手入力セル" prompt="反映先：短期_附属明細表P28-29 M6&#10;他の帳票：短期_財務諸表P27、短期_決算精算表P30" sqref="M5"/>
    <dataValidation allowBlank="1" showInputMessage="1" promptTitle="手入力セル" prompt="反映先：短期_附属明細表P28-29 M8&#10;他の帳票：短期_財務諸表P27、短期_決算精算表P30" sqref="M7"/>
    <dataValidation allowBlank="1" showInputMessage="1" promptTitle="手入力セル" prompt="反映先：短期_附属明細表P28-29 M16&#10;他の帳票：短期_財務諸表P27" sqref="M15"/>
    <dataValidation allowBlank="1" showInputMessage="1" promptTitle="手入力セル" prompt="反映先：短期_附属明細表P28-29 M25&#10;他の帳票：短期_財務諸表P27" sqref="M22 M23 M24"/>
    <dataValidation allowBlank="1" showInputMessage="1" promptTitle="手入力セル" prompt="反映先：短期_附属明細表P28-29 O92,R89&#10;他の帳票：短期_財務諸表P27、短期_決算精算表P30" sqref="O89"/>
    <dataValidation allowBlank="1" showInputMessage="1" promptTitle="手入力セル" prompt="反映先：短期_附属明細表P28-29 O92,R90&#10;他の帳票：短期_財務諸表P27、短期_決算精算表P30" sqref="O90"/>
    <dataValidation allowBlank="1" showInputMessage="1" promptTitle="手入力セル" prompt="反映先：短期_附属明細表P28-29 O92,R91&#10;他の帳票：短期_財務諸表P27、短期_決算精算表P30" sqref="O91"/>
  </dataValidations>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'短期_附属明細表P28-29'!M9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'短期_附属明細表P28-29'!G49</f>
        <v>54568</v>
      </c>
      <c r="C14" s="791"/>
      <c r="D14" s="792" t="s">
        <v>898</v>
      </c>
      <c r="E14" s="793"/>
      <c r="F14" s="790"/>
      <c r="G14" s="788"/>
      <c r="H14" s="758"/>
    </row>
    <row r="15" spans="1:8" ht="13.5" customHeight="1">
      <c r="A15" s="789">
        <f>C15+B15-F15-E15</f>
        <v>59427000</v>
      </c>
      <c r="B15" s="790"/>
      <c r="C15" s="791">
        <f>'短期_附属明細表P28-29'!G56</f>
        <v>59427000</v>
      </c>
      <c r="D15" s="792" t="s">
        <v>197</v>
      </c>
      <c r="E15" s="793"/>
      <c r="F15" s="790"/>
      <c r="G15" s="788"/>
      <c r="H15" s="758"/>
    </row>
    <row r="16" spans="1:8" ht="13.5" customHeight="1">
      <c r="A16" s="789"/>
      <c r="B16" s="790"/>
      <c r="C16" s="791"/>
      <c r="D16" s="792" t="s">
        <v>899</v>
      </c>
      <c r="E16" s="793"/>
      <c r="F16" s="790">
        <f>'短期_附属明細表P28-29'!G75</f>
        <v>41640951</v>
      </c>
      <c r="G16" s="788">
        <f>SUM(E16:F16)-B16</f>
        <v>41640951</v>
      </c>
      <c r="H16" s="758"/>
    </row>
    <row r="17" spans="1:10" ht="13.5" customHeight="1">
      <c r="A17" s="789"/>
      <c r="B17" s="3122">
        <f>F34</f>
        <v>27400</v>
      </c>
      <c r="C17" s="791"/>
      <c r="D17" s="792" t="s">
        <v>200</v>
      </c>
      <c r="E17" s="3123">
        <v>33450</v>
      </c>
      <c r="F17" s="790"/>
      <c r="G17" s="788">
        <f>SUM(E17:F17)-B17</f>
        <v>6050</v>
      </c>
      <c r="H17" s="758"/>
    </row>
    <row r="18" spans="1:10" ht="13.5" customHeight="1">
      <c r="A18" s="789"/>
      <c r="B18" s="790"/>
      <c r="C18" s="791"/>
      <c r="D18" s="792" t="s">
        <v>900</v>
      </c>
      <c r="E18" s="793">
        <f>'短期_附属明細表P28-29'!R92</f>
        <v>36468255</v>
      </c>
      <c r="F18" s="790"/>
      <c r="G18" s="788">
        <f>SUM(E18:F18)</f>
        <v>36468255</v>
      </c>
      <c r="H18" s="758"/>
    </row>
    <row r="19" spans="1:10" ht="13.5" customHeight="1">
      <c r="A19" s="789"/>
      <c r="B19" s="3122">
        <f>前年度貼付!$E$179</f>
        <v>876229790</v>
      </c>
      <c r="C19" s="791"/>
      <c r="D19" s="792" t="s">
        <v>204</v>
      </c>
      <c r="E19" s="793">
        <f>B19</f>
        <v>876229790</v>
      </c>
      <c r="F19" s="784">
        <f>I49</f>
        <v>907739421</v>
      </c>
      <c r="G19" s="796">
        <f>E19+F19-B19</f>
        <v>907739421</v>
      </c>
      <c r="H19" s="758"/>
    </row>
    <row r="20" spans="1:10" ht="13.5" customHeight="1">
      <c r="A20" s="789"/>
      <c r="B20" s="3122">
        <f>'短期_財務諸表P27'!D62+'短期_財務諸表P27'!H60</f>
        <v>812770181</v>
      </c>
      <c r="C20" s="791"/>
      <c r="D20" s="797" t="s">
        <v>901</v>
      </c>
      <c r="E20" s="3124">
        <f>'短期_附属明細表P28-29'!E102</f>
        <v>2237365593</v>
      </c>
      <c r="F20" s="3122">
        <f>'短期_財務諸表P27'!D62*2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'短期_附属明細表P28-29'!G69</f>
        <v>12773988</v>
      </c>
      <c r="C23" s="3125">
        <f>'報告_短期P7-10'!CB66-B23+E23</f>
        <v>5251228509</v>
      </c>
      <c r="D23" s="786" t="s">
        <v>198</v>
      </c>
      <c r="E23" s="787"/>
      <c r="F23" s="784"/>
      <c r="G23" s="788"/>
      <c r="H23" s="758"/>
      <c r="I23" s="806"/>
    </row>
    <row r="24" spans="1:10" ht="13.5" customHeight="1">
      <c r="A24" s="783">
        <f>SUM(B24:C24)-F24</f>
        <v>650334235</v>
      </c>
      <c r="B24" s="784">
        <f>'短期_附属明細表P28-29'!G70</f>
        <v>3156259</v>
      </c>
      <c r="C24" s="3125">
        <f>'報告_短期P7-10'!CB74-B24+F24</f>
        <v>647197976</v>
      </c>
      <c r="D24" s="786" t="s">
        <v>199</v>
      </c>
      <c r="E24" s="787"/>
      <c r="F24" s="3126">
        <v>20000</v>
      </c>
      <c r="G24" s="788"/>
      <c r="H24" s="758"/>
      <c r="I24" s="808"/>
    </row>
    <row r="25" spans="1:10" ht="13.5" customHeight="1">
      <c r="A25" s="783"/>
      <c r="B25" s="784"/>
      <c r="C25" s="3125"/>
      <c r="D25" s="786" t="s">
        <v>437</v>
      </c>
      <c r="E25" s="787"/>
      <c r="F25" s="784"/>
      <c r="G25" s="788"/>
      <c r="H25" s="758"/>
      <c r="I25" s="809"/>
      <c r="J25" s="810"/>
    </row>
    <row r="26" spans="1:10" ht="13.5" customHeight="1">
      <c r="A26" s="783">
        <f>SUM(B26:C26)</f>
        <v>36346677</v>
      </c>
      <c r="B26" s="784">
        <f>'短期_附属明細表P28-29'!G71</f>
        <v>2861495</v>
      </c>
      <c r="C26" s="3125">
        <f>'報告_短期P7-10'!CB89-B26</f>
        <v>33485182</v>
      </c>
      <c r="D26" s="786" t="s">
        <v>113</v>
      </c>
      <c r="E26" s="787"/>
      <c r="F26" s="784"/>
      <c r="G26" s="788"/>
      <c r="H26" s="758"/>
      <c r="I26" s="809"/>
      <c r="J26" s="810"/>
    </row>
    <row r="27" spans="1:10" ht="13.5" customHeight="1">
      <c r="A27" s="783">
        <f>SUM(B27:C27)</f>
        <v>2096611727</v>
      </c>
      <c r="B27" s="784"/>
      <c r="C27" s="3127">
        <v>2096611727</v>
      </c>
      <c r="D27" s="786" t="s">
        <v>85</v>
      </c>
      <c r="E27" s="787"/>
      <c r="F27" s="784"/>
      <c r="G27" s="788"/>
      <c r="H27" s="758"/>
      <c r="I27" s="809"/>
    </row>
    <row r="28" spans="1:10" ht="13.5" customHeight="1">
      <c r="A28" s="783">
        <f>SUM(B28:C28)</f>
        <v>2306088269</v>
      </c>
      <c r="B28" s="784"/>
      <c r="C28" s="3127">
        <v>2306088269</v>
      </c>
      <c r="D28" s="786" t="s">
        <v>86</v>
      </c>
      <c r="E28" s="787"/>
      <c r="F28" s="784"/>
      <c r="G28" s="788"/>
      <c r="H28" s="758"/>
    </row>
    <row r="29" spans="1:10" ht="13.5" customHeight="1">
      <c r="A29" s="783"/>
      <c r="B29" s="784"/>
      <c r="C29" s="3125"/>
      <c r="D29" s="811" t="s">
        <v>88</v>
      </c>
      <c r="E29" s="787"/>
      <c r="F29" s="784"/>
      <c r="G29" s="788"/>
      <c r="H29" s="758"/>
    </row>
    <row r="30" spans="1:10" ht="13.5" customHeight="1">
      <c r="A30" s="783">
        <f>SUM(B30:C30)</f>
        <v>871</v>
      </c>
      <c r="B30" s="784"/>
      <c r="C30" s="3127">
        <v>871</v>
      </c>
      <c r="D30" s="786" t="s">
        <v>89</v>
      </c>
      <c r="E30" s="787"/>
      <c r="F30" s="784"/>
      <c r="G30" s="788"/>
      <c r="H30" s="758"/>
    </row>
    <row r="31" spans="1:10" ht="13.5" customHeight="1">
      <c r="A31" s="783">
        <f>SUM(B31:C31)</f>
        <v>0</v>
      </c>
      <c r="B31" s="784"/>
      <c r="C31" s="3125"/>
      <c r="D31" s="786" t="s">
        <v>87</v>
      </c>
      <c r="E31" s="787"/>
      <c r="F31" s="784"/>
      <c r="G31" s="788"/>
      <c r="H31" s="758"/>
      <c r="I31" s="809"/>
      <c r="J31" s="810"/>
    </row>
    <row r="32" spans="1:10" ht="13.5" customHeight="1">
      <c r="A32" s="783">
        <f>SUM(B32:C32)</f>
        <v>949753680</v>
      </c>
      <c r="B32" s="784"/>
      <c r="C32" s="3127">
        <v>949753680</v>
      </c>
      <c r="D32" s="786" t="s">
        <v>90</v>
      </c>
      <c r="E32" s="787"/>
      <c r="F32" s="784"/>
      <c r="G32" s="788"/>
      <c r="H32" s="758"/>
      <c r="I32" s="808"/>
    </row>
    <row r="33" spans="1:10" ht="13.5" customHeight="1">
      <c r="A33" s="783"/>
      <c r="B33" s="784"/>
      <c r="C33" s="3125"/>
      <c r="D33" s="811" t="s">
        <v>91</v>
      </c>
      <c r="E33" s="787"/>
      <c r="F33" s="784"/>
      <c r="G33" s="788"/>
      <c r="H33" s="758"/>
      <c r="I33" s="808"/>
    </row>
    <row r="34" spans="1:10" ht="13.5" customHeight="1">
      <c r="A34" s="783">
        <f>SUM(B34:C34)-F34</f>
        <v>83079703</v>
      </c>
      <c r="B34" s="784">
        <f>'短期_附属明細表P28-29'!G72</f>
        <v>6392500</v>
      </c>
      <c r="C34" s="3127">
        <v>76714603</v>
      </c>
      <c r="D34" s="786" t="s">
        <v>92</v>
      </c>
      <c r="E34" s="787"/>
      <c r="F34" s="3126">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'短期_附属明細表P28-29'!G73</f>
        <v>4622428</v>
      </c>
      <c r="C37" s="3125">
        <f>'報告_短期P7-10'!CB102-B37</f>
        <v>132983610</v>
      </c>
      <c r="D37" s="792" t="s">
        <v>175</v>
      </c>
      <c r="E37" s="787"/>
      <c r="F37" s="784"/>
      <c r="G37" s="788"/>
      <c r="H37" s="758"/>
      <c r="I37" s="809"/>
      <c r="J37" s="812"/>
    </row>
    <row r="38" spans="1:10" ht="13.5" customHeight="1">
      <c r="A38" s="783">
        <f>SUM(B38:C38)</f>
        <v>612540010</v>
      </c>
      <c r="B38" s="784"/>
      <c r="C38" s="3125">
        <f>'報告_短期P7-10'!CB105-B38</f>
        <v>612540010</v>
      </c>
      <c r="D38" s="792" t="s">
        <v>818</v>
      </c>
      <c r="E38" s="787"/>
      <c r="F38" s="784"/>
      <c r="G38" s="788"/>
      <c r="H38" s="758"/>
      <c r="I38" s="809"/>
      <c r="J38" s="814"/>
    </row>
    <row r="39" spans="1:10" ht="13.5" customHeight="1">
      <c r="A39" s="783">
        <f>SUM(B39:C39)-F39</f>
        <v>11834281</v>
      </c>
      <c r="B39" s="784">
        <f>'短期_附属明細表P28-29'!G74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3128">
        <f>'短期_財務諸表P27'!C63</f>
        <v>765326409</v>
      </c>
      <c r="C42" s="785"/>
      <c r="D42" s="786" t="s">
        <v>829</v>
      </c>
      <c r="E42" s="787"/>
      <c r="F42" s="784"/>
      <c r="G42" s="788"/>
      <c r="H42" s="758"/>
      <c r="I42" s="809"/>
      <c r="J42" s="816"/>
    </row>
    <row r="43" spans="1:10" ht="13.5" customHeight="1">
      <c r="A43" s="783">
        <f>SUM(B43:C43)</f>
        <v>47443772</v>
      </c>
      <c r="B43" s="3122">
        <f>'短期_財務諸表P27'!C64</f>
        <v>47443772</v>
      </c>
      <c r="C43" s="791"/>
      <c r="D43" s="792" t="s">
        <v>831</v>
      </c>
      <c r="E43" s="793"/>
      <c r="F43" s="790"/>
      <c r="G43" s="796"/>
      <c r="H43" s="758"/>
      <c r="I43" s="809"/>
      <c r="J43" s="816"/>
    </row>
    <row r="44" spans="1:10" ht="13.5" customHeight="1">
      <c r="A44" s="789"/>
      <c r="B44" s="790"/>
      <c r="C44" s="791"/>
      <c r="D44" s="792" t="s">
        <v>29</v>
      </c>
      <c r="E44" s="3123">
        <v>5622054228</v>
      </c>
      <c r="F44" s="790"/>
      <c r="G44" s="796">
        <f>SUM(E44:F44)-C44-B44</f>
        <v>5622054228</v>
      </c>
      <c r="H44" s="758"/>
      <c r="I44" s="809"/>
      <c r="J44" s="816"/>
    </row>
    <row r="45" spans="1:10" ht="13.5" customHeight="1">
      <c r="A45" s="789"/>
      <c r="B45" s="790"/>
      <c r="C45" s="791"/>
      <c r="D45" s="792" t="s">
        <v>31</v>
      </c>
      <c r="E45" s="3123">
        <v>496114904</v>
      </c>
      <c r="F45" s="790"/>
      <c r="G45" s="788">
        <f>SUM(E45:F45)</f>
        <v>496114904</v>
      </c>
      <c r="H45" s="758"/>
      <c r="I45" s="809"/>
      <c r="J45" s="816"/>
    </row>
    <row r="46" spans="1:10" ht="13.5" customHeight="1">
      <c r="A46" s="789"/>
      <c r="B46" s="790"/>
      <c r="C46" s="791"/>
      <c r="D46" s="792" t="s">
        <v>32</v>
      </c>
      <c r="E46" s="3123">
        <v>5551497726</v>
      </c>
      <c r="F46" s="790"/>
      <c r="G46" s="796">
        <f>SUM(E46:F46)</f>
        <v>5551497726</v>
      </c>
      <c r="H46" s="758"/>
    </row>
    <row r="47" spans="1:10" ht="13.5" customHeight="1">
      <c r="A47" s="783"/>
      <c r="B47" s="790"/>
      <c r="C47" s="791"/>
      <c r="D47" s="792" t="s">
        <v>33</v>
      </c>
      <c r="E47" s="3123">
        <v>496288832</v>
      </c>
      <c r="F47" s="790"/>
      <c r="G47" s="788">
        <f>SUM(E47:F47)</f>
        <v>496288832</v>
      </c>
      <c r="H47" s="758"/>
      <c r="I47" s="816"/>
    </row>
    <row r="48" spans="1:10" ht="13.5" customHeight="1">
      <c r="A48" s="789"/>
      <c r="B48" s="790"/>
      <c r="C48" s="791"/>
      <c r="D48" s="792" t="s">
        <v>34</v>
      </c>
      <c r="E48" s="3123">
        <v>96007968</v>
      </c>
      <c r="F48" s="3122">
        <f>'短期_附属明細表P28-29'!G48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3123">
        <v>4793716</v>
      </c>
      <c r="F49" s="3129"/>
      <c r="G49" s="788">
        <f>E49+F49-C49</f>
        <v>4793716</v>
      </c>
      <c r="H49" s="758"/>
      <c r="I49" s="3130">
        <v>907739421</v>
      </c>
    </row>
    <row r="50" spans="1:9" ht="13.5" customHeight="1">
      <c r="A50" s="783"/>
      <c r="B50" s="790"/>
      <c r="C50" s="791"/>
      <c r="D50" s="818" t="s">
        <v>36</v>
      </c>
      <c r="E50" s="3123">
        <v>7419879</v>
      </c>
      <c r="F50" s="819"/>
      <c r="G50" s="788">
        <f>E50-C50</f>
        <v>7419879</v>
      </c>
      <c r="H50" s="758"/>
      <c r="I50" s="820"/>
    </row>
    <row r="51" spans="1:9" ht="13.5" customHeight="1">
      <c r="A51" s="783"/>
      <c r="B51" s="790"/>
      <c r="C51" s="791"/>
      <c r="D51" s="792" t="s">
        <v>37</v>
      </c>
      <c r="E51" s="3123">
        <v>13759</v>
      </c>
      <c r="F51" s="819"/>
      <c r="G51" s="788">
        <f>E51-C51</f>
        <v>13759</v>
      </c>
      <c r="H51" s="758"/>
      <c r="I51" s="820"/>
    </row>
    <row r="52" spans="1:9" ht="13.5" customHeight="1">
      <c r="A52" s="783"/>
      <c r="B52" s="790"/>
      <c r="C52" s="791"/>
      <c r="D52" s="792" t="s">
        <v>41</v>
      </c>
      <c r="E52" s="3123">
        <v>71223000</v>
      </c>
      <c r="F52" s="819"/>
      <c r="G52" s="788">
        <f>E52-C52</f>
        <v>71223000</v>
      </c>
      <c r="H52" s="758"/>
    </row>
    <row r="53" spans="1:9" ht="13.5" customHeight="1">
      <c r="A53" s="783"/>
      <c r="B53" s="790"/>
      <c r="C53" s="791"/>
      <c r="D53" s="792" t="s">
        <v>42</v>
      </c>
      <c r="E53" s="793"/>
      <c r="F53" s="819"/>
      <c r="G53" s="788"/>
      <c r="H53" s="758"/>
    </row>
    <row r="54" spans="1:9" ht="13.5" customHeight="1">
      <c r="A54" s="783"/>
      <c r="B54" s="3122">
        <f>F24</f>
        <v>20000</v>
      </c>
      <c r="C54" s="791"/>
      <c r="D54" s="3131" t="s">
        <v>205</v>
      </c>
      <c r="E54" s="3123">
        <v>587346584</v>
      </c>
      <c r="F54" s="779"/>
      <c r="G54" s="788">
        <f>SUM(E54:F54)-B54</f>
        <v>587326584</v>
      </c>
      <c r="H54" s="758"/>
      <c r="I54" s="822" t="s">
        <v>904</v>
      </c>
    </row>
    <row r="55" spans="1:9" ht="13.5" customHeight="1">
      <c r="A55" s="783"/>
      <c r="B55" s="790"/>
      <c r="C55" s="791"/>
      <c r="D55" s="792" t="s">
        <v>45</v>
      </c>
      <c r="E55" s="3123">
        <v>10496090</v>
      </c>
      <c r="F55" s="819"/>
      <c r="G55" s="788">
        <f>E55-C55</f>
        <v>10496090</v>
      </c>
      <c r="H55" s="758"/>
      <c r="I55" s="820">
        <f>'短期_附属明細表P28-29'!E99</f>
        <v>480287584</v>
      </c>
    </row>
    <row r="56" spans="1:9" ht="13.5" customHeight="1">
      <c r="A56" s="783"/>
      <c r="B56" s="790"/>
      <c r="C56" s="791"/>
      <c r="D56" s="792" t="s">
        <v>46</v>
      </c>
      <c r="E56" s="3123">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3123">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3123">
        <v>10567708</v>
      </c>
      <c r="F60" s="779"/>
      <c r="G60" s="788">
        <f>SUM(E60:F60)</f>
        <v>10567708</v>
      </c>
      <c r="H60" s="758"/>
    </row>
    <row r="61" spans="1:9" ht="13.5" customHeight="1">
      <c r="A61" s="783"/>
      <c r="B61" s="790"/>
      <c r="C61" s="791"/>
      <c r="D61" s="792" t="s">
        <v>191</v>
      </c>
      <c r="E61" s="793"/>
      <c r="F61" s="779" t="str">
        <f>IF('短期_財務諸表P27'!G61=0,"",'短期_財務諸表P27'!G61)</f>
        <v/>
      </c>
      <c r="G61" s="788" t="str">
        <f>IF(SUM(E61:F61)=0,"",SUM(E61:F61))</f>
        <v/>
      </c>
      <c r="H61" s="758"/>
    </row>
    <row r="62" spans="1:9" ht="13.5" customHeight="1">
      <c r="A62" s="789"/>
      <c r="B62" s="779"/>
      <c r="C62" s="791"/>
      <c r="D62" s="792" t="s">
        <v>192</v>
      </c>
      <c r="E62" s="793"/>
      <c r="F62" s="779" t="str">
        <f>IF('短期_財務諸表P27'!G62=0,"",'短期_財務諸表P27'!G62)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tr">
        <f>"    出納主任    "&amp;入力ガイド!$E$6&amp;"　　"&amp;入力ガイド!$F$6</f>
        <v>    出納主任    村井　　慶子</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f>
        <v>令和　８年４月２２日</v>
      </c>
      <c r="B69" s="2488"/>
      <c r="C69" s="739"/>
      <c r="D69" s="739"/>
      <c r="E69" s="2489" t="str">
        <f>"　　出 納 役    "&amp;入力ガイド!$E$7&amp;"　　"&amp;入力ガイド!$F$7</f>
        <v>　　出 納 役    榎本　　聡子</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conditionalFormatting sqref="C25 C27 C28 C29 C30 C31 C32 C33 C34 D54 E17 E44 E45 E46 E47 E48 E49 E50 E51 E52 E54 E55 E56 E58 E60 F24 F34 F49 I49">
    <cfRule type="expression" dxfId="6" priority="2">
      <formula>AND(入力色表示=1,NOT(_xlfn.ISFORMULA(C25)))</formula>
    </cfRule>
  </conditionalFormatting>
  <conditionalFormatting sqref="I48">
    <cfRule type="expression" dxfId="7" priority="1">
      <formula>入力色表示=1</formula>
    </cfRule>
  </conditionalFormatting>
  <dataValidations count="23">
    <dataValidation allowBlank="1" showInputMessage="1" promptTitle="手入力セル" prompt="反映先：短期_決算精算表P30 A27,C63&#10;他の帳票：報告_短期P7-10、報告_短期P11-13、報告_P8グラフデータ、短期_財務諸表P27 ほか1シート" sqref="C27"/>
    <dataValidation allowBlank="1" showInputMessage="1" promptTitle="手入力セル" prompt="反映先：短期_決算精算表P30 A28,C63&#10;他の帳票：報告_短期P7-10、報告_短期P11-13、報告_P8グラフデータ、短期_財務諸表P27 ほか1シート" sqref="C28"/>
    <dataValidation allowBlank="1" showInputMessage="1" promptTitle="手入力セル" prompt="反映先：短期_決算精算表P30 A30,C63&#10;他の帳票：報告_短期P7-10、報告_短期P11-13、報告_P8グラフデータ、短期_財務諸表P27 ほか1シート" sqref="C30"/>
    <dataValidation allowBlank="1" showInputMessage="1" promptTitle="手入力セル" prompt="反映先：短期_決算精算表P30 A32,C63&#10;他の帳票：報告_短期P7-10、報告_短期P11-13、短期_財務諸表P27、短期_附属明細表P28-29" sqref="C32"/>
    <dataValidation allowBlank="1" showInputMessage="1" promptTitle="手入力セル" prompt="反映先：短期_決算精算表P30 A34,C63&#10;他の帳票：報告_短期P7-10、報告_短期P11-13、報告_P8グラフデータ、短期_財務諸表P27 ほか1シート" sqref="C34"/>
    <dataValidation allowBlank="1" showInputMessage="1" promptTitle="手入力セル" prompt="反映先：短期_決算精算表P30 E22,G17&#10;他の帳票：なし" sqref="E17"/>
    <dataValidation allowBlank="1" showInputMessage="1" promptTitle="手入力セル" prompt="反映先：短期_決算精算表P30 E63,G44&#10;他の帳票：報告_短期P7-10、報告_短期P11-13、報告_P8グラフデータ、短期_財務諸表P27 ほか1シート" sqref="E44"/>
    <dataValidation allowBlank="1" showInputMessage="1" promptTitle="手入力セル" prompt="反映先：短期_決算精算表P30 E63,G45&#10;他の帳票：報告_短期P7-10、報告_短期P11-13、短期_財務諸表P27、短期_附属明細表P28-29" sqref="E45"/>
    <dataValidation allowBlank="1" showInputMessage="1" promptTitle="手入力セル" prompt="反映先：短期_決算精算表P30 E63,G46&#10;他の帳票：報告_短期P7-10、報告_短期P11-13、報告_P8グラフデータ、短期_財務諸表P27 ほか1シート" sqref="E46"/>
    <dataValidation allowBlank="1" showInputMessage="1" promptTitle="手入力セル" prompt="反映先：短期_決算精算表P30 E63,G47&#10;他の帳票：報告_短期P7-10、報告_短期P11-13、短期_財務諸表P27、短期_附属明細表P28-29" sqref="E47"/>
    <dataValidation allowBlank="1" showInputMessage="1" promptTitle="手入力セル" prompt="反映先：短期_決算精算表P30 E63,G48&#10;他の帳票：報告_短期P7-10、報告_短期P11-13、報告_P8グラフデータ、短期_財務諸表P27 ほか1シート" sqref="E48"/>
    <dataValidation allowBlank="1" showInputMessage="1" promptTitle="手入力セル" prompt="反映先：短期_決算精算表P30 E63,G49&#10;他の帳票：報告_短期P7-10、報告_短期P11-13、短期_財務諸表P27、短期_附属明細表P28-29" sqref="E49"/>
    <dataValidation allowBlank="1" showInputMessage="1" promptTitle="手入力セル" prompt="反映先：短期_決算精算表P30 E63,G50&#10;他の帳票：報告_短期P7-10、報告_短期P11-13、短期_財務諸表P27、短期_附属明細表P28-29" sqref="E50"/>
    <dataValidation allowBlank="1" showInputMessage="1" promptTitle="手入力セル" prompt="反映先：短期_決算精算表P30 E63,G51&#10;他の帳票：報告_短期P7-10、報告_短期P11-13、報告_P8グラフデータ、短期_財務諸表P27 ほか1シート" sqref="E51"/>
    <dataValidation allowBlank="1" showInputMessage="1" promptTitle="手入力セル" prompt="反映先：短期_決算精算表P30 E63,G52&#10;他の帳票：報告_短期P7-10、報告_短期P11-13、報告_P8グラフデータ、短期_財務諸表P27 ほか1シート" sqref="E52"/>
    <dataValidation allowBlank="1" showInputMessage="1" promptTitle="手入力セル" prompt="反映先：短期_決算精算表P30 E63,G54&#10;他の帳票：報告_短期P7-10、報告_短期P11-13、報告_P8グラフデータ、短期_財務諸表P27 ほか1シート" sqref="E54"/>
    <dataValidation allowBlank="1" showInputMessage="1" promptTitle="手入力セル" prompt="反映先：短期_決算精算表P30 E63,G55&#10;他の帳票：報告_短期P7-10、報告_短期P11-13、報告_P8グラフデータ、短期_財務諸表P27 ほか1シート" sqref="E55"/>
    <dataValidation allowBlank="1" showInputMessage="1" promptTitle="手入力セル" prompt="反映先：短期_決算精算表P30 E63,G56&#10;他の帳票：報告_短期P7-10、報告_短期P11-13、報告_P8グラフデータ、短期_財務諸表P27 ほか1シート" sqref="E56"/>
    <dataValidation allowBlank="1" showInputMessage="1" promptTitle="手入力セル" prompt="反映先：短期_決算精算表P30 E63,G58&#10;他の帳票：報告_短期P7-10、報告_短期P11-13、報告_P8グラフデータ、短期_財務諸表P27 ほか1シート" sqref="E58"/>
    <dataValidation allowBlank="1" showInputMessage="1" promptTitle="手入力セル" prompt="反映先：短期_決算精算表P30 E63,G60&#10;他の帳票：報告_短期P7-10、報告_短期P11-13、報告_P8グラフデータ、短期_財務諸表P27 ほか1シート" sqref="E60"/>
    <dataValidation allowBlank="1" showInputMessage="1" promptTitle="手入力セル" prompt="反映先：短期_決算精算表P30 A24,B54,C24…&#10;他の帳票：報告_短期P7-10、報告_短期P11-13、報告_P8グラフデータ、短期_財務諸表P27 ほか1シート" sqref="F24"/>
    <dataValidation allowBlank="1" showInputMessage="1" promptTitle="手入力セル" prompt="反映先：短期_決算精算表P30 A34,B17,F63&#10;他の帳票：報告_短期P7-10、報告_短期P11-13、報告_P8グラフデータ、短期_財務諸表P27 ほか1シート" sqref="F34"/>
    <dataValidation allowBlank="1" showInputMessage="1" promptTitle="手入力セル" prompt="反映先：短期_財務諸表P27 G13、短期_決算精算表P30 B40,F19&#10;他の帳票：報告_短期P7-10、報告_短期P11-13、報告_P8グラフデータ、短期_財務諸表P27 ほか1シート" sqref="I49"/>
  </dataValidations>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'厚生_預金・立替・未収P32'!E11</f>
        <v>1679618183</v>
      </c>
      <c r="F8" s="866"/>
      <c r="G8" s="860"/>
      <c r="H8" s="2514" t="s">
        <v>899</v>
      </c>
      <c r="I8" s="2514"/>
      <c r="J8" s="2514"/>
      <c r="K8" s="857"/>
      <c r="L8" s="869">
        <f>'厚生_預金・立替・未収P32'!C30</f>
        <v>1679528183</v>
      </c>
      <c r="M8" s="868"/>
      <c r="N8" s="863"/>
      <c r="O8" s="846"/>
      <c r="P8" s="846"/>
    </row>
    <row r="9" spans="1:16" s="847" customFormat="1" ht="17.100000000000001" customHeight="1">
      <c r="A9" s="2513" t="s">
        <v>898</v>
      </c>
      <c r="B9" s="2513"/>
      <c r="C9" s="2513"/>
      <c r="D9" s="870"/>
      <c r="E9" s="858">
        <f>'厚生_預金・立替・未収P32'!C19</f>
        <v>0</v>
      </c>
      <c r="F9" s="866"/>
      <c r="G9" s="871"/>
      <c r="H9" s="2514" t="s">
        <v>200</v>
      </c>
      <c r="I9" s="2514"/>
      <c r="J9" s="2514"/>
      <c r="K9" s="857"/>
      <c r="L9" s="861">
        <f>'厚生_預金・立替・未収P32'!C38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'厚生_決算精算表P33'!A17</f>
        <v>11995594883</v>
      </c>
      <c r="E23" s="911"/>
      <c r="F23" s="916"/>
      <c r="G23" s="920"/>
      <c r="H23" s="925"/>
      <c r="I23" s="922"/>
      <c r="J23" s="923" t="s">
        <v>125</v>
      </c>
      <c r="K23" s="924">
        <f>'厚生_決算精算表P33'!G19</f>
        <v>11995594883</v>
      </c>
      <c r="L23" s="911"/>
      <c r="M23" s="918"/>
      <c r="N23" s="915"/>
      <c r="O23" s="908"/>
      <c r="P23" s="908"/>
    </row>
    <row r="24" spans="1:16" s="909" customFormat="1" ht="23.25" customHeight="1">
      <c r="A24" s="926"/>
      <c r="B24" s="922"/>
      <c r="C24" s="927" t="s">
        <v>919</v>
      </c>
      <c r="D24" s="924">
        <f>'厚生_決算精算表P33'!A18</f>
        <v>7735814913</v>
      </c>
      <c r="E24" s="911"/>
      <c r="F24" s="916"/>
      <c r="G24" s="920"/>
      <c r="H24" s="925"/>
      <c r="I24" s="922"/>
      <c r="J24" s="923" t="s">
        <v>584</v>
      </c>
      <c r="K24" s="924">
        <f>'厚生_決算精算表P33'!G20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conditionalFormatting sqref="A7 A9 A17 A18 A25 A26 A27 A28 A29 A36 A37 C7 C9 C18 C25 C26 C27 C28 C29 C37 E7 E9 E17 E18 E25 E26 E27 E28 E29 E36 E37 I7 I9 I17 I18 I25 I26 I27 I28 I29 I36 I37">
    <cfRule type="expression" dxfId="6" priority="2">
      <formula>AND(入力色表示=1,NOT(_xlfn.ISFORMULA(A7)))</formula>
    </cfRule>
  </conditionalFormatting>
  <dataValidations count="6">
    <dataValidation allowBlank="1" showInputMessage="1" promptTitle="手入力セル" prompt="反映先：厚生_預金・立替・未収P32 C19&#10;他の帳票：厚生_貸借・損益P31" sqref="C18"/>
    <dataValidation allowBlank="1" showInputMessage="1" promptTitle="手入力セル" prompt="反映先：厚生_預金・立替・未収P32 C30、厚生_決算精算表P33 B17&#10;他の帳票：厚生_貸借・損益P31、厚生_決算精算表P33" sqref="C25 C26 C27"/>
    <dataValidation allowBlank="1" showInputMessage="1" promptTitle="手入力セル" prompt="反映先：厚生_預金・立替・未収P32 C30、厚生_決算精算表P33 B18&#10;他の帳票：厚生_貸借・損益P31、厚生_決算精算表P33" sqref="C28 C29"/>
    <dataValidation allowBlank="1" showInputMessage="1" promptTitle="手入力セル" prompt="反映先：厚生_預金・立替・未収P32 C38&#10;他の帳票：厚生_貸借・損益P31、厚生_決算精算表P33" sqref="C37"/>
    <dataValidation allowBlank="1" showInputMessage="1" promptTitle="手入力セル" prompt="反映先：厚生_預金・立替・未収P32 E8&#10;他の帳票：厚生_貸借・損益P31、厚生_決算精算表P33" sqref="E7"/>
    <dataValidation allowBlank="1" showInputMessage="1" promptTitle="手入力セル" prompt="反映先：厚生_預金・立替・未収P32 E10&#10;他の帳票：厚生_貸借・損益P31、厚生_決算精算表P33" sqref="E9"/>
  </dataValidations>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'厚生_貸借・損益P31'!E8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'厚生_貸借・損益P31'!L8</f>
        <v>1679528183</v>
      </c>
      <c r="G14" s="1009">
        <f>SUM(E14:F14)</f>
        <v>1679528183</v>
      </c>
      <c r="H14" s="988"/>
    </row>
    <row r="15" spans="1:8" ht="18.600000000000001" customHeight="1">
      <c r="A15" s="1010"/>
      <c r="B15" s="1011"/>
      <c r="C15" s="1012"/>
      <c r="D15" s="1013" t="s">
        <v>200</v>
      </c>
      <c r="E15" s="1008">
        <f>'厚生_貸借・損益P31'!L9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'厚生_預金・立替・未収P32'!C25+'厚生_預金・立替・未収P32'!C26+'厚生_預金・立替・未収P32'!C27</f>
        <v>999571414</v>
      </c>
      <c r="C17" s="1685">
        <v>10996023469</v>
      </c>
      <c r="D17" s="1025" t="s">
        <v>594</v>
      </c>
      <c r="E17" s="1026"/>
      <c r="F17" s="1027"/>
      <c r="G17" s="1028"/>
      <c r="H17" s="996"/>
    </row>
    <row r="18" spans="1:8" ht="18.600000000000001" customHeight="1">
      <c r="A18" s="997">
        <f>C18+B18</f>
        <v>7735814913</v>
      </c>
      <c r="B18" s="1029">
        <f>'厚生_預金・立替・未収P32'!C28+'厚生_預金・立替・未収P32'!C29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"&amp;MID(入力ガイド!$F$6,5,1),""))&amp;""</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amp;CHAR(10)&amp;"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"&amp;MID(入力ガイド!$F$7,5,1),""))&amp;""</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7 C18">
    <cfRule type="expression" dxfId="6" priority="2">
      <formula>AND(入力色表示=1,NOT(_xlfn.ISFORMULA(C17)))</formula>
    </cfRule>
  </conditionalFormatting>
  <conditionalFormatting sqref="A25">
    <cfRule type="expression" dxfId="7" priority="1">
      <formula>入力色表示=1</formula>
    </cfRule>
  </conditionalFormatting>
  <dataValidations count="2">
    <dataValidation allowBlank="1" showInputMessage="1" promptTitle="手入力セル" prompt="反映先：厚生_決算精算表P33 A17,C21&#10;他の帳票：厚生_貸借・損益P31" sqref="C17"/>
    <dataValidation allowBlank="1" showInputMessage="1" promptTitle="手入力セル" prompt="反映先：厚生_決算精算表P33 A18,C21&#10;他の帳票：厚生_貸借・損益P31" sqref="C18"/>
  </dataValidations>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'退職等_預金・立替・未収P36'!E8</f>
        <v>111499006</v>
      </c>
      <c r="F8" s="866"/>
      <c r="G8" s="860"/>
      <c r="H8" s="2514" t="s">
        <v>899</v>
      </c>
      <c r="I8" s="2514"/>
      <c r="J8" s="2514"/>
      <c r="K8" s="857"/>
      <c r="L8" s="858">
        <f>'退職等_預金・立替・未収P36'!C26</f>
        <v>111499006</v>
      </c>
      <c r="M8" s="866"/>
      <c r="N8" s="863"/>
      <c r="O8" s="846"/>
      <c r="P8" s="846"/>
    </row>
    <row r="9" spans="1:16" s="847" customFormat="1" ht="17.100000000000001" customHeight="1">
      <c r="A9" s="2513" t="s">
        <v>898</v>
      </c>
      <c r="B9" s="2513"/>
      <c r="C9" s="2513"/>
      <c r="D9" s="870"/>
      <c r="E9" s="858">
        <f>'退職等_預金・立替・未収P36'!C16</f>
        <v>0</v>
      </c>
      <c r="F9" s="866"/>
      <c r="G9" s="871"/>
      <c r="H9" s="2514" t="s">
        <v>200</v>
      </c>
      <c r="I9" s="2514"/>
      <c r="J9" s="2514"/>
      <c r="K9" s="857"/>
      <c r="L9" s="1683">
        <f>'退職等_預金・立替・未収P36'!C34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'退職等_決算精算表P37'!A17</f>
        <v>634159455</v>
      </c>
      <c r="E23" s="861"/>
      <c r="F23" s="866"/>
      <c r="G23" s="1086"/>
      <c r="H23" s="2514" t="s">
        <v>125</v>
      </c>
      <c r="I23" s="2514"/>
      <c r="J23" s="2514"/>
      <c r="K23" s="1087">
        <f>'退職等_決算精算表P37'!G19</f>
        <v>634159455</v>
      </c>
      <c r="L23" s="861"/>
      <c r="M23" s="866"/>
      <c r="N23" s="863"/>
      <c r="O23" s="846"/>
      <c r="P23" s="846"/>
    </row>
    <row r="24" spans="1:16" s="847" customFormat="1" ht="17.100000000000001" customHeight="1">
      <c r="A24" s="2513" t="s">
        <v>602</v>
      </c>
      <c r="B24" s="2513"/>
      <c r="C24" s="2513"/>
      <c r="D24" s="1087">
        <f>'退職等_決算精算表P37'!A18</f>
        <v>634205895</v>
      </c>
      <c r="E24" s="861"/>
      <c r="F24" s="866"/>
      <c r="G24" s="1086"/>
      <c r="H24" s="2514" t="s">
        <v>196</v>
      </c>
      <c r="I24" s="2514"/>
      <c r="J24" s="2514"/>
      <c r="K24" s="1087">
        <f>'退職等_決算精算表P37'!G20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conditionalFormatting sqref="A7 A14 A22 A23 A24 A25 A33 C7 C22 C23 C24 C25 C33 E7 E14 E22 E23 E24 E25 E33 I7 I14 I22 I23 I24 I25 I33">
    <cfRule type="expression" dxfId="6" priority="2">
      <formula>AND(入力色表示=1,NOT(_xlfn.ISFORMULA(A7)))</formula>
    </cfRule>
  </conditionalFormatting>
  <conditionalFormatting sqref="C33 C34">
    <cfRule type="expression" dxfId="7" priority="1">
      <formula>入力色表示=1</formula>
    </cfRule>
  </conditionalFormatting>
  <dataValidations count="4">
    <dataValidation allowBlank="1" showInputMessage="1" promptTitle="手入力セル" prompt="反映先：退職等_預金・立替・未収P36 C26、退職等_決算精算表P37 B17&#10;他の帳票：退職等_貸借・損益P35、退職等_決算精算表P37" sqref="C22 C23"/>
    <dataValidation allowBlank="1" showInputMessage="1" promptTitle="手入力セル" prompt="反映先：退職等_預金・立替・未収P36 C26、退職等_決算精算表P37 B18&#10;他の帳票：退職等_貸借・損益P35、退職等_決算精算表P37" sqref="C24 C25"/>
    <dataValidation allowBlank="1" showInputMessage="1" promptTitle="手入力セル" prompt="反映先：退職等_預金・立替・未収P36 C34&#10;他の帳票：退職等_貸借・損益P35、退職等_決算精算表P37" sqref="C33"/>
    <dataValidation allowBlank="1" showInputMessage="1" promptTitle="手入力セル" prompt="反映先：退職等_預金・立替・未収P36 E8&#10;他の帳票：退職等_貸借・損益P35、退職等_決算精算表P37" sqref="E7"/>
  </dataValidations>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'退職等_貸借・損益P35'!E8</f>
        <v>111499006</v>
      </c>
      <c r="D12" s="1116" t="s">
        <v>194</v>
      </c>
      <c r="E12" s="1117"/>
      <c r="F12" s="994"/>
      <c r="G12" s="1118"/>
      <c r="H12" s="973"/>
    </row>
    <row r="13" spans="1:9" ht="18.600000000000001" customHeight="1">
      <c r="A13" s="1119">
        <f>C13+B13</f>
        <v>0</v>
      </c>
      <c r="B13" s="1120">
        <f>'退職等_預金・立替・未収P36'!C14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'退職等_貸借・損益P35'!L8</f>
        <v>111499006</v>
      </c>
      <c r="G14" s="1037">
        <f>SUM(E14:F14)</f>
        <v>111499006</v>
      </c>
      <c r="H14" s="1015"/>
    </row>
    <row r="15" spans="1:9" ht="18.600000000000001" customHeight="1">
      <c r="A15" s="1128"/>
      <c r="B15" s="1129"/>
      <c r="C15" s="1130"/>
      <c r="D15" s="1131" t="s">
        <v>200</v>
      </c>
      <c r="E15" s="1132">
        <f>'退職等_貸借・損益P35'!L9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'退職等_預金・立替・未収P36'!C22+'退職等_預金・立替・未収P36'!C23</f>
        <v>55749738</v>
      </c>
      <c r="C17" s="1688">
        <v>578409717</v>
      </c>
      <c r="D17" s="1141" t="s">
        <v>594</v>
      </c>
      <c r="E17" s="1142"/>
      <c r="F17" s="1143"/>
      <c r="G17" s="1144"/>
      <c r="H17" s="973"/>
    </row>
    <row r="18" spans="1:8" ht="18.600000000000001" customHeight="1">
      <c r="A18" s="989">
        <f>C18+B18</f>
        <v>634205895</v>
      </c>
      <c r="B18" s="1029">
        <f>'退職等_預金・立替・未収P36'!C24+'退職等_預金・立替・未収P36'!C25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"&amp;MID(入力ガイド!$F$6,5,1),""))&amp;"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amp;CHAR(10)&amp;"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"&amp;MID(入力ガイド!$F$7,5,1),""))&amp;"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3 C17 C18">
    <cfRule type="expression" dxfId="6" priority="2">
      <formula>AND(入力色表示=1,NOT(_xlfn.ISFORMULA(C13)))</formula>
    </cfRule>
  </conditionalFormatting>
  <dataValidations count="3">
    <dataValidation allowBlank="1" showInputMessage="1" promptTitle="手入力セル" prompt="反映先：退職等_決算精算表P37 A13,C16&#10;他の帳票：なし" sqref="C13"/>
    <dataValidation allowBlank="1" showInputMessage="1" promptTitle="手入力セル" prompt="反映先：退職等_決算精算表P37 A17,C21&#10;他の帳票：退職等_貸借・損益P35" sqref="C17"/>
    <dataValidation allowBlank="1" showInputMessage="1" promptTitle="手入力セル" prompt="反映先：退職等_決算精算表P37 A18,C21&#10;他の帳票：退職等_貸借・損益P35" sqref="C18"/>
  </dataValidations>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'経過的_預金・立替・未収P40'!E8</f>
        <v>722478</v>
      </c>
      <c r="F8" s="866"/>
      <c r="G8" s="860"/>
      <c r="H8" s="2514" t="s">
        <v>899</v>
      </c>
      <c r="I8" s="2514"/>
      <c r="J8" s="2514"/>
      <c r="K8" s="857"/>
      <c r="L8" s="858">
        <f>'経過的_預金・立替・未収P40'!C23</f>
        <v>722478</v>
      </c>
      <c r="M8" s="866"/>
      <c r="N8" s="863"/>
      <c r="O8" s="846"/>
      <c r="P8" s="846"/>
    </row>
    <row r="9" spans="1:16" s="847" customFormat="1" ht="17.100000000000001" customHeight="1">
      <c r="A9" s="2513" t="s">
        <v>898</v>
      </c>
      <c r="B9" s="2513"/>
      <c r="C9" s="2513"/>
      <c r="D9" s="857"/>
      <c r="E9" s="858">
        <f>'経過的_預金・立替・未収P40'!C16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'経過的_決算精算表P41'!A16</f>
        <v>85620216</v>
      </c>
      <c r="E23" s="861"/>
      <c r="F23" s="866"/>
      <c r="G23" s="1086"/>
      <c r="H23" s="2514" t="s">
        <v>125</v>
      </c>
      <c r="I23" s="2514"/>
      <c r="J23" s="2514"/>
      <c r="K23" s="1087">
        <f>'経過的_決算精算表P41'!G17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conditionalFormatting sqref="A7 A14 A15 A22 C7 C15 C22 E7 E14 E15 E22 I7 I14 I15 I22">
    <cfRule type="expression" dxfId="6" priority="2">
      <formula>AND(入力色表示=1,NOT(_xlfn.ISFORMULA(A7)))</formula>
    </cfRule>
  </conditionalFormatting>
  <dataValidations count="3">
    <dataValidation allowBlank="1" showInputMessage="1" promptTitle="手入力セル" prompt="反映先：経過的_預金・立替・未収P40 C16&#10;他の帳票：経過的_貸借・損益P39" sqref="C15"/>
    <dataValidation allowBlank="1" showInputMessage="1" promptTitle="手入力セル" prompt="反映先：経過的_預金・立替・未収P40 C23、経過的_決算精算表P41 B16&#10;他の帳票：経過的_貸借・損益P39、経過的_決算精算表P41" sqref="C22"/>
    <dataValidation allowBlank="1" showInputMessage="1" promptTitle="手入力セル" prompt="反映先：経過的_預金・立替・未収P40 E8&#10;他の帳票：経過的_貸借・損益P39、経過的_決算精算表P41" sqref="E7"/>
  </dataValidations>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'経過的_貸借・損益P39'!E8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'経過的_貸借・損益P39'!L8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'経過的_預金・立替・未収P40'!C22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"&amp;MID(入力ガイド!$F$6,5,1),""))&amp;"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amp;CHAR(10)&amp;"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"&amp;MID(入力ガイド!$F$7,5,1),""))&amp;""</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conditionalFormatting sqref="C16">
    <cfRule type="expression" dxfId="6" priority="2">
      <formula>AND(入力色表示=1,NOT(_xlfn.ISFORMULA(C16)))</formula>
    </cfRule>
  </conditionalFormatting>
  <dataValidations count="1">
    <dataValidation allowBlank="1" showInputMessage="1" promptTitle="手入力セル" prompt="反映先：経過的_決算精算表P41 A16,C18&#10;他の帳票：経過的_貸借・損益P39" sqref="C16"/>
  </dataValidations>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tabColor rgb="FFA6A6A6"/>
  </sheetPr>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'預託金_預金・未収・貸付・預託金P44'!F8</f>
        <v>0</v>
      </c>
      <c r="F8" s="866"/>
      <c r="G8" s="860"/>
      <c r="H8" s="2651" t="s">
        <v>215</v>
      </c>
      <c r="I8" s="2651"/>
      <c r="J8" s="2651"/>
      <c r="K8" s="870"/>
      <c r="L8" s="858">
        <f>'預託金_預金・未収・貸付・預託金P44'!M29</f>
        <v>0</v>
      </c>
      <c r="M8" s="866"/>
      <c r="N8" s="863"/>
      <c r="O8" s="846"/>
      <c r="P8" s="846"/>
    </row>
    <row r="9" spans="1:16" s="847" customFormat="1" ht="17.100000000000001" customHeight="1">
      <c r="A9" s="2583" t="s">
        <v>774</v>
      </c>
      <c r="B9" s="2583"/>
      <c r="C9" s="2583"/>
      <c r="D9" s="870"/>
      <c r="E9" s="858">
        <f>'預託金_預金・未収・貸付・預託金P44'!C15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'預託金_預金・未収・貸付・預託金P44'!M22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'預託金_決算精算表P45'!A17</f>
        <v>136059</v>
      </c>
      <c r="E27" s="861"/>
      <c r="F27" s="866"/>
      <c r="G27" s="1086"/>
      <c r="H27" s="1217"/>
      <c r="I27" s="841"/>
      <c r="J27" s="1215" t="s">
        <v>106</v>
      </c>
      <c r="K27" s="1087">
        <f>'預託金_決算精算表P45'!G18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'預託金_決算精算表P45'!A17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conditionalFormatting sqref="A7 A14 A21 A28 B21 C7 C14 F7 F14 I28 K7 K14 O21 O28">
    <cfRule type="expression" dxfId="6" priority="2">
      <formula>AND(入力色表示=1,NOT(_xlfn.ISFORMULA(A7)))</formula>
    </cfRule>
  </conditionalFormatting>
  <dataValidations count="3">
    <dataValidation allowBlank="1" showInputMessage="1" promptTitle="手入力セル" prompt="反映先：預託金_預金・未収・貸付・預託金P44 C15&#10;他の帳票：報告_預託金のカメラ、預託金_貸借・損益P43" sqref="C14"/>
    <dataValidation allowBlank="1" showInputMessage="1" promptTitle="手入力セル" prompt="反映先：預託金_預金・未収・貸付・預託金P44 F8&#10;他の帳票：報告_預託金のカメラ、預託金_貸借・損益P43" sqref="F7"/>
    <dataValidation allowBlank="1" showInputMessage="1" promptTitle="手入力セル" prompt="反映先：預託金_預金・未収・貸付・預託金P44 I29,M28&#10;他の帳票：預託金_貸借・損益P43" sqref="I28"/>
  </dataValidations>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'預託金_決算精算表P45'!A17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"&amp;MID(入力ガイド!$F$6,5,1),""))&amp;"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amp;CHAR(10)&amp;"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"&amp;MID(入力ガイド!$F$7,5,1),""))&amp;""</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conditionalFormatting sqref="B17 C15 C17 F15">
    <cfRule type="expression" dxfId="6" priority="2">
      <formula>AND(入力色表示=1,NOT(_xlfn.ISFORMULA(B17)))</formula>
    </cfRule>
  </conditionalFormatting>
  <dataValidations count="4">
    <dataValidation allowBlank="1" showInputMessage="1" promptTitle="手入力セル" prompt="反映先：預託金_決算精算表P45 A17,B19&#10;他の帳票：報告_預託金P17、預託金_貸借・損益P43、預託金_預金・未収・貸付・預託金P44" sqref="B17"/>
    <dataValidation allowBlank="1" showInputMessage="1" promptTitle="手入力セル" prompt="反映先：預託金_決算精算表P45 A15,C16,G15&#10;他の帳票：なし" sqref="C15"/>
    <dataValidation allowBlank="1" showInputMessage="1" promptTitle="手入力セル" prompt="反映先：預託金_決算精算表P45 A17,C19&#10;他の帳票：報告_預託金P17、預託金_貸借・損益P43、預託金_預金・未収・貸付・預託金P44" sqref="C17"/>
    <dataValidation allowBlank="1" showInputMessage="1" promptTitle="手入力セル" prompt="反映先：預託金_決算精算表P45 A15,F16,G15&#10;他の帳票：なし" sqref="F15"/>
  </dataValidations>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tabColor rgb="FFA6A6A6"/>
  </sheetPr>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'業務_決算精算表P51'!A9</f>
        <v>72939159</v>
      </c>
      <c r="D7" s="1293"/>
      <c r="E7" s="1294" t="s">
        <v>899</v>
      </c>
      <c r="F7" s="1270"/>
      <c r="G7" s="1287">
        <f>'業務_決算精算表P51'!G14</f>
        <v>9597685</v>
      </c>
      <c r="H7" s="1295"/>
      <c r="I7" s="1281"/>
      <c r="J7" s="1281"/>
      <c r="K7" s="1281"/>
      <c r="L7" s="1281"/>
      <c r="M7" s="1281"/>
      <c r="N7" s="1281"/>
      <c r="O7" s="1281"/>
      <c r="P7" s="1281"/>
      <c r="Q7" s="1281"/>
      <c r="R7" s="1281"/>
    </row>
    <row r="8" spans="1:18" ht="16.2" customHeight="1">
      <c r="A8" s="1290" t="s">
        <v>217</v>
      </c>
      <c r="B8" s="1291"/>
      <c r="C8" s="1292">
        <f>'業務_決算精算表P51'!A10</f>
        <v>194420</v>
      </c>
      <c r="D8" s="1296"/>
      <c r="E8" s="1294" t="s">
        <v>997</v>
      </c>
      <c r="F8" s="1287"/>
      <c r="G8" s="1287">
        <f>'業務_決算精算表P51'!G15</f>
        <v>435361</v>
      </c>
      <c r="H8" s="1295"/>
      <c r="I8" s="1281"/>
      <c r="J8" s="1281"/>
      <c r="K8" s="1281"/>
      <c r="L8" s="1281"/>
      <c r="M8" s="1281"/>
      <c r="N8" s="1281"/>
      <c r="O8" s="1281"/>
      <c r="P8" s="1281"/>
      <c r="Q8" s="1281"/>
      <c r="R8" s="1281"/>
    </row>
    <row r="9" spans="1:18" ht="16.2" customHeight="1">
      <c r="A9" s="1290" t="s">
        <v>898</v>
      </c>
      <c r="B9" s="1291"/>
      <c r="C9" s="1292">
        <f>'業務_決算精算表P51'!A12</f>
        <v>11834281</v>
      </c>
      <c r="D9" s="1296"/>
      <c r="E9" s="1294" t="s">
        <v>200</v>
      </c>
      <c r="F9" s="1287"/>
      <c r="G9" s="1287">
        <f>'業務_決算精算表P51'!G16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'業務_決算精算表P51'!G17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'業務_決算精算表P51'!A13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'業務_決算精算表P51'!G19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却累計額は、"&amp;TEXT('業務_附属明細表P48-50'!Q116,"#,##0")&amp;"円である。"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'業務_決算精算表P51'!A21</f>
        <v>33000</v>
      </c>
      <c r="C38" s="1288"/>
      <c r="D38" s="1296"/>
      <c r="E38" s="1294" t="s">
        <v>125</v>
      </c>
      <c r="F38" s="1287">
        <f>'業務_決算精算表P51'!G39</f>
        <v>89655843</v>
      </c>
      <c r="G38" s="1288"/>
      <c r="H38" s="1295"/>
      <c r="I38" s="1281"/>
      <c r="J38" s="1281"/>
      <c r="K38" s="1281"/>
      <c r="L38" s="1281"/>
      <c r="M38" s="1281"/>
      <c r="N38" s="1281"/>
      <c r="O38" s="1281"/>
      <c r="P38" s="1281"/>
      <c r="Q38" s="1281"/>
      <c r="R38" s="1281"/>
    </row>
    <row r="39" spans="1:18" ht="16.2" customHeight="1">
      <c r="A39" s="1323" t="s">
        <v>128</v>
      </c>
      <c r="B39" s="1287">
        <f>'業務_決算精算表P51'!A22</f>
        <v>10141337</v>
      </c>
      <c r="C39" s="1288"/>
      <c r="D39" s="1296"/>
      <c r="E39" s="1294" t="s">
        <v>37</v>
      </c>
      <c r="F39" s="1287">
        <f>'業務_決算精算表P51'!G40</f>
        <v>77607</v>
      </c>
      <c r="G39" s="1288"/>
      <c r="H39" s="1295"/>
      <c r="I39" s="1281"/>
      <c r="J39" s="1281"/>
      <c r="K39" s="1281"/>
      <c r="L39" s="1281"/>
      <c r="M39" s="1281"/>
      <c r="N39" s="1281"/>
      <c r="O39" s="1281"/>
      <c r="P39" s="1281"/>
      <c r="Q39" s="1281"/>
      <c r="R39" s="1281"/>
    </row>
    <row r="40" spans="1:18" ht="16.2" customHeight="1">
      <c r="A40" s="1323" t="s">
        <v>129</v>
      </c>
      <c r="B40" s="1287">
        <f>'業務_決算精算表P51'!A23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'業務_決算精算表P51'!A24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'業務_決算精算表P51'!A25</f>
        <v>13993113</v>
      </c>
      <c r="C42" s="1288"/>
      <c r="D42" s="1296"/>
      <c r="E42" s="1294" t="s">
        <v>38</v>
      </c>
      <c r="F42" s="1287">
        <f>'業務_決算精算表P51'!E42</f>
        <v>23159738</v>
      </c>
      <c r="G42" s="1324"/>
      <c r="H42" s="1295"/>
      <c r="I42" s="1281"/>
      <c r="J42" s="1281"/>
      <c r="K42" s="1281"/>
      <c r="L42" s="1281"/>
      <c r="M42" s="1281"/>
      <c r="N42" s="1281"/>
      <c r="O42" s="1281"/>
      <c r="P42" s="1281"/>
      <c r="Q42" s="1281"/>
      <c r="R42" s="1281"/>
    </row>
    <row r="43" spans="1:18" ht="16.2" customHeight="1">
      <c r="A43" s="1325" t="s">
        <v>132</v>
      </c>
      <c r="B43" s="1287">
        <f>'業務_決算精算表P51'!A26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'業務_決算精算表P51'!A27</f>
        <v>10084438</v>
      </c>
      <c r="C44" s="1288"/>
      <c r="D44" s="1296"/>
      <c r="E44" s="1327" t="s">
        <v>1005</v>
      </c>
      <c r="F44" s="1287" t="str">
        <f>IF('業務_決算精算表P51'!G43=0,"",'業務_決算精算表P51'!G43)</f>
        <v/>
      </c>
      <c r="G44" s="1324"/>
      <c r="H44" s="1295"/>
      <c r="I44" s="1281"/>
      <c r="J44" s="1281"/>
      <c r="K44" s="1281"/>
      <c r="L44" s="1281"/>
      <c r="M44" s="1281"/>
      <c r="N44" s="1281"/>
      <c r="O44" s="1281"/>
      <c r="P44" s="1281"/>
      <c r="Q44" s="1281"/>
      <c r="R44" s="1281"/>
    </row>
    <row r="45" spans="1:18" ht="16.2" customHeight="1">
      <c r="A45" s="1325" t="s">
        <v>135</v>
      </c>
      <c r="B45" s="1287">
        <f>'業務_決算精算表P51'!A28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'業務_決算精算表P51'!A29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'業務_決算精算表P51'!A30</f>
        <v>9430768</v>
      </c>
      <c r="C47" s="1288"/>
      <c r="D47" s="1296"/>
      <c r="E47" s="1328" t="s">
        <v>126</v>
      </c>
      <c r="F47" s="1287"/>
      <c r="G47" s="1329">
        <f>'業務_決算精算表P51'!G44</f>
        <v>11834281</v>
      </c>
      <c r="H47" s="1289"/>
      <c r="I47" s="1281"/>
      <c r="J47" s="1281"/>
      <c r="K47" s="1281"/>
      <c r="L47" s="1281"/>
      <c r="M47" s="1281"/>
      <c r="N47" s="1281"/>
      <c r="O47" s="1281"/>
      <c r="P47" s="1281"/>
      <c r="Q47" s="1281"/>
      <c r="R47" s="1281"/>
    </row>
    <row r="48" spans="1:18" ht="16.2" customHeight="1">
      <c r="A48" s="1323" t="s">
        <v>1008</v>
      </c>
      <c r="B48" s="1287">
        <f>'業務_決算精算表P51'!A31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'業務_決算精算表P51'!A32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'業務_決算精算表P51'!A33</f>
        <v>13718352</v>
      </c>
      <c r="C50" s="1288"/>
      <c r="D50" s="1296"/>
      <c r="E50" s="1327" t="s">
        <v>1010</v>
      </c>
      <c r="F50" s="1287"/>
      <c r="G50" s="1288">
        <f>'業務_決算精算表P51'!G45</f>
        <v>0</v>
      </c>
      <c r="H50" s="1289"/>
      <c r="I50" s="1281"/>
      <c r="J50" s="1281"/>
      <c r="K50" s="1281"/>
      <c r="L50" s="1281"/>
      <c r="M50" s="1281"/>
      <c r="N50" s="1281"/>
      <c r="O50" s="1281"/>
      <c r="P50" s="1281"/>
      <c r="Q50" s="1281"/>
      <c r="R50" s="1281"/>
    </row>
    <row r="51" spans="1:18" ht="15.75" customHeight="1">
      <c r="A51" s="1331" t="s">
        <v>1011</v>
      </c>
      <c r="B51" s="1287">
        <f>'業務_決算精算表P51'!A34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'業務_決算精算表P51'!A35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'業務_決算精算表P51'!A37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'短期_附属明細表P28-29'!G74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'業務_財務諸表P47'!C57</f>
        <v>3603510</v>
      </c>
      <c r="J91" s="2714"/>
      <c r="K91" s="2714"/>
      <c r="L91" s="2714"/>
      <c r="M91" s="2714">
        <f>'業務_財務諸表P47'!G54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3132"/>
      <c r="B94" s="3132"/>
      <c r="C94" s="3132"/>
      <c r="D94" s="3132"/>
      <c r="E94" s="3132"/>
      <c r="F94" s="3132"/>
      <c r="G94" s="3132"/>
      <c r="H94" s="3132"/>
      <c r="I94" s="3133" t="s">
        <v>1064</v>
      </c>
      <c r="J94" s="3133"/>
      <c r="K94" s="3133"/>
      <c r="L94" s="3133"/>
      <c r="M94" s="3133"/>
      <c r="N94" s="3133"/>
      <c r="O94" s="3133"/>
      <c r="P94" s="3133"/>
      <c r="Q94" s="3134"/>
      <c r="R94" s="3134"/>
      <c r="S94" s="3134"/>
      <c r="T94" s="3134"/>
      <c r="U94" s="3134"/>
      <c r="V94" s="3134"/>
      <c r="W94" s="3134"/>
      <c r="X94" s="3134"/>
    </row>
    <row r="95" spans="1:24" ht="9.75" hidden="1" customHeight="1">
      <c r="A95" s="3132"/>
      <c r="B95" s="3132"/>
      <c r="C95" s="3132"/>
      <c r="D95" s="3135"/>
      <c r="E95" s="3132"/>
      <c r="F95" s="3132"/>
      <c r="G95" s="3132"/>
      <c r="H95" s="3132"/>
      <c r="I95" s="3132"/>
      <c r="J95" s="3132"/>
      <c r="K95" s="3132"/>
      <c r="L95" s="3132"/>
      <c r="M95" s="3132"/>
      <c r="N95" s="3132"/>
      <c r="O95" s="3132"/>
      <c r="P95" s="3132"/>
      <c r="Q95" s="3132"/>
      <c r="R95" s="3132"/>
      <c r="S95" s="3132"/>
      <c r="T95" s="3132"/>
      <c r="U95" s="3132"/>
      <c r="V95" s="3132"/>
      <c r="W95" s="3132"/>
      <c r="X95" s="3132"/>
    </row>
    <row r="96" spans="1:24" s="1407" customFormat="1" ht="21" hidden="1" customHeight="1">
      <c r="A96" s="3136" t="s">
        <v>1058</v>
      </c>
      <c r="B96" s="3136"/>
      <c r="C96" s="3136"/>
      <c r="D96" s="3137" t="s">
        <v>1065</v>
      </c>
      <c r="E96" s="3137"/>
      <c r="F96" s="3138" t="s">
        <v>1066</v>
      </c>
      <c r="G96" s="3138"/>
      <c r="H96" s="3138" t="s">
        <v>1060</v>
      </c>
      <c r="I96" s="3138"/>
      <c r="J96" s="3138" t="s">
        <v>1067</v>
      </c>
      <c r="K96" s="3138"/>
      <c r="L96" s="3138" t="s">
        <v>1068</v>
      </c>
      <c r="M96" s="3138"/>
      <c r="N96" s="3138" t="s">
        <v>1069</v>
      </c>
      <c r="O96" s="3138"/>
      <c r="P96" s="3139" t="s">
        <v>1074</v>
      </c>
      <c r="Q96" s="3139"/>
      <c r="R96" s="3139"/>
      <c r="S96" s="3139"/>
      <c r="T96" s="3139"/>
      <c r="U96" s="3139"/>
      <c r="V96" s="3139"/>
      <c r="W96" s="3139"/>
      <c r="X96" s="3139"/>
    </row>
    <row r="97" spans="1:24" ht="9" hidden="1" customHeight="1">
      <c r="A97" s="3140"/>
      <c r="B97" s="3140"/>
      <c r="C97" s="3140"/>
      <c r="D97" s="3141" t="s">
        <v>1075</v>
      </c>
      <c r="E97" s="3141"/>
      <c r="F97" s="3142" t="s">
        <v>551</v>
      </c>
      <c r="G97" s="3142"/>
      <c r="H97" s="3142" t="s">
        <v>551</v>
      </c>
      <c r="I97" s="3142"/>
      <c r="J97" s="3142" t="s">
        <v>551</v>
      </c>
      <c r="K97" s="3142"/>
      <c r="L97" s="3142" t="s">
        <v>551</v>
      </c>
      <c r="M97" s="3142"/>
      <c r="N97" s="3142" t="s">
        <v>1071</v>
      </c>
      <c r="O97" s="3142"/>
      <c r="P97" s="3143" t="s">
        <v>1076</v>
      </c>
      <c r="Q97" s="3143"/>
      <c r="R97" s="3143"/>
      <c r="S97" s="3143"/>
      <c r="T97" s="3143"/>
      <c r="U97" s="3143"/>
      <c r="V97" s="3143"/>
      <c r="W97" s="3143"/>
      <c r="X97" s="3143"/>
    </row>
    <row r="98" spans="1:24" s="1349" customFormat="1" ht="19.5" hidden="1" customHeight="1">
      <c r="A98" s="3144" t="s">
        <v>222</v>
      </c>
      <c r="B98" s="3144"/>
      <c r="C98" s="3144"/>
      <c r="D98" s="3145" t="s">
        <v>226</v>
      </c>
      <c r="E98" s="3145"/>
      <c r="F98" s="3146">
        <v>169470</v>
      </c>
      <c r="G98" s="3147"/>
      <c r="H98" s="3146">
        <v>0</v>
      </c>
      <c r="I98" s="3147"/>
      <c r="J98" s="3147">
        <f>Q106</f>
        <v>152520</v>
      </c>
      <c r="K98" s="3147"/>
      <c r="L98" s="3146">
        <v>16950</v>
      </c>
      <c r="M98" s="3147"/>
      <c r="N98" s="3148">
        <f>ROUND(J98/F98*100,1)</f>
        <v>90</v>
      </c>
      <c r="O98" s="3148"/>
      <c r="P98" s="3143"/>
      <c r="Q98" s="3143"/>
      <c r="R98" s="3143"/>
      <c r="S98" s="3143"/>
      <c r="T98" s="3143"/>
      <c r="U98" s="3143"/>
      <c r="V98" s="3143"/>
      <c r="W98" s="3143"/>
      <c r="X98" s="3143"/>
    </row>
    <row r="99" spans="1:24" s="1341" customFormat="1" ht="21" hidden="1" customHeight="1">
      <c r="A99" s="3149" t="s">
        <v>227</v>
      </c>
      <c r="B99" s="3149"/>
      <c r="C99" s="3149"/>
      <c r="D99" s="3150">
        <v>10</v>
      </c>
      <c r="E99" s="3151"/>
      <c r="F99" s="3152">
        <v>90825</v>
      </c>
      <c r="G99" s="3153"/>
      <c r="H99" s="3152">
        <v>9082</v>
      </c>
      <c r="I99" s="3153"/>
      <c r="J99" s="3154" t="s">
        <v>228</v>
      </c>
      <c r="K99" s="3154"/>
      <c r="L99" s="3152">
        <v>18926</v>
      </c>
      <c r="M99" s="3153"/>
      <c r="N99" s="3154" t="s">
        <v>228</v>
      </c>
      <c r="O99" s="3154"/>
      <c r="P99" s="3143" t="s">
        <v>1077</v>
      </c>
      <c r="Q99" s="3143"/>
      <c r="R99" s="3143"/>
      <c r="S99" s="3143"/>
      <c r="T99" s="3143"/>
      <c r="U99" s="3143"/>
      <c r="V99" s="3143"/>
      <c r="W99" s="3143"/>
      <c r="X99" s="3143"/>
    </row>
    <row r="100" spans="1:24" ht="19.5" hidden="1" customHeight="1">
      <c r="A100" s="3155" t="s">
        <v>1078</v>
      </c>
      <c r="B100" s="3155"/>
      <c r="C100" s="3155"/>
      <c r="D100" s="3156"/>
      <c r="E100" s="3156"/>
      <c r="F100" s="3157">
        <f>SUM(F98:G99)</f>
        <v>260295</v>
      </c>
      <c r="G100" s="3157"/>
      <c r="H100" s="3157">
        <f>SUM(H98:I99)</f>
        <v>9082</v>
      </c>
      <c r="I100" s="3157"/>
      <c r="J100" s="3157">
        <f>SUM(J98:K99)</f>
        <v>152520</v>
      </c>
      <c r="K100" s="3157"/>
      <c r="L100" s="3157">
        <f>SUM(L98:M99)</f>
        <v>35876</v>
      </c>
      <c r="M100" s="3157"/>
      <c r="N100" s="3158"/>
      <c r="O100" s="3158"/>
      <c r="P100" s="3159"/>
      <c r="Q100" s="3159"/>
      <c r="R100" s="3159"/>
      <c r="S100" s="3159"/>
      <c r="T100" s="3159"/>
      <c r="U100" s="3159"/>
      <c r="V100" s="3159"/>
      <c r="W100" s="3159"/>
      <c r="X100" s="3159"/>
    </row>
    <row r="101" spans="1:24" ht="20.25" hidden="1" customHeight="1">
      <c r="A101" s="3132"/>
      <c r="B101" s="3132"/>
      <c r="C101" s="3132"/>
      <c r="D101" s="3132"/>
      <c r="E101" s="3132"/>
      <c r="F101" s="3132"/>
      <c r="G101" s="3132"/>
      <c r="H101" s="3132"/>
      <c r="I101" s="3132"/>
      <c r="J101" s="3132"/>
      <c r="K101" s="3132"/>
      <c r="L101" s="3132"/>
      <c r="M101" s="3132"/>
      <c r="N101" s="3132"/>
      <c r="O101" s="3132"/>
      <c r="P101" s="3132"/>
      <c r="Q101" s="3132"/>
      <c r="R101" s="3132"/>
      <c r="S101" s="3132"/>
      <c r="T101" s="3132"/>
      <c r="U101" s="3132"/>
      <c r="V101" s="3132"/>
      <c r="W101" s="3132"/>
      <c r="X101" s="3132"/>
    </row>
    <row r="102" spans="1:24" ht="21" hidden="1" customHeight="1">
      <c r="A102" s="3132"/>
      <c r="B102" s="3132"/>
      <c r="C102" s="3132"/>
      <c r="D102" s="3132"/>
      <c r="E102" s="3132"/>
      <c r="F102" s="3132"/>
      <c r="G102" s="3132"/>
      <c r="H102" s="3132"/>
      <c r="I102" s="3160" t="s">
        <v>1079</v>
      </c>
      <c r="J102" s="3160"/>
      <c r="K102" s="3160"/>
      <c r="L102" s="3160"/>
      <c r="M102" s="3160"/>
      <c r="N102" s="3160"/>
      <c r="O102" s="3160"/>
      <c r="P102" s="3160"/>
      <c r="Q102" s="3134"/>
      <c r="R102" s="3134"/>
      <c r="S102" s="3134"/>
      <c r="T102" s="3134"/>
      <c r="U102" s="3134"/>
      <c r="V102" s="3134"/>
      <c r="W102" s="3134"/>
      <c r="X102" s="3134"/>
    </row>
    <row r="103" spans="1:24" ht="9.75" hidden="1" customHeight="1">
      <c r="A103" s="3132"/>
      <c r="B103" s="3132"/>
      <c r="C103" s="3132"/>
      <c r="D103" s="3132"/>
      <c r="E103" s="3132"/>
      <c r="F103" s="3132"/>
      <c r="G103" s="3132"/>
      <c r="H103" s="3132"/>
      <c r="I103" s="3132"/>
      <c r="J103" s="3132"/>
      <c r="K103" s="3132"/>
      <c r="L103" s="3132"/>
      <c r="M103" s="3132"/>
      <c r="N103" s="3132"/>
      <c r="O103" s="3132"/>
      <c r="P103" s="3132"/>
      <c r="Q103" s="3132"/>
      <c r="R103" s="3132"/>
      <c r="S103" s="3132"/>
      <c r="T103" s="3132"/>
      <c r="U103" s="3132"/>
      <c r="V103" s="3132"/>
      <c r="W103" s="3132"/>
      <c r="X103" s="3132"/>
    </row>
    <row r="104" spans="1:24" s="1408" customFormat="1" ht="21" hidden="1" customHeight="1">
      <c r="A104" s="3161" t="s">
        <v>873</v>
      </c>
      <c r="B104" s="3161"/>
      <c r="C104" s="3161"/>
      <c r="D104" s="3161"/>
      <c r="E104" s="3162" t="s">
        <v>874</v>
      </c>
      <c r="F104" s="3162"/>
      <c r="G104" s="3162"/>
      <c r="H104" s="3162"/>
      <c r="I104" s="3162" t="s">
        <v>875</v>
      </c>
      <c r="J104" s="3162"/>
      <c r="K104" s="3162"/>
      <c r="L104" s="3162"/>
      <c r="M104" s="3162" t="s">
        <v>876</v>
      </c>
      <c r="N104" s="3162"/>
      <c r="O104" s="3162"/>
      <c r="P104" s="3162"/>
      <c r="Q104" s="3163" t="s">
        <v>877</v>
      </c>
      <c r="R104" s="3163"/>
      <c r="S104" s="3163"/>
      <c r="T104" s="3163"/>
      <c r="U104" s="3164" t="s">
        <v>878</v>
      </c>
      <c r="V104" s="3164"/>
      <c r="W104" s="3164"/>
      <c r="X104" s="3164"/>
    </row>
    <row r="105" spans="1:24" s="1408" customFormat="1" ht="9" hidden="1" customHeight="1">
      <c r="A105" s="3140"/>
      <c r="B105" s="3140"/>
      <c r="C105" s="3140"/>
      <c r="D105" s="3140"/>
      <c r="E105" s="3142" t="s">
        <v>551</v>
      </c>
      <c r="F105" s="3142"/>
      <c r="G105" s="3142"/>
      <c r="H105" s="3142"/>
      <c r="I105" s="3142" t="s">
        <v>551</v>
      </c>
      <c r="J105" s="3142"/>
      <c r="K105" s="3142"/>
      <c r="L105" s="3142"/>
      <c r="M105" s="3142" t="s">
        <v>551</v>
      </c>
      <c r="N105" s="3142"/>
      <c r="O105" s="3142"/>
      <c r="P105" s="3142"/>
      <c r="Q105" s="3142" t="s">
        <v>551</v>
      </c>
      <c r="R105" s="3142"/>
      <c r="S105" s="3142"/>
      <c r="T105" s="3142"/>
      <c r="U105" s="3165"/>
      <c r="V105" s="3165"/>
      <c r="W105" s="3165"/>
      <c r="X105" s="3165"/>
    </row>
    <row r="106" spans="1:24" s="1409" customFormat="1" ht="19.5" hidden="1" customHeight="1">
      <c r="A106" s="3166" t="s">
        <v>229</v>
      </c>
      <c r="B106" s="3166"/>
      <c r="C106" s="3166"/>
      <c r="D106" s="3166"/>
      <c r="E106" s="3167">
        <v>152520</v>
      </c>
      <c r="F106" s="3168"/>
      <c r="G106" s="3168"/>
      <c r="H106" s="3168"/>
      <c r="I106" s="3167">
        <v>0</v>
      </c>
      <c r="J106" s="3168"/>
      <c r="K106" s="3168"/>
      <c r="L106" s="3168"/>
      <c r="M106" s="3167">
        <v>0</v>
      </c>
      <c r="N106" s="3168"/>
      <c r="O106" s="3168"/>
      <c r="P106" s="3168"/>
      <c r="Q106" s="3168">
        <f>E106+I106-M106</f>
        <v>152520</v>
      </c>
      <c r="R106" s="3168"/>
      <c r="S106" s="3168"/>
      <c r="T106" s="3168"/>
      <c r="U106" s="3169"/>
      <c r="V106" s="3169"/>
      <c r="W106" s="3169"/>
      <c r="X106" s="3169"/>
    </row>
    <row r="107" spans="1:24" s="1408" customFormat="1" ht="19.5" hidden="1" customHeight="1">
      <c r="A107" s="3170" t="s">
        <v>879</v>
      </c>
      <c r="B107" s="3170"/>
      <c r="C107" s="3170"/>
      <c r="D107" s="3170"/>
      <c r="E107" s="3171">
        <f>SUM(E106:H106)</f>
        <v>152520</v>
      </c>
      <c r="F107" s="3171"/>
      <c r="G107" s="3171"/>
      <c r="H107" s="3171"/>
      <c r="I107" s="3171">
        <f>SUM(I106:L106)</f>
        <v>0</v>
      </c>
      <c r="J107" s="3171"/>
      <c r="K107" s="3171"/>
      <c r="L107" s="3171"/>
      <c r="M107" s="3171">
        <f>SUM(M106:P106)</f>
        <v>0</v>
      </c>
      <c r="N107" s="3171"/>
      <c r="O107" s="3171"/>
      <c r="P107" s="3171"/>
      <c r="Q107" s="3171">
        <f>SUM(Q106:T106)</f>
        <v>152520</v>
      </c>
      <c r="R107" s="3171"/>
      <c r="S107" s="3171"/>
      <c r="T107" s="3171"/>
      <c r="U107" s="3172"/>
      <c r="V107" s="3172"/>
      <c r="W107" s="3172"/>
      <c r="X107" s="3172"/>
    </row>
    <row r="108" spans="1:24" ht="14.25" hidden="1" customHeight="1">
      <c r="A108" s="3132"/>
      <c r="B108" s="3132"/>
      <c r="C108" s="3132"/>
      <c r="D108" s="3132"/>
      <c r="E108" s="3132"/>
      <c r="F108" s="3132"/>
      <c r="G108" s="3132"/>
      <c r="H108" s="3132"/>
      <c r="I108" s="3132"/>
      <c r="J108" s="3132"/>
      <c r="K108" s="3132"/>
      <c r="L108" s="3132"/>
      <c r="M108" s="3132"/>
      <c r="N108" s="3132"/>
      <c r="O108" s="3132"/>
      <c r="P108" s="3132"/>
      <c r="Q108" s="3132"/>
      <c r="R108" s="3132"/>
      <c r="S108" s="3132"/>
      <c r="T108" s="3132"/>
      <c r="U108" s="3132"/>
      <c r="V108" s="3132"/>
      <c r="W108" s="3132"/>
      <c r="X108" s="3132"/>
    </row>
    <row r="109" spans="1:24" ht="14.25" hidden="1" customHeight="1">
      <c r="A109" s="3132"/>
      <c r="B109" s="3132"/>
      <c r="C109" s="3132"/>
      <c r="D109" s="3132"/>
      <c r="E109" s="3132"/>
      <c r="F109" s="3132"/>
      <c r="G109" s="3132"/>
      <c r="H109" s="3132"/>
      <c r="I109" s="3132"/>
      <c r="J109" s="3132"/>
      <c r="K109" s="3132"/>
      <c r="L109" s="3132"/>
      <c r="M109" s="3132"/>
      <c r="N109" s="3132"/>
      <c r="O109" s="3132"/>
      <c r="P109" s="3132"/>
      <c r="Q109" s="3132"/>
      <c r="R109" s="3132"/>
      <c r="S109" s="3132"/>
      <c r="T109" s="3132"/>
      <c r="U109" s="3132"/>
      <c r="V109" s="3132"/>
      <c r="W109" s="3132"/>
      <c r="X109" s="3132"/>
    </row>
    <row r="110" spans="1:24" ht="14.25" hidden="1" customHeight="1">
      <c r="A110" s="3132"/>
      <c r="B110" s="3132"/>
      <c r="C110" s="3132"/>
      <c r="D110" s="3132"/>
      <c r="E110" s="3132"/>
      <c r="F110" s="3132"/>
      <c r="G110" s="3132"/>
      <c r="H110" s="3132"/>
      <c r="I110" s="3132"/>
      <c r="J110" s="3132"/>
      <c r="K110" s="3132"/>
      <c r="L110" s="3132"/>
      <c r="M110" s="3132"/>
      <c r="N110" s="3132"/>
      <c r="O110" s="3132"/>
      <c r="P110" s="3132"/>
      <c r="Q110" s="3132"/>
      <c r="R110" s="3132"/>
      <c r="S110" s="3132"/>
      <c r="T110" s="3132"/>
      <c r="U110" s="3132"/>
      <c r="V110" s="3132"/>
      <c r="W110" s="3132"/>
      <c r="X110" s="3132"/>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'業務_決算精算表P51'!C21</f>
        <v>33000</v>
      </c>
      <c r="K122" s="2714"/>
      <c r="L122" s="2714"/>
      <c r="M122" s="2714"/>
      <c r="N122" s="2714"/>
      <c r="O122" s="2714">
        <f>'業務_決算精算表P51'!B21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'業務_決算精算表P51'!C22</f>
        <v>10082322</v>
      </c>
      <c r="K123" s="2705"/>
      <c r="L123" s="2705"/>
      <c r="M123" s="2705"/>
      <c r="N123" s="2705"/>
      <c r="O123" s="2705">
        <f>'業務_決算精算表P51'!B22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'業務_決算精算表P51'!C24</f>
        <v>343112</v>
      </c>
      <c r="K124" s="2705"/>
      <c r="L124" s="2705"/>
      <c r="M124" s="2705"/>
      <c r="N124" s="2705"/>
      <c r="O124" s="2705">
        <f>'業務_決算精算表P51'!B24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'業務_決算精算表P51'!C25</f>
        <v>13146428</v>
      </c>
      <c r="K125" s="2705"/>
      <c r="L125" s="2705"/>
      <c r="M125" s="2705"/>
      <c r="N125" s="2705"/>
      <c r="O125" s="2705">
        <f>'業務_決算精算表P51'!B25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IF('業務_財務諸表P47'!G54&gt;0,"当期損失金（△）","当期利益金")</f>
        <v>当期利益金</v>
      </c>
      <c r="E134" s="2694"/>
      <c r="F134" s="2694"/>
      <c r="G134" s="2694"/>
      <c r="H134" s="2694"/>
      <c r="I134" s="2694"/>
      <c r="J134" s="2694"/>
      <c r="K134" s="2694"/>
      <c r="L134" s="49"/>
      <c r="M134" s="49"/>
      <c r="N134" s="49"/>
      <c r="O134" s="49"/>
      <c r="P134" s="2701">
        <f>'業務_財務諸表P47'!C57-'業務_財務諸表P47'!G54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conditionalFormatting sqref="A5 A12 A13 A21 A22 A29 A30 A31 A38 A39 A40 A41 A42 A43 A44 A45 A52 A53 A60 A61 A68 A76 A83 A84 A91 A97 A98 A99 A100 A106 A107 A114 A115 D21 D22 D83 D84 D98 D99 E106 E125 F83 F84 F98 F99 G5 G12 G38 G39 G40 G41 G42 G43 G44 G45 G52 G53 G60 G61 G68 G76 H83 H84 H98 H99 I94 I102 I106 J76 J99 K21 K22 K83 K84 K136 K137 L60 L61 L98 L99 M5 M12 M13 M29 M30 M31 M38 M39 M40 M41 M42 M43 M44 M45 M52 M53 M68 M106 N21 N22 N99 P97 P99 R60 R61 S5 S12 S13 S29 S30 S31 S38 S39 S40 S41 S42 S43 S44 S45 S52 S53 S68 S83 S84 U91 U106 U114 V21 V22 V76">
    <cfRule type="expression" dxfId="6" priority="2">
      <formula>AND(入力色表示=1,NOT(_xlfn.ISFORMULA(A5)))</formula>
    </cfRule>
  </conditionalFormatting>
  <dataValidations count="31">
    <dataValidation allowBlank="1" showInputMessage="1" promptTitle="手入力セル" prompt="反映先：なし（このセルのみ）" sqref="D99"/>
    <dataValidation allowBlank="1" showInputMessage="1" promptTitle="手入力セル" prompt="反映先：業務_附属明細表P48-50 E107,Q106&#10;他の帳票：なし" sqref="E106"/>
    <dataValidation allowBlank="1" showInputMessage="1" promptTitle="手入力セル" prompt="反映先：業務_附属明細表P48-50 E126,Q145,T125&#10;他の帳票：なし" sqref="E125"/>
    <dataValidation allowBlank="1" showInputMessage="1" promptTitle="手入力セル" prompt="反映先：業務_附属明細表P48-50 F85,N83,Q83&#10;他の帳票：なし" sqref="F83"/>
    <dataValidation allowBlank="1" showInputMessage="1" promptTitle="手入力セル" prompt="反映先：業務_附属明細表P48-50 F85,N84,Q84&#10;他の帳票：なし" sqref="F84"/>
    <dataValidation allowBlank="1" showInputMessage="1" promptTitle="手入力セル" prompt="反映先：業務_附属明細表P48-50 F100,N98&#10;他の帳票：なし" sqref="F98"/>
    <dataValidation allowBlank="1" showInputMessage="1" promptTitle="手入力セル" prompt="反映先：業務_附属明細表P48-50 F100&#10;他の帳票：なし" sqref="F99"/>
    <dataValidation allowBlank="1" showInputMessage="1" promptTitle="手入力セル" prompt="反映先：業務_附属明細表P48-50 G14&#10;他の帳票：なし" sqref="G12"/>
    <dataValidation allowBlank="1" showInputMessage="1" promptTitle="手入力セル" prompt="反映先：業務_附属明細表P48-50 G46、業務_決算精算表P51 B10&#10;他の帳票：業務_財務諸表P47、業務_決算精算表P51" sqref="G38"/>
    <dataValidation allowBlank="1" showInputMessage="1" promptTitle="手入力セル" prompt="反映先：業務_附属明細表P48-50 G46、業務_決算精算表P51 B25&#10;他の帳票：報告_業務P19、業務_財務諸表P47、業務_決算精算表P51" sqref="G39"/>
    <dataValidation allowBlank="1" showInputMessage="1" promptTitle="手入力セル" prompt="反映先：業務_附属明細表P48-50 G46、業務_決算精算表P51 B27&#10;他の帳票：報告_業務P19、業務_財務諸表P47、業務_決算精算表P51" sqref="G40"/>
    <dataValidation allowBlank="1" showInputMessage="1" promptTitle="手入力セル" prompt="反映先：業務_附属明細表P48-50 G46、業務_決算精算表P51 B28&#10;他の帳票：報告_業務P19、業務_財務諸表P47、業務_決算精算表P51" sqref="G41"/>
    <dataValidation allowBlank="1" showInputMessage="1" promptTitle="手入力セル" prompt="反映先：業務_附属明細表P48-50 G46、業務_決算精算表P51 B30&#10;他の帳票：報告_業務P19、業務_財務諸表P47、業務_決算精算表P51" sqref="G42"/>
    <dataValidation allowBlank="1" showInputMessage="1" promptTitle="手入力セル" prompt="反映先：業務_附属明細表P48-50 G46、業務_決算精算表P51 B31&#10;他の帳票：報告_業務P19、業務_財務諸表P47、業務_決算精算表P51" sqref="G43"/>
    <dataValidation allowBlank="1" showInputMessage="1" promptTitle="手入力セル" prompt="反映先：業務_附属明細表P48-50 G46、業務_決算精算表P51 B32&#10;他の帳票：報告_業務P19、業務_財務諸表P47、業務_決算精算表P51" sqref="G44"/>
    <dataValidation allowBlank="1" showInputMessage="1" promptTitle="手入力セル" prompt="反映先：業務_附属明細表P48-50 G46、業務_決算精算表P51 B39&#10;他の帳票：報告_業務P18、報告_業務P19、業務_財務諸表P47、業務_決算精算表P51" sqref="G45"/>
    <dataValidation allowBlank="1" showInputMessage="1" promptTitle="手入力セル" prompt="反映先：業務_附属明細表P48-50 G54、業務_決算精算表P51 B22&#10;他の帳票：報告_業務P19、業務_財務諸表P47、業務_決算精算表P51" sqref="G52"/>
    <dataValidation allowBlank="1" showInputMessage="1" promptTitle="手入力セル" prompt="反映先：業務_附属明細表P48-50 G54、業務_決算精算表P51 B26&#10;他の帳票：報告_業務P19、業務_財務諸表P47、業務_決算精算表P51" sqref="G53"/>
    <dataValidation allowBlank="1" showInputMessage="1" promptTitle="手入力セル" prompt="反映先：業務_附属明細表P48-50 G62&#10;他の帳票：業務_財務諸表P47、業務_決算精算表P51" sqref="G60 G61"/>
    <dataValidation allowBlank="1" showInputMessage="1" promptTitle="手入力セル" prompt="反映先：業務_附属明細表P48-50 G69、業務_決算精算表P51 E17&#10;他の帳票：業務_財務諸表P47、業務_決算精算表P51" sqref="G68"/>
    <dataValidation allowBlank="1" showInputMessage="1" promptTitle="手入力セル" prompt="反映先：業務_附属明細表P48-50 G77,M76&#10;他の帳票：業務_財務諸表P47、業務_決算精算表P51" sqref="G76"/>
    <dataValidation allowBlank="1" showInputMessage="1" promptTitle="手入力セル" prompt="反映先：業務_附属明細表P48-50 H85&#10;他の帳票：報告_業務P19、業務_財務諸表P47、業務_決算精算表P51" sqref="H83 H84"/>
    <dataValidation allowBlank="1" showInputMessage="1" promptTitle="手入力セル" prompt="反映先：業務_附属明細表P48-50 H100&#10;他の帳票：なし" sqref="H98 H99"/>
    <dataValidation allowBlank="1" showInputMessage="1" promptTitle="手入力セル" prompt="反映先：業務_附属明細表P48-50 I107,Q106&#10;他の帳票：なし" sqref="I106"/>
    <dataValidation allowBlank="1" showInputMessage="1" promptTitle="手入力セル" prompt="反映先：業務_附属明細表P48-50 J77,M76&#10;他の帳票：業務_財務諸表P47、業務_決算精算表P51" sqref="J76"/>
    <dataValidation allowBlank="1" showInputMessage="1" promptTitle="手入力セル" prompt="反映先：業務_附属明細表P48-50 K85,N83,Q83&#10;他の帳票：なし" sqref="K83"/>
    <dataValidation allowBlank="1" showInputMessage="1" promptTitle="手入力セル" prompt="反映先：業務_附属明細表P48-50 K85,N84,Q84&#10;他の帳票：なし" sqref="K84"/>
    <dataValidation allowBlank="1" showInputMessage="1" promptTitle="手入力セル" prompt="反映先：業務_附属明細表P48-50 P135&#10;他の帳票：なし" sqref="K136 K137"/>
    <dataValidation allowBlank="1" showInputMessage="1" promptTitle="手入力セル" prompt="反映先：業務_附属明細表P48-50 L100&#10;他の帳票：なし" sqref="L98 L99"/>
    <dataValidation allowBlank="1" showInputMessage="1" promptTitle="手入力セル" prompt="反映先：業務_附属明細表P48-50 M6、業務_決算精算表P51 C9&#10;他の帳票：業務_財務諸表P47、業務_決算精算表P51" sqref="M5"/>
    <dataValidation allowBlank="1" showInputMessage="1" promptTitle="手入力セル" prompt="反映先：業務_附属明細表P48-50 M107,Q106&#10;他の帳票：なし" sqref="M106"/>
  </dataValidations>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'業務_附属明細表P48-50'!M5</f>
        <v>72939159</v>
      </c>
      <c r="D9" s="1447" t="s">
        <v>895</v>
      </c>
      <c r="E9" s="1448"/>
      <c r="F9" s="1449"/>
      <c r="G9" s="1450"/>
      <c r="H9" s="1419"/>
    </row>
    <row r="10" spans="1:8" ht="17.7" customHeight="1">
      <c r="A10" s="1444">
        <f>SUM(B10:C10)</f>
        <v>194420</v>
      </c>
      <c r="B10" s="1451">
        <f>'業務_附属明細表P48-50'!G38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'業務_附属明細表P48-50'!G32</f>
        <v>11834281</v>
      </c>
      <c r="C12" s="1452"/>
      <c r="D12" s="1453" t="s">
        <v>898</v>
      </c>
      <c r="E12" s="1454"/>
      <c r="F12" s="1455"/>
      <c r="G12" s="1450"/>
      <c r="H12" s="1419"/>
    </row>
    <row r="13" spans="1:8" ht="17.7" customHeight="1">
      <c r="A13" s="1444">
        <f>SUM(B13:C13)-F13</f>
        <v>207390</v>
      </c>
      <c r="B13" s="1451"/>
      <c r="C13" s="1452">
        <f>'業務_附属明細表P48-50'!M76</f>
        <v>383946</v>
      </c>
      <c r="D13" s="1453" t="s">
        <v>222</v>
      </c>
      <c r="E13" s="1458"/>
      <c r="F13" s="1451">
        <f>'業務_附属明細表P48-50'!P76</f>
        <v>176556</v>
      </c>
      <c r="G13" s="1459" t="s">
        <v>415</v>
      </c>
      <c r="H13" s="1419"/>
    </row>
    <row r="14" spans="1:8" ht="17.7" customHeight="1">
      <c r="A14" s="1460"/>
      <c r="B14" s="1451"/>
      <c r="C14" s="1452"/>
      <c r="D14" s="1453" t="s">
        <v>899</v>
      </c>
      <c r="E14" s="1458"/>
      <c r="F14" s="1457">
        <f>'業務_附属明細表P48-50'!G46</f>
        <v>9597685</v>
      </c>
      <c r="G14" s="1459">
        <f>SUM(E14:F14)</f>
        <v>9597685</v>
      </c>
      <c r="H14" s="1419"/>
    </row>
    <row r="15" spans="1:8" ht="17.7" customHeight="1">
      <c r="A15" s="1460"/>
      <c r="B15" s="1451"/>
      <c r="C15" s="1452"/>
      <c r="D15" s="1453" t="s">
        <v>997</v>
      </c>
      <c r="E15" s="1458"/>
      <c r="F15" s="1451">
        <f>'業務_附属明細表P48-50'!G54</f>
        <v>435361</v>
      </c>
      <c r="G15" s="1459">
        <f>SUM(E15:F15)</f>
        <v>435361</v>
      </c>
      <c r="H15" s="1419"/>
    </row>
    <row r="16" spans="1:8" ht="17.7" customHeight="1">
      <c r="A16" s="1460"/>
      <c r="B16" s="1451"/>
      <c r="C16" s="1452"/>
      <c r="D16" s="1453" t="s">
        <v>200</v>
      </c>
      <c r="E16" s="1458">
        <f>'業務_附属明細表P48-50'!G62</f>
        <v>227940</v>
      </c>
      <c r="F16" s="1451"/>
      <c r="G16" s="1459">
        <f>SUM(E16:F16)</f>
        <v>227940</v>
      </c>
      <c r="H16" s="1419"/>
    </row>
    <row r="17" spans="1:8" ht="17.7" customHeight="1">
      <c r="A17" s="1460"/>
      <c r="B17" s="1451"/>
      <c r="C17" s="1452"/>
      <c r="D17" s="1453" t="s">
        <v>221</v>
      </c>
      <c r="E17" s="1458">
        <f>'業務_附属明細表P48-50'!G68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B38+'業務_財務諸表P47'!G54</f>
        <v>3603510</v>
      </c>
      <c r="C19" s="1462"/>
      <c r="D19" s="818" t="s">
        <v>901</v>
      </c>
      <c r="E19" s="1463">
        <f>'業務_附属明細表P48-50'!E92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'業務_附属明細表P48-50'!G52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'業務_附属明細表P48-50'!G39</f>
        <v>846685</v>
      </c>
      <c r="C25" s="1695">
        <v>13146428</v>
      </c>
      <c r="D25" s="1453" t="s">
        <v>131</v>
      </c>
      <c r="E25" s="1454"/>
      <c r="F25" s="1455"/>
      <c r="G25" s="1456"/>
      <c r="H25" s="1419"/>
    </row>
    <row r="26" spans="1:8" ht="17.7" customHeight="1">
      <c r="A26" s="1470">
        <f t="shared" si="0"/>
        <v>4598066</v>
      </c>
      <c r="B26" s="1457">
        <f>'業務_附属明細表P48-50'!G53</f>
        <v>376346</v>
      </c>
      <c r="C26" s="1695">
        <v>4221720</v>
      </c>
      <c r="D26" s="1453" t="s">
        <v>132</v>
      </c>
      <c r="E26" s="1454"/>
      <c r="F26" s="1455"/>
      <c r="G26" s="1456"/>
      <c r="H26" s="1419"/>
    </row>
    <row r="27" spans="1:8" ht="17.7" customHeight="1">
      <c r="A27" s="1470">
        <f t="shared" si="0"/>
        <v>10084438</v>
      </c>
      <c r="B27" s="1457">
        <f>'業務_附属明細表P48-50'!G40</f>
        <v>1576505</v>
      </c>
      <c r="C27" s="1695">
        <v>8507933</v>
      </c>
      <c r="D27" s="1453" t="s">
        <v>133</v>
      </c>
      <c r="E27" s="1454"/>
      <c r="F27" s="1455"/>
      <c r="G27" s="1456"/>
      <c r="H27" s="1419"/>
    </row>
    <row r="28" spans="1:8" ht="17.7" customHeight="1">
      <c r="A28" s="1470">
        <f t="shared" si="0"/>
        <v>103921</v>
      </c>
      <c r="B28" s="1457">
        <f>'業務_附属明細表P48-50'!G41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'業務_附属明細表P48-50'!G42</f>
        <v>1020091</v>
      </c>
      <c r="C30" s="1695">
        <v>8410677</v>
      </c>
      <c r="D30" s="1453" t="s">
        <v>137</v>
      </c>
      <c r="E30" s="1454"/>
      <c r="F30" s="1471"/>
      <c r="G30" s="1456"/>
      <c r="H30" s="1419"/>
    </row>
    <row r="31" spans="1:8" ht="17.7" customHeight="1">
      <c r="A31" s="1470">
        <f t="shared" si="0"/>
        <v>1884714</v>
      </c>
      <c r="B31" s="1457">
        <f>'業務_附属明細表P48-50'!G43</f>
        <v>689790</v>
      </c>
      <c r="C31" s="1695">
        <v>1194924</v>
      </c>
      <c r="D31" s="1453" t="s">
        <v>138</v>
      </c>
      <c r="E31" s="1454"/>
      <c r="F31" s="1471"/>
      <c r="G31" s="1456"/>
      <c r="H31" s="1419"/>
    </row>
    <row r="32" spans="1:8" ht="17.7" customHeight="1">
      <c r="A32" s="1470">
        <f t="shared" si="0"/>
        <v>2453880</v>
      </c>
      <c r="B32" s="1457">
        <f>'業務_附属明細表P48-50'!G44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'業務_附属明細表P48-50'!P77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'業務_財務諸表P47'!C57</f>
        <v>3603510</v>
      </c>
      <c r="C38" s="1452"/>
      <c r="D38" s="1478" t="s">
        <v>828</v>
      </c>
      <c r="E38" s="1454"/>
      <c r="F38" s="1455"/>
      <c r="G38" s="1456"/>
      <c r="H38" s="1419"/>
    </row>
    <row r="39" spans="1:8" ht="17.7" customHeight="1">
      <c r="A39" s="1470"/>
      <c r="B39" s="1457">
        <f>'業務_附属明細表P48-50'!G45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'業務_附属明細表P48-50'!G31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IF('業務_財務諸表P47'!G54=0,"",'業務_財務諸表P47'!G54)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tr">
        <f>"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f>
        <v>    出納主任   村　井　慶　子</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f>
        <v>令和８年４月２２日</v>
      </c>
      <c r="B53" s="2488"/>
      <c r="C53" s="739"/>
      <c r="D53" s="739"/>
      <c r="E53" s="739"/>
      <c r="F53" s="739"/>
      <c r="G53" s="829"/>
      <c r="H53" s="1419"/>
    </row>
    <row r="54" spans="1:8" ht="21" customHeight="1">
      <c r="A54" s="1492"/>
      <c r="B54" s="1493"/>
      <c r="C54" s="1493"/>
      <c r="D54" s="1493"/>
      <c r="E54" s="2849" t="str">
        <f>"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f>
        <v>    出 納 役   榎　本　聡　子</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conditionalFormatting sqref="B37 C10 C21 C22 C23 C24 C25 C26 C27 C28 C29 C30 C31 C32 C33 C34 E39 E40 E42">
    <cfRule type="expression" dxfId="6" priority="2">
      <formula>AND(入力色表示=1,NOT(_xlfn.ISFORMULA(B37)))</formula>
    </cfRule>
  </conditionalFormatting>
  <dataValidations count="19">
    <dataValidation allowBlank="1" showInputMessage="1" promptTitle="手入力セル" prompt="反映先：業務_決算精算表P51 A37,B47&#10;他の帳票：報告_業務P19、業務_財務諸表P47、業務_附属明細表P48-50" sqref="B37"/>
    <dataValidation allowBlank="1" showInputMessage="1" promptTitle="手入力セル" prompt="反映先：業務_決算精算表P51 A10,C20&#10;他の帳票：業務_財務諸表P47" sqref="C10"/>
    <dataValidation allowBlank="1" showInputMessage="1" promptTitle="手入力セル" prompt="反映先：業務_附属明細表P48-50 J122、業務_決算精算表P51 A21,C47&#10;他の帳票：報告_業務P19、業務_財務諸表P47、業務_附属明細表P48-50" sqref="C21"/>
    <dataValidation allowBlank="1" showInputMessage="1" promptTitle="手入力セル" prompt="反映先：業務_附属明細表P48-50 J123、業務_決算精算表P51 A22,C47&#10;他の帳票：報告_業務P19、業務_財務諸表P47、業務_附属明細表P48-50" sqref="C22"/>
    <dataValidation allowBlank="1" showInputMessage="1" promptTitle="手入力セル" prompt="反映先：業務_決算精算表P51 A23,C47&#10;他の帳票：報告_業務P19、業務_財務諸表P47、業務_附属明細表P48-50" sqref="C23"/>
    <dataValidation allowBlank="1" showInputMessage="1" promptTitle="手入力セル" prompt="反映先：業務_附属明細表P48-50 J124、業務_決算精算表P51 A24,C47&#10;他の帳票：報告_業務P19、業務_財務諸表P47、業務_附属明細表P48-50" sqref="C24"/>
    <dataValidation allowBlank="1" showInputMessage="1" promptTitle="手入力セル" prompt="反映先：業務_附属明細表P48-50 J125、業務_決算精算表P51 A25,C47&#10;他の帳票：報告_業務P19、業務_財務諸表P47、業務_附属明細表P48-50" sqref="C25"/>
    <dataValidation allowBlank="1" showInputMessage="1" promptTitle="手入力セル" prompt="反映先：業務_決算精算表P51 A26,C47&#10;他の帳票：報告_業務P19、業務_財務諸表P47、業務_附属明細表P48-50" sqref="C26"/>
    <dataValidation allowBlank="1" showInputMessage="1" promptTitle="手入力セル" prompt="反映先：業務_決算精算表P51 A27,C47&#10;他の帳票：報告_業務P19、業務_財務諸表P47、業務_附属明細表P48-50" sqref="C27"/>
    <dataValidation allowBlank="1" showInputMessage="1" promptTitle="手入力セル" prompt="反映先：業務_決算精算表P51 A28,C47&#10;他の帳票：報告_業務P19、業務_財務諸表P47、業務_附属明細表P48-50" sqref="C28"/>
    <dataValidation allowBlank="1" showInputMessage="1" promptTitle="手入力セル" prompt="反映先：業務_決算精算表P51 A29,C47&#10;他の帳票：報告_業務P19、業務_財務諸表P47、業務_附属明細表P48-50" sqref="C29"/>
    <dataValidation allowBlank="1" showInputMessage="1" promptTitle="手入力セル" prompt="反映先：業務_決算精算表P51 A30,C47&#10;他の帳票：報告_業務P19、業務_財務諸表P47、業務_附属明細表P48-50" sqref="C30"/>
    <dataValidation allowBlank="1" showInputMessage="1" promptTitle="手入力セル" prompt="反映先：業務_決算精算表P51 A31,C47&#10;他の帳票：報告_業務P19、業務_財務諸表P47、業務_附属明細表P48-50" sqref="C31"/>
    <dataValidation allowBlank="1" showInputMessage="1" promptTitle="手入力セル" prompt="反映先：業務_決算精算表P51 A32,C47&#10;他の帳票：報告_業務P19、業務_財務諸表P47、業務_附属明細表P48-50" sqref="C32"/>
    <dataValidation allowBlank="1" showInputMessage="1" promptTitle="手入力セル" prompt="反映先：業務_決算精算表P51 A33,C47&#10;他の帳票：報告_業務P19、業務_財務諸表P47、業務_附属明細表P48-50" sqref="C33"/>
    <dataValidation allowBlank="1" showInputMessage="1" promptTitle="手入力セル" prompt="反映先：業務_決算精算表P51 A34,C47&#10;他の帳票：報告_業務P19、業務_財務諸表P47、業務_附属明細表P48-50" sqref="C34"/>
    <dataValidation allowBlank="1" showInputMessage="1" promptTitle="手入力セル" prompt="反映先：業務_決算精算表P51 E47,G39&#10;他の帳票：報告_業務P18、報告_業務P19、業務_財務諸表P47、業務_附属明細表P48-50" sqref="E39"/>
    <dataValidation allowBlank="1" showInputMessage="1" promptTitle="手入力セル" prompt="反映先：業務_決算精算表P51 E47,G40&#10;他の帳票：報告_業務P18、報告_業務P19、業務_財務諸表P47、業務_附属明細表P48-50" sqref="E40"/>
    <dataValidation allowBlank="1" showInputMessage="1" promptTitle="手入力セル" prompt="反映先：業務_財務諸表P47 F42、業務_決算精算表P51 E47,G42&#10;他の帳票：報告_業務P18、報告_業務P19、業務_財務諸表P47、業務_附属明細表P48-50" sqref="E42"/>
  </dataValidations>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tabColor rgb="FFA6A6A6"/>
  </sheetPr>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'保健_附属明細表P54-57'!M6</f>
        <v>332277800</v>
      </c>
      <c r="D7" s="1504"/>
      <c r="E7" s="1516" t="s">
        <v>769</v>
      </c>
      <c r="F7" s="1496"/>
      <c r="G7" s="1512">
        <f>'保健_附属明細表P54-57'!G61</f>
        <v>175260287</v>
      </c>
      <c r="H7" s="1514"/>
    </row>
    <row r="8" spans="1:8" s="613" customFormat="1" ht="13.5" customHeight="1">
      <c r="A8" s="1515" t="s">
        <v>234</v>
      </c>
      <c r="B8" s="1496"/>
      <c r="C8" s="1503">
        <f>'保健_附属明細表P54-57'!M12</f>
        <v>0</v>
      </c>
      <c r="D8" s="1504"/>
      <c r="E8" s="1516" t="s">
        <v>1098</v>
      </c>
      <c r="F8" s="1512"/>
      <c r="G8" s="1512">
        <f>'保健_附属明細表P54-57'!G70</f>
        <v>0</v>
      </c>
      <c r="H8" s="1514"/>
    </row>
    <row r="9" spans="1:8" s="613" customFormat="1" ht="13.5" customHeight="1">
      <c r="A9" s="1515" t="s">
        <v>771</v>
      </c>
      <c r="B9" s="1496"/>
      <c r="C9" s="1503">
        <f>'保健_附属明細表P54-57'!M20</f>
        <v>0</v>
      </c>
      <c r="D9" s="1510"/>
      <c r="E9" s="1516" t="s">
        <v>221</v>
      </c>
      <c r="F9" s="1512"/>
      <c r="G9" s="1512">
        <f>'保健_附属明細表P54-57'!G79</f>
        <v>1015850</v>
      </c>
      <c r="H9" s="1514"/>
    </row>
    <row r="10" spans="1:8" s="613" customFormat="1" ht="13.5" customHeight="1">
      <c r="A10" s="1515" t="s">
        <v>1099</v>
      </c>
      <c r="B10" s="1517"/>
      <c r="C10" s="1518">
        <f>'保健_附属明細表P54-57'!G27</f>
        <v>0</v>
      </c>
      <c r="D10" s="1519"/>
      <c r="E10" s="1516" t="s">
        <v>772</v>
      </c>
      <c r="F10" s="1512"/>
      <c r="G10" s="1512">
        <f>'保健_附属明細表P54-57'!G86</f>
        <v>0</v>
      </c>
      <c r="H10" s="1514"/>
    </row>
    <row r="11" spans="1:8" s="613" customFormat="1" ht="13.5" customHeight="1">
      <c r="A11" s="1515" t="s">
        <v>774</v>
      </c>
      <c r="B11" s="1496"/>
      <c r="C11" s="1503">
        <f>'保健_附属明細表P54-57'!G35</f>
        <v>0</v>
      </c>
      <c r="D11" s="1520"/>
      <c r="E11" s="1521"/>
      <c r="F11" s="1512"/>
      <c r="G11" s="1512"/>
      <c r="H11" s="1514"/>
    </row>
    <row r="12" spans="1:8" s="613" customFormat="1" ht="13.5" customHeight="1">
      <c r="A12" s="1515" t="s">
        <v>1100</v>
      </c>
      <c r="B12" s="1496"/>
      <c r="C12" s="1503">
        <f>'保健_附属明細表P54-57'!G43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'保健_附属明細表P54-57'!O104</f>
        <v>0</v>
      </c>
      <c r="C16" s="1503"/>
      <c r="D16" s="1520"/>
      <c r="E16" s="1527" t="s">
        <v>243</v>
      </c>
      <c r="F16" s="1512">
        <f>'保健_附属明細表P54-57'!Q145</f>
        <v>0</v>
      </c>
      <c r="G16" s="1513"/>
      <c r="H16" s="1514"/>
    </row>
    <row r="17" spans="1:9" s="613" customFormat="1" ht="13.5" customHeight="1">
      <c r="A17" s="1515" t="s">
        <v>239</v>
      </c>
      <c r="B17" s="1512">
        <f>'保健_附属明細表P54-57'!O106</f>
        <v>0</v>
      </c>
      <c r="C17" s="1518"/>
      <c r="D17" s="1520"/>
      <c r="E17" s="1526" t="s">
        <v>901</v>
      </c>
      <c r="F17" s="1512"/>
      <c r="G17" s="1512">
        <f>SUM(F18:F19)</f>
        <v>285212744</v>
      </c>
      <c r="H17" s="1514"/>
    </row>
    <row r="18" spans="1:9" s="613" customFormat="1" ht="13.5" customHeight="1">
      <c r="A18" s="1515" t="s">
        <v>222</v>
      </c>
      <c r="B18" s="1512">
        <f>'保健_附属明細表P54-57'!O115</f>
        <v>0</v>
      </c>
      <c r="C18" s="1518"/>
      <c r="D18" s="1520"/>
      <c r="E18" s="1528" t="s">
        <v>201</v>
      </c>
      <c r="F18" s="1512">
        <f>'保健_附属明細表P54-57'!Q146</f>
        <v>0</v>
      </c>
      <c r="G18" s="1513"/>
      <c r="H18" s="1514"/>
    </row>
    <row r="19" spans="1:9" s="613" customFormat="1" ht="13.5" customHeight="1">
      <c r="A19" s="1529" t="s">
        <v>981</v>
      </c>
      <c r="B19" s="1512"/>
      <c r="C19" s="1503">
        <f>SUM(B20:B20)</f>
        <v>0</v>
      </c>
      <c r="D19" s="1510"/>
      <c r="E19" s="1516" t="s">
        <v>1102</v>
      </c>
      <c r="F19" s="1512">
        <f>'保健_附属明細表P54-57'!Q147</f>
        <v>285212744</v>
      </c>
      <c r="G19" s="1513"/>
      <c r="H19" s="1514"/>
    </row>
    <row r="20" spans="1:9" s="613" customFormat="1" ht="13.5" customHeight="1">
      <c r="A20" s="1515" t="s">
        <v>1103</v>
      </c>
      <c r="B20" s="1512">
        <f>'保健_附属明細表P54-57'!Q123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'保健_決算精算表P58'!A27</f>
        <v>6510030</v>
      </c>
      <c r="C39" s="602"/>
      <c r="D39" s="617"/>
      <c r="E39" s="607" t="s">
        <v>1009</v>
      </c>
      <c r="F39" s="1536">
        <f>'保健_決算精算表P58'!G46</f>
        <v>405168491</v>
      </c>
      <c r="G39" s="623"/>
      <c r="H39" s="647"/>
    </row>
    <row r="40" spans="1:8" ht="13.5" customHeight="1">
      <c r="A40" s="604" t="s">
        <v>1104</v>
      </c>
      <c r="B40" s="601">
        <f>'保健_決算精算表P58'!A28</f>
        <v>574362302</v>
      </c>
      <c r="C40" s="602"/>
      <c r="D40" s="617"/>
      <c r="E40" s="607" t="s">
        <v>1105</v>
      </c>
      <c r="F40" s="1536">
        <f>'保健_決算精算表P58'!G47</f>
        <v>224153980</v>
      </c>
      <c r="G40" s="623"/>
      <c r="H40" s="647"/>
    </row>
    <row r="41" spans="1:8" ht="18" customHeight="1">
      <c r="A41" s="1537" t="s">
        <v>149</v>
      </c>
      <c r="B41" s="601">
        <f>'保健_決算精算表P58'!A29</f>
        <v>20355535</v>
      </c>
      <c r="C41" s="602"/>
      <c r="D41" s="617"/>
      <c r="E41" s="607" t="s">
        <v>147</v>
      </c>
      <c r="F41" s="1536">
        <f>'保健_決算精算表P58'!G48</f>
        <v>0</v>
      </c>
      <c r="G41" s="623"/>
      <c r="H41" s="647"/>
    </row>
    <row r="42" spans="1:8" ht="13.5" customHeight="1">
      <c r="A42" s="651" t="s">
        <v>1003</v>
      </c>
      <c r="B42" s="601">
        <f>'保健_決算精算表P58'!A30</f>
        <v>543780</v>
      </c>
      <c r="C42" s="602"/>
      <c r="D42" s="617"/>
      <c r="E42" s="607"/>
      <c r="F42" s="1536"/>
      <c r="G42" s="623"/>
      <c r="H42" s="647"/>
    </row>
    <row r="43" spans="1:8" ht="13.5" customHeight="1">
      <c r="A43" s="1538" t="s">
        <v>150</v>
      </c>
      <c r="B43" s="601">
        <f>'保健_決算精算表P58'!A31</f>
        <v>170673</v>
      </c>
      <c r="C43" s="602"/>
      <c r="D43" s="617"/>
      <c r="E43" s="1539" t="s">
        <v>817</v>
      </c>
      <c r="F43" s="639"/>
      <c r="G43" s="623">
        <f>SUM(F44)</f>
        <v>0</v>
      </c>
      <c r="H43" s="647"/>
    </row>
    <row r="44" spans="1:8" ht="13.5" customHeight="1">
      <c r="A44" s="604" t="s">
        <v>1106</v>
      </c>
      <c r="B44" s="601">
        <f>'保健_決算精算表P58'!A32</f>
        <v>0</v>
      </c>
      <c r="C44" s="602"/>
      <c r="D44" s="617"/>
      <c r="E44" s="1540" t="s">
        <v>106</v>
      </c>
      <c r="F44" s="1536">
        <f>'保健_決算精算表P58'!G50</f>
        <v>0</v>
      </c>
      <c r="G44" s="623"/>
      <c r="H44" s="647"/>
    </row>
    <row r="45" spans="1:8" ht="13.5" customHeight="1">
      <c r="A45" s="604" t="s">
        <v>1004</v>
      </c>
      <c r="B45" s="601">
        <f>'保健_決算精算表P58'!A33</f>
        <v>4535066</v>
      </c>
      <c r="C45" s="602"/>
      <c r="D45" s="617"/>
      <c r="E45" s="1539"/>
      <c r="F45" s="639"/>
      <c r="G45" s="623"/>
      <c r="H45" s="647"/>
    </row>
    <row r="46" spans="1:8" ht="13.5" customHeight="1">
      <c r="A46" s="604" t="s">
        <v>135</v>
      </c>
      <c r="B46" s="601">
        <f>'保健_決算精算表P58'!A34</f>
        <v>0</v>
      </c>
      <c r="C46" s="602"/>
      <c r="D46" s="617"/>
      <c r="E46" s="596" t="s">
        <v>823</v>
      </c>
      <c r="F46" s="639"/>
      <c r="G46" s="623"/>
      <c r="H46" s="641">
        <f>G47</f>
        <v>104640</v>
      </c>
    </row>
    <row r="47" spans="1:8" ht="13.5" customHeight="1">
      <c r="A47" s="604" t="s">
        <v>1107</v>
      </c>
      <c r="B47" s="601">
        <f>'保健_決算精算表P58'!A35</f>
        <v>0</v>
      </c>
      <c r="C47" s="602"/>
      <c r="D47" s="617"/>
      <c r="E47" s="1541" t="s">
        <v>51</v>
      </c>
      <c r="F47" s="1536"/>
      <c r="G47" s="1536">
        <f>'保健_決算精算表P58'!G51</f>
        <v>104640</v>
      </c>
      <c r="H47" s="647"/>
    </row>
    <row r="48" spans="1:8" ht="13.2" customHeight="1">
      <c r="A48" s="651" t="s">
        <v>1108</v>
      </c>
      <c r="B48" s="601">
        <f>'保健_決算精算表P58'!A36</f>
        <v>28027</v>
      </c>
      <c r="C48" s="602"/>
      <c r="D48" s="617"/>
      <c r="E48" s="607"/>
      <c r="F48" s="601"/>
      <c r="G48" s="602"/>
      <c r="H48" s="603"/>
    </row>
    <row r="49" spans="1:11" ht="13.5" customHeight="1">
      <c r="A49" s="604" t="s">
        <v>1007</v>
      </c>
      <c r="B49" s="601">
        <f>'保健_決算精算表P58'!A37</f>
        <v>3453940</v>
      </c>
      <c r="C49" s="602"/>
      <c r="D49" s="617"/>
      <c r="E49" s="596" t="s">
        <v>233</v>
      </c>
      <c r="F49" s="639"/>
      <c r="H49" s="641">
        <f>SUM(G50)</f>
        <v>0</v>
      </c>
    </row>
    <row r="50" spans="1:11" ht="13.5" customHeight="1">
      <c r="A50" s="604" t="s">
        <v>1109</v>
      </c>
      <c r="B50" s="601">
        <f>'保健_決算精算表P58'!A38</f>
        <v>0</v>
      </c>
      <c r="C50" s="602"/>
      <c r="D50" s="617"/>
      <c r="E50" s="652" t="s">
        <v>233</v>
      </c>
      <c r="F50" s="639"/>
      <c r="G50" s="623">
        <f>MAX(0,D37+D55-H37-H46)</f>
        <v>0</v>
      </c>
      <c r="H50" s="647"/>
      <c r="K50" s="628">
        <f>D37+D55-H37-H46</f>
        <v>-14265140</v>
      </c>
    </row>
    <row r="51" spans="1:11" ht="13.5" customHeight="1">
      <c r="A51" s="604" t="s">
        <v>1008</v>
      </c>
      <c r="B51" s="601">
        <f>'保健_決算精算表P58'!A39</f>
        <v>1768131</v>
      </c>
      <c r="C51" s="602"/>
      <c r="D51" s="617"/>
      <c r="E51" s="652"/>
      <c r="F51" s="639"/>
      <c r="G51" s="623"/>
      <c r="H51" s="647"/>
    </row>
    <row r="52" spans="1:11" ht="13.5" customHeight="1">
      <c r="A52" s="604" t="s">
        <v>1009</v>
      </c>
      <c r="B52" s="601">
        <f>'保健_決算精算表P58'!A40</f>
        <v>565872</v>
      </c>
      <c r="C52" s="602"/>
      <c r="D52" s="617"/>
      <c r="E52" s="596"/>
      <c r="F52" s="639"/>
      <c r="G52" s="623"/>
      <c r="H52" s="641"/>
    </row>
    <row r="53" spans="1:11" ht="13.5" customHeight="1">
      <c r="A53" s="609" t="s">
        <v>140</v>
      </c>
      <c r="B53" s="601">
        <f>'保健_決算精算表P58'!A41</f>
        <v>2868615</v>
      </c>
      <c r="C53" s="602"/>
      <c r="D53" s="617"/>
      <c r="E53" s="596"/>
      <c r="F53" s="639"/>
      <c r="G53" s="623"/>
      <c r="H53" s="641"/>
    </row>
    <row r="54" spans="1:11" ht="11.25" customHeight="1">
      <c r="A54" s="604" t="str">
        <f>IF(N('保健_附属明細表P54-57'!I116)=0,"","減価償却費")</f>
        <v/>
      </c>
      <c r="B54" s="601" t="str">
        <f>IF(N('保健_附属明細表P54-57'!I116)=0,"",'保健_附属明細表P54-57'!I116)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'保健_決算精算表P58'!A43</f>
        <v>0</v>
      </c>
      <c r="D56" s="617"/>
      <c r="E56" s="596"/>
      <c r="F56" s="639"/>
      <c r="G56" s="623"/>
      <c r="H56" s="641"/>
    </row>
    <row r="57" spans="1:11" ht="13.5" customHeight="1">
      <c r="A57" s="609" t="s">
        <v>144</v>
      </c>
      <c r="B57" s="601"/>
      <c r="C57" s="601">
        <f>'保健_決算精算表P58'!A44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3105">
        <v>332277800</v>
      </c>
      <c r="N5" s="3106"/>
      <c r="O5" s="3106"/>
      <c r="P5" s="3106"/>
      <c r="Q5" s="3106"/>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3105">
        <v>129211081</v>
      </c>
      <c r="H41" s="3106"/>
      <c r="I41" s="3106"/>
      <c r="J41" s="3106"/>
      <c r="K41" s="3106"/>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3105">
        <v>170769925</v>
      </c>
      <c r="H50" s="3106"/>
      <c r="I50" s="3106"/>
      <c r="J50" s="3106"/>
      <c r="K50" s="3106"/>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3105">
        <v>3896573</v>
      </c>
      <c r="H51" s="3106"/>
      <c r="I51" s="3106"/>
      <c r="J51" s="3106"/>
      <c r="K51" s="3106"/>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3105">
        <v>30544</v>
      </c>
      <c r="H52" s="3106"/>
      <c r="I52" s="3106"/>
      <c r="J52" s="3106"/>
      <c r="K52" s="3106"/>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3105">
        <v>252450</v>
      </c>
      <c r="H54" s="3106"/>
      <c r="I54" s="3106"/>
      <c r="J54" s="3106"/>
      <c r="K54" s="3106"/>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3105">
        <v>5274</v>
      </c>
      <c r="H56" s="3106"/>
      <c r="I56" s="3106"/>
      <c r="J56" s="3106"/>
      <c r="K56" s="3106"/>
      <c r="L56" s="831"/>
      <c r="M56" s="2445" t="s">
        <v>1134</v>
      </c>
      <c r="N56" s="2445"/>
      <c r="O56" s="2445"/>
      <c r="P56" s="2445"/>
      <c r="Q56" s="2445"/>
      <c r="R56" s="2445"/>
      <c r="S56" s="3173" t="s">
        <v>1135</v>
      </c>
      <c r="T56" s="3173"/>
      <c r="U56" s="3173"/>
      <c r="V56" s="3173"/>
      <c r="W56" s="3173"/>
      <c r="X56" s="3173"/>
    </row>
    <row r="57" spans="1:24" s="699" customFormat="1" ht="26.25" customHeight="1">
      <c r="A57" s="2442" t="s">
        <v>137</v>
      </c>
      <c r="B57" s="2442"/>
      <c r="C57" s="2442"/>
      <c r="D57" s="2442"/>
      <c r="E57" s="2442"/>
      <c r="F57" s="2442"/>
      <c r="G57" s="3105">
        <v>286501</v>
      </c>
      <c r="H57" s="3106"/>
      <c r="I57" s="3106"/>
      <c r="J57" s="3106"/>
      <c r="K57" s="3106"/>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3105">
        <v>19020</v>
      </c>
      <c r="H58" s="3106"/>
      <c r="I58" s="3106"/>
      <c r="J58" s="3106"/>
      <c r="K58" s="3106"/>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3105">
        <v>418825</v>
      </c>
      <c r="H76" s="3106"/>
      <c r="I76" s="3106"/>
      <c r="J76" s="3106"/>
      <c r="K76" s="3106"/>
      <c r="L76" s="831"/>
      <c r="M76" s="2445" t="s">
        <v>1145</v>
      </c>
      <c r="N76" s="2445"/>
      <c r="O76" s="2445"/>
      <c r="P76" s="2445"/>
      <c r="Q76" s="2445"/>
      <c r="R76" s="2445"/>
      <c r="S76" s="3174"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3174"/>
      <c r="U76" s="3174"/>
      <c r="V76" s="3174"/>
      <c r="W76" s="3174"/>
      <c r="X76" s="3174"/>
    </row>
    <row r="77" spans="1:24" s="699" customFormat="1" ht="26.25" customHeight="1">
      <c r="A77" s="2442" t="s">
        <v>221</v>
      </c>
      <c r="B77" s="2442"/>
      <c r="C77" s="2442"/>
      <c r="D77" s="2442"/>
      <c r="E77" s="2442"/>
      <c r="F77" s="2442"/>
      <c r="G77" s="3105">
        <v>597025</v>
      </c>
      <c r="H77" s="3106"/>
      <c r="I77" s="3106"/>
      <c r="J77" s="3106"/>
      <c r="K77" s="3106"/>
      <c r="L77" s="831"/>
      <c r="M77" s="2445" t="s">
        <v>1145</v>
      </c>
      <c r="N77" s="2445"/>
      <c r="O77" s="2445"/>
      <c r="P77" s="2445"/>
      <c r="Q77" s="2445"/>
      <c r="R77" s="2445"/>
      <c r="S77" s="3174"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3174"/>
      <c r="U77" s="3174"/>
      <c r="V77" s="3174"/>
      <c r="W77" s="3174"/>
      <c r="X77" s="3174"/>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3175">
        <f>'報告_保健P20-22'!M46</f>
        <v>7146000</v>
      </c>
      <c r="F136" s="3175"/>
      <c r="G136" s="3175"/>
      <c r="H136" s="3175"/>
      <c r="I136" s="3175"/>
      <c r="J136" s="3175">
        <f>'保健_決算精算表P58'!C27</f>
        <v>6510030</v>
      </c>
      <c r="K136" s="3175"/>
      <c r="L136" s="3175"/>
      <c r="M136" s="3175"/>
      <c r="N136" s="3175"/>
      <c r="O136" s="2872">
        <f>'保健_決算精算表P58'!B27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3175">
        <f>'報告_保健P20-22'!M49</f>
        <v>110000</v>
      </c>
      <c r="F137" s="3175"/>
      <c r="G137" s="3175"/>
      <c r="H137" s="3175"/>
      <c r="I137" s="3175"/>
      <c r="J137" s="3176">
        <v>0</v>
      </c>
      <c r="K137" s="3175"/>
      <c r="L137" s="3175"/>
      <c r="M137" s="3175"/>
      <c r="N137" s="3175"/>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3177">
        <f>'報告_保健P20-22'!M50</f>
        <v>700000</v>
      </c>
      <c r="F138" s="3177"/>
      <c r="G138" s="3177"/>
      <c r="H138" s="3177"/>
      <c r="I138" s="3177"/>
      <c r="J138" s="3177">
        <f>'保健_決算精算表P58'!C30</f>
        <v>513236</v>
      </c>
      <c r="K138" s="3177"/>
      <c r="L138" s="3177"/>
      <c r="M138" s="3177"/>
      <c r="N138" s="3177"/>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3175">
        <f>前年度貼付!$E$282</f>
        <v>270947604</v>
      </c>
      <c r="F147" s="3175"/>
      <c r="G147" s="3175"/>
      <c r="H147" s="3175"/>
      <c r="I147" s="3175">
        <f>'保健_財務諸表P53'!C60</f>
        <v>14265140</v>
      </c>
      <c r="J147" s="3175"/>
      <c r="K147" s="3175"/>
      <c r="L147" s="3175"/>
      <c r="M147" s="2872">
        <f>'保健_財務諸表P53'!G50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3120"/>
      <c r="I160" s="3120"/>
      <c r="J160" s="3120"/>
      <c r="K160" s="3120"/>
      <c r="L160" s="3120"/>
      <c r="M160" s="3120"/>
      <c r="N160" s="3120"/>
      <c r="O160" s="3120"/>
      <c r="P160" s="3120"/>
      <c r="Q160" s="3120"/>
      <c r="R160" s="3120"/>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'保健_財務諸表P53'!C60-'保健_財務諸表P53'!G50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conditionalFormatting sqref="A5 A12 A19 A26 A33 A34 A41 A42 A50 A51 A52 A53 A54 A55 A56 A57 A58 A59 A60 A67 A69 A76 A77 A78 A85 A92 A93 A94 A101 A102 A103 A105 A107 A108 A109 A110 A111 A112 A113 A114 A122 A129 A145 A146 A147 A155 D92 D93 D94 D101 D102 D103 D105 D107 D108 D109 D110 D111 D112 D113 D114 E122 E155 F101 F102 F103 F105 F107 F108 F109 F110 F111 F112 F113 F114 G5 G12 G19 G33 G34 G41 G50 G51 G52 G53 G54 G56 G57 G58 G59 G60 G67 G76 G77 G92 G93 G94 I101 I102 I103 I105 I107 I108 I109 I110 I111 I112 I113 I114 I122 I145 I146 I155 J92 J93 J94 J137 L101 L102 L103 L105 L107 L108 L109 L110 L111 L112 L113 L114 M5 M12 M19 M26 M33 M34 M41 M42 M50 M51 M52 M53 M54 M55 M56 M57 M58 M59 M60 M67 M69 M76 M77 M78 M85 M122 M155 O101 O102 O103 O105 O107 O108 O109 O110 O111 O112 O113 O114 O137 P164 R165 R166 S5 S12 S19 S26 S33 S34 S41 S42 S50 S51 S52 S53 S54 S55 S56 S57 S58 S59 S60 S69 S78 S85 U101 U105 U107 U112 U113 U114 U122 U129 U145 U146 U147 U155 V93 V94">
    <cfRule type="expression" dxfId="6" priority="2">
      <formula>AND(入力色表示=1,NOT(_xlfn.ISFORMULA(A5)))</formula>
    </cfRule>
  </conditionalFormatting>
  <conditionalFormatting sqref="J138 T138 J139 T139">
    <cfRule type="expression" dxfId="7" priority="1">
      <formula>入力色表示=1</formula>
    </cfRule>
  </conditionalFormatting>
  <dataValidations count="68">
    <dataValidation allowBlank="1" showInputMessage="1" promptTitle="手入力セル" prompt="反映先：保健_附属明細表P54-57 D95,M92&#10;他の帳票：保健_決算精算表P58" sqref="D92"/>
    <dataValidation allowBlank="1" showInputMessage="1" promptTitle="手入力セル" prompt="反映先：保健_附属明細表P54-57 D95,M93&#10;他の帳票：保健_決算精算表P58" sqref="D93"/>
    <dataValidation allowBlank="1" showInputMessage="1" promptTitle="手入力セル" prompt="反映先：保健_附属明細表P54-57 D95,M94&#10;他の帳票：保健_決算精算表P58" sqref="D94"/>
    <dataValidation allowBlank="1" showInputMessage="1" promptTitle="手入力セル" prompt="反映先：なし（このセルのみ）" sqref="D105 D107 D108 D109 D110 D111 D112 D113 D114 R165 R166"/>
    <dataValidation allowBlank="1" showInputMessage="1" promptTitle="手入力セル" prompt="反映先：保健_附属明細表P54-57 E123,Q122&#10;他の帳票：保健_財務諸表P53" sqref="E122"/>
    <dataValidation allowBlank="1" showInputMessage="1" promptTitle="手入力セル" prompt="反映先：保健_附属明細表P54-57 E156,Q155&#10;他の帳票：なし" sqref="E155"/>
    <dataValidation allowBlank="1" showInputMessage="1" promptTitle="手入力セル" prompt="反映先：保健_附属明細表P54-57 F104,R101&#10;他の帳票：なし" sqref="F101"/>
    <dataValidation allowBlank="1" showInputMessage="1" promptTitle="手入力セル" prompt="反映先：保健_附属明細表P54-57 F104,R102&#10;他の帳票：なし" sqref="F102"/>
    <dataValidation allowBlank="1" showInputMessage="1" promptTitle="手入力セル" prompt="反映先：保健_附属明細表P54-57 F104,R103&#10;他の帳票：なし" sqref="F103"/>
    <dataValidation allowBlank="1" showInputMessage="1" promptTitle="手入力セル" prompt="反映先：保健_附属明細表P54-57 F106,R105&#10;他の帳票：なし" sqref="F105"/>
    <dataValidation allowBlank="1" showInputMessage="1" promptTitle="手入力セル" prompt="反映先：保健_附属明細表P54-57 F115,R107&#10;他の帳票：なし" sqref="F107"/>
    <dataValidation allowBlank="1" showInputMessage="1" promptTitle="手入力セル" prompt="反映先：保健_附属明細表P54-57 F115,R108&#10;他の帳票：なし" sqref="F108"/>
    <dataValidation allowBlank="1" showInputMessage="1" promptTitle="手入力セル" prompt="反映先：保健_附属明細表P54-57 F115,R109&#10;他の帳票：なし" sqref="F109"/>
    <dataValidation allowBlank="1" showInputMessage="1" promptTitle="手入力セル" prompt="反映先：保健_附属明細表P54-57 F115,R110&#10;他の帳票：なし" sqref="F110"/>
    <dataValidation allowBlank="1" showInputMessage="1" promptTitle="手入力セル" prompt="反映先：保健_附属明細表P54-57 F115,R111&#10;他の帳票：なし" sqref="F111"/>
    <dataValidation allowBlank="1" showInputMessage="1" promptTitle="手入力セル" prompt="反映先：保健_附属明細表P54-57 F115,R112&#10;他の帳票：なし" sqref="F112"/>
    <dataValidation allowBlank="1" showInputMessage="1" promptTitle="手入力セル" prompt="反映先：保健_附属明細表P54-57 F115,R113&#10;他の帳票：なし" sqref="F113"/>
    <dataValidation allowBlank="1" showInputMessage="1" promptTitle="手入力セル" prompt="反映先：保健_附属明細表P54-57 F115,R114&#10;他の帳票：なし" sqref="F114"/>
    <dataValidation allowBlank="1" showInputMessage="1" promptTitle="手入力セル" prompt="反映先：保健_附属明細表P54-57 G35&#10;他の帳票：保健_財務諸表P53" sqref="G33 G34"/>
    <dataValidation allowBlank="1" showInputMessage="1" promptTitle="手入力セル" prompt="反映先：保健_附属明細表P54-57 G43、保健_決算精算表P58 F46&#10;他の帳票：報告_保健P20-22、保健_財務諸表P53、保健_決算精算表P58" sqref="G41"/>
    <dataValidation allowBlank="1" showInputMessage="1" promptTitle="手入力セル" prompt="反映先：保健_附属明細表P54-57 G61、保健_決算精算表P58 B28&#10;他の帳票：報告_保健P20-22、保健_財務諸表P53、保健_決算精算表P58" sqref="G50"/>
    <dataValidation allowBlank="1" showInputMessage="1" promptTitle="手入力セル" prompt="反映先：保健_附属明細表P54-57 G61、保健_決算精算表P58 B29&#10;他の帳票：報告_保健P20-22、保健_財務諸表P53、保健_決算精算表P58" sqref="G51"/>
    <dataValidation allowBlank="1" showInputMessage="1" promptTitle="手入力セル" prompt="反映先：保健_附属明細表P54-57 G61,O138、保健_決算精算表P58 B30&#10;他の帳票：報告_保健P20-22、保健_財務諸表P53、保健_決算精算表P58" sqref="G52"/>
    <dataValidation allowBlank="1" showInputMessage="1" promptTitle="手入力セル" prompt="反映先：保健_附属明細表P54-57 G61&#10;他の帳票：保健_財務諸表P53、保健_決算精算表P58" sqref="G53"/>
    <dataValidation allowBlank="1" showInputMessage="1" promptTitle="手入力セル" prompt="反映先：保健_附属明細表P54-57 G61、保健_決算精算表P58 B33&#10;他の帳票：報告_保健P20-22、保健_財務諸表P53、保健_決算精算表P58" sqref="G54"/>
    <dataValidation allowBlank="1" showInputMessage="1" promptTitle="手入力セル" prompt="反映先：保健_附属明細表P54-57 G61、保健_決算精算表P58 B36&#10;他の帳票：報告_保健P20-22、保健_財務諸表P53、保健_決算精算表P58" sqref="G56"/>
    <dataValidation allowBlank="1" showInputMessage="1" promptTitle="手入力セル" prompt="反映先：保健_附属明細表P54-57 G61、保健_決算精算表P58 B37&#10;他の帳票：報告_保健P20-22、保健_財務諸表P53、保健_決算精算表P58" sqref="G57"/>
    <dataValidation allowBlank="1" showInputMessage="1" promptTitle="手入力セル" prompt="反映先：保健_附属明細表P54-57 G61、保健_決算精算表P58 B40&#10;他の帳票：報告_保健P20-22、保健_財務諸表P53、保健_決算精算表P58" sqref="G58"/>
    <dataValidation allowBlank="1" showInputMessage="1" promptTitle="手入力セル" prompt="反映先：保健_附属明細表P54-57 G61、保健_決算精算表P58 B46&#10;他の帳票：報告_保健P20-22、保健_財務諸表P53、保健_決算精算表P58" sqref="G59"/>
    <dataValidation allowBlank="1" showInputMessage="1" promptTitle="手入力セル" prompt="反映先：保健_附属明細表P54-57 G61、保健_決算精算表P58 B39&#10;他の帳票：報告_保健P20-22、保健_財務諸表P53、保健_決算精算表P58" sqref="G60"/>
    <dataValidation allowBlank="1" showInputMessage="1" promptTitle="手入力セル" prompt="反映先：保健_附属明細表P54-57 G70、保健_決算精算表P58 B37&#10;他の帳票：報告_保健P20-22、保健_財務諸表P53、保健_決算精算表P58" sqref="G67"/>
    <dataValidation allowBlank="1" showInputMessage="1" promptTitle="手入力セル" prompt="反映先：保健_附属明細表P54-57 G79&#10;他の帳票：保健_財務諸表P53、保健_決算精算表P58" sqref="G76 G77"/>
    <dataValidation allowBlank="1" showInputMessage="1" promptTitle="手入力セル" prompt="反映先：保健_附属明細表P54-57 G95,M92&#10;他の帳票：保健_決算精算表P58" sqref="G92"/>
    <dataValidation allowBlank="1" showInputMessage="1" promptTitle="手入力セル" prompt="反映先：保健_附属明細表P54-57 G95,M93&#10;他の帳票：保健_決算精算表P58" sqref="G93"/>
    <dataValidation allowBlank="1" showInputMessage="1" promptTitle="手入力セル" prompt="反映先：保健_附属明細表P54-57 G95,M94&#10;他の帳票：保健_決算精算表P58" sqref="G94"/>
    <dataValidation allowBlank="1" showInputMessage="1" promptTitle="手入力セル" prompt="反映先：保健_附属明細表P54-57 I104&#10;他の帳票：報告_保健P20-22、保健_財務諸表P53、保健_決算精算表P58" sqref="I101 I102 I103"/>
    <dataValidation allowBlank="1" showInputMessage="1" promptTitle="手入力セル" prompt="反映先：保健_附属明細表P54-57 I106&#10;他の帳票：報告_保健P20-22、保健_財務諸表P53、保健_決算精算表P58" sqref="I105"/>
    <dataValidation allowBlank="1" showInputMessage="1" promptTitle="手入力セル" prompt="反映先：保健_附属明細表P54-57 I115&#10;他の帳票：報告_保健P20-22、保健_財務諸表P53、保健_決算精算表P58" sqref="I107 I108 I109 I110 I111 I112 I113 I114"/>
    <dataValidation allowBlank="1" showInputMessage="1" promptTitle="手入力セル" prompt="反映先：保健_附属明細表P54-57 I123,Q122&#10;他の帳票：保健_財務諸表P53" sqref="I122"/>
    <dataValidation allowBlank="1" showInputMessage="1" promptTitle="手入力セル" prompt="反映先：保健_附属明細表P54-57 I148,Q145&#10;他の帳票：保健_財務諸表P53、保健_決算精算表P58" sqref="I145"/>
    <dataValidation allowBlank="1" showInputMessage="1" promptTitle="手入力セル" prompt="反映先：保健_附属明細表P54-57 I148,Q146&#10;他の帳票：保健_財務諸表P53、保健_決算精算表P58" sqref="I146"/>
    <dataValidation allowBlank="1" showInputMessage="1" promptTitle="手入力セル" prompt="反映先：保健_附属明細表P54-57 I156,Q155&#10;他の帳票：なし" sqref="I155"/>
    <dataValidation allowBlank="1" showInputMessage="1" promptTitle="手入力セル" prompt="反映先：保健_附属明細表P54-57 J95,M92&#10;他の帳票：保健_決算精算表P58" sqref="J92"/>
    <dataValidation allowBlank="1" showInputMessage="1" promptTitle="手入力セル" prompt="反映先：保健_附属明細表P54-57 J95,M93&#10;他の帳票：保健_決算精算表P58" sqref="J93"/>
    <dataValidation allowBlank="1" showInputMessage="1" promptTitle="手入力セル" prompt="反映先：保健_附属明細表P54-57 J95,M94&#10;他の帳票：保健_決算精算表P58" sqref="J94"/>
    <dataValidation allowBlank="1" showInputMessage="1" promptTitle="手入力セル" prompt="反映先：保健_附属明細表P54-57 J139,T137&#10;他の帳票：なし" sqref="J137"/>
    <dataValidation allowBlank="1" showInputMessage="1" promptTitle="手入力セル" prompt="反映先：保健_附属明細表P54-57 L104,R101&#10;他の帳票：なし" sqref="L101"/>
    <dataValidation allowBlank="1" showInputMessage="1" promptTitle="手入力セル" prompt="反映先：保健_附属明細表P54-57 L104,R102&#10;他の帳票：なし" sqref="L102"/>
    <dataValidation allowBlank="1" showInputMessage="1" promptTitle="手入力セル" prompt="反映先：保健_附属明細表P54-57 L104,R103&#10;他の帳票：なし" sqref="L103"/>
    <dataValidation allowBlank="1" showInputMessage="1" promptTitle="手入力セル" prompt="反映先：保健_附属明細表P54-57 L106,R105&#10;他の帳票：なし" sqref="L105"/>
    <dataValidation allowBlank="1" showInputMessage="1" promptTitle="手入力セル" prompt="反映先：保健_附属明細表P54-57 L115,R107&#10;他の帳票：なし" sqref="L107"/>
    <dataValidation allowBlank="1" showInputMessage="1" promptTitle="手入力セル" prompt="反映先：保健_附属明細表P54-57 L115,R108&#10;他の帳票：なし" sqref="L108"/>
    <dataValidation allowBlank="1" showInputMessage="1" promptTitle="手入力セル" prompt="反映先：保健_附属明細表P54-57 L115,R109&#10;他の帳票：なし" sqref="L109"/>
    <dataValidation allowBlank="1" showInputMessage="1" promptTitle="手入力セル" prompt="反映先：保健_附属明細表P54-57 L115,R110&#10;他の帳票：なし" sqref="L110"/>
    <dataValidation allowBlank="1" showInputMessage="1" promptTitle="手入力セル" prompt="反映先：保健_附属明細表P54-57 L115,R111&#10;他の帳票：なし" sqref="L111"/>
    <dataValidation allowBlank="1" showInputMessage="1" promptTitle="手入力セル" prompt="反映先：保健_附属明細表P54-57 L115,R112&#10;他の帳票：なし" sqref="L112"/>
    <dataValidation allowBlank="1" showInputMessage="1" promptTitle="手入力セル" prompt="反映先：保健_附属明細表P54-57 L115,R113&#10;他の帳票：なし" sqref="L113"/>
    <dataValidation allowBlank="1" showInputMessage="1" promptTitle="手入力セル" prompt="反映先：保健_附属明細表P54-57 L115,R114&#10;他の帳票：なし" sqref="L114"/>
    <dataValidation allowBlank="1" showInputMessage="1" promptTitle="手入力セル" prompt="反映先：保健_附属明細表P54-57 M6&#10;他の帳票：保健_財務諸表P53、保健_決算精算表P58" sqref="M5"/>
    <dataValidation allowBlank="1" showInputMessage="1" promptTitle="手入力セル" prompt="反映先：保健_財務諸表P53 C8、保健_附属明細表P54-57 M13&#10;他の帳票：保健_財務諸表P53" sqref="M12"/>
    <dataValidation allowBlank="1" showInputMessage="1" promptTitle="手入力セル" prompt="反映先：保健_附属明細表P54-57 M20&#10;他の帳票：保健_財務諸表P53" sqref="M19"/>
    <dataValidation allowBlank="1" showInputMessage="1" promptTitle="手入力セル" prompt="反映先：保健_附属明細表P54-57 M123,Q122&#10;他の帳票：保健_財務諸表P53" sqref="M122"/>
    <dataValidation allowBlank="1" showInputMessage="1" promptTitle="手入力セル" prompt="反映先：保健_附属明細表P54-57 M156,Q155&#10;他の帳票：なし" sqref="M155"/>
    <dataValidation allowBlank="1" showInputMessage="1" promptTitle="手入力セル" prompt="反映先：保健_附属明細表P54-57 O104&#10;他の帳票：保健_財務諸表P53" sqref="O101 O102 O103"/>
    <dataValidation allowBlank="1" showInputMessage="1" promptTitle="手入力セル" prompt="反映先：保健_附属明細表P54-57 O106&#10;他の帳票：保健_財務諸表P53" sqref="O105"/>
    <dataValidation allowBlank="1" showInputMessage="1" promptTitle="手入力セル" prompt="反映先：保健_附属明細表P54-57 O115&#10;他の帳票：保健_財務諸表P53" sqref="O107 O108 O109 O110 O111 O112 O113 O114"/>
    <dataValidation allowBlank="1" showInputMessage="1" promptTitle="手入力セル" prompt="反映先：保健_附属明細表P54-57 O139,T137&#10;他の帳票：なし" sqref="O137"/>
    <dataValidation allowBlank="1" showInputMessage="1" promptTitle="手入力セル" prompt="反映先：保健_附属明細表P54-57 Q167&#10;他の帳票：なし" sqref="P164"/>
  </dataValidations>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'保健_附属明細表P54-57'!M6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'保健_附属明細表P54-57'!G43</f>
        <v>129211081</v>
      </c>
      <c r="C14" s="791"/>
      <c r="D14" s="792" t="s">
        <v>898</v>
      </c>
      <c r="E14" s="793"/>
      <c r="F14" s="790"/>
      <c r="G14" s="796"/>
      <c r="H14" s="758"/>
    </row>
    <row r="15" spans="1:8" ht="15" customHeight="1">
      <c r="A15" s="789" t="str">
        <f>IF(SUM(B15:C15)-SUM(F15)=0,"",SUM(B15:C15)-SUM(F15))</f>
        <v/>
      </c>
      <c r="B15" s="790"/>
      <c r="C15" s="791" t="str">
        <f>IF(N('保健_附属明細表P54-57'!M92)=0,"",'保健_附属明細表P54-57'!M92)</f>
        <v/>
      </c>
      <c r="D15" s="792" t="s">
        <v>238</v>
      </c>
      <c r="E15" s="793"/>
      <c r="F15" s="790" t="str">
        <f>IF(N('保健_附属明細表P54-57'!P92)=0,"",'保健_附属明細表P54-57'!P92)</f>
        <v/>
      </c>
      <c r="G15" s="796"/>
      <c r="H15" s="758"/>
    </row>
    <row r="16" spans="1:8" ht="15" customHeight="1">
      <c r="A16" s="789" t="str">
        <f>IF(SUM(B16:C16)-SUM(F16)=0,"",SUM(B16:C16)-SUM(F16))</f>
        <v/>
      </c>
      <c r="B16" s="790"/>
      <c r="C16" s="791" t="str">
        <f>IF(N('保健_附属明細表P54-57'!M93)=0,"",'保健_附属明細表P54-57'!M93)</f>
        <v/>
      </c>
      <c r="D16" s="792" t="s">
        <v>239</v>
      </c>
      <c r="E16" s="793"/>
      <c r="F16" s="790" t="str">
        <f>IF(N('保健_附属明細表P54-57'!P93)=0,"",'保健_附属明細表P54-57'!P93)</f>
        <v/>
      </c>
      <c r="G16" s="796"/>
      <c r="H16" s="758"/>
    </row>
    <row r="17" spans="1:8" ht="15" customHeight="1">
      <c r="A17" s="789" t="str">
        <f>IF(SUM(B17:C17)-SUM(F17)=0,"",SUM(B17:C17)-SUM(F17))</f>
        <v/>
      </c>
      <c r="B17" s="790"/>
      <c r="C17" s="791" t="str">
        <f>IF(N('保健_附属明細表P54-57'!M94)=0,"",'保健_附属明細表P54-57'!M94)</f>
        <v/>
      </c>
      <c r="D17" s="792" t="s">
        <v>222</v>
      </c>
      <c r="E17" s="793"/>
      <c r="F17" s="790" t="str">
        <f>IF(N('保健_附属明細表P54-57'!P94)=0,"",'保健_附属明細表P54-57'!P94)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'保健_附属明細表P54-57'!G61</f>
        <v>175260287</v>
      </c>
      <c r="G19" s="796">
        <f>SUM(E19:F19)</f>
        <v>175260287</v>
      </c>
      <c r="H19" s="758"/>
    </row>
    <row r="20" spans="1:8" ht="15" customHeight="1">
      <c r="A20" s="789"/>
      <c r="B20" s="790"/>
      <c r="C20" s="791"/>
      <c r="D20" s="792" t="s">
        <v>997</v>
      </c>
      <c r="E20" s="793"/>
      <c r="F20" s="1590">
        <f>'保健_附属明細表P54-57'!G70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'保健_附属明細表P54-57'!G79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'保健_附属明細表P54-57'!I148+'保健_附属明細表P54-57'!M147</f>
        <v>14265140</v>
      </c>
      <c r="C25" s="791"/>
      <c r="D25" s="792" t="s">
        <v>1156</v>
      </c>
      <c r="E25" s="793">
        <f>'保健_附属明細表P54-57'!E148</f>
        <v>270947604</v>
      </c>
      <c r="F25" s="790">
        <f>'保健_附属明細表P54-57'!I148*2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'保健_附属明細表P54-57'!G50</f>
        <v>170769925</v>
      </c>
      <c r="C28" s="1677">
        <v>403592377</v>
      </c>
      <c r="D28" s="786" t="s">
        <v>129</v>
      </c>
      <c r="E28" s="793"/>
      <c r="F28" s="790"/>
      <c r="G28" s="796"/>
      <c r="H28" s="758"/>
    </row>
    <row r="29" spans="1:8" ht="15" customHeight="1">
      <c r="A29" s="789">
        <f>SUM(B29:C29)-F29</f>
        <v>20355535</v>
      </c>
      <c r="B29" s="790">
        <f>'保健_附属明細表P54-57'!G51</f>
        <v>3896573</v>
      </c>
      <c r="C29" s="1677">
        <v>16458962</v>
      </c>
      <c r="D29" s="792" t="s">
        <v>149</v>
      </c>
      <c r="E29" s="793"/>
      <c r="F29" s="790"/>
      <c r="G29" s="796"/>
      <c r="H29" s="758"/>
    </row>
    <row r="30" spans="1:8" ht="15" customHeight="1">
      <c r="A30" s="789">
        <f>SUM(B30:C30)-F30</f>
        <v>543780</v>
      </c>
      <c r="B30" s="819">
        <f>'保健_附属明細表P54-57'!G52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'保健_附属明細表P54-57'!G54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'保健_附属明細表P54-57'!G56</f>
        <v>5274</v>
      </c>
      <c r="C36" s="1677">
        <v>22753</v>
      </c>
      <c r="D36" s="792" t="s">
        <v>151</v>
      </c>
      <c r="E36" s="793"/>
      <c r="F36" s="819"/>
      <c r="G36" s="796"/>
      <c r="H36" s="758"/>
    </row>
    <row r="37" spans="1:8" ht="15" customHeight="1">
      <c r="A37" s="789">
        <f>SUM(B37:C37)</f>
        <v>3453940</v>
      </c>
      <c r="B37" s="790">
        <f>'保健_附属明細表P54-57'!G57+'保健_附属明細表P54-57'!G67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'保健_附属明細表P54-57'!G60+F30</f>
        <v>0</v>
      </c>
      <c r="C39" s="1677">
        <v>1768131</v>
      </c>
      <c r="D39" s="792" t="s">
        <v>138</v>
      </c>
      <c r="E39" s="793"/>
      <c r="F39" s="790"/>
      <c r="G39" s="796"/>
      <c r="H39" s="758"/>
    </row>
    <row r="40" spans="1:8" ht="15" customHeight="1">
      <c r="A40" s="789">
        <f>SUM(B40:C40)</f>
        <v>565872</v>
      </c>
      <c r="B40" s="790">
        <f>'保健_附属明細表P54-57'!G58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IF(N('保健_附属明細表P54-57'!I116)=0,"",'保健_附属明細表P54-57'!I116)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'保健_附属明細表P54-57'!G59</f>
        <v>0</v>
      </c>
      <c r="C46" s="791"/>
      <c r="D46" s="792" t="s">
        <v>125</v>
      </c>
      <c r="E46" s="793">
        <f>'報告_保健P20-22'!V20-F46+B46</f>
        <v>275957410</v>
      </c>
      <c r="F46" s="790">
        <f>'保健_附属明細表P54-57'!G41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'保健_財務諸表P53'!G50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tr">
        <f>"    出納主任    "&amp;入力ガイド!$E$6&amp;"　　"&amp;入力ガイド!$F$6</f>
        <v>    出納主任    村井　　慶子</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f>
        <v>令和　８年４月２２日</v>
      </c>
      <c r="B59" s="2488"/>
      <c r="C59" s="739"/>
      <c r="D59" s="739"/>
      <c r="E59" s="2489" t="str">
        <f>"　　出 納 役    "&amp;入力ガイド!$E$7&amp;"　　"&amp;入力ガイド!$F$7</f>
        <v>　　出 納 役    榎本　　聡子</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conditionalFormatting sqref="C27 C28 C29 C30 C31 C33 C36 C37 C39 C40 C41 E51">
    <cfRule type="expression" dxfId="6" priority="2">
      <formula>AND(入力色表示=1,NOT(_xlfn.ISFORMULA(C27)))</formula>
    </cfRule>
  </conditionalFormatting>
  <dataValidations count="12">
    <dataValidation allowBlank="1" showInputMessage="1" promptTitle="手入力セル" prompt="反映先：保健_附属明細表P54-57 J136、保健_決算精算表P58 A27,C53&#10;他の帳票：報告_保健P20-22、保健_財務諸表P53、保健_附属明細表P54-57" sqref="C27"/>
    <dataValidation allowBlank="1" showInputMessage="1" promptTitle="手入力セル" prompt="反映先：保健_決算精算表P58 A28,C53&#10;他の帳票：報告_保健P20-22、保健_財務諸表P53、保健_附属明細表P54-57" sqref="C28"/>
    <dataValidation allowBlank="1" showInputMessage="1" promptTitle="手入力セル" prompt="反映先：保健_決算精算表P58 A29,C53&#10;他の帳票：報告_保健P20-22、保健_財務諸表P53、保健_附属明細表P54-57" sqref="C29"/>
    <dataValidation allowBlank="1" showInputMessage="1" promptTitle="手入力セル" prompt="反映先：保健_附属明細表P54-57 J138、保健_決算精算表P58 A30,C53&#10;他の帳票：報告_保健P20-22、保健_財務諸表P53、保健_附属明細表P54-57" sqref="C30"/>
    <dataValidation allowBlank="1" showInputMessage="1" promptTitle="手入力セル" prompt="反映先：保健_決算精算表P58 A31,C53&#10;他の帳票：報告_保健P20-22、保健_財務諸表P53、保健_附属明細表P54-57" sqref="C31"/>
    <dataValidation allowBlank="1" showInputMessage="1" promptTitle="手入力セル" prompt="反映先：保健_決算精算表P58 A33,C53&#10;他の帳票：報告_保健P20-22、保健_財務諸表P53、保健_附属明細表P54-57" sqref="C33"/>
    <dataValidation allowBlank="1" showInputMessage="1" promptTitle="手入力セル" prompt="反映先：保健_決算精算表P58 A36,C53&#10;他の帳票：報告_保健P20-22、保健_財務諸表P53、保健_附属明細表P54-57" sqref="C36"/>
    <dataValidation allowBlank="1" showInputMessage="1" promptTitle="手入力セル" prompt="反映先：保健_決算精算表P58 A37,C53&#10;他の帳票：報告_保健P20-22、保健_財務諸表P53、保健_附属明細表P54-57" sqref="C37"/>
    <dataValidation allowBlank="1" showInputMessage="1" promptTitle="手入力セル" prompt="反映先：保健_決算精算表P58 A39,C53&#10;他の帳票：報告_保健P20-22、保健_財務諸表P53、保健_附属明細表P54-57" sqref="C39"/>
    <dataValidation allowBlank="1" showInputMessage="1" promptTitle="手入力セル" prompt="反映先：保健_決算精算表P58 A40,C53&#10;他の帳票：報告_保健P20-22、保健_財務諸表P53、保健_附属明細表P54-57" sqref="C40"/>
    <dataValidation allowBlank="1" showInputMessage="1" promptTitle="手入力セル" prompt="反映先：保健_決算精算表P58 A41,C53&#10;他の帳票：報告_保健P20-22、保健_財務諸表P53、保健_附属明細表P54-57" sqref="C41"/>
    <dataValidation allowBlank="1" showInputMessage="1" promptTitle="手入力セル" prompt="反映先：保健_決算精算表P58 E53,G51&#10;他の帳票：報告_保健P20-22、保健_財務諸表P53、保健_附属明細表P54-57" sqref="E51"/>
  </dataValidations>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HYPERLINK("#'貸付_決算精算表P63'!A1","貸付_決算精算表を確認する")</f>
        <v>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'貸付_財務諸表P59'!C54</f>
        <v>0</v>
      </c>
      <c r="D42" s="1775" t="s">
        <v>872</v>
      </c>
    </row>
    <row r="43" spans="1:4" ht="21" customHeight="1">
      <c r="A43" s="1735" t="s">
        <v>3245</v>
      </c>
      <c r="B43" s="1764" t="s">
        <v>3251</v>
      </c>
      <c r="C43" s="1777">
        <f>'貸付_財務諸表P59'!F20</f>
        <v>1966406293</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IF('貸付_財務諸表P59'!D25='貸付_財務諸表P59'!H25,"OK","NG")</f>
        <v>OK</v>
      </c>
      <c r="D77" s="1779"/>
    </row>
    <row r="78" spans="1:4" ht="21" customHeight="1">
      <c r="A78" s="1732" t="s">
        <v>3253</v>
      </c>
      <c r="B78" s="1752" t="s">
        <v>1228</v>
      </c>
      <c r="C78" s="1714" t="str">
        <f>IF('貸付_財務諸表P59'!D58='貸付_財務諸表P59'!H58,"OK","NG")</f>
        <v>OK</v>
      </c>
      <c r="D78" s="1779"/>
    </row>
    <row r="79" spans="1:4" ht="21" customHeight="1">
      <c r="A79" s="1732" t="s">
        <v>3253</v>
      </c>
      <c r="B79" s="1752" t="s">
        <v>1229</v>
      </c>
      <c r="C79" s="1714" t="str">
        <f>IF('貸付_決算精算表P63'!A39='貸付_決算精算表P63'!G39+'貸付_附属明細表P60-62'!G70,"OK","NG")</f>
        <v>OK</v>
      </c>
      <c r="D79" s="1779"/>
    </row>
    <row r="80" spans="1:4" ht="21" customHeight="1">
      <c r="A80" s="1732" t="s">
        <v>3253</v>
      </c>
      <c r="B80" s="1752" t="s">
        <v>1230</v>
      </c>
      <c r="C80" s="1714" t="str">
        <f>IF('貸付_決算精算表P63'!C39='貸付_決算精算表P63'!E39,"OK","NG")</f>
        <v>OK</v>
      </c>
      <c r="D80" s="1779"/>
    </row>
    <row r="81" spans="1:4" ht="21" customHeight="1">
      <c r="A81" s="1732" t="s">
        <v>3253</v>
      </c>
      <c r="B81" s="1752" t="s">
        <v>3254</v>
      </c>
      <c r="C81" s="1714" t="str">
        <f>IF('貸付_財務諸表P59'!B19='貸付_附属明細表P60-62'!R13-'貸付_附属明細表P60-62'!G28-'貸付_附属明細表P60-62'!G35+'貸付_附属明細表P60-62'!G68,"OK","NG")</f>
        <v>OK</v>
      </c>
      <c r="D81" s="1779"/>
    </row>
    <row r="82" spans="1:4" ht="21" customHeight="1">
      <c r="A82" s="1732" t="s">
        <v>3253</v>
      </c>
      <c r="B82" s="1752" t="s">
        <v>1231</v>
      </c>
      <c r="C82" s="1714" t="str">
        <f>IF('貸付_財務諸表P59'!C7='貸付_附属明細表P60-62'!M6,"OK","NG")</f>
        <v>OK</v>
      </c>
      <c r="D82" s="1779"/>
    </row>
    <row r="83" spans="1:4" ht="21" customHeight="1">
      <c r="A83" s="1732" t="s">
        <v>3253</v>
      </c>
      <c r="B83" s="1752" t="s">
        <v>1232</v>
      </c>
      <c r="C83" s="1714" t="str">
        <f>IF('貸付_財務諸表P59'!H18='貸付_附属明細表P60-62'!Q91,"OK","NG")</f>
        <v>OK</v>
      </c>
      <c r="D83" s="1779"/>
    </row>
    <row r="84" spans="1:4" ht="21" customHeight="1">
      <c r="A84" s="1732" t="s">
        <v>3253</v>
      </c>
      <c r="B84" s="1752" t="s">
        <v>1233</v>
      </c>
      <c r="C84" s="1714" t="str">
        <f>IF('貸付_附属明細表P60-62'!S77='貸付_財務諸表P59'!B14,"OK","NG")</f>
        <v>OK</v>
      </c>
      <c r="D84" s="1779"/>
    </row>
    <row r="85" spans="1:4" ht="21" customHeight="1">
      <c r="A85" s="1732" t="s">
        <v>3253</v>
      </c>
      <c r="B85" s="1752" t="s">
        <v>1234</v>
      </c>
      <c r="C85" s="1714" t="str">
        <f>IF(AND('貸付_財務諸表P59'!G7='貸付_附属明細表P60-62'!G47,'貸付_財務諸表P59'!G8='貸付_附属明細表P60-62'!G55,'貸付_財務諸表P59'!G9='貸付_附属明細表P60-62'!G62,'貸付_財務諸表P59'!G10='貸付_附属明細表P60-62'!G70),"OK","NG")</f>
        <v>OK</v>
      </c>
      <c r="D85" s="1779"/>
    </row>
    <row r="86" spans="1:4" ht="21" customHeight="1">
      <c r="A86" s="1732" t="s">
        <v>3253</v>
      </c>
      <c r="B86" s="1752" t="s">
        <v>1235</v>
      </c>
      <c r="C86" s="1714" t="str">
        <f>IF('報告_貸付P23-25'!AG92='貸付_附属明細表P60-62'!R13,"OK","NG")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tabColor rgb="FFA6A6A6"/>
  </sheetPr>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'貸付_決算精算表P63'!A9</f>
        <v>1108845248</v>
      </c>
      <c r="D7" s="599"/>
      <c r="E7" s="607" t="s">
        <v>1236</v>
      </c>
      <c r="F7" s="633"/>
      <c r="G7" s="1287">
        <f>'貸付_決算精算表P63'!G14</f>
        <v>380530</v>
      </c>
      <c r="H7" s="603"/>
      <c r="I7" s="1281"/>
      <c r="J7" s="1281"/>
      <c r="K7" s="1281"/>
      <c r="L7" s="1281"/>
      <c r="M7" s="1281"/>
      <c r="N7" s="1281"/>
      <c r="O7" s="1281"/>
      <c r="P7" s="1281"/>
      <c r="Q7" s="1281"/>
      <c r="R7" s="1281"/>
    </row>
    <row r="8" spans="1:18" ht="13.5" customHeight="1">
      <c r="A8" s="604" t="s">
        <v>214</v>
      </c>
      <c r="B8" s="601"/>
      <c r="C8" s="1300">
        <f>'貸付_決算精算表P63'!A10</f>
        <v>180749</v>
      </c>
      <c r="D8" s="617"/>
      <c r="E8" s="607" t="s">
        <v>997</v>
      </c>
      <c r="F8" s="601"/>
      <c r="G8" s="1287">
        <f>'貸付_決算精算表P63'!G15</f>
        <v>383205</v>
      </c>
      <c r="H8" s="603"/>
      <c r="I8" s="1281"/>
      <c r="J8" s="1281"/>
      <c r="K8" s="1281"/>
      <c r="L8" s="1281"/>
      <c r="M8" s="1281"/>
      <c r="N8" s="1281"/>
      <c r="O8" s="1281"/>
      <c r="P8" s="1281"/>
      <c r="Q8" s="1281"/>
      <c r="R8" s="1281"/>
    </row>
    <row r="9" spans="1:18" ht="13.5" customHeight="1">
      <c r="A9" s="604" t="s">
        <v>1237</v>
      </c>
      <c r="B9" s="601"/>
      <c r="C9" s="1300">
        <f>'貸付_決算精算表P63'!A11</f>
        <v>0</v>
      </c>
      <c r="D9" s="617"/>
      <c r="E9" s="607" t="s">
        <v>1238</v>
      </c>
      <c r="F9" s="601"/>
      <c r="G9" s="1287">
        <f>'貸付_決算精算表P63'!G16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'貸付_附属明細表P60-62'!G70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'貸付_決算精算表P63'!G17</f>
        <v>0</v>
      </c>
      <c r="H13" s="603"/>
      <c r="I13" s="1281"/>
      <c r="J13" s="1281"/>
      <c r="K13" s="1281"/>
      <c r="L13" s="1281"/>
      <c r="M13" s="1281"/>
      <c r="N13" s="1281"/>
      <c r="O13" s="1281"/>
      <c r="P13" s="1281"/>
      <c r="Q13" s="1281"/>
      <c r="R13" s="1281"/>
    </row>
    <row r="14" spans="1:18" ht="13.5" customHeight="1">
      <c r="A14" s="604" t="s">
        <v>222</v>
      </c>
      <c r="B14" s="1287">
        <f>'貸付_決算精算表P63'!A12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'貸付_決算精算表P63'!A13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v>1966406293</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'貸付_決算精算表P63'!G18-F20</f>
        <v>-9273553</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却累計額は、"&amp;TEXT('貸付_附属明細表P60-62'!Q105,"#,##0")&amp;"円である。"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'貸付_決算精算表P63'!A21</f>
        <v>6345567</v>
      </c>
      <c r="C37" s="602"/>
      <c r="D37" s="617"/>
      <c r="E37" s="2984" t="s">
        <v>172</v>
      </c>
      <c r="F37" s="2985">
        <f>'貸付_決算精算表P63'!G34</f>
        <v>10920960</v>
      </c>
      <c r="G37" s="623"/>
      <c r="H37" s="647"/>
      <c r="I37" s="1281"/>
      <c r="J37" s="1281"/>
      <c r="K37" s="1281"/>
      <c r="L37" s="1281"/>
      <c r="M37" s="1281"/>
      <c r="N37" s="1281"/>
      <c r="O37" s="1281"/>
      <c r="P37" s="1281"/>
      <c r="Q37" s="1281"/>
      <c r="R37" s="1281"/>
    </row>
    <row r="38" spans="1:18" ht="13.5" customHeight="1">
      <c r="A38" s="604" t="s">
        <v>1104</v>
      </c>
      <c r="B38" s="1287">
        <f>'貸付_決算精算表P63'!A22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'貸付_決算精算表P63'!A23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'貸付_決算精算表P63'!A24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'貸付_決算精算表P63'!A25</f>
        <v>4403185</v>
      </c>
      <c r="C41" s="602"/>
      <c r="D41" s="617"/>
      <c r="E41" s="1618" t="s">
        <v>1243</v>
      </c>
      <c r="F41" s="1287">
        <f>'貸付_決算精算表P63'!G35</f>
        <v>42000</v>
      </c>
      <c r="G41" s="602"/>
      <c r="H41" s="603"/>
      <c r="I41" s="1281"/>
      <c r="J41" s="1281"/>
      <c r="K41" s="1281"/>
      <c r="L41" s="1281"/>
      <c r="M41" s="1281"/>
      <c r="N41" s="1281"/>
      <c r="O41" s="1281"/>
      <c r="P41" s="1281"/>
      <c r="Q41" s="1281"/>
      <c r="R41" s="1281"/>
    </row>
    <row r="42" spans="1:18" ht="13.5" customHeight="1">
      <c r="A42" s="604" t="s">
        <v>1004</v>
      </c>
      <c r="B42" s="1287">
        <f>'貸付_決算精算表P63'!A26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'貸付_決算精算表P63'!A27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'貸付_決算精算表P63'!A28</f>
        <v>323822</v>
      </c>
      <c r="C44" s="602"/>
      <c r="D44" s="617"/>
      <c r="E44" s="1619" t="s">
        <v>1244</v>
      </c>
      <c r="F44" s="1287">
        <f>'貸付_決算精算表P63'!E36+'貸付_決算精算表P63'!F36</f>
        <v>0</v>
      </c>
      <c r="G44" s="1308"/>
      <c r="H44" s="603"/>
      <c r="I44" s="1281"/>
      <c r="J44" s="1281"/>
      <c r="K44" s="1281"/>
      <c r="L44" s="1281"/>
      <c r="M44" s="1281"/>
      <c r="N44" s="1281"/>
      <c r="O44" s="1281"/>
      <c r="P44" s="1281"/>
      <c r="Q44" s="1281"/>
      <c r="R44" s="1281"/>
    </row>
    <row r="45" spans="1:18" ht="13.5" customHeight="1">
      <c r="A45" s="604" t="s">
        <v>1009</v>
      </c>
      <c r="B45" s="1287">
        <f>'貸付_決算精算表P63'!A29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'貸付_決算精算表P63'!A30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IF(N('貸付_附属明細表P60-62'!H84)=0,"","減価償却費")</f>
        <v/>
      </c>
      <c r="B47" s="1287" t="str">
        <f>IF(N('貸付_附属明細表P60-62'!H84)=0,"",'貸付_附属明細表P60-62'!H84)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'貸付_決算精算表P63'!A32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conditionalFormatting sqref="F20">
    <cfRule type="expression" dxfId="6" priority="2">
      <formula>AND(入力色表示=1,NOT(_xlfn.ISFORMULA(F20)))</formula>
    </cfRule>
  </conditionalFormatting>
  <dataValidations count="1">
    <dataValidation allowBlank="1" showInputMessage="1" promptTitle="手入力セル" prompt="手入力：元の決算書の額（1,966,406,293円）。&#10;F22は決算精算表の利益剰余金との差額を自動計算" sqref="F20"/>
  </dataValidations>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tabColor rgb="FFA6A6A6"/>
  </sheetPr>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'貸付_財務諸表P59'!G47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'貸付_決算精算表P63'!C21</f>
        <v>6345567</v>
      </c>
      <c r="K112" s="2714"/>
      <c r="L112" s="2714"/>
      <c r="M112" s="2714"/>
      <c r="N112" s="2714"/>
      <c r="O112" s="2714">
        <f>'貸付_決算精算表P63'!B21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'貸付_決算精算表P63'!C23</f>
        <v>0</v>
      </c>
      <c r="K113" s="2705"/>
      <c r="L113" s="2705"/>
      <c r="M113" s="2705"/>
      <c r="N113" s="2705"/>
      <c r="O113" s="2705">
        <f>'貸付_決算精算表P63'!B23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'貸付_決算精算表P63'!C24</f>
        <v>609600</v>
      </c>
      <c r="K114" s="2705"/>
      <c r="L114" s="2705"/>
      <c r="M114" s="2705"/>
      <c r="N114" s="2705"/>
      <c r="O114" s="2705">
        <f>'貸付_決算精算表P63'!B24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IF('貸付_財務諸表P59'!C54&gt;0,"当期利益金","当期損失金（△）")</f>
        <v>当期損失金（△）</v>
      </c>
      <c r="E122" s="210"/>
      <c r="F122" s="210"/>
      <c r="G122" s="210"/>
      <c r="H122" s="210"/>
      <c r="I122" s="210"/>
      <c r="J122" s="210"/>
      <c r="K122" s="210"/>
      <c r="L122" s="49"/>
      <c r="M122" s="49"/>
      <c r="N122" s="49"/>
      <c r="O122" s="49"/>
      <c r="P122" s="2701">
        <f>'貸付_財務諸表P59'!C54-'貸付_財務諸表P59'!G47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conditionalFormatting sqref="A5 A11 A12 A18 A19 A26 A27 A28 A35 A36 A43 A44 A45 A46 A53 A54 A61 A68 A69 A76 A83 A90 A97 A103 A104 D11 D18 D83 G5 L61 L68 L69 M26 M27 M28 M35 M36 M43 M44 M45 M46 M53 M54 P83 R61 R68 R69 S5 S26 S28 S35 S36 S43 S44 S45 S46 S53 S54 U90 U97 U103 V11 V18 V19 V76">
    <cfRule type="expression" dxfId="6" priority="2">
      <formula>AND(入力色表示=1,NOT(_xlfn.ISFORMULA(A5)))</formula>
    </cfRule>
  </conditionalFormatting>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tabColor rgb="FFA6A6A6"/>
  </sheetPr>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'貸付_附属明細表P60-62'!M6</f>
        <v>1108845248</v>
      </c>
      <c r="D9" s="1640" t="s">
        <v>895</v>
      </c>
      <c r="E9" s="1641"/>
      <c r="F9" s="1638"/>
      <c r="G9" s="788"/>
      <c r="H9" s="758"/>
    </row>
    <row r="10" spans="1:8" ht="20.399999999999999" customHeight="1">
      <c r="A10" s="1642">
        <f>SUM(C10,B10)</f>
        <v>180749</v>
      </c>
      <c r="B10" s="1457">
        <f>'貸付_附属明細表P60-62'!G29</f>
        <v>180749</v>
      </c>
      <c r="C10" s="1462"/>
      <c r="D10" s="1643" t="s">
        <v>214</v>
      </c>
      <c r="E10" s="1644"/>
      <c r="F10" s="1645"/>
      <c r="G10" s="796"/>
      <c r="H10" s="758"/>
    </row>
    <row r="11" spans="1:8" ht="20.399999999999999" customHeight="1">
      <c r="A11" s="1642">
        <f>SUM(C11,B11)</f>
        <v>0</v>
      </c>
      <c r="B11" s="1646">
        <f>'貸付_附属明細表P60-62'!G37</f>
        <v>0</v>
      </c>
      <c r="C11" s="1462"/>
      <c r="D11" s="1643" t="s">
        <v>898</v>
      </c>
      <c r="E11" s="1644"/>
      <c r="F11" s="1645"/>
      <c r="G11" s="788"/>
      <c r="H11" s="758"/>
    </row>
    <row r="12" spans="1:8" ht="20.399999999999999" customHeight="1">
      <c r="A12" s="1642">
        <f>C12-F12</f>
        <v>1</v>
      </c>
      <c r="B12" s="1457"/>
      <c r="C12" s="1462">
        <f>'貸付_附属明細表P60-62'!M76</f>
        <v>1</v>
      </c>
      <c r="D12" s="1643" t="s">
        <v>222</v>
      </c>
      <c r="E12" s="1644"/>
      <c r="F12" s="1647">
        <f>'貸付_附属明細表P60-62'!P76</f>
        <v>0</v>
      </c>
      <c r="G12" s="788"/>
      <c r="H12" s="758"/>
    </row>
    <row r="13" spans="1:8" ht="20.399999999999999" customHeight="1">
      <c r="A13" s="1637">
        <f>SUM(C13,B13)-F13</f>
        <v>849175708</v>
      </c>
      <c r="B13" s="1646">
        <f>'貸付_附属明細表P60-62'!G68</f>
        <v>0</v>
      </c>
      <c r="C13" s="1462">
        <f>'貸付_附属明細表P60-62'!R13</f>
        <v>849175708</v>
      </c>
      <c r="D13" s="1643" t="s">
        <v>1240</v>
      </c>
      <c r="E13" s="1644"/>
      <c r="F13" s="1646">
        <f>'貸付_附属明細表P60-62'!G28+'貸付_附属明細表P60-62'!G35</f>
        <v>0</v>
      </c>
      <c r="G13" s="1648"/>
      <c r="H13" s="758"/>
    </row>
    <row r="14" spans="1:8" ht="20.399999999999999" customHeight="1">
      <c r="A14" s="789"/>
      <c r="B14" s="1457"/>
      <c r="C14" s="1649"/>
      <c r="D14" s="1643" t="s">
        <v>899</v>
      </c>
      <c r="E14" s="1644"/>
      <c r="F14" s="1457">
        <f>'貸付_附属明細表P60-62'!G47</f>
        <v>380530</v>
      </c>
      <c r="G14" s="1648">
        <f>SUM(E14:F14)</f>
        <v>380530</v>
      </c>
      <c r="H14" s="758"/>
    </row>
    <row r="15" spans="1:8" ht="20.399999999999999" customHeight="1">
      <c r="A15" s="789"/>
      <c r="B15" s="1457"/>
      <c r="C15" s="1649"/>
      <c r="D15" s="1643" t="s">
        <v>997</v>
      </c>
      <c r="E15" s="1644"/>
      <c r="F15" s="1457">
        <f>'貸付_附属明細表P60-62'!G55</f>
        <v>383205</v>
      </c>
      <c r="G15" s="1648">
        <f>SUM(E15:F15)</f>
        <v>383205</v>
      </c>
      <c r="H15" s="758"/>
    </row>
    <row r="16" spans="1:8" ht="20.399999999999999" customHeight="1">
      <c r="A16" s="789"/>
      <c r="B16" s="1457"/>
      <c r="C16" s="1649"/>
      <c r="D16" s="1643" t="s">
        <v>200</v>
      </c>
      <c r="E16" s="1463">
        <f>'貸付_附属明細表P60-62'!G62</f>
        <v>305231</v>
      </c>
      <c r="F16" s="1457"/>
      <c r="G16" s="1648">
        <f>SUM(E16:F16)</f>
        <v>305231</v>
      </c>
      <c r="H16" s="758"/>
    </row>
    <row r="17" spans="1:8" ht="20.399999999999999" customHeight="1">
      <c r="A17" s="789"/>
      <c r="B17" s="1457"/>
      <c r="C17" s="1649"/>
      <c r="D17" s="1643" t="s">
        <v>1239</v>
      </c>
      <c r="E17" s="1650">
        <f>'貸付_附属明細表P60-62'!R20</f>
        <v>0</v>
      </c>
      <c r="F17" s="1457"/>
      <c r="G17" s="1648">
        <f>SUM(E17:F17)-B17</f>
        <v>0</v>
      </c>
      <c r="H17" s="758"/>
    </row>
    <row r="18" spans="1:8" ht="20.399999999999999" customHeight="1">
      <c r="A18" s="789"/>
      <c r="B18" s="1457">
        <f>F37</f>
        <v>3919428</v>
      </c>
      <c r="C18" s="1649"/>
      <c r="D18" s="1643" t="s">
        <v>901</v>
      </c>
      <c r="E18" s="1463">
        <f>'貸付_附属明細表P60-62'!E91</f>
        <v>1961052168</v>
      </c>
      <c r="F18" s="1457" t="str">
        <f>IF('貸付_財務諸表P59'!C54=0,"",'貸付_財務諸表P59'!C54)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'貸付_附属明細表P60-62'!G53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'貸付_附属明細表P60-62'!G43</f>
        <v>25659</v>
      </c>
      <c r="C24" s="1462">
        <f>貸付_入力!C55</f>
        <v>609600</v>
      </c>
      <c r="D24" s="1643" t="s">
        <v>131</v>
      </c>
      <c r="E24" s="1644"/>
      <c r="F24" s="1645"/>
      <c r="G24" s="796"/>
      <c r="H24" s="758"/>
    </row>
    <row r="25" spans="1:8" ht="20.399999999999999" customHeight="1">
      <c r="A25" s="1642">
        <f t="shared" si="0"/>
        <v>4403185</v>
      </c>
      <c r="B25" s="1457">
        <f>'貸付_附属明細表P60-62'!G54</f>
        <v>383205</v>
      </c>
      <c r="C25" s="1462">
        <f>貸付_入力!C56</f>
        <v>4019980</v>
      </c>
      <c r="D25" s="1643" t="s">
        <v>132</v>
      </c>
      <c r="E25" s="1644"/>
      <c r="F25" s="1645"/>
      <c r="G25" s="796"/>
      <c r="H25" s="758"/>
    </row>
    <row r="26" spans="1:8" ht="20.399999999999999" customHeight="1">
      <c r="A26" s="1642">
        <f t="shared" si="0"/>
        <v>229663</v>
      </c>
      <c r="B26" s="1457">
        <f>'貸付_附属明細表P60-62'!G44</f>
        <v>192720</v>
      </c>
      <c r="C26" s="1462">
        <f>貸付_入力!C57</f>
        <v>36943</v>
      </c>
      <c r="D26" s="1643" t="s">
        <v>133</v>
      </c>
      <c r="E26" s="1644"/>
      <c r="F26" s="1645"/>
      <c r="G26" s="796"/>
      <c r="H26" s="758"/>
    </row>
    <row r="27" spans="1:8" ht="20.399999999999999" customHeight="1">
      <c r="A27" s="1642">
        <f t="shared" si="0"/>
        <v>912240</v>
      </c>
      <c r="B27" s="1457">
        <f>'貸付_附属明細表P60-62'!G45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'貸付_附属明細表P60-62'!G46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IF(N('貸付_附属明細表P60-62'!H84)=0,"",'貸付_附属明細表P60-62'!H84)</f>
        <v/>
      </c>
      <c r="C31" s="1462"/>
      <c r="D31" s="1643" t="str">
        <f>IF(N('貸付_附属明細表P60-62'!H84)&gt;0,"減価償却費","連合会払込金")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IF('貸付_財務諸表P59'!C54=0,"",'貸付_財務諸表P59'!C54)</f>
        <v/>
      </c>
      <c r="C33" s="1661"/>
      <c r="D33" s="1643" t="s">
        <v>828</v>
      </c>
      <c r="E33" s="1644"/>
      <c r="F33" s="1645"/>
      <c r="G33" s="1648"/>
      <c r="H33" s="758"/>
    </row>
    <row r="34" spans="1:8" ht="20.399999999999999" customHeight="1">
      <c r="A34" s="1642"/>
      <c r="B34" s="1657">
        <f>'貸付_附属明細表P60-62'!G69</f>
        <v>0</v>
      </c>
      <c r="C34" s="1649"/>
      <c r="D34" s="1643" t="s">
        <v>172</v>
      </c>
      <c r="E34" s="1463">
        <f>貸付_入力!C64</f>
        <v>10740211</v>
      </c>
      <c r="F34" s="1457">
        <f>'貸付_附属明細表P60-62'!G27+'貸付_附属明細表P60-62'!G36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'貸付_財務諸表P59'!G47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tr">
        <f>"    出納主任 　"&amp;(MID(入力ガイド!$E$6,1,1)&amp;IF(LEN(入力ガイド!$E$6)&gt;1,"　"&amp;MID(入力ガイド!$E$6,2,1),"")&amp;IF(LEN(入力ガイド!$E$6)&gt;2,"　"&amp;MID(入力ガイド!$E$6,3,1),"")&amp;IF(LEN(入力ガイド!$E$6)&gt;3,"　"&amp;MID(入力ガイド!$E$6,4,1),"")&amp;IF(LEN(入力ガイド!$E$6)&gt;4,"　"&amp;MID(入力ガイド!$E$6,5,1),""))&amp;"　"&amp;(MID(入力ガイド!$F$6,1,1)&amp;IF(LEN(入力ガイド!$F$6)&gt;1,"　"&amp;MID(入力ガイド!$F$6,2,1),"")&amp;IF(LEN(入力ガイド!$F$6)&gt;2,"　"&amp;MID(入力ガイド!$F$6,3,1),"")&amp;IF(LEN(入力ガイド!$F$6)&gt;3,"　"&amp;MID(入力ガイド!$F$6,4,1),"")&amp;IF(LEN(入力ガイド!$F$6)&gt;4,"　"&amp;MID(入力ガイド!$F$6,5,1),""))</f>
        <v>    出納主任 　村　井　慶　子</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"令和　"&amp;IF(IF(COUNT(入力ガイド!$E$8:$G$8)=3,入力ガイド!$E$8,入力ガイド!$C$7)&gt;=10,MID("０１２３４５６７８９",INT(IF(COUNT(入力ガイド!$E$8:$G$8)=3,入力ガイド!$E$8,入力ガイド!$C$7)/10)+1,1),"")&amp;MID("０１２３４５６７８９",MOD(IF(COUNT(入力ガイド!$E$8:$G$8)=3,入力ガイド!$E$8,入力ガイド!$C$7),10)+1,1)&amp;"年　"&amp;IF(IF(COUNT(入力ガイド!$E$8:$G$8)=3,入力ガイド!$F$8,入力ガイド!$C$8)&gt;=10,MID("０１２３４５６７８９",INT(IF(COUNT(入力ガイド!$E$8:$G$8)=3,入力ガイド!$F$8,入力ガイド!$C$8)/10)+1,1),"")&amp;MID("０１２３４５６７８９",MOD(IF(COUNT(入力ガイド!$E$8:$G$8)=3,入力ガイド!$F$8,入力ガイド!$C$8),10)+1,1)&amp;"月"&amp;IF(IF(COUNT(入力ガイド!$E$8:$G$8)=3,入力ガイド!$G$8,入力ガイド!$C$9)&gt;=10,MID("０１２３４５６７８９",INT(IF(COUNT(入力ガイド!$E$8:$G$8)=3,入力ガイド!$G$8,入力ガイド!$C$9)/10)+1,1),"")&amp;MID("０１２３４５６７８９",MOD(IF(COUNT(入力ガイド!$E$8:$G$8)=3,入力ガイド!$G$8,入力ガイド!$C$9),10)+1,1)&amp;"日"</f>
        <v>令和　８年　４月２２日</v>
      </c>
      <c r="B44" s="2488"/>
      <c r="C44" s="739"/>
      <c r="D44" s="739"/>
      <c r="E44" s="739"/>
      <c r="F44" s="739"/>
      <c r="G44" s="829"/>
      <c r="H44" s="758"/>
    </row>
    <row r="45" spans="1:8" s="834" customFormat="1" ht="21" customHeight="1">
      <c r="A45" s="1492"/>
      <c r="B45" s="1493"/>
      <c r="C45" s="1493"/>
      <c r="D45" s="1493"/>
      <c r="E45" s="2849" t="str">
        <f>"    出 納 役   "&amp;(MID(入力ガイド!$E$7,1,1)&amp;IF(LEN(入力ガイド!$E$7)&gt;1,"　"&amp;MID(入力ガイド!$E$7,2,1),"")&amp;IF(LEN(入力ガイド!$E$7)&gt;2,"　"&amp;MID(入力ガイド!$E$7,3,1),"")&amp;IF(LEN(入力ガイド!$E$7)&gt;3,"　"&amp;MID(入力ガイド!$E$7,4,1),"")&amp;IF(LEN(入力ガイド!$E$7)&gt;4,"　"&amp;MID(入力ガイド!$E$7,5,1),""))&amp;"　"&amp;(MID(入力ガイド!$F$7,1,1)&amp;IF(LEN(入力ガイド!$F$7)&gt;1,"　"&amp;MID(入力ガイド!$F$7,2,1),"")&amp;IF(LEN(入力ガイド!$F$7)&gt;2,"　"&amp;MID(入力ガイド!$F$7,3,1),"")&amp;IF(LEN(入力ガイド!$F$7)&gt;3,"　"&amp;MID(入力ガイド!$F$7,4,1),"")&amp;IF(LEN(入力ガイド!$F$7)&gt;4,"　"&amp;MID(入力ガイド!$F$7,5,1),""))</f>
        <v>    出 納 役   榎　本　聡　子</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tabColor rgb="FFA6A6A6"/>
  </sheetPr>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貸付_入力</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短期_財務諸表P27</vt:lpstr>
      <vt:lpstr>短期_附属明細表P28-29</vt:lpstr>
      <vt:lpstr>短期_決算精算表P30</vt:lpstr>
      <vt:lpstr>厚生_貸借・損益P31</vt:lpstr>
      <vt:lpstr>厚生_預金・立替・未収P32</vt:lpstr>
      <vt:lpstr>厚生_決算精算表P33</vt:lpstr>
      <vt:lpstr>厚生_白紙P34</vt:lpstr>
      <vt:lpstr>退職等_貸借・損益P35</vt:lpstr>
      <vt:lpstr>退職等_預金・立替・未収P36</vt:lpstr>
      <vt:lpstr>退職等_決算精算表P37</vt:lpstr>
      <vt:lpstr>退職等_白紙P38</vt:lpstr>
      <vt:lpstr>経過的_貸借・損益P39</vt:lpstr>
      <vt:lpstr>経過的_預金・立替・未収P40</vt:lpstr>
      <vt:lpstr>経過的_決算精算表P41</vt:lpstr>
      <vt:lpstr>経過的_白紙P42</vt:lpstr>
      <vt:lpstr>預託金_貸借・損益P43</vt:lpstr>
      <vt:lpstr>預託金_預金・未収・貸付・預託金P44</vt:lpstr>
      <vt:lpstr>預託金_決算精算表P45</vt:lpstr>
      <vt:lpstr>預託金_白紙P46</vt:lpstr>
      <vt:lpstr>業務_財務諸表P47</vt:lpstr>
      <vt:lpstr>業務_附属明細表P48-50</vt:lpstr>
      <vt:lpstr>業務_決算精算表P51</vt:lpstr>
      <vt:lpstr>業務_白紙P52</vt:lpstr>
      <vt:lpstr>保健_財務諸表P53</vt:lpstr>
      <vt:lpstr>保健_附属明細表P54-57</vt:lpstr>
      <vt:lpstr>保健_決算精算表P58</vt:lpstr>
      <vt:lpstr>貸付_財務諸表P59</vt:lpstr>
      <vt:lpstr>貸付_附属明細表P60-62</vt:lpstr>
      <vt:lpstr>貸付_決算精算表P63</vt:lpstr>
      <vt:lpstr>貸付_白紙P64</vt:lpstr>
      <vt:lpstr>業務_決算精算表P51!Print_Area</vt:lpstr>
      <vt:lpstr>業務_白紙P52!Print_Area</vt:lpstr>
      <vt:lpstr>業務_附属明細表P48-50!Print_Area</vt:lpstr>
      <vt:lpstr>経過的_決算精算表P41!Print_Area</vt:lpstr>
      <vt:lpstr>経過的_貸借・損益P39!Print_Area</vt:lpstr>
      <vt:lpstr>経過的_預金・立替・未収P40!Print_Area</vt:lpstr>
      <vt:lpstr>厚生_決算精算表P33!Print_Area</vt:lpstr>
      <vt:lpstr>厚生_貸借・損益P31!Print_Area</vt:lpstr>
      <vt:lpstr>厚生_預金・立替・未収P32!Print_Area</vt:lpstr>
      <vt:lpstr>貸付_決算精算表P63!Print_Area</vt:lpstr>
      <vt:lpstr>貸付_白紙P64!Print_Area</vt:lpstr>
      <vt:lpstr>貸付_附属明細表P60-62!Print_Area</vt:lpstr>
      <vt:lpstr>退職等_決算精算表P37!Print_Area</vt:lpstr>
      <vt:lpstr>退職等_貸借・損益P35!Print_Area</vt:lpstr>
      <vt:lpstr>退職等_預金・立替・未収P36!Print_Area</vt:lpstr>
      <vt:lpstr>短期_決算精算表P30!Print_Area</vt:lpstr>
      <vt:lpstr>短期_財務諸表P27!Print_Area</vt:lpstr>
      <vt:lpstr>短期_附属明細表P28-29!Print_Area</vt:lpstr>
      <vt:lpstr>表紙等!Print_Area</vt:lpstr>
      <vt:lpstr>保健_決算精算表P58!Print_Area</vt:lpstr>
      <vt:lpstr>保健_財務諸表P53!Print_Area</vt:lpstr>
      <vt:lpstr>保健_附属明細表P54-57!Print_Area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預託金_決算精算表P45!Print_Area</vt:lpstr>
      <vt:lpstr>預託金_貸借・損益P43!Print_Area</vt:lpstr>
      <vt:lpstr>預託金_預金・未収・貸付・預託金P44!Print_Area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